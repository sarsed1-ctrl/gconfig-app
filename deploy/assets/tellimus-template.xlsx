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furnitura-my.sharepoint.com/personal/georgi_eamf_ee/Documents/Desktop/"/>
    </mc:Choice>
  </mc:AlternateContent>
  <xr:revisionPtr revIDLastSave="0" documentId="8_{FE53F9E0-6752-496C-9C41-95442341B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" sheetId="1" r:id="rId1"/>
    <sheet name="tulkojums" sheetId="2" state="hidden" r:id="rId2"/>
    <sheet name="DB_materiali" sheetId="3" state="hidden" r:id="rId3"/>
    <sheet name="DB_malas" sheetId="4" state="hidden" r:id="rId4"/>
  </sheets>
  <definedNames>
    <definedName name="saraksts10" localSheetId="3">#REF!</definedName>
    <definedName name="saraksts10">#REF!</definedName>
    <definedName name="saraksts11" localSheetId="3">#REF!</definedName>
    <definedName name="saraksts11">#REF!</definedName>
    <definedName name="saraksts12" localSheetId="3">#REF!</definedName>
    <definedName name="saraksts12">#REF!</definedName>
    <definedName name="saraksts13" localSheetId="3">#REF!</definedName>
    <definedName name="saraksts13">#REF!</definedName>
    <definedName name="saraksts14" localSheetId="3">#REF!</definedName>
    <definedName name="saraksts14">#REF!</definedName>
    <definedName name="saraksts23" localSheetId="3">#REF!</definedName>
    <definedName name="saraksts23">#REF!</definedName>
    <definedName name="saraksts28" localSheetId="3">#REF!</definedName>
    <definedName name="saraksts28">#REF!</definedName>
    <definedName name="saraksts4" localSheetId="3">#REF!</definedName>
    <definedName name="saraksts4">#REF!</definedName>
    <definedName name="saraksts43" localSheetId="3">#REF!</definedName>
    <definedName name="saraksts43">#REF!</definedName>
    <definedName name="saraksts5" localSheetId="3">#REF!</definedName>
    <definedName name="saraksts5">#REF!</definedName>
    <definedName name="saraksts6" localSheetId="3">#REF!</definedName>
    <definedName name="saraksts6">#REF!</definedName>
    <definedName name="saraksts7" localSheetId="3">#REF!</definedName>
    <definedName name="saraksts7">#REF!</definedName>
    <definedName name="saraksts8" localSheetId="3">#REF!</definedName>
    <definedName name="saraksts8">#REF!</definedName>
    <definedName name="saraksts9" localSheetId="3">#REF!</definedName>
    <definedName name="saraksts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2" l="1"/>
  <c r="A44" i="2" s="1"/>
  <c r="S1000" i="1"/>
  <c r="R1000" i="1"/>
  <c r="Q1000" i="1"/>
  <c r="P1000" i="1"/>
  <c r="O1000" i="1"/>
  <c r="N1000" i="1"/>
  <c r="M1000" i="1"/>
  <c r="G1000" i="1"/>
  <c r="S999" i="1"/>
  <c r="R999" i="1"/>
  <c r="Q999" i="1"/>
  <c r="P999" i="1"/>
  <c r="O999" i="1"/>
  <c r="N999" i="1"/>
  <c r="M999" i="1"/>
  <c r="G999" i="1"/>
  <c r="S998" i="1"/>
  <c r="R998" i="1"/>
  <c r="Q998" i="1"/>
  <c r="P998" i="1"/>
  <c r="O998" i="1"/>
  <c r="N998" i="1"/>
  <c r="M998" i="1"/>
  <c r="G998" i="1"/>
  <c r="S997" i="1"/>
  <c r="R997" i="1"/>
  <c r="Q997" i="1"/>
  <c r="P997" i="1"/>
  <c r="O997" i="1"/>
  <c r="N997" i="1"/>
  <c r="M997" i="1"/>
  <c r="G997" i="1"/>
  <c r="S996" i="1"/>
  <c r="R996" i="1"/>
  <c r="Q996" i="1"/>
  <c r="P996" i="1"/>
  <c r="O996" i="1"/>
  <c r="N996" i="1"/>
  <c r="M996" i="1"/>
  <c r="G996" i="1"/>
  <c r="S995" i="1"/>
  <c r="R995" i="1"/>
  <c r="Q995" i="1"/>
  <c r="P995" i="1"/>
  <c r="O995" i="1"/>
  <c r="N995" i="1"/>
  <c r="M995" i="1"/>
  <c r="G995" i="1"/>
  <c r="S994" i="1"/>
  <c r="R994" i="1"/>
  <c r="Q994" i="1"/>
  <c r="P994" i="1"/>
  <c r="O994" i="1"/>
  <c r="N994" i="1"/>
  <c r="M994" i="1"/>
  <c r="G994" i="1"/>
  <c r="S993" i="1"/>
  <c r="R993" i="1"/>
  <c r="Q993" i="1"/>
  <c r="P993" i="1"/>
  <c r="O993" i="1"/>
  <c r="N993" i="1"/>
  <c r="M993" i="1"/>
  <c r="G993" i="1"/>
  <c r="S992" i="1"/>
  <c r="R992" i="1"/>
  <c r="Q992" i="1"/>
  <c r="P992" i="1"/>
  <c r="O992" i="1"/>
  <c r="N992" i="1"/>
  <c r="M992" i="1"/>
  <c r="G992" i="1"/>
  <c r="S991" i="1"/>
  <c r="R991" i="1"/>
  <c r="Q991" i="1"/>
  <c r="P991" i="1"/>
  <c r="O991" i="1"/>
  <c r="N991" i="1"/>
  <c r="M991" i="1"/>
  <c r="G991" i="1"/>
  <c r="S990" i="1"/>
  <c r="R990" i="1"/>
  <c r="Q990" i="1"/>
  <c r="P990" i="1"/>
  <c r="O990" i="1"/>
  <c r="N990" i="1"/>
  <c r="M990" i="1"/>
  <c r="G990" i="1"/>
  <c r="S989" i="1"/>
  <c r="R989" i="1"/>
  <c r="Q989" i="1"/>
  <c r="P989" i="1"/>
  <c r="O989" i="1"/>
  <c r="N989" i="1"/>
  <c r="M989" i="1"/>
  <c r="G989" i="1"/>
  <c r="S988" i="1"/>
  <c r="R988" i="1"/>
  <c r="Q988" i="1"/>
  <c r="P988" i="1"/>
  <c r="O988" i="1"/>
  <c r="N988" i="1"/>
  <c r="M988" i="1"/>
  <c r="G988" i="1"/>
  <c r="S987" i="1"/>
  <c r="R987" i="1"/>
  <c r="Q987" i="1"/>
  <c r="P987" i="1"/>
  <c r="O987" i="1"/>
  <c r="N987" i="1"/>
  <c r="M987" i="1"/>
  <c r="G987" i="1"/>
  <c r="S986" i="1"/>
  <c r="R986" i="1"/>
  <c r="Q986" i="1"/>
  <c r="P986" i="1"/>
  <c r="O986" i="1"/>
  <c r="N986" i="1"/>
  <c r="M986" i="1"/>
  <c r="G986" i="1"/>
  <c r="S985" i="1"/>
  <c r="R985" i="1"/>
  <c r="Q985" i="1"/>
  <c r="P985" i="1"/>
  <c r="O985" i="1"/>
  <c r="N985" i="1"/>
  <c r="M985" i="1"/>
  <c r="G985" i="1"/>
  <c r="S984" i="1"/>
  <c r="R984" i="1"/>
  <c r="Q984" i="1"/>
  <c r="P984" i="1"/>
  <c r="O984" i="1"/>
  <c r="N984" i="1"/>
  <c r="M984" i="1"/>
  <c r="G984" i="1"/>
  <c r="S983" i="1"/>
  <c r="R983" i="1"/>
  <c r="Q983" i="1"/>
  <c r="P983" i="1"/>
  <c r="O983" i="1"/>
  <c r="N983" i="1"/>
  <c r="M983" i="1"/>
  <c r="G983" i="1"/>
  <c r="S982" i="1"/>
  <c r="R982" i="1"/>
  <c r="Q982" i="1"/>
  <c r="P982" i="1"/>
  <c r="O982" i="1"/>
  <c r="N982" i="1"/>
  <c r="M982" i="1"/>
  <c r="G982" i="1"/>
  <c r="S981" i="1"/>
  <c r="R981" i="1"/>
  <c r="Q981" i="1"/>
  <c r="P981" i="1"/>
  <c r="O981" i="1"/>
  <c r="N981" i="1"/>
  <c r="M981" i="1"/>
  <c r="G981" i="1"/>
  <c r="S980" i="1"/>
  <c r="R980" i="1"/>
  <c r="Q980" i="1"/>
  <c r="P980" i="1"/>
  <c r="O980" i="1"/>
  <c r="N980" i="1"/>
  <c r="M980" i="1"/>
  <c r="G980" i="1"/>
  <c r="S979" i="1"/>
  <c r="R979" i="1"/>
  <c r="Q979" i="1"/>
  <c r="P979" i="1"/>
  <c r="O979" i="1"/>
  <c r="N979" i="1"/>
  <c r="M979" i="1"/>
  <c r="G979" i="1"/>
  <c r="S978" i="1"/>
  <c r="R978" i="1"/>
  <c r="Q978" i="1"/>
  <c r="P978" i="1"/>
  <c r="O978" i="1"/>
  <c r="N978" i="1"/>
  <c r="M978" i="1"/>
  <c r="G978" i="1"/>
  <c r="S977" i="1"/>
  <c r="R977" i="1"/>
  <c r="Q977" i="1"/>
  <c r="P977" i="1"/>
  <c r="O977" i="1"/>
  <c r="N977" i="1"/>
  <c r="M977" i="1"/>
  <c r="G977" i="1"/>
  <c r="S976" i="1"/>
  <c r="R976" i="1"/>
  <c r="Q976" i="1"/>
  <c r="P976" i="1"/>
  <c r="O976" i="1"/>
  <c r="N976" i="1"/>
  <c r="M976" i="1"/>
  <c r="G976" i="1"/>
  <c r="S975" i="1"/>
  <c r="R975" i="1"/>
  <c r="Q975" i="1"/>
  <c r="P975" i="1"/>
  <c r="O975" i="1"/>
  <c r="N975" i="1"/>
  <c r="M975" i="1"/>
  <c r="G975" i="1"/>
  <c r="S974" i="1"/>
  <c r="R974" i="1"/>
  <c r="Q974" i="1"/>
  <c r="P974" i="1"/>
  <c r="O974" i="1"/>
  <c r="N974" i="1"/>
  <c r="M974" i="1"/>
  <c r="G974" i="1"/>
  <c r="S973" i="1"/>
  <c r="R973" i="1"/>
  <c r="Q973" i="1"/>
  <c r="P973" i="1"/>
  <c r="O973" i="1"/>
  <c r="N973" i="1"/>
  <c r="M973" i="1"/>
  <c r="G973" i="1"/>
  <c r="S972" i="1"/>
  <c r="R972" i="1"/>
  <c r="Q972" i="1"/>
  <c r="P972" i="1"/>
  <c r="O972" i="1"/>
  <c r="N972" i="1"/>
  <c r="M972" i="1"/>
  <c r="G972" i="1"/>
  <c r="S971" i="1"/>
  <c r="R971" i="1"/>
  <c r="Q971" i="1"/>
  <c r="P971" i="1"/>
  <c r="O971" i="1"/>
  <c r="N971" i="1"/>
  <c r="M971" i="1"/>
  <c r="G971" i="1"/>
  <c r="S970" i="1"/>
  <c r="R970" i="1"/>
  <c r="Q970" i="1"/>
  <c r="P970" i="1"/>
  <c r="O970" i="1"/>
  <c r="N970" i="1"/>
  <c r="M970" i="1"/>
  <c r="G970" i="1"/>
  <c r="S969" i="1"/>
  <c r="R969" i="1"/>
  <c r="Q969" i="1"/>
  <c r="P969" i="1"/>
  <c r="O969" i="1"/>
  <c r="N969" i="1"/>
  <c r="M969" i="1"/>
  <c r="G969" i="1"/>
  <c r="S968" i="1"/>
  <c r="R968" i="1"/>
  <c r="Q968" i="1"/>
  <c r="P968" i="1"/>
  <c r="O968" i="1"/>
  <c r="N968" i="1"/>
  <c r="M968" i="1"/>
  <c r="G968" i="1"/>
  <c r="S967" i="1"/>
  <c r="R967" i="1"/>
  <c r="Q967" i="1"/>
  <c r="P967" i="1"/>
  <c r="O967" i="1"/>
  <c r="N967" i="1"/>
  <c r="M967" i="1"/>
  <c r="G967" i="1"/>
  <c r="S966" i="1"/>
  <c r="R966" i="1"/>
  <c r="Q966" i="1"/>
  <c r="P966" i="1"/>
  <c r="O966" i="1"/>
  <c r="N966" i="1"/>
  <c r="M966" i="1"/>
  <c r="G966" i="1"/>
  <c r="S965" i="1"/>
  <c r="R965" i="1"/>
  <c r="Q965" i="1"/>
  <c r="P965" i="1"/>
  <c r="O965" i="1"/>
  <c r="N965" i="1"/>
  <c r="M965" i="1"/>
  <c r="G965" i="1"/>
  <c r="S964" i="1"/>
  <c r="R964" i="1"/>
  <c r="Q964" i="1"/>
  <c r="P964" i="1"/>
  <c r="O964" i="1"/>
  <c r="N964" i="1"/>
  <c r="M964" i="1"/>
  <c r="G964" i="1"/>
  <c r="S963" i="1"/>
  <c r="R963" i="1"/>
  <c r="Q963" i="1"/>
  <c r="P963" i="1"/>
  <c r="O963" i="1"/>
  <c r="N963" i="1"/>
  <c r="M963" i="1"/>
  <c r="G963" i="1"/>
  <c r="S962" i="1"/>
  <c r="R962" i="1"/>
  <c r="Q962" i="1"/>
  <c r="P962" i="1"/>
  <c r="O962" i="1"/>
  <c r="N962" i="1"/>
  <c r="M962" i="1"/>
  <c r="G962" i="1"/>
  <c r="S961" i="1"/>
  <c r="R961" i="1"/>
  <c r="Q961" i="1"/>
  <c r="P961" i="1"/>
  <c r="O961" i="1"/>
  <c r="N961" i="1"/>
  <c r="M961" i="1"/>
  <c r="G961" i="1"/>
  <c r="S960" i="1"/>
  <c r="R960" i="1"/>
  <c r="Q960" i="1"/>
  <c r="P960" i="1"/>
  <c r="O960" i="1"/>
  <c r="N960" i="1"/>
  <c r="M960" i="1"/>
  <c r="G960" i="1"/>
  <c r="S959" i="1"/>
  <c r="R959" i="1"/>
  <c r="Q959" i="1"/>
  <c r="P959" i="1"/>
  <c r="O959" i="1"/>
  <c r="N959" i="1"/>
  <c r="M959" i="1"/>
  <c r="G959" i="1"/>
  <c r="S958" i="1"/>
  <c r="R958" i="1"/>
  <c r="Q958" i="1"/>
  <c r="P958" i="1"/>
  <c r="O958" i="1"/>
  <c r="N958" i="1"/>
  <c r="M958" i="1"/>
  <c r="G958" i="1"/>
  <c r="S957" i="1"/>
  <c r="R957" i="1"/>
  <c r="Q957" i="1"/>
  <c r="P957" i="1"/>
  <c r="O957" i="1"/>
  <c r="N957" i="1"/>
  <c r="M957" i="1"/>
  <c r="G957" i="1"/>
  <c r="S956" i="1"/>
  <c r="R956" i="1"/>
  <c r="Q956" i="1"/>
  <c r="P956" i="1"/>
  <c r="O956" i="1"/>
  <c r="N956" i="1"/>
  <c r="M956" i="1"/>
  <c r="G956" i="1"/>
  <c r="S955" i="1"/>
  <c r="R955" i="1"/>
  <c r="Q955" i="1"/>
  <c r="P955" i="1"/>
  <c r="O955" i="1"/>
  <c r="N955" i="1"/>
  <c r="M955" i="1"/>
  <c r="G955" i="1"/>
  <c r="S954" i="1"/>
  <c r="R954" i="1"/>
  <c r="Q954" i="1"/>
  <c r="P954" i="1"/>
  <c r="O954" i="1"/>
  <c r="N954" i="1"/>
  <c r="M954" i="1"/>
  <c r="G954" i="1"/>
  <c r="S953" i="1"/>
  <c r="R953" i="1"/>
  <c r="Q953" i="1"/>
  <c r="P953" i="1"/>
  <c r="O953" i="1"/>
  <c r="N953" i="1"/>
  <c r="M953" i="1"/>
  <c r="G953" i="1"/>
  <c r="S952" i="1"/>
  <c r="R952" i="1"/>
  <c r="Q952" i="1"/>
  <c r="P952" i="1"/>
  <c r="O952" i="1"/>
  <c r="N952" i="1"/>
  <c r="M952" i="1"/>
  <c r="G952" i="1"/>
  <c r="S951" i="1"/>
  <c r="R951" i="1"/>
  <c r="Q951" i="1"/>
  <c r="P951" i="1"/>
  <c r="O951" i="1"/>
  <c r="N951" i="1"/>
  <c r="M951" i="1"/>
  <c r="G951" i="1"/>
  <c r="S950" i="1"/>
  <c r="R950" i="1"/>
  <c r="Q950" i="1"/>
  <c r="P950" i="1"/>
  <c r="O950" i="1"/>
  <c r="N950" i="1"/>
  <c r="M950" i="1"/>
  <c r="G950" i="1"/>
  <c r="S949" i="1"/>
  <c r="R949" i="1"/>
  <c r="Q949" i="1"/>
  <c r="P949" i="1"/>
  <c r="O949" i="1"/>
  <c r="N949" i="1"/>
  <c r="M949" i="1"/>
  <c r="G949" i="1"/>
  <c r="S948" i="1"/>
  <c r="R948" i="1"/>
  <c r="Q948" i="1"/>
  <c r="P948" i="1"/>
  <c r="O948" i="1"/>
  <c r="N948" i="1"/>
  <c r="M948" i="1"/>
  <c r="G948" i="1"/>
  <c r="S947" i="1"/>
  <c r="R947" i="1"/>
  <c r="Q947" i="1"/>
  <c r="P947" i="1"/>
  <c r="O947" i="1"/>
  <c r="N947" i="1"/>
  <c r="M947" i="1"/>
  <c r="G947" i="1"/>
  <c r="S946" i="1"/>
  <c r="R946" i="1"/>
  <c r="Q946" i="1"/>
  <c r="P946" i="1"/>
  <c r="O946" i="1"/>
  <c r="N946" i="1"/>
  <c r="M946" i="1"/>
  <c r="G946" i="1"/>
  <c r="S945" i="1"/>
  <c r="R945" i="1"/>
  <c r="Q945" i="1"/>
  <c r="P945" i="1"/>
  <c r="O945" i="1"/>
  <c r="N945" i="1"/>
  <c r="M945" i="1"/>
  <c r="G945" i="1"/>
  <c r="S944" i="1"/>
  <c r="R944" i="1"/>
  <c r="Q944" i="1"/>
  <c r="P944" i="1"/>
  <c r="O944" i="1"/>
  <c r="N944" i="1"/>
  <c r="M944" i="1"/>
  <c r="G944" i="1"/>
  <c r="S943" i="1"/>
  <c r="R943" i="1"/>
  <c r="Q943" i="1"/>
  <c r="P943" i="1"/>
  <c r="O943" i="1"/>
  <c r="N943" i="1"/>
  <c r="M943" i="1"/>
  <c r="G943" i="1"/>
  <c r="S942" i="1"/>
  <c r="R942" i="1"/>
  <c r="Q942" i="1"/>
  <c r="P942" i="1"/>
  <c r="O942" i="1"/>
  <c r="N942" i="1"/>
  <c r="M942" i="1"/>
  <c r="G942" i="1"/>
  <c r="S941" i="1"/>
  <c r="R941" i="1"/>
  <c r="Q941" i="1"/>
  <c r="P941" i="1"/>
  <c r="O941" i="1"/>
  <c r="N941" i="1"/>
  <c r="M941" i="1"/>
  <c r="G941" i="1"/>
  <c r="S940" i="1"/>
  <c r="R940" i="1"/>
  <c r="Q940" i="1"/>
  <c r="P940" i="1"/>
  <c r="O940" i="1"/>
  <c r="N940" i="1"/>
  <c r="M940" i="1"/>
  <c r="G940" i="1"/>
  <c r="S939" i="1"/>
  <c r="R939" i="1"/>
  <c r="Q939" i="1"/>
  <c r="P939" i="1"/>
  <c r="O939" i="1"/>
  <c r="N939" i="1"/>
  <c r="M939" i="1"/>
  <c r="G939" i="1"/>
  <c r="S938" i="1"/>
  <c r="R938" i="1"/>
  <c r="Q938" i="1"/>
  <c r="P938" i="1"/>
  <c r="O938" i="1"/>
  <c r="N938" i="1"/>
  <c r="M938" i="1"/>
  <c r="G938" i="1"/>
  <c r="S937" i="1"/>
  <c r="R937" i="1"/>
  <c r="Q937" i="1"/>
  <c r="P937" i="1"/>
  <c r="O937" i="1"/>
  <c r="N937" i="1"/>
  <c r="M937" i="1"/>
  <c r="G937" i="1"/>
  <c r="S936" i="1"/>
  <c r="R936" i="1"/>
  <c r="Q936" i="1"/>
  <c r="P936" i="1"/>
  <c r="O936" i="1"/>
  <c r="N936" i="1"/>
  <c r="M936" i="1"/>
  <c r="G936" i="1"/>
  <c r="S935" i="1"/>
  <c r="R935" i="1"/>
  <c r="Q935" i="1"/>
  <c r="P935" i="1"/>
  <c r="O935" i="1"/>
  <c r="N935" i="1"/>
  <c r="M935" i="1"/>
  <c r="G935" i="1"/>
  <c r="S934" i="1"/>
  <c r="R934" i="1"/>
  <c r="Q934" i="1"/>
  <c r="P934" i="1"/>
  <c r="O934" i="1"/>
  <c r="N934" i="1"/>
  <c r="M934" i="1"/>
  <c r="G934" i="1"/>
  <c r="S933" i="1"/>
  <c r="R933" i="1"/>
  <c r="Q933" i="1"/>
  <c r="P933" i="1"/>
  <c r="O933" i="1"/>
  <c r="N933" i="1"/>
  <c r="M933" i="1"/>
  <c r="G933" i="1"/>
  <c r="S932" i="1"/>
  <c r="R932" i="1"/>
  <c r="Q932" i="1"/>
  <c r="P932" i="1"/>
  <c r="O932" i="1"/>
  <c r="N932" i="1"/>
  <c r="M932" i="1"/>
  <c r="G932" i="1"/>
  <c r="S931" i="1"/>
  <c r="R931" i="1"/>
  <c r="Q931" i="1"/>
  <c r="P931" i="1"/>
  <c r="O931" i="1"/>
  <c r="N931" i="1"/>
  <c r="M931" i="1"/>
  <c r="G931" i="1"/>
  <c r="S930" i="1"/>
  <c r="R930" i="1"/>
  <c r="Q930" i="1"/>
  <c r="P930" i="1"/>
  <c r="O930" i="1"/>
  <c r="N930" i="1"/>
  <c r="M930" i="1"/>
  <c r="G930" i="1"/>
  <c r="S929" i="1"/>
  <c r="R929" i="1"/>
  <c r="Q929" i="1"/>
  <c r="P929" i="1"/>
  <c r="O929" i="1"/>
  <c r="N929" i="1"/>
  <c r="M929" i="1"/>
  <c r="G929" i="1"/>
  <c r="S928" i="1"/>
  <c r="R928" i="1"/>
  <c r="Q928" i="1"/>
  <c r="P928" i="1"/>
  <c r="O928" i="1"/>
  <c r="N928" i="1"/>
  <c r="M928" i="1"/>
  <c r="G928" i="1"/>
  <c r="S927" i="1"/>
  <c r="R927" i="1"/>
  <c r="Q927" i="1"/>
  <c r="P927" i="1"/>
  <c r="O927" i="1"/>
  <c r="N927" i="1"/>
  <c r="M927" i="1"/>
  <c r="G927" i="1"/>
  <c r="S926" i="1"/>
  <c r="R926" i="1"/>
  <c r="Q926" i="1"/>
  <c r="P926" i="1"/>
  <c r="O926" i="1"/>
  <c r="N926" i="1"/>
  <c r="M926" i="1"/>
  <c r="G926" i="1"/>
  <c r="S925" i="1"/>
  <c r="R925" i="1"/>
  <c r="Q925" i="1"/>
  <c r="P925" i="1"/>
  <c r="O925" i="1"/>
  <c r="N925" i="1"/>
  <c r="M925" i="1"/>
  <c r="G925" i="1"/>
  <c r="S924" i="1"/>
  <c r="R924" i="1"/>
  <c r="Q924" i="1"/>
  <c r="P924" i="1"/>
  <c r="O924" i="1"/>
  <c r="N924" i="1"/>
  <c r="M924" i="1"/>
  <c r="G924" i="1"/>
  <c r="S923" i="1"/>
  <c r="R923" i="1"/>
  <c r="Q923" i="1"/>
  <c r="P923" i="1"/>
  <c r="O923" i="1"/>
  <c r="N923" i="1"/>
  <c r="M923" i="1"/>
  <c r="G923" i="1"/>
  <c r="S922" i="1"/>
  <c r="R922" i="1"/>
  <c r="Q922" i="1"/>
  <c r="P922" i="1"/>
  <c r="O922" i="1"/>
  <c r="N922" i="1"/>
  <c r="M922" i="1"/>
  <c r="G922" i="1"/>
  <c r="S921" i="1"/>
  <c r="R921" i="1"/>
  <c r="Q921" i="1"/>
  <c r="P921" i="1"/>
  <c r="O921" i="1"/>
  <c r="N921" i="1"/>
  <c r="M921" i="1"/>
  <c r="G921" i="1"/>
  <c r="S920" i="1"/>
  <c r="R920" i="1"/>
  <c r="Q920" i="1"/>
  <c r="P920" i="1"/>
  <c r="O920" i="1"/>
  <c r="N920" i="1"/>
  <c r="M920" i="1"/>
  <c r="G920" i="1"/>
  <c r="S919" i="1"/>
  <c r="R919" i="1"/>
  <c r="Q919" i="1"/>
  <c r="P919" i="1"/>
  <c r="O919" i="1"/>
  <c r="N919" i="1"/>
  <c r="M919" i="1"/>
  <c r="G919" i="1"/>
  <c r="S918" i="1"/>
  <c r="R918" i="1"/>
  <c r="Q918" i="1"/>
  <c r="P918" i="1"/>
  <c r="O918" i="1"/>
  <c r="N918" i="1"/>
  <c r="M918" i="1"/>
  <c r="G918" i="1"/>
  <c r="S917" i="1"/>
  <c r="R917" i="1"/>
  <c r="Q917" i="1"/>
  <c r="P917" i="1"/>
  <c r="O917" i="1"/>
  <c r="N917" i="1"/>
  <c r="M917" i="1"/>
  <c r="G917" i="1"/>
  <c r="S916" i="1"/>
  <c r="R916" i="1"/>
  <c r="Q916" i="1"/>
  <c r="P916" i="1"/>
  <c r="O916" i="1"/>
  <c r="N916" i="1"/>
  <c r="M916" i="1"/>
  <c r="G916" i="1"/>
  <c r="S915" i="1"/>
  <c r="R915" i="1"/>
  <c r="Q915" i="1"/>
  <c r="P915" i="1"/>
  <c r="O915" i="1"/>
  <c r="N915" i="1"/>
  <c r="M915" i="1"/>
  <c r="G915" i="1"/>
  <c r="S914" i="1"/>
  <c r="R914" i="1"/>
  <c r="Q914" i="1"/>
  <c r="P914" i="1"/>
  <c r="O914" i="1"/>
  <c r="N914" i="1"/>
  <c r="M914" i="1"/>
  <c r="G914" i="1"/>
  <c r="S913" i="1"/>
  <c r="R913" i="1"/>
  <c r="Q913" i="1"/>
  <c r="P913" i="1"/>
  <c r="O913" i="1"/>
  <c r="N913" i="1"/>
  <c r="M913" i="1"/>
  <c r="G913" i="1"/>
  <c r="S912" i="1"/>
  <c r="R912" i="1"/>
  <c r="Q912" i="1"/>
  <c r="P912" i="1"/>
  <c r="O912" i="1"/>
  <c r="N912" i="1"/>
  <c r="M912" i="1"/>
  <c r="G912" i="1"/>
  <c r="S911" i="1"/>
  <c r="R911" i="1"/>
  <c r="Q911" i="1"/>
  <c r="P911" i="1"/>
  <c r="O911" i="1"/>
  <c r="N911" i="1"/>
  <c r="M911" i="1"/>
  <c r="G911" i="1"/>
  <c r="S910" i="1"/>
  <c r="R910" i="1"/>
  <c r="Q910" i="1"/>
  <c r="P910" i="1"/>
  <c r="O910" i="1"/>
  <c r="N910" i="1"/>
  <c r="M910" i="1"/>
  <c r="G910" i="1"/>
  <c r="S909" i="1"/>
  <c r="R909" i="1"/>
  <c r="Q909" i="1"/>
  <c r="P909" i="1"/>
  <c r="O909" i="1"/>
  <c r="N909" i="1"/>
  <c r="M909" i="1"/>
  <c r="G909" i="1"/>
  <c r="S908" i="1"/>
  <c r="R908" i="1"/>
  <c r="Q908" i="1"/>
  <c r="P908" i="1"/>
  <c r="O908" i="1"/>
  <c r="N908" i="1"/>
  <c r="M908" i="1"/>
  <c r="G908" i="1"/>
  <c r="S907" i="1"/>
  <c r="R907" i="1"/>
  <c r="Q907" i="1"/>
  <c r="P907" i="1"/>
  <c r="O907" i="1"/>
  <c r="N907" i="1"/>
  <c r="M907" i="1"/>
  <c r="G907" i="1"/>
  <c r="S906" i="1"/>
  <c r="R906" i="1"/>
  <c r="Q906" i="1"/>
  <c r="P906" i="1"/>
  <c r="O906" i="1"/>
  <c r="N906" i="1"/>
  <c r="M906" i="1"/>
  <c r="G906" i="1"/>
  <c r="S905" i="1"/>
  <c r="R905" i="1"/>
  <c r="Q905" i="1"/>
  <c r="P905" i="1"/>
  <c r="O905" i="1"/>
  <c r="N905" i="1"/>
  <c r="M905" i="1"/>
  <c r="G905" i="1"/>
  <c r="S904" i="1"/>
  <c r="R904" i="1"/>
  <c r="Q904" i="1"/>
  <c r="P904" i="1"/>
  <c r="O904" i="1"/>
  <c r="N904" i="1"/>
  <c r="M904" i="1"/>
  <c r="G904" i="1"/>
  <c r="S903" i="1"/>
  <c r="R903" i="1"/>
  <c r="Q903" i="1"/>
  <c r="P903" i="1"/>
  <c r="O903" i="1"/>
  <c r="N903" i="1"/>
  <c r="M903" i="1"/>
  <c r="G903" i="1"/>
  <c r="S902" i="1"/>
  <c r="R902" i="1"/>
  <c r="Q902" i="1"/>
  <c r="P902" i="1"/>
  <c r="O902" i="1"/>
  <c r="N902" i="1"/>
  <c r="M902" i="1"/>
  <c r="G902" i="1"/>
  <c r="S901" i="1"/>
  <c r="R901" i="1"/>
  <c r="Q901" i="1"/>
  <c r="P901" i="1"/>
  <c r="O901" i="1"/>
  <c r="N901" i="1"/>
  <c r="M901" i="1"/>
  <c r="G901" i="1"/>
  <c r="S900" i="1"/>
  <c r="R900" i="1"/>
  <c r="Q900" i="1"/>
  <c r="P900" i="1"/>
  <c r="O900" i="1"/>
  <c r="N900" i="1"/>
  <c r="M900" i="1"/>
  <c r="G900" i="1"/>
  <c r="S899" i="1"/>
  <c r="R899" i="1"/>
  <c r="Q899" i="1"/>
  <c r="P899" i="1"/>
  <c r="O899" i="1"/>
  <c r="N899" i="1"/>
  <c r="M899" i="1"/>
  <c r="G899" i="1"/>
  <c r="S898" i="1"/>
  <c r="R898" i="1"/>
  <c r="Q898" i="1"/>
  <c r="P898" i="1"/>
  <c r="O898" i="1"/>
  <c r="N898" i="1"/>
  <c r="M898" i="1"/>
  <c r="G898" i="1"/>
  <c r="S897" i="1"/>
  <c r="R897" i="1"/>
  <c r="Q897" i="1"/>
  <c r="P897" i="1"/>
  <c r="O897" i="1"/>
  <c r="N897" i="1"/>
  <c r="M897" i="1"/>
  <c r="G897" i="1"/>
  <c r="S896" i="1"/>
  <c r="R896" i="1"/>
  <c r="Q896" i="1"/>
  <c r="P896" i="1"/>
  <c r="O896" i="1"/>
  <c r="N896" i="1"/>
  <c r="M896" i="1"/>
  <c r="G896" i="1"/>
  <c r="S895" i="1"/>
  <c r="R895" i="1"/>
  <c r="Q895" i="1"/>
  <c r="P895" i="1"/>
  <c r="O895" i="1"/>
  <c r="N895" i="1"/>
  <c r="M895" i="1"/>
  <c r="G895" i="1"/>
  <c r="S894" i="1"/>
  <c r="R894" i="1"/>
  <c r="Q894" i="1"/>
  <c r="P894" i="1"/>
  <c r="O894" i="1"/>
  <c r="N894" i="1"/>
  <c r="M894" i="1"/>
  <c r="G894" i="1"/>
  <c r="S893" i="1"/>
  <c r="R893" i="1"/>
  <c r="Q893" i="1"/>
  <c r="P893" i="1"/>
  <c r="O893" i="1"/>
  <c r="N893" i="1"/>
  <c r="M893" i="1"/>
  <c r="G893" i="1"/>
  <c r="S892" i="1"/>
  <c r="R892" i="1"/>
  <c r="Q892" i="1"/>
  <c r="P892" i="1"/>
  <c r="O892" i="1"/>
  <c r="N892" i="1"/>
  <c r="M892" i="1"/>
  <c r="G892" i="1"/>
  <c r="S891" i="1"/>
  <c r="R891" i="1"/>
  <c r="Q891" i="1"/>
  <c r="P891" i="1"/>
  <c r="O891" i="1"/>
  <c r="N891" i="1"/>
  <c r="M891" i="1"/>
  <c r="G891" i="1"/>
  <c r="S890" i="1"/>
  <c r="R890" i="1"/>
  <c r="Q890" i="1"/>
  <c r="P890" i="1"/>
  <c r="O890" i="1"/>
  <c r="N890" i="1"/>
  <c r="M890" i="1"/>
  <c r="G890" i="1"/>
  <c r="S889" i="1"/>
  <c r="R889" i="1"/>
  <c r="Q889" i="1"/>
  <c r="P889" i="1"/>
  <c r="O889" i="1"/>
  <c r="N889" i="1"/>
  <c r="M889" i="1"/>
  <c r="G889" i="1"/>
  <c r="S888" i="1"/>
  <c r="R888" i="1"/>
  <c r="Q888" i="1"/>
  <c r="P888" i="1"/>
  <c r="O888" i="1"/>
  <c r="N888" i="1"/>
  <c r="M888" i="1"/>
  <c r="G888" i="1"/>
  <c r="S887" i="1"/>
  <c r="R887" i="1"/>
  <c r="Q887" i="1"/>
  <c r="P887" i="1"/>
  <c r="O887" i="1"/>
  <c r="N887" i="1"/>
  <c r="M887" i="1"/>
  <c r="G887" i="1"/>
  <c r="S886" i="1"/>
  <c r="R886" i="1"/>
  <c r="Q886" i="1"/>
  <c r="P886" i="1"/>
  <c r="O886" i="1"/>
  <c r="N886" i="1"/>
  <c r="M886" i="1"/>
  <c r="G886" i="1"/>
  <c r="S885" i="1"/>
  <c r="R885" i="1"/>
  <c r="Q885" i="1"/>
  <c r="P885" i="1"/>
  <c r="O885" i="1"/>
  <c r="N885" i="1"/>
  <c r="M885" i="1"/>
  <c r="G885" i="1"/>
  <c r="S884" i="1"/>
  <c r="R884" i="1"/>
  <c r="Q884" i="1"/>
  <c r="P884" i="1"/>
  <c r="O884" i="1"/>
  <c r="N884" i="1"/>
  <c r="M884" i="1"/>
  <c r="G884" i="1"/>
  <c r="S883" i="1"/>
  <c r="R883" i="1"/>
  <c r="Q883" i="1"/>
  <c r="P883" i="1"/>
  <c r="O883" i="1"/>
  <c r="N883" i="1"/>
  <c r="M883" i="1"/>
  <c r="G883" i="1"/>
  <c r="S882" i="1"/>
  <c r="R882" i="1"/>
  <c r="Q882" i="1"/>
  <c r="P882" i="1"/>
  <c r="O882" i="1"/>
  <c r="N882" i="1"/>
  <c r="M882" i="1"/>
  <c r="G882" i="1"/>
  <c r="S881" i="1"/>
  <c r="R881" i="1"/>
  <c r="Q881" i="1"/>
  <c r="P881" i="1"/>
  <c r="O881" i="1"/>
  <c r="N881" i="1"/>
  <c r="M881" i="1"/>
  <c r="G881" i="1"/>
  <c r="S880" i="1"/>
  <c r="R880" i="1"/>
  <c r="Q880" i="1"/>
  <c r="P880" i="1"/>
  <c r="O880" i="1"/>
  <c r="N880" i="1"/>
  <c r="M880" i="1"/>
  <c r="G880" i="1"/>
  <c r="S879" i="1"/>
  <c r="R879" i="1"/>
  <c r="Q879" i="1"/>
  <c r="P879" i="1"/>
  <c r="O879" i="1"/>
  <c r="N879" i="1"/>
  <c r="M879" i="1"/>
  <c r="G879" i="1"/>
  <c r="S878" i="1"/>
  <c r="R878" i="1"/>
  <c r="Q878" i="1"/>
  <c r="P878" i="1"/>
  <c r="O878" i="1"/>
  <c r="N878" i="1"/>
  <c r="M878" i="1"/>
  <c r="G878" i="1"/>
  <c r="S877" i="1"/>
  <c r="R877" i="1"/>
  <c r="Q877" i="1"/>
  <c r="P877" i="1"/>
  <c r="O877" i="1"/>
  <c r="N877" i="1"/>
  <c r="M877" i="1"/>
  <c r="G877" i="1"/>
  <c r="S876" i="1"/>
  <c r="R876" i="1"/>
  <c r="Q876" i="1"/>
  <c r="P876" i="1"/>
  <c r="O876" i="1"/>
  <c r="N876" i="1"/>
  <c r="M876" i="1"/>
  <c r="G876" i="1"/>
  <c r="S875" i="1"/>
  <c r="R875" i="1"/>
  <c r="Q875" i="1"/>
  <c r="P875" i="1"/>
  <c r="O875" i="1"/>
  <c r="N875" i="1"/>
  <c r="M875" i="1"/>
  <c r="G875" i="1"/>
  <c r="S874" i="1"/>
  <c r="R874" i="1"/>
  <c r="Q874" i="1"/>
  <c r="P874" i="1"/>
  <c r="O874" i="1"/>
  <c r="N874" i="1"/>
  <c r="M874" i="1"/>
  <c r="G874" i="1"/>
  <c r="S873" i="1"/>
  <c r="R873" i="1"/>
  <c r="Q873" i="1"/>
  <c r="P873" i="1"/>
  <c r="O873" i="1"/>
  <c r="N873" i="1"/>
  <c r="M873" i="1"/>
  <c r="G873" i="1"/>
  <c r="S872" i="1"/>
  <c r="R872" i="1"/>
  <c r="Q872" i="1"/>
  <c r="P872" i="1"/>
  <c r="O872" i="1"/>
  <c r="N872" i="1"/>
  <c r="M872" i="1"/>
  <c r="G872" i="1"/>
  <c r="S871" i="1"/>
  <c r="R871" i="1"/>
  <c r="Q871" i="1"/>
  <c r="P871" i="1"/>
  <c r="O871" i="1"/>
  <c r="N871" i="1"/>
  <c r="M871" i="1"/>
  <c r="G871" i="1"/>
  <c r="S870" i="1"/>
  <c r="R870" i="1"/>
  <c r="Q870" i="1"/>
  <c r="P870" i="1"/>
  <c r="O870" i="1"/>
  <c r="N870" i="1"/>
  <c r="M870" i="1"/>
  <c r="G870" i="1"/>
  <c r="S869" i="1"/>
  <c r="R869" i="1"/>
  <c r="Q869" i="1"/>
  <c r="P869" i="1"/>
  <c r="O869" i="1"/>
  <c r="N869" i="1"/>
  <c r="M869" i="1"/>
  <c r="G869" i="1"/>
  <c r="S868" i="1"/>
  <c r="R868" i="1"/>
  <c r="Q868" i="1"/>
  <c r="P868" i="1"/>
  <c r="O868" i="1"/>
  <c r="N868" i="1"/>
  <c r="M868" i="1"/>
  <c r="G868" i="1"/>
  <c r="S867" i="1"/>
  <c r="R867" i="1"/>
  <c r="Q867" i="1"/>
  <c r="P867" i="1"/>
  <c r="O867" i="1"/>
  <c r="N867" i="1"/>
  <c r="M867" i="1"/>
  <c r="G867" i="1"/>
  <c r="S866" i="1"/>
  <c r="R866" i="1"/>
  <c r="Q866" i="1"/>
  <c r="P866" i="1"/>
  <c r="O866" i="1"/>
  <c r="N866" i="1"/>
  <c r="M866" i="1"/>
  <c r="G866" i="1"/>
  <c r="S865" i="1"/>
  <c r="R865" i="1"/>
  <c r="Q865" i="1"/>
  <c r="P865" i="1"/>
  <c r="O865" i="1"/>
  <c r="N865" i="1"/>
  <c r="M865" i="1"/>
  <c r="G865" i="1"/>
  <c r="S864" i="1"/>
  <c r="R864" i="1"/>
  <c r="Q864" i="1"/>
  <c r="P864" i="1"/>
  <c r="O864" i="1"/>
  <c r="N864" i="1"/>
  <c r="M864" i="1"/>
  <c r="G864" i="1"/>
  <c r="S863" i="1"/>
  <c r="R863" i="1"/>
  <c r="Q863" i="1"/>
  <c r="P863" i="1"/>
  <c r="O863" i="1"/>
  <c r="N863" i="1"/>
  <c r="M863" i="1"/>
  <c r="G863" i="1"/>
  <c r="S862" i="1"/>
  <c r="R862" i="1"/>
  <c r="Q862" i="1"/>
  <c r="P862" i="1"/>
  <c r="O862" i="1"/>
  <c r="N862" i="1"/>
  <c r="M862" i="1"/>
  <c r="G862" i="1"/>
  <c r="S861" i="1"/>
  <c r="R861" i="1"/>
  <c r="Q861" i="1"/>
  <c r="P861" i="1"/>
  <c r="O861" i="1"/>
  <c r="N861" i="1"/>
  <c r="M861" i="1"/>
  <c r="G861" i="1"/>
  <c r="S860" i="1"/>
  <c r="R860" i="1"/>
  <c r="Q860" i="1"/>
  <c r="P860" i="1"/>
  <c r="O860" i="1"/>
  <c r="N860" i="1"/>
  <c r="M860" i="1"/>
  <c r="G860" i="1"/>
  <c r="S859" i="1"/>
  <c r="R859" i="1"/>
  <c r="Q859" i="1"/>
  <c r="P859" i="1"/>
  <c r="O859" i="1"/>
  <c r="N859" i="1"/>
  <c r="M859" i="1"/>
  <c r="G859" i="1"/>
  <c r="S858" i="1"/>
  <c r="R858" i="1"/>
  <c r="Q858" i="1"/>
  <c r="P858" i="1"/>
  <c r="O858" i="1"/>
  <c r="N858" i="1"/>
  <c r="M858" i="1"/>
  <c r="G858" i="1"/>
  <c r="S857" i="1"/>
  <c r="R857" i="1"/>
  <c r="Q857" i="1"/>
  <c r="P857" i="1"/>
  <c r="O857" i="1"/>
  <c r="N857" i="1"/>
  <c r="M857" i="1"/>
  <c r="G857" i="1"/>
  <c r="S856" i="1"/>
  <c r="R856" i="1"/>
  <c r="Q856" i="1"/>
  <c r="P856" i="1"/>
  <c r="O856" i="1"/>
  <c r="N856" i="1"/>
  <c r="M856" i="1"/>
  <c r="G856" i="1"/>
  <c r="S855" i="1"/>
  <c r="R855" i="1"/>
  <c r="Q855" i="1"/>
  <c r="P855" i="1"/>
  <c r="O855" i="1"/>
  <c r="N855" i="1"/>
  <c r="M855" i="1"/>
  <c r="G855" i="1"/>
  <c r="S854" i="1"/>
  <c r="R854" i="1"/>
  <c r="Q854" i="1"/>
  <c r="P854" i="1"/>
  <c r="O854" i="1"/>
  <c r="N854" i="1"/>
  <c r="M854" i="1"/>
  <c r="G854" i="1"/>
  <c r="S853" i="1"/>
  <c r="R853" i="1"/>
  <c r="Q853" i="1"/>
  <c r="P853" i="1"/>
  <c r="O853" i="1"/>
  <c r="N853" i="1"/>
  <c r="M853" i="1"/>
  <c r="G853" i="1"/>
  <c r="S852" i="1"/>
  <c r="R852" i="1"/>
  <c r="Q852" i="1"/>
  <c r="P852" i="1"/>
  <c r="O852" i="1"/>
  <c r="N852" i="1"/>
  <c r="M852" i="1"/>
  <c r="G852" i="1"/>
  <c r="S851" i="1"/>
  <c r="R851" i="1"/>
  <c r="Q851" i="1"/>
  <c r="P851" i="1"/>
  <c r="O851" i="1"/>
  <c r="N851" i="1"/>
  <c r="M851" i="1"/>
  <c r="G851" i="1"/>
  <c r="S850" i="1"/>
  <c r="R850" i="1"/>
  <c r="Q850" i="1"/>
  <c r="P850" i="1"/>
  <c r="O850" i="1"/>
  <c r="N850" i="1"/>
  <c r="M850" i="1"/>
  <c r="G850" i="1"/>
  <c r="S849" i="1"/>
  <c r="R849" i="1"/>
  <c r="Q849" i="1"/>
  <c r="P849" i="1"/>
  <c r="O849" i="1"/>
  <c r="N849" i="1"/>
  <c r="M849" i="1"/>
  <c r="G849" i="1"/>
  <c r="S848" i="1"/>
  <c r="R848" i="1"/>
  <c r="Q848" i="1"/>
  <c r="P848" i="1"/>
  <c r="O848" i="1"/>
  <c r="N848" i="1"/>
  <c r="M848" i="1"/>
  <c r="G848" i="1"/>
  <c r="S847" i="1"/>
  <c r="R847" i="1"/>
  <c r="Q847" i="1"/>
  <c r="P847" i="1"/>
  <c r="O847" i="1"/>
  <c r="N847" i="1"/>
  <c r="M847" i="1"/>
  <c r="G847" i="1"/>
  <c r="S846" i="1"/>
  <c r="R846" i="1"/>
  <c r="Q846" i="1"/>
  <c r="P846" i="1"/>
  <c r="O846" i="1"/>
  <c r="N846" i="1"/>
  <c r="M846" i="1"/>
  <c r="G846" i="1"/>
  <c r="S845" i="1"/>
  <c r="R845" i="1"/>
  <c r="Q845" i="1"/>
  <c r="P845" i="1"/>
  <c r="O845" i="1"/>
  <c r="N845" i="1"/>
  <c r="M845" i="1"/>
  <c r="G845" i="1"/>
  <c r="S844" i="1"/>
  <c r="R844" i="1"/>
  <c r="Q844" i="1"/>
  <c r="P844" i="1"/>
  <c r="O844" i="1"/>
  <c r="N844" i="1"/>
  <c r="M844" i="1"/>
  <c r="G844" i="1"/>
  <c r="S843" i="1"/>
  <c r="R843" i="1"/>
  <c r="Q843" i="1"/>
  <c r="P843" i="1"/>
  <c r="O843" i="1"/>
  <c r="N843" i="1"/>
  <c r="M843" i="1"/>
  <c r="G843" i="1"/>
  <c r="S842" i="1"/>
  <c r="R842" i="1"/>
  <c r="Q842" i="1"/>
  <c r="P842" i="1"/>
  <c r="O842" i="1"/>
  <c r="N842" i="1"/>
  <c r="M842" i="1"/>
  <c r="G842" i="1"/>
  <c r="S841" i="1"/>
  <c r="R841" i="1"/>
  <c r="Q841" i="1"/>
  <c r="P841" i="1"/>
  <c r="O841" i="1"/>
  <c r="N841" i="1"/>
  <c r="M841" i="1"/>
  <c r="G841" i="1"/>
  <c r="S840" i="1"/>
  <c r="R840" i="1"/>
  <c r="Q840" i="1"/>
  <c r="P840" i="1"/>
  <c r="O840" i="1"/>
  <c r="N840" i="1"/>
  <c r="M840" i="1"/>
  <c r="G840" i="1"/>
  <c r="S839" i="1"/>
  <c r="R839" i="1"/>
  <c r="Q839" i="1"/>
  <c r="P839" i="1"/>
  <c r="O839" i="1"/>
  <c r="N839" i="1"/>
  <c r="M839" i="1"/>
  <c r="G839" i="1"/>
  <c r="S838" i="1"/>
  <c r="R838" i="1"/>
  <c r="Q838" i="1"/>
  <c r="P838" i="1"/>
  <c r="O838" i="1"/>
  <c r="N838" i="1"/>
  <c r="M838" i="1"/>
  <c r="G838" i="1"/>
  <c r="S837" i="1"/>
  <c r="R837" i="1"/>
  <c r="Q837" i="1"/>
  <c r="P837" i="1"/>
  <c r="O837" i="1"/>
  <c r="N837" i="1"/>
  <c r="M837" i="1"/>
  <c r="G837" i="1"/>
  <c r="S836" i="1"/>
  <c r="R836" i="1"/>
  <c r="Q836" i="1"/>
  <c r="P836" i="1"/>
  <c r="O836" i="1"/>
  <c r="N836" i="1"/>
  <c r="M836" i="1"/>
  <c r="G836" i="1"/>
  <c r="S835" i="1"/>
  <c r="R835" i="1"/>
  <c r="Q835" i="1"/>
  <c r="P835" i="1"/>
  <c r="O835" i="1"/>
  <c r="N835" i="1"/>
  <c r="M835" i="1"/>
  <c r="G835" i="1"/>
  <c r="S834" i="1"/>
  <c r="R834" i="1"/>
  <c r="Q834" i="1"/>
  <c r="P834" i="1"/>
  <c r="O834" i="1"/>
  <c r="N834" i="1"/>
  <c r="M834" i="1"/>
  <c r="G834" i="1"/>
  <c r="S833" i="1"/>
  <c r="R833" i="1"/>
  <c r="Q833" i="1"/>
  <c r="P833" i="1"/>
  <c r="O833" i="1"/>
  <c r="N833" i="1"/>
  <c r="M833" i="1"/>
  <c r="G833" i="1"/>
  <c r="S832" i="1"/>
  <c r="R832" i="1"/>
  <c r="Q832" i="1"/>
  <c r="P832" i="1"/>
  <c r="O832" i="1"/>
  <c r="N832" i="1"/>
  <c r="M832" i="1"/>
  <c r="G832" i="1"/>
  <c r="S831" i="1"/>
  <c r="R831" i="1"/>
  <c r="Q831" i="1"/>
  <c r="P831" i="1"/>
  <c r="O831" i="1"/>
  <c r="N831" i="1"/>
  <c r="M831" i="1"/>
  <c r="G831" i="1"/>
  <c r="S830" i="1"/>
  <c r="R830" i="1"/>
  <c r="Q830" i="1"/>
  <c r="P830" i="1"/>
  <c r="O830" i="1"/>
  <c r="N830" i="1"/>
  <c r="M830" i="1"/>
  <c r="G830" i="1"/>
  <c r="S829" i="1"/>
  <c r="R829" i="1"/>
  <c r="Q829" i="1"/>
  <c r="P829" i="1"/>
  <c r="O829" i="1"/>
  <c r="N829" i="1"/>
  <c r="M829" i="1"/>
  <c r="G829" i="1"/>
  <c r="S828" i="1"/>
  <c r="R828" i="1"/>
  <c r="Q828" i="1"/>
  <c r="P828" i="1"/>
  <c r="O828" i="1"/>
  <c r="N828" i="1"/>
  <c r="M828" i="1"/>
  <c r="G828" i="1"/>
  <c r="S827" i="1"/>
  <c r="R827" i="1"/>
  <c r="Q827" i="1"/>
  <c r="P827" i="1"/>
  <c r="O827" i="1"/>
  <c r="N827" i="1"/>
  <c r="M827" i="1"/>
  <c r="G827" i="1"/>
  <c r="S826" i="1"/>
  <c r="R826" i="1"/>
  <c r="Q826" i="1"/>
  <c r="P826" i="1"/>
  <c r="O826" i="1"/>
  <c r="N826" i="1"/>
  <c r="M826" i="1"/>
  <c r="G826" i="1"/>
  <c r="S825" i="1"/>
  <c r="R825" i="1"/>
  <c r="Q825" i="1"/>
  <c r="P825" i="1"/>
  <c r="O825" i="1"/>
  <c r="N825" i="1"/>
  <c r="M825" i="1"/>
  <c r="G825" i="1"/>
  <c r="S824" i="1"/>
  <c r="R824" i="1"/>
  <c r="Q824" i="1"/>
  <c r="P824" i="1"/>
  <c r="O824" i="1"/>
  <c r="N824" i="1"/>
  <c r="M824" i="1"/>
  <c r="G824" i="1"/>
  <c r="S823" i="1"/>
  <c r="R823" i="1"/>
  <c r="Q823" i="1"/>
  <c r="P823" i="1"/>
  <c r="O823" i="1"/>
  <c r="N823" i="1"/>
  <c r="M823" i="1"/>
  <c r="G823" i="1"/>
  <c r="S822" i="1"/>
  <c r="R822" i="1"/>
  <c r="Q822" i="1"/>
  <c r="P822" i="1"/>
  <c r="O822" i="1"/>
  <c r="N822" i="1"/>
  <c r="M822" i="1"/>
  <c r="G822" i="1"/>
  <c r="S821" i="1"/>
  <c r="R821" i="1"/>
  <c r="Q821" i="1"/>
  <c r="P821" i="1"/>
  <c r="O821" i="1"/>
  <c r="N821" i="1"/>
  <c r="M821" i="1"/>
  <c r="G821" i="1"/>
  <c r="S820" i="1"/>
  <c r="R820" i="1"/>
  <c r="Q820" i="1"/>
  <c r="P820" i="1"/>
  <c r="O820" i="1"/>
  <c r="N820" i="1"/>
  <c r="M820" i="1"/>
  <c r="G820" i="1"/>
  <c r="S819" i="1"/>
  <c r="R819" i="1"/>
  <c r="Q819" i="1"/>
  <c r="P819" i="1"/>
  <c r="O819" i="1"/>
  <c r="N819" i="1"/>
  <c r="M819" i="1"/>
  <c r="G819" i="1"/>
  <c r="S818" i="1"/>
  <c r="R818" i="1"/>
  <c r="Q818" i="1"/>
  <c r="P818" i="1"/>
  <c r="O818" i="1"/>
  <c r="N818" i="1"/>
  <c r="M818" i="1"/>
  <c r="G818" i="1"/>
  <c r="S817" i="1"/>
  <c r="R817" i="1"/>
  <c r="Q817" i="1"/>
  <c r="P817" i="1"/>
  <c r="O817" i="1"/>
  <c r="N817" i="1"/>
  <c r="M817" i="1"/>
  <c r="G817" i="1"/>
  <c r="S816" i="1"/>
  <c r="R816" i="1"/>
  <c r="Q816" i="1"/>
  <c r="P816" i="1"/>
  <c r="O816" i="1"/>
  <c r="N816" i="1"/>
  <c r="M816" i="1"/>
  <c r="G816" i="1"/>
  <c r="S815" i="1"/>
  <c r="R815" i="1"/>
  <c r="Q815" i="1"/>
  <c r="P815" i="1"/>
  <c r="O815" i="1"/>
  <c r="N815" i="1"/>
  <c r="M815" i="1"/>
  <c r="G815" i="1"/>
  <c r="S814" i="1"/>
  <c r="R814" i="1"/>
  <c r="Q814" i="1"/>
  <c r="P814" i="1"/>
  <c r="O814" i="1"/>
  <c r="N814" i="1"/>
  <c r="M814" i="1"/>
  <c r="G814" i="1"/>
  <c r="S813" i="1"/>
  <c r="R813" i="1"/>
  <c r="Q813" i="1"/>
  <c r="P813" i="1"/>
  <c r="O813" i="1"/>
  <c r="N813" i="1"/>
  <c r="M813" i="1"/>
  <c r="G813" i="1"/>
  <c r="S812" i="1"/>
  <c r="R812" i="1"/>
  <c r="Q812" i="1"/>
  <c r="P812" i="1"/>
  <c r="O812" i="1"/>
  <c r="N812" i="1"/>
  <c r="M812" i="1"/>
  <c r="G812" i="1"/>
  <c r="S811" i="1"/>
  <c r="R811" i="1"/>
  <c r="Q811" i="1"/>
  <c r="P811" i="1"/>
  <c r="O811" i="1"/>
  <c r="N811" i="1"/>
  <c r="M811" i="1"/>
  <c r="G811" i="1"/>
  <c r="S810" i="1"/>
  <c r="R810" i="1"/>
  <c r="Q810" i="1"/>
  <c r="P810" i="1"/>
  <c r="O810" i="1"/>
  <c r="N810" i="1"/>
  <c r="M810" i="1"/>
  <c r="G810" i="1"/>
  <c r="S809" i="1"/>
  <c r="R809" i="1"/>
  <c r="Q809" i="1"/>
  <c r="P809" i="1"/>
  <c r="O809" i="1"/>
  <c r="N809" i="1"/>
  <c r="M809" i="1"/>
  <c r="G809" i="1"/>
  <c r="S808" i="1"/>
  <c r="R808" i="1"/>
  <c r="Q808" i="1"/>
  <c r="P808" i="1"/>
  <c r="O808" i="1"/>
  <c r="N808" i="1"/>
  <c r="M808" i="1"/>
  <c r="G808" i="1"/>
  <c r="S807" i="1"/>
  <c r="R807" i="1"/>
  <c r="Q807" i="1"/>
  <c r="P807" i="1"/>
  <c r="O807" i="1"/>
  <c r="N807" i="1"/>
  <c r="M807" i="1"/>
  <c r="G807" i="1"/>
  <c r="S806" i="1"/>
  <c r="R806" i="1"/>
  <c r="Q806" i="1"/>
  <c r="P806" i="1"/>
  <c r="O806" i="1"/>
  <c r="N806" i="1"/>
  <c r="M806" i="1"/>
  <c r="G806" i="1"/>
  <c r="S805" i="1"/>
  <c r="R805" i="1"/>
  <c r="Q805" i="1"/>
  <c r="P805" i="1"/>
  <c r="O805" i="1"/>
  <c r="N805" i="1"/>
  <c r="M805" i="1"/>
  <c r="G805" i="1"/>
  <c r="S804" i="1"/>
  <c r="R804" i="1"/>
  <c r="Q804" i="1"/>
  <c r="P804" i="1"/>
  <c r="O804" i="1"/>
  <c r="N804" i="1"/>
  <c r="M804" i="1"/>
  <c r="G804" i="1"/>
  <c r="S803" i="1"/>
  <c r="R803" i="1"/>
  <c r="Q803" i="1"/>
  <c r="P803" i="1"/>
  <c r="O803" i="1"/>
  <c r="N803" i="1"/>
  <c r="M803" i="1"/>
  <c r="G803" i="1"/>
  <c r="S802" i="1"/>
  <c r="R802" i="1"/>
  <c r="Q802" i="1"/>
  <c r="P802" i="1"/>
  <c r="O802" i="1"/>
  <c r="N802" i="1"/>
  <c r="M802" i="1"/>
  <c r="G802" i="1"/>
  <c r="S801" i="1"/>
  <c r="R801" i="1"/>
  <c r="Q801" i="1"/>
  <c r="P801" i="1"/>
  <c r="O801" i="1"/>
  <c r="N801" i="1"/>
  <c r="M801" i="1"/>
  <c r="G801" i="1"/>
  <c r="S800" i="1"/>
  <c r="R800" i="1"/>
  <c r="Q800" i="1"/>
  <c r="P800" i="1"/>
  <c r="O800" i="1"/>
  <c r="N800" i="1"/>
  <c r="M800" i="1"/>
  <c r="G800" i="1"/>
  <c r="S799" i="1"/>
  <c r="R799" i="1"/>
  <c r="Q799" i="1"/>
  <c r="P799" i="1"/>
  <c r="O799" i="1"/>
  <c r="N799" i="1"/>
  <c r="M799" i="1"/>
  <c r="G799" i="1"/>
  <c r="S798" i="1"/>
  <c r="R798" i="1"/>
  <c r="Q798" i="1"/>
  <c r="P798" i="1"/>
  <c r="O798" i="1"/>
  <c r="N798" i="1"/>
  <c r="M798" i="1"/>
  <c r="G798" i="1"/>
  <c r="S797" i="1"/>
  <c r="R797" i="1"/>
  <c r="Q797" i="1"/>
  <c r="P797" i="1"/>
  <c r="O797" i="1"/>
  <c r="N797" i="1"/>
  <c r="M797" i="1"/>
  <c r="G797" i="1"/>
  <c r="S796" i="1"/>
  <c r="R796" i="1"/>
  <c r="Q796" i="1"/>
  <c r="P796" i="1"/>
  <c r="O796" i="1"/>
  <c r="N796" i="1"/>
  <c r="M796" i="1"/>
  <c r="G796" i="1"/>
  <c r="S795" i="1"/>
  <c r="R795" i="1"/>
  <c r="Q795" i="1"/>
  <c r="P795" i="1"/>
  <c r="O795" i="1"/>
  <c r="N795" i="1"/>
  <c r="M795" i="1"/>
  <c r="G795" i="1"/>
  <c r="S794" i="1"/>
  <c r="R794" i="1"/>
  <c r="Q794" i="1"/>
  <c r="P794" i="1"/>
  <c r="O794" i="1"/>
  <c r="N794" i="1"/>
  <c r="M794" i="1"/>
  <c r="G794" i="1"/>
  <c r="S793" i="1"/>
  <c r="R793" i="1"/>
  <c r="Q793" i="1"/>
  <c r="P793" i="1"/>
  <c r="O793" i="1"/>
  <c r="N793" i="1"/>
  <c r="M793" i="1"/>
  <c r="G793" i="1"/>
  <c r="S792" i="1"/>
  <c r="R792" i="1"/>
  <c r="Q792" i="1"/>
  <c r="P792" i="1"/>
  <c r="O792" i="1"/>
  <c r="N792" i="1"/>
  <c r="M792" i="1"/>
  <c r="G792" i="1"/>
  <c r="S791" i="1"/>
  <c r="R791" i="1"/>
  <c r="Q791" i="1"/>
  <c r="P791" i="1"/>
  <c r="O791" i="1"/>
  <c r="N791" i="1"/>
  <c r="M791" i="1"/>
  <c r="G791" i="1"/>
  <c r="S790" i="1"/>
  <c r="R790" i="1"/>
  <c r="Q790" i="1"/>
  <c r="P790" i="1"/>
  <c r="O790" i="1"/>
  <c r="N790" i="1"/>
  <c r="M790" i="1"/>
  <c r="G790" i="1"/>
  <c r="S789" i="1"/>
  <c r="R789" i="1"/>
  <c r="Q789" i="1"/>
  <c r="P789" i="1"/>
  <c r="O789" i="1"/>
  <c r="N789" i="1"/>
  <c r="M789" i="1"/>
  <c r="G789" i="1"/>
  <c r="S788" i="1"/>
  <c r="R788" i="1"/>
  <c r="Q788" i="1"/>
  <c r="P788" i="1"/>
  <c r="O788" i="1"/>
  <c r="N788" i="1"/>
  <c r="M788" i="1"/>
  <c r="G788" i="1"/>
  <c r="S787" i="1"/>
  <c r="R787" i="1"/>
  <c r="Q787" i="1"/>
  <c r="P787" i="1"/>
  <c r="O787" i="1"/>
  <c r="N787" i="1"/>
  <c r="M787" i="1"/>
  <c r="G787" i="1"/>
  <c r="S786" i="1"/>
  <c r="R786" i="1"/>
  <c r="Q786" i="1"/>
  <c r="P786" i="1"/>
  <c r="O786" i="1"/>
  <c r="N786" i="1"/>
  <c r="M786" i="1"/>
  <c r="G786" i="1"/>
  <c r="S785" i="1"/>
  <c r="R785" i="1"/>
  <c r="Q785" i="1"/>
  <c r="P785" i="1"/>
  <c r="O785" i="1"/>
  <c r="N785" i="1"/>
  <c r="M785" i="1"/>
  <c r="G785" i="1"/>
  <c r="S784" i="1"/>
  <c r="R784" i="1"/>
  <c r="Q784" i="1"/>
  <c r="P784" i="1"/>
  <c r="O784" i="1"/>
  <c r="N784" i="1"/>
  <c r="M784" i="1"/>
  <c r="G784" i="1"/>
  <c r="S783" i="1"/>
  <c r="R783" i="1"/>
  <c r="Q783" i="1"/>
  <c r="P783" i="1"/>
  <c r="O783" i="1"/>
  <c r="N783" i="1"/>
  <c r="M783" i="1"/>
  <c r="G783" i="1"/>
  <c r="S782" i="1"/>
  <c r="R782" i="1"/>
  <c r="Q782" i="1"/>
  <c r="P782" i="1"/>
  <c r="O782" i="1"/>
  <c r="N782" i="1"/>
  <c r="M782" i="1"/>
  <c r="G782" i="1"/>
  <c r="S781" i="1"/>
  <c r="R781" i="1"/>
  <c r="Q781" i="1"/>
  <c r="P781" i="1"/>
  <c r="O781" i="1"/>
  <c r="N781" i="1"/>
  <c r="M781" i="1"/>
  <c r="G781" i="1"/>
  <c r="S780" i="1"/>
  <c r="R780" i="1"/>
  <c r="Q780" i="1"/>
  <c r="P780" i="1"/>
  <c r="O780" i="1"/>
  <c r="N780" i="1"/>
  <c r="M780" i="1"/>
  <c r="G780" i="1"/>
  <c r="S779" i="1"/>
  <c r="R779" i="1"/>
  <c r="Q779" i="1"/>
  <c r="P779" i="1"/>
  <c r="O779" i="1"/>
  <c r="N779" i="1"/>
  <c r="M779" i="1"/>
  <c r="G779" i="1"/>
  <c r="S778" i="1"/>
  <c r="R778" i="1"/>
  <c r="Q778" i="1"/>
  <c r="P778" i="1"/>
  <c r="O778" i="1"/>
  <c r="N778" i="1"/>
  <c r="M778" i="1"/>
  <c r="G778" i="1"/>
  <c r="S777" i="1"/>
  <c r="R777" i="1"/>
  <c r="Q777" i="1"/>
  <c r="P777" i="1"/>
  <c r="O777" i="1"/>
  <c r="N777" i="1"/>
  <c r="M777" i="1"/>
  <c r="G777" i="1"/>
  <c r="S776" i="1"/>
  <c r="R776" i="1"/>
  <c r="Q776" i="1"/>
  <c r="P776" i="1"/>
  <c r="O776" i="1"/>
  <c r="N776" i="1"/>
  <c r="M776" i="1"/>
  <c r="G776" i="1"/>
  <c r="S775" i="1"/>
  <c r="R775" i="1"/>
  <c r="Q775" i="1"/>
  <c r="P775" i="1"/>
  <c r="O775" i="1"/>
  <c r="N775" i="1"/>
  <c r="M775" i="1"/>
  <c r="G775" i="1"/>
  <c r="S774" i="1"/>
  <c r="R774" i="1"/>
  <c r="Q774" i="1"/>
  <c r="P774" i="1"/>
  <c r="O774" i="1"/>
  <c r="N774" i="1"/>
  <c r="M774" i="1"/>
  <c r="G774" i="1"/>
  <c r="S773" i="1"/>
  <c r="R773" i="1"/>
  <c r="Q773" i="1"/>
  <c r="P773" i="1"/>
  <c r="O773" i="1"/>
  <c r="N773" i="1"/>
  <c r="M773" i="1"/>
  <c r="G773" i="1"/>
  <c r="S772" i="1"/>
  <c r="R772" i="1"/>
  <c r="Q772" i="1"/>
  <c r="P772" i="1"/>
  <c r="O772" i="1"/>
  <c r="N772" i="1"/>
  <c r="M772" i="1"/>
  <c r="G772" i="1"/>
  <c r="S771" i="1"/>
  <c r="R771" i="1"/>
  <c r="Q771" i="1"/>
  <c r="P771" i="1"/>
  <c r="O771" i="1"/>
  <c r="N771" i="1"/>
  <c r="M771" i="1"/>
  <c r="G771" i="1"/>
  <c r="S770" i="1"/>
  <c r="R770" i="1"/>
  <c r="Q770" i="1"/>
  <c r="P770" i="1"/>
  <c r="O770" i="1"/>
  <c r="N770" i="1"/>
  <c r="M770" i="1"/>
  <c r="G770" i="1"/>
  <c r="S769" i="1"/>
  <c r="R769" i="1"/>
  <c r="Q769" i="1"/>
  <c r="P769" i="1"/>
  <c r="O769" i="1"/>
  <c r="N769" i="1"/>
  <c r="M769" i="1"/>
  <c r="G769" i="1"/>
  <c r="S768" i="1"/>
  <c r="R768" i="1"/>
  <c r="Q768" i="1"/>
  <c r="P768" i="1"/>
  <c r="O768" i="1"/>
  <c r="N768" i="1"/>
  <c r="M768" i="1"/>
  <c r="G768" i="1"/>
  <c r="S767" i="1"/>
  <c r="R767" i="1"/>
  <c r="Q767" i="1"/>
  <c r="P767" i="1"/>
  <c r="O767" i="1"/>
  <c r="N767" i="1"/>
  <c r="M767" i="1"/>
  <c r="G767" i="1"/>
  <c r="S766" i="1"/>
  <c r="R766" i="1"/>
  <c r="Q766" i="1"/>
  <c r="P766" i="1"/>
  <c r="O766" i="1"/>
  <c r="N766" i="1"/>
  <c r="M766" i="1"/>
  <c r="G766" i="1"/>
  <c r="S765" i="1"/>
  <c r="R765" i="1"/>
  <c r="Q765" i="1"/>
  <c r="P765" i="1"/>
  <c r="O765" i="1"/>
  <c r="N765" i="1"/>
  <c r="M765" i="1"/>
  <c r="G765" i="1"/>
  <c r="S764" i="1"/>
  <c r="R764" i="1"/>
  <c r="Q764" i="1"/>
  <c r="P764" i="1"/>
  <c r="O764" i="1"/>
  <c r="N764" i="1"/>
  <c r="M764" i="1"/>
  <c r="G764" i="1"/>
  <c r="S763" i="1"/>
  <c r="R763" i="1"/>
  <c r="Q763" i="1"/>
  <c r="P763" i="1"/>
  <c r="O763" i="1"/>
  <c r="N763" i="1"/>
  <c r="M763" i="1"/>
  <c r="G763" i="1"/>
  <c r="S762" i="1"/>
  <c r="R762" i="1"/>
  <c r="Q762" i="1"/>
  <c r="P762" i="1"/>
  <c r="O762" i="1"/>
  <c r="N762" i="1"/>
  <c r="M762" i="1"/>
  <c r="G762" i="1"/>
  <c r="S761" i="1"/>
  <c r="R761" i="1"/>
  <c r="Q761" i="1"/>
  <c r="P761" i="1"/>
  <c r="O761" i="1"/>
  <c r="N761" i="1"/>
  <c r="M761" i="1"/>
  <c r="G761" i="1"/>
  <c r="S760" i="1"/>
  <c r="R760" i="1"/>
  <c r="Q760" i="1"/>
  <c r="P760" i="1"/>
  <c r="O760" i="1"/>
  <c r="N760" i="1"/>
  <c r="M760" i="1"/>
  <c r="G760" i="1"/>
  <c r="S759" i="1"/>
  <c r="R759" i="1"/>
  <c r="Q759" i="1"/>
  <c r="P759" i="1"/>
  <c r="O759" i="1"/>
  <c r="N759" i="1"/>
  <c r="M759" i="1"/>
  <c r="G759" i="1"/>
  <c r="S758" i="1"/>
  <c r="R758" i="1"/>
  <c r="Q758" i="1"/>
  <c r="P758" i="1"/>
  <c r="O758" i="1"/>
  <c r="N758" i="1"/>
  <c r="M758" i="1"/>
  <c r="G758" i="1"/>
  <c r="S757" i="1"/>
  <c r="R757" i="1"/>
  <c r="Q757" i="1"/>
  <c r="P757" i="1"/>
  <c r="O757" i="1"/>
  <c r="N757" i="1"/>
  <c r="M757" i="1"/>
  <c r="G757" i="1"/>
  <c r="S756" i="1"/>
  <c r="R756" i="1"/>
  <c r="Q756" i="1"/>
  <c r="P756" i="1"/>
  <c r="O756" i="1"/>
  <c r="N756" i="1"/>
  <c r="M756" i="1"/>
  <c r="G756" i="1"/>
  <c r="S755" i="1"/>
  <c r="R755" i="1"/>
  <c r="Q755" i="1"/>
  <c r="P755" i="1"/>
  <c r="O755" i="1"/>
  <c r="N755" i="1"/>
  <c r="M755" i="1"/>
  <c r="G755" i="1"/>
  <c r="S754" i="1"/>
  <c r="R754" i="1"/>
  <c r="Q754" i="1"/>
  <c r="P754" i="1"/>
  <c r="O754" i="1"/>
  <c r="N754" i="1"/>
  <c r="M754" i="1"/>
  <c r="G754" i="1"/>
  <c r="S753" i="1"/>
  <c r="R753" i="1"/>
  <c r="Q753" i="1"/>
  <c r="P753" i="1"/>
  <c r="O753" i="1"/>
  <c r="N753" i="1"/>
  <c r="M753" i="1"/>
  <c r="G753" i="1"/>
  <c r="S752" i="1"/>
  <c r="R752" i="1"/>
  <c r="Q752" i="1"/>
  <c r="P752" i="1"/>
  <c r="O752" i="1"/>
  <c r="N752" i="1"/>
  <c r="M752" i="1"/>
  <c r="G752" i="1"/>
  <c r="S751" i="1"/>
  <c r="R751" i="1"/>
  <c r="Q751" i="1"/>
  <c r="P751" i="1"/>
  <c r="O751" i="1"/>
  <c r="N751" i="1"/>
  <c r="M751" i="1"/>
  <c r="G751" i="1"/>
  <c r="S750" i="1"/>
  <c r="R750" i="1"/>
  <c r="Q750" i="1"/>
  <c r="P750" i="1"/>
  <c r="O750" i="1"/>
  <c r="N750" i="1"/>
  <c r="M750" i="1"/>
  <c r="G750" i="1"/>
  <c r="S749" i="1"/>
  <c r="R749" i="1"/>
  <c r="Q749" i="1"/>
  <c r="P749" i="1"/>
  <c r="O749" i="1"/>
  <c r="N749" i="1"/>
  <c r="M749" i="1"/>
  <c r="G749" i="1"/>
  <c r="S748" i="1"/>
  <c r="R748" i="1"/>
  <c r="Q748" i="1"/>
  <c r="P748" i="1"/>
  <c r="O748" i="1"/>
  <c r="N748" i="1"/>
  <c r="M748" i="1"/>
  <c r="G748" i="1"/>
  <c r="S747" i="1"/>
  <c r="R747" i="1"/>
  <c r="Q747" i="1"/>
  <c r="P747" i="1"/>
  <c r="O747" i="1"/>
  <c r="N747" i="1"/>
  <c r="M747" i="1"/>
  <c r="G747" i="1"/>
  <c r="S746" i="1"/>
  <c r="R746" i="1"/>
  <c r="Q746" i="1"/>
  <c r="P746" i="1"/>
  <c r="O746" i="1"/>
  <c r="N746" i="1"/>
  <c r="M746" i="1"/>
  <c r="G746" i="1"/>
  <c r="S745" i="1"/>
  <c r="R745" i="1"/>
  <c r="Q745" i="1"/>
  <c r="P745" i="1"/>
  <c r="O745" i="1"/>
  <c r="N745" i="1"/>
  <c r="M745" i="1"/>
  <c r="G745" i="1"/>
  <c r="S744" i="1"/>
  <c r="R744" i="1"/>
  <c r="Q744" i="1"/>
  <c r="P744" i="1"/>
  <c r="O744" i="1"/>
  <c r="N744" i="1"/>
  <c r="M744" i="1"/>
  <c r="G744" i="1"/>
  <c r="S743" i="1"/>
  <c r="R743" i="1"/>
  <c r="Q743" i="1"/>
  <c r="P743" i="1"/>
  <c r="O743" i="1"/>
  <c r="N743" i="1"/>
  <c r="M743" i="1"/>
  <c r="G743" i="1"/>
  <c r="S742" i="1"/>
  <c r="R742" i="1"/>
  <c r="Q742" i="1"/>
  <c r="P742" i="1"/>
  <c r="O742" i="1"/>
  <c r="N742" i="1"/>
  <c r="M742" i="1"/>
  <c r="G742" i="1"/>
  <c r="S741" i="1"/>
  <c r="R741" i="1"/>
  <c r="Q741" i="1"/>
  <c r="P741" i="1"/>
  <c r="O741" i="1"/>
  <c r="N741" i="1"/>
  <c r="M741" i="1"/>
  <c r="G741" i="1"/>
  <c r="S740" i="1"/>
  <c r="R740" i="1"/>
  <c r="Q740" i="1"/>
  <c r="P740" i="1"/>
  <c r="O740" i="1"/>
  <c r="N740" i="1"/>
  <c r="M740" i="1"/>
  <c r="G740" i="1"/>
  <c r="S739" i="1"/>
  <c r="R739" i="1"/>
  <c r="Q739" i="1"/>
  <c r="P739" i="1"/>
  <c r="O739" i="1"/>
  <c r="N739" i="1"/>
  <c r="M739" i="1"/>
  <c r="G739" i="1"/>
  <c r="S738" i="1"/>
  <c r="R738" i="1"/>
  <c r="Q738" i="1"/>
  <c r="P738" i="1"/>
  <c r="O738" i="1"/>
  <c r="N738" i="1"/>
  <c r="M738" i="1"/>
  <c r="G738" i="1"/>
  <c r="S737" i="1"/>
  <c r="R737" i="1"/>
  <c r="Q737" i="1"/>
  <c r="P737" i="1"/>
  <c r="O737" i="1"/>
  <c r="N737" i="1"/>
  <c r="M737" i="1"/>
  <c r="G737" i="1"/>
  <c r="S736" i="1"/>
  <c r="R736" i="1"/>
  <c r="Q736" i="1"/>
  <c r="P736" i="1"/>
  <c r="O736" i="1"/>
  <c r="N736" i="1"/>
  <c r="M736" i="1"/>
  <c r="G736" i="1"/>
  <c r="S735" i="1"/>
  <c r="R735" i="1"/>
  <c r="Q735" i="1"/>
  <c r="P735" i="1"/>
  <c r="O735" i="1"/>
  <c r="N735" i="1"/>
  <c r="M735" i="1"/>
  <c r="G735" i="1"/>
  <c r="S734" i="1"/>
  <c r="R734" i="1"/>
  <c r="Q734" i="1"/>
  <c r="P734" i="1"/>
  <c r="O734" i="1"/>
  <c r="N734" i="1"/>
  <c r="M734" i="1"/>
  <c r="G734" i="1"/>
  <c r="S733" i="1"/>
  <c r="R733" i="1"/>
  <c r="Q733" i="1"/>
  <c r="P733" i="1"/>
  <c r="O733" i="1"/>
  <c r="N733" i="1"/>
  <c r="M733" i="1"/>
  <c r="G733" i="1"/>
  <c r="S732" i="1"/>
  <c r="R732" i="1"/>
  <c r="Q732" i="1"/>
  <c r="P732" i="1"/>
  <c r="O732" i="1"/>
  <c r="N732" i="1"/>
  <c r="M732" i="1"/>
  <c r="G732" i="1"/>
  <c r="S731" i="1"/>
  <c r="R731" i="1"/>
  <c r="Q731" i="1"/>
  <c r="P731" i="1"/>
  <c r="O731" i="1"/>
  <c r="N731" i="1"/>
  <c r="M731" i="1"/>
  <c r="G731" i="1"/>
  <c r="S730" i="1"/>
  <c r="R730" i="1"/>
  <c r="Q730" i="1"/>
  <c r="P730" i="1"/>
  <c r="O730" i="1"/>
  <c r="N730" i="1"/>
  <c r="M730" i="1"/>
  <c r="G730" i="1"/>
  <c r="S729" i="1"/>
  <c r="R729" i="1"/>
  <c r="Q729" i="1"/>
  <c r="P729" i="1"/>
  <c r="O729" i="1"/>
  <c r="N729" i="1"/>
  <c r="M729" i="1"/>
  <c r="G729" i="1"/>
  <c r="S728" i="1"/>
  <c r="R728" i="1"/>
  <c r="Q728" i="1"/>
  <c r="P728" i="1"/>
  <c r="O728" i="1"/>
  <c r="N728" i="1"/>
  <c r="M728" i="1"/>
  <c r="G728" i="1"/>
  <c r="S727" i="1"/>
  <c r="R727" i="1"/>
  <c r="Q727" i="1"/>
  <c r="P727" i="1"/>
  <c r="O727" i="1"/>
  <c r="N727" i="1"/>
  <c r="M727" i="1"/>
  <c r="G727" i="1"/>
  <c r="S726" i="1"/>
  <c r="R726" i="1"/>
  <c r="Q726" i="1"/>
  <c r="P726" i="1"/>
  <c r="O726" i="1"/>
  <c r="N726" i="1"/>
  <c r="M726" i="1"/>
  <c r="G726" i="1"/>
  <c r="S725" i="1"/>
  <c r="R725" i="1"/>
  <c r="Q725" i="1"/>
  <c r="P725" i="1"/>
  <c r="O725" i="1"/>
  <c r="N725" i="1"/>
  <c r="M725" i="1"/>
  <c r="G725" i="1"/>
  <c r="S724" i="1"/>
  <c r="R724" i="1"/>
  <c r="Q724" i="1"/>
  <c r="P724" i="1"/>
  <c r="O724" i="1"/>
  <c r="N724" i="1"/>
  <c r="M724" i="1"/>
  <c r="G724" i="1"/>
  <c r="S723" i="1"/>
  <c r="R723" i="1"/>
  <c r="Q723" i="1"/>
  <c r="P723" i="1"/>
  <c r="O723" i="1"/>
  <c r="N723" i="1"/>
  <c r="M723" i="1"/>
  <c r="G723" i="1"/>
  <c r="S722" i="1"/>
  <c r="R722" i="1"/>
  <c r="Q722" i="1"/>
  <c r="P722" i="1"/>
  <c r="O722" i="1"/>
  <c r="N722" i="1"/>
  <c r="M722" i="1"/>
  <c r="G722" i="1"/>
  <c r="S721" i="1"/>
  <c r="R721" i="1"/>
  <c r="Q721" i="1"/>
  <c r="P721" i="1"/>
  <c r="O721" i="1"/>
  <c r="N721" i="1"/>
  <c r="M721" i="1"/>
  <c r="G721" i="1"/>
  <c r="S720" i="1"/>
  <c r="R720" i="1"/>
  <c r="Q720" i="1"/>
  <c r="P720" i="1"/>
  <c r="O720" i="1"/>
  <c r="N720" i="1"/>
  <c r="M720" i="1"/>
  <c r="G720" i="1"/>
  <c r="S719" i="1"/>
  <c r="R719" i="1"/>
  <c r="Q719" i="1"/>
  <c r="P719" i="1"/>
  <c r="O719" i="1"/>
  <c r="N719" i="1"/>
  <c r="M719" i="1"/>
  <c r="G719" i="1"/>
  <c r="S718" i="1"/>
  <c r="R718" i="1"/>
  <c r="Q718" i="1"/>
  <c r="P718" i="1"/>
  <c r="O718" i="1"/>
  <c r="N718" i="1"/>
  <c r="M718" i="1"/>
  <c r="G718" i="1"/>
  <c r="S717" i="1"/>
  <c r="R717" i="1"/>
  <c r="Q717" i="1"/>
  <c r="P717" i="1"/>
  <c r="O717" i="1"/>
  <c r="N717" i="1"/>
  <c r="M717" i="1"/>
  <c r="G717" i="1"/>
  <c r="S716" i="1"/>
  <c r="R716" i="1"/>
  <c r="Q716" i="1"/>
  <c r="P716" i="1"/>
  <c r="O716" i="1"/>
  <c r="N716" i="1"/>
  <c r="M716" i="1"/>
  <c r="G716" i="1"/>
  <c r="S715" i="1"/>
  <c r="R715" i="1"/>
  <c r="Q715" i="1"/>
  <c r="P715" i="1"/>
  <c r="O715" i="1"/>
  <c r="N715" i="1"/>
  <c r="M715" i="1"/>
  <c r="G715" i="1"/>
  <c r="S714" i="1"/>
  <c r="R714" i="1"/>
  <c r="Q714" i="1"/>
  <c r="P714" i="1"/>
  <c r="O714" i="1"/>
  <c r="N714" i="1"/>
  <c r="M714" i="1"/>
  <c r="G714" i="1"/>
  <c r="S713" i="1"/>
  <c r="R713" i="1"/>
  <c r="Q713" i="1"/>
  <c r="P713" i="1"/>
  <c r="O713" i="1"/>
  <c r="N713" i="1"/>
  <c r="M713" i="1"/>
  <c r="G713" i="1"/>
  <c r="S712" i="1"/>
  <c r="R712" i="1"/>
  <c r="Q712" i="1"/>
  <c r="P712" i="1"/>
  <c r="O712" i="1"/>
  <c r="N712" i="1"/>
  <c r="M712" i="1"/>
  <c r="G712" i="1"/>
  <c r="S711" i="1"/>
  <c r="R711" i="1"/>
  <c r="Q711" i="1"/>
  <c r="P711" i="1"/>
  <c r="O711" i="1"/>
  <c r="N711" i="1"/>
  <c r="M711" i="1"/>
  <c r="G711" i="1"/>
  <c r="S710" i="1"/>
  <c r="R710" i="1"/>
  <c r="Q710" i="1"/>
  <c r="P710" i="1"/>
  <c r="O710" i="1"/>
  <c r="N710" i="1"/>
  <c r="M710" i="1"/>
  <c r="G710" i="1"/>
  <c r="S709" i="1"/>
  <c r="R709" i="1"/>
  <c r="Q709" i="1"/>
  <c r="P709" i="1"/>
  <c r="O709" i="1"/>
  <c r="N709" i="1"/>
  <c r="M709" i="1"/>
  <c r="G709" i="1"/>
  <c r="S708" i="1"/>
  <c r="R708" i="1"/>
  <c r="Q708" i="1"/>
  <c r="P708" i="1"/>
  <c r="O708" i="1"/>
  <c r="N708" i="1"/>
  <c r="M708" i="1"/>
  <c r="G708" i="1"/>
  <c r="S707" i="1"/>
  <c r="R707" i="1"/>
  <c r="Q707" i="1"/>
  <c r="P707" i="1"/>
  <c r="O707" i="1"/>
  <c r="N707" i="1"/>
  <c r="M707" i="1"/>
  <c r="G707" i="1"/>
  <c r="S706" i="1"/>
  <c r="R706" i="1"/>
  <c r="Q706" i="1"/>
  <c r="P706" i="1"/>
  <c r="O706" i="1"/>
  <c r="N706" i="1"/>
  <c r="M706" i="1"/>
  <c r="G706" i="1"/>
  <c r="S705" i="1"/>
  <c r="R705" i="1"/>
  <c r="Q705" i="1"/>
  <c r="P705" i="1"/>
  <c r="O705" i="1"/>
  <c r="N705" i="1"/>
  <c r="M705" i="1"/>
  <c r="G705" i="1"/>
  <c r="S704" i="1"/>
  <c r="R704" i="1"/>
  <c r="Q704" i="1"/>
  <c r="P704" i="1"/>
  <c r="O704" i="1"/>
  <c r="N704" i="1"/>
  <c r="M704" i="1"/>
  <c r="G704" i="1"/>
  <c r="S703" i="1"/>
  <c r="R703" i="1"/>
  <c r="Q703" i="1"/>
  <c r="P703" i="1"/>
  <c r="O703" i="1"/>
  <c r="N703" i="1"/>
  <c r="M703" i="1"/>
  <c r="G703" i="1"/>
  <c r="S702" i="1"/>
  <c r="R702" i="1"/>
  <c r="Q702" i="1"/>
  <c r="P702" i="1"/>
  <c r="O702" i="1"/>
  <c r="N702" i="1"/>
  <c r="M702" i="1"/>
  <c r="G702" i="1"/>
  <c r="S701" i="1"/>
  <c r="R701" i="1"/>
  <c r="Q701" i="1"/>
  <c r="P701" i="1"/>
  <c r="O701" i="1"/>
  <c r="N701" i="1"/>
  <c r="M701" i="1"/>
  <c r="G701" i="1"/>
  <c r="S700" i="1"/>
  <c r="R700" i="1"/>
  <c r="Q700" i="1"/>
  <c r="P700" i="1"/>
  <c r="O700" i="1"/>
  <c r="N700" i="1"/>
  <c r="M700" i="1"/>
  <c r="G700" i="1"/>
  <c r="S699" i="1"/>
  <c r="R699" i="1"/>
  <c r="Q699" i="1"/>
  <c r="P699" i="1"/>
  <c r="O699" i="1"/>
  <c r="N699" i="1"/>
  <c r="M699" i="1"/>
  <c r="G699" i="1"/>
  <c r="S698" i="1"/>
  <c r="R698" i="1"/>
  <c r="Q698" i="1"/>
  <c r="P698" i="1"/>
  <c r="O698" i="1"/>
  <c r="N698" i="1"/>
  <c r="M698" i="1"/>
  <c r="G698" i="1"/>
  <c r="S697" i="1"/>
  <c r="R697" i="1"/>
  <c r="Q697" i="1"/>
  <c r="P697" i="1"/>
  <c r="O697" i="1"/>
  <c r="N697" i="1"/>
  <c r="M697" i="1"/>
  <c r="G697" i="1"/>
  <c r="S696" i="1"/>
  <c r="R696" i="1"/>
  <c r="Q696" i="1"/>
  <c r="P696" i="1"/>
  <c r="O696" i="1"/>
  <c r="N696" i="1"/>
  <c r="M696" i="1"/>
  <c r="G696" i="1"/>
  <c r="S695" i="1"/>
  <c r="R695" i="1"/>
  <c r="Q695" i="1"/>
  <c r="P695" i="1"/>
  <c r="O695" i="1"/>
  <c r="N695" i="1"/>
  <c r="M695" i="1"/>
  <c r="G695" i="1"/>
  <c r="S694" i="1"/>
  <c r="R694" i="1"/>
  <c r="Q694" i="1"/>
  <c r="P694" i="1"/>
  <c r="O694" i="1"/>
  <c r="N694" i="1"/>
  <c r="M694" i="1"/>
  <c r="G694" i="1"/>
  <c r="S693" i="1"/>
  <c r="R693" i="1"/>
  <c r="Q693" i="1"/>
  <c r="P693" i="1"/>
  <c r="O693" i="1"/>
  <c r="N693" i="1"/>
  <c r="M693" i="1"/>
  <c r="G693" i="1"/>
  <c r="S692" i="1"/>
  <c r="R692" i="1"/>
  <c r="Q692" i="1"/>
  <c r="P692" i="1"/>
  <c r="O692" i="1"/>
  <c r="N692" i="1"/>
  <c r="M692" i="1"/>
  <c r="G692" i="1"/>
  <c r="S691" i="1"/>
  <c r="R691" i="1"/>
  <c r="Q691" i="1"/>
  <c r="P691" i="1"/>
  <c r="O691" i="1"/>
  <c r="N691" i="1"/>
  <c r="M691" i="1"/>
  <c r="G691" i="1"/>
  <c r="S690" i="1"/>
  <c r="R690" i="1"/>
  <c r="Q690" i="1"/>
  <c r="P690" i="1"/>
  <c r="O690" i="1"/>
  <c r="N690" i="1"/>
  <c r="M690" i="1"/>
  <c r="G690" i="1"/>
  <c r="S689" i="1"/>
  <c r="R689" i="1"/>
  <c r="Q689" i="1"/>
  <c r="P689" i="1"/>
  <c r="O689" i="1"/>
  <c r="N689" i="1"/>
  <c r="M689" i="1"/>
  <c r="G689" i="1"/>
  <c r="S688" i="1"/>
  <c r="R688" i="1"/>
  <c r="Q688" i="1"/>
  <c r="P688" i="1"/>
  <c r="O688" i="1"/>
  <c r="N688" i="1"/>
  <c r="M688" i="1"/>
  <c r="G688" i="1"/>
  <c r="S687" i="1"/>
  <c r="R687" i="1"/>
  <c r="Q687" i="1"/>
  <c r="P687" i="1"/>
  <c r="O687" i="1"/>
  <c r="N687" i="1"/>
  <c r="M687" i="1"/>
  <c r="G687" i="1"/>
  <c r="S686" i="1"/>
  <c r="R686" i="1"/>
  <c r="Q686" i="1"/>
  <c r="P686" i="1"/>
  <c r="O686" i="1"/>
  <c r="N686" i="1"/>
  <c r="M686" i="1"/>
  <c r="G686" i="1"/>
  <c r="S685" i="1"/>
  <c r="R685" i="1"/>
  <c r="Q685" i="1"/>
  <c r="P685" i="1"/>
  <c r="O685" i="1"/>
  <c r="N685" i="1"/>
  <c r="M685" i="1"/>
  <c r="G685" i="1"/>
  <c r="S684" i="1"/>
  <c r="R684" i="1"/>
  <c r="Q684" i="1"/>
  <c r="P684" i="1"/>
  <c r="O684" i="1"/>
  <c r="N684" i="1"/>
  <c r="M684" i="1"/>
  <c r="G684" i="1"/>
  <c r="S683" i="1"/>
  <c r="R683" i="1"/>
  <c r="Q683" i="1"/>
  <c r="P683" i="1"/>
  <c r="O683" i="1"/>
  <c r="N683" i="1"/>
  <c r="M683" i="1"/>
  <c r="G683" i="1"/>
  <c r="S682" i="1"/>
  <c r="R682" i="1"/>
  <c r="Q682" i="1"/>
  <c r="P682" i="1"/>
  <c r="O682" i="1"/>
  <c r="N682" i="1"/>
  <c r="M682" i="1"/>
  <c r="G682" i="1"/>
  <c r="S681" i="1"/>
  <c r="R681" i="1"/>
  <c r="Q681" i="1"/>
  <c r="P681" i="1"/>
  <c r="O681" i="1"/>
  <c r="N681" i="1"/>
  <c r="M681" i="1"/>
  <c r="G681" i="1"/>
  <c r="S680" i="1"/>
  <c r="R680" i="1"/>
  <c r="Q680" i="1"/>
  <c r="P680" i="1"/>
  <c r="O680" i="1"/>
  <c r="N680" i="1"/>
  <c r="M680" i="1"/>
  <c r="G680" i="1"/>
  <c r="S679" i="1"/>
  <c r="R679" i="1"/>
  <c r="Q679" i="1"/>
  <c r="P679" i="1"/>
  <c r="O679" i="1"/>
  <c r="N679" i="1"/>
  <c r="M679" i="1"/>
  <c r="G679" i="1"/>
  <c r="S678" i="1"/>
  <c r="R678" i="1"/>
  <c r="Q678" i="1"/>
  <c r="P678" i="1"/>
  <c r="O678" i="1"/>
  <c r="N678" i="1"/>
  <c r="M678" i="1"/>
  <c r="G678" i="1"/>
  <c r="S677" i="1"/>
  <c r="R677" i="1"/>
  <c r="Q677" i="1"/>
  <c r="P677" i="1"/>
  <c r="O677" i="1"/>
  <c r="N677" i="1"/>
  <c r="M677" i="1"/>
  <c r="G677" i="1"/>
  <c r="S676" i="1"/>
  <c r="R676" i="1"/>
  <c r="Q676" i="1"/>
  <c r="P676" i="1"/>
  <c r="O676" i="1"/>
  <c r="N676" i="1"/>
  <c r="M676" i="1"/>
  <c r="G676" i="1"/>
  <c r="S675" i="1"/>
  <c r="R675" i="1"/>
  <c r="Q675" i="1"/>
  <c r="P675" i="1"/>
  <c r="O675" i="1"/>
  <c r="N675" i="1"/>
  <c r="M675" i="1"/>
  <c r="G675" i="1"/>
  <c r="S674" i="1"/>
  <c r="R674" i="1"/>
  <c r="Q674" i="1"/>
  <c r="P674" i="1"/>
  <c r="O674" i="1"/>
  <c r="N674" i="1"/>
  <c r="M674" i="1"/>
  <c r="G674" i="1"/>
  <c r="S673" i="1"/>
  <c r="R673" i="1"/>
  <c r="Q673" i="1"/>
  <c r="P673" i="1"/>
  <c r="O673" i="1"/>
  <c r="N673" i="1"/>
  <c r="M673" i="1"/>
  <c r="G673" i="1"/>
  <c r="S672" i="1"/>
  <c r="R672" i="1"/>
  <c r="Q672" i="1"/>
  <c r="P672" i="1"/>
  <c r="O672" i="1"/>
  <c r="N672" i="1"/>
  <c r="M672" i="1"/>
  <c r="G672" i="1"/>
  <c r="S671" i="1"/>
  <c r="R671" i="1"/>
  <c r="Q671" i="1"/>
  <c r="P671" i="1"/>
  <c r="O671" i="1"/>
  <c r="N671" i="1"/>
  <c r="M671" i="1"/>
  <c r="G671" i="1"/>
  <c r="S670" i="1"/>
  <c r="R670" i="1"/>
  <c r="Q670" i="1"/>
  <c r="P670" i="1"/>
  <c r="O670" i="1"/>
  <c r="N670" i="1"/>
  <c r="M670" i="1"/>
  <c r="G670" i="1"/>
  <c r="S669" i="1"/>
  <c r="R669" i="1"/>
  <c r="Q669" i="1"/>
  <c r="P669" i="1"/>
  <c r="O669" i="1"/>
  <c r="N669" i="1"/>
  <c r="M669" i="1"/>
  <c r="G669" i="1"/>
  <c r="S668" i="1"/>
  <c r="R668" i="1"/>
  <c r="Q668" i="1"/>
  <c r="P668" i="1"/>
  <c r="O668" i="1"/>
  <c r="N668" i="1"/>
  <c r="M668" i="1"/>
  <c r="G668" i="1"/>
  <c r="S667" i="1"/>
  <c r="R667" i="1"/>
  <c r="Q667" i="1"/>
  <c r="P667" i="1"/>
  <c r="O667" i="1"/>
  <c r="N667" i="1"/>
  <c r="M667" i="1"/>
  <c r="G667" i="1"/>
  <c r="S666" i="1"/>
  <c r="R666" i="1"/>
  <c r="Q666" i="1"/>
  <c r="P666" i="1"/>
  <c r="O666" i="1"/>
  <c r="N666" i="1"/>
  <c r="M666" i="1"/>
  <c r="G666" i="1"/>
  <c r="S665" i="1"/>
  <c r="R665" i="1"/>
  <c r="Q665" i="1"/>
  <c r="P665" i="1"/>
  <c r="O665" i="1"/>
  <c r="N665" i="1"/>
  <c r="M665" i="1"/>
  <c r="G665" i="1"/>
  <c r="S664" i="1"/>
  <c r="R664" i="1"/>
  <c r="Q664" i="1"/>
  <c r="P664" i="1"/>
  <c r="O664" i="1"/>
  <c r="N664" i="1"/>
  <c r="M664" i="1"/>
  <c r="G664" i="1"/>
  <c r="S663" i="1"/>
  <c r="R663" i="1"/>
  <c r="Q663" i="1"/>
  <c r="P663" i="1"/>
  <c r="O663" i="1"/>
  <c r="N663" i="1"/>
  <c r="M663" i="1"/>
  <c r="G663" i="1"/>
  <c r="S662" i="1"/>
  <c r="R662" i="1"/>
  <c r="Q662" i="1"/>
  <c r="P662" i="1"/>
  <c r="O662" i="1"/>
  <c r="N662" i="1"/>
  <c r="M662" i="1"/>
  <c r="G662" i="1"/>
  <c r="S661" i="1"/>
  <c r="R661" i="1"/>
  <c r="Q661" i="1"/>
  <c r="P661" i="1"/>
  <c r="O661" i="1"/>
  <c r="N661" i="1"/>
  <c r="M661" i="1"/>
  <c r="G661" i="1"/>
  <c r="S660" i="1"/>
  <c r="R660" i="1"/>
  <c r="Q660" i="1"/>
  <c r="P660" i="1"/>
  <c r="O660" i="1"/>
  <c r="N660" i="1"/>
  <c r="M660" i="1"/>
  <c r="G660" i="1"/>
  <c r="S659" i="1"/>
  <c r="R659" i="1"/>
  <c r="Q659" i="1"/>
  <c r="P659" i="1"/>
  <c r="O659" i="1"/>
  <c r="N659" i="1"/>
  <c r="M659" i="1"/>
  <c r="G659" i="1"/>
  <c r="S658" i="1"/>
  <c r="R658" i="1"/>
  <c r="Q658" i="1"/>
  <c r="P658" i="1"/>
  <c r="O658" i="1"/>
  <c r="N658" i="1"/>
  <c r="M658" i="1"/>
  <c r="G658" i="1"/>
  <c r="S657" i="1"/>
  <c r="R657" i="1"/>
  <c r="Q657" i="1"/>
  <c r="P657" i="1"/>
  <c r="O657" i="1"/>
  <c r="N657" i="1"/>
  <c r="M657" i="1"/>
  <c r="G657" i="1"/>
  <c r="S656" i="1"/>
  <c r="R656" i="1"/>
  <c r="Q656" i="1"/>
  <c r="P656" i="1"/>
  <c r="O656" i="1"/>
  <c r="N656" i="1"/>
  <c r="M656" i="1"/>
  <c r="G656" i="1"/>
  <c r="S655" i="1"/>
  <c r="R655" i="1"/>
  <c r="Q655" i="1"/>
  <c r="P655" i="1"/>
  <c r="O655" i="1"/>
  <c r="N655" i="1"/>
  <c r="M655" i="1"/>
  <c r="G655" i="1"/>
  <c r="S654" i="1"/>
  <c r="R654" i="1"/>
  <c r="Q654" i="1"/>
  <c r="P654" i="1"/>
  <c r="O654" i="1"/>
  <c r="N654" i="1"/>
  <c r="M654" i="1"/>
  <c r="G654" i="1"/>
  <c r="S653" i="1"/>
  <c r="R653" i="1"/>
  <c r="Q653" i="1"/>
  <c r="P653" i="1"/>
  <c r="O653" i="1"/>
  <c r="N653" i="1"/>
  <c r="M653" i="1"/>
  <c r="G653" i="1"/>
  <c r="S652" i="1"/>
  <c r="R652" i="1"/>
  <c r="Q652" i="1"/>
  <c r="P652" i="1"/>
  <c r="O652" i="1"/>
  <c r="N652" i="1"/>
  <c r="M652" i="1"/>
  <c r="G652" i="1"/>
  <c r="S651" i="1"/>
  <c r="R651" i="1"/>
  <c r="Q651" i="1"/>
  <c r="P651" i="1"/>
  <c r="O651" i="1"/>
  <c r="N651" i="1"/>
  <c r="M651" i="1"/>
  <c r="G651" i="1"/>
  <c r="S650" i="1"/>
  <c r="R650" i="1"/>
  <c r="Q650" i="1"/>
  <c r="P650" i="1"/>
  <c r="O650" i="1"/>
  <c r="N650" i="1"/>
  <c r="M650" i="1"/>
  <c r="G650" i="1"/>
  <c r="S649" i="1"/>
  <c r="R649" i="1"/>
  <c r="Q649" i="1"/>
  <c r="P649" i="1"/>
  <c r="O649" i="1"/>
  <c r="N649" i="1"/>
  <c r="M649" i="1"/>
  <c r="G649" i="1"/>
  <c r="S648" i="1"/>
  <c r="R648" i="1"/>
  <c r="Q648" i="1"/>
  <c r="P648" i="1"/>
  <c r="O648" i="1"/>
  <c r="N648" i="1"/>
  <c r="M648" i="1"/>
  <c r="G648" i="1"/>
  <c r="S647" i="1"/>
  <c r="R647" i="1"/>
  <c r="Q647" i="1"/>
  <c r="P647" i="1"/>
  <c r="O647" i="1"/>
  <c r="N647" i="1"/>
  <c r="M647" i="1"/>
  <c r="G647" i="1"/>
  <c r="S646" i="1"/>
  <c r="R646" i="1"/>
  <c r="Q646" i="1"/>
  <c r="P646" i="1"/>
  <c r="O646" i="1"/>
  <c r="N646" i="1"/>
  <c r="M646" i="1"/>
  <c r="G646" i="1"/>
  <c r="S645" i="1"/>
  <c r="R645" i="1"/>
  <c r="Q645" i="1"/>
  <c r="P645" i="1"/>
  <c r="O645" i="1"/>
  <c r="N645" i="1"/>
  <c r="M645" i="1"/>
  <c r="G645" i="1"/>
  <c r="S644" i="1"/>
  <c r="R644" i="1"/>
  <c r="Q644" i="1"/>
  <c r="P644" i="1"/>
  <c r="O644" i="1"/>
  <c r="N644" i="1"/>
  <c r="M644" i="1"/>
  <c r="G644" i="1"/>
  <c r="S643" i="1"/>
  <c r="R643" i="1"/>
  <c r="Q643" i="1"/>
  <c r="P643" i="1"/>
  <c r="O643" i="1"/>
  <c r="N643" i="1"/>
  <c r="M643" i="1"/>
  <c r="G643" i="1"/>
  <c r="S642" i="1"/>
  <c r="R642" i="1"/>
  <c r="Q642" i="1"/>
  <c r="P642" i="1"/>
  <c r="O642" i="1"/>
  <c r="N642" i="1"/>
  <c r="M642" i="1"/>
  <c r="G642" i="1"/>
  <c r="S641" i="1"/>
  <c r="R641" i="1"/>
  <c r="Q641" i="1"/>
  <c r="P641" i="1"/>
  <c r="O641" i="1"/>
  <c r="N641" i="1"/>
  <c r="M641" i="1"/>
  <c r="G641" i="1"/>
  <c r="S640" i="1"/>
  <c r="R640" i="1"/>
  <c r="Q640" i="1"/>
  <c r="P640" i="1"/>
  <c r="O640" i="1"/>
  <c r="N640" i="1"/>
  <c r="M640" i="1"/>
  <c r="G640" i="1"/>
  <c r="S639" i="1"/>
  <c r="R639" i="1"/>
  <c r="Q639" i="1"/>
  <c r="P639" i="1"/>
  <c r="O639" i="1"/>
  <c r="N639" i="1"/>
  <c r="M639" i="1"/>
  <c r="G639" i="1"/>
  <c r="S638" i="1"/>
  <c r="R638" i="1"/>
  <c r="Q638" i="1"/>
  <c r="P638" i="1"/>
  <c r="O638" i="1"/>
  <c r="N638" i="1"/>
  <c r="M638" i="1"/>
  <c r="G638" i="1"/>
  <c r="S637" i="1"/>
  <c r="R637" i="1"/>
  <c r="Q637" i="1"/>
  <c r="P637" i="1"/>
  <c r="O637" i="1"/>
  <c r="N637" i="1"/>
  <c r="M637" i="1"/>
  <c r="G637" i="1"/>
  <c r="S636" i="1"/>
  <c r="R636" i="1"/>
  <c r="Q636" i="1"/>
  <c r="P636" i="1"/>
  <c r="O636" i="1"/>
  <c r="N636" i="1"/>
  <c r="M636" i="1"/>
  <c r="G636" i="1"/>
  <c r="S635" i="1"/>
  <c r="R635" i="1"/>
  <c r="Q635" i="1"/>
  <c r="P635" i="1"/>
  <c r="O635" i="1"/>
  <c r="N635" i="1"/>
  <c r="M635" i="1"/>
  <c r="G635" i="1"/>
  <c r="S634" i="1"/>
  <c r="R634" i="1"/>
  <c r="Q634" i="1"/>
  <c r="P634" i="1"/>
  <c r="O634" i="1"/>
  <c r="N634" i="1"/>
  <c r="M634" i="1"/>
  <c r="G634" i="1"/>
  <c r="S633" i="1"/>
  <c r="R633" i="1"/>
  <c r="Q633" i="1"/>
  <c r="P633" i="1"/>
  <c r="O633" i="1"/>
  <c r="N633" i="1"/>
  <c r="M633" i="1"/>
  <c r="G633" i="1"/>
  <c r="S632" i="1"/>
  <c r="R632" i="1"/>
  <c r="Q632" i="1"/>
  <c r="P632" i="1"/>
  <c r="O632" i="1"/>
  <c r="N632" i="1"/>
  <c r="M632" i="1"/>
  <c r="G632" i="1"/>
  <c r="S631" i="1"/>
  <c r="R631" i="1"/>
  <c r="Q631" i="1"/>
  <c r="P631" i="1"/>
  <c r="O631" i="1"/>
  <c r="N631" i="1"/>
  <c r="M631" i="1"/>
  <c r="G631" i="1"/>
  <c r="S630" i="1"/>
  <c r="R630" i="1"/>
  <c r="Q630" i="1"/>
  <c r="P630" i="1"/>
  <c r="O630" i="1"/>
  <c r="N630" i="1"/>
  <c r="M630" i="1"/>
  <c r="G630" i="1"/>
  <c r="S629" i="1"/>
  <c r="R629" i="1"/>
  <c r="Q629" i="1"/>
  <c r="P629" i="1"/>
  <c r="O629" i="1"/>
  <c r="N629" i="1"/>
  <c r="M629" i="1"/>
  <c r="G629" i="1"/>
  <c r="S628" i="1"/>
  <c r="R628" i="1"/>
  <c r="Q628" i="1"/>
  <c r="P628" i="1"/>
  <c r="O628" i="1"/>
  <c r="N628" i="1"/>
  <c r="M628" i="1"/>
  <c r="G628" i="1"/>
  <c r="S627" i="1"/>
  <c r="R627" i="1"/>
  <c r="Q627" i="1"/>
  <c r="P627" i="1"/>
  <c r="O627" i="1"/>
  <c r="N627" i="1"/>
  <c r="M627" i="1"/>
  <c r="G627" i="1"/>
  <c r="S626" i="1"/>
  <c r="R626" i="1"/>
  <c r="Q626" i="1"/>
  <c r="P626" i="1"/>
  <c r="O626" i="1"/>
  <c r="N626" i="1"/>
  <c r="M626" i="1"/>
  <c r="G626" i="1"/>
  <c r="S625" i="1"/>
  <c r="R625" i="1"/>
  <c r="Q625" i="1"/>
  <c r="P625" i="1"/>
  <c r="O625" i="1"/>
  <c r="N625" i="1"/>
  <c r="M625" i="1"/>
  <c r="G625" i="1"/>
  <c r="S624" i="1"/>
  <c r="R624" i="1"/>
  <c r="Q624" i="1"/>
  <c r="P624" i="1"/>
  <c r="O624" i="1"/>
  <c r="N624" i="1"/>
  <c r="M624" i="1"/>
  <c r="G624" i="1"/>
  <c r="S623" i="1"/>
  <c r="R623" i="1"/>
  <c r="Q623" i="1"/>
  <c r="P623" i="1"/>
  <c r="O623" i="1"/>
  <c r="N623" i="1"/>
  <c r="M623" i="1"/>
  <c r="G623" i="1"/>
  <c r="S622" i="1"/>
  <c r="R622" i="1"/>
  <c r="Q622" i="1"/>
  <c r="P622" i="1"/>
  <c r="O622" i="1"/>
  <c r="N622" i="1"/>
  <c r="M622" i="1"/>
  <c r="G622" i="1"/>
  <c r="S621" i="1"/>
  <c r="R621" i="1"/>
  <c r="Q621" i="1"/>
  <c r="P621" i="1"/>
  <c r="O621" i="1"/>
  <c r="N621" i="1"/>
  <c r="M621" i="1"/>
  <c r="G621" i="1"/>
  <c r="S620" i="1"/>
  <c r="R620" i="1"/>
  <c r="Q620" i="1"/>
  <c r="P620" i="1"/>
  <c r="O620" i="1"/>
  <c r="N620" i="1"/>
  <c r="M620" i="1"/>
  <c r="G620" i="1"/>
  <c r="S619" i="1"/>
  <c r="R619" i="1"/>
  <c r="Q619" i="1"/>
  <c r="P619" i="1"/>
  <c r="O619" i="1"/>
  <c r="N619" i="1"/>
  <c r="M619" i="1"/>
  <c r="G619" i="1"/>
  <c r="S618" i="1"/>
  <c r="R618" i="1"/>
  <c r="Q618" i="1"/>
  <c r="P618" i="1"/>
  <c r="O618" i="1"/>
  <c r="N618" i="1"/>
  <c r="M618" i="1"/>
  <c r="G618" i="1"/>
  <c r="S617" i="1"/>
  <c r="R617" i="1"/>
  <c r="Q617" i="1"/>
  <c r="P617" i="1"/>
  <c r="O617" i="1"/>
  <c r="N617" i="1"/>
  <c r="M617" i="1"/>
  <c r="G617" i="1"/>
  <c r="S616" i="1"/>
  <c r="R616" i="1"/>
  <c r="Q616" i="1"/>
  <c r="P616" i="1"/>
  <c r="O616" i="1"/>
  <c r="N616" i="1"/>
  <c r="M616" i="1"/>
  <c r="G616" i="1"/>
  <c r="S615" i="1"/>
  <c r="R615" i="1"/>
  <c r="Q615" i="1"/>
  <c r="P615" i="1"/>
  <c r="O615" i="1"/>
  <c r="N615" i="1"/>
  <c r="M615" i="1"/>
  <c r="G615" i="1"/>
  <c r="S614" i="1"/>
  <c r="R614" i="1"/>
  <c r="Q614" i="1"/>
  <c r="P614" i="1"/>
  <c r="O614" i="1"/>
  <c r="N614" i="1"/>
  <c r="M614" i="1"/>
  <c r="G614" i="1"/>
  <c r="S613" i="1"/>
  <c r="R613" i="1"/>
  <c r="Q613" i="1"/>
  <c r="P613" i="1"/>
  <c r="O613" i="1"/>
  <c r="N613" i="1"/>
  <c r="M613" i="1"/>
  <c r="G613" i="1"/>
  <c r="S612" i="1"/>
  <c r="R612" i="1"/>
  <c r="Q612" i="1"/>
  <c r="P612" i="1"/>
  <c r="O612" i="1"/>
  <c r="N612" i="1"/>
  <c r="M612" i="1"/>
  <c r="G612" i="1"/>
  <c r="S611" i="1"/>
  <c r="R611" i="1"/>
  <c r="Q611" i="1"/>
  <c r="P611" i="1"/>
  <c r="O611" i="1"/>
  <c r="N611" i="1"/>
  <c r="M611" i="1"/>
  <c r="G611" i="1"/>
  <c r="S610" i="1"/>
  <c r="R610" i="1"/>
  <c r="Q610" i="1"/>
  <c r="P610" i="1"/>
  <c r="O610" i="1"/>
  <c r="N610" i="1"/>
  <c r="M610" i="1"/>
  <c r="G610" i="1"/>
  <c r="S609" i="1"/>
  <c r="R609" i="1"/>
  <c r="Q609" i="1"/>
  <c r="P609" i="1"/>
  <c r="O609" i="1"/>
  <c r="N609" i="1"/>
  <c r="M609" i="1"/>
  <c r="G609" i="1"/>
  <c r="S608" i="1"/>
  <c r="R608" i="1"/>
  <c r="Q608" i="1"/>
  <c r="P608" i="1"/>
  <c r="O608" i="1"/>
  <c r="N608" i="1"/>
  <c r="M608" i="1"/>
  <c r="G608" i="1"/>
  <c r="S607" i="1"/>
  <c r="R607" i="1"/>
  <c r="Q607" i="1"/>
  <c r="P607" i="1"/>
  <c r="O607" i="1"/>
  <c r="N607" i="1"/>
  <c r="M607" i="1"/>
  <c r="G607" i="1"/>
  <c r="S606" i="1"/>
  <c r="R606" i="1"/>
  <c r="Q606" i="1"/>
  <c r="P606" i="1"/>
  <c r="O606" i="1"/>
  <c r="N606" i="1"/>
  <c r="M606" i="1"/>
  <c r="G606" i="1"/>
  <c r="S605" i="1"/>
  <c r="R605" i="1"/>
  <c r="Q605" i="1"/>
  <c r="P605" i="1"/>
  <c r="O605" i="1"/>
  <c r="N605" i="1"/>
  <c r="M605" i="1"/>
  <c r="G605" i="1"/>
  <c r="S604" i="1"/>
  <c r="R604" i="1"/>
  <c r="Q604" i="1"/>
  <c r="P604" i="1"/>
  <c r="O604" i="1"/>
  <c r="N604" i="1"/>
  <c r="M604" i="1"/>
  <c r="G604" i="1"/>
  <c r="S603" i="1"/>
  <c r="R603" i="1"/>
  <c r="Q603" i="1"/>
  <c r="P603" i="1"/>
  <c r="O603" i="1"/>
  <c r="N603" i="1"/>
  <c r="M603" i="1"/>
  <c r="G603" i="1"/>
  <c r="S602" i="1"/>
  <c r="R602" i="1"/>
  <c r="Q602" i="1"/>
  <c r="P602" i="1"/>
  <c r="O602" i="1"/>
  <c r="N602" i="1"/>
  <c r="M602" i="1"/>
  <c r="G602" i="1"/>
  <c r="S601" i="1"/>
  <c r="R601" i="1"/>
  <c r="Q601" i="1"/>
  <c r="P601" i="1"/>
  <c r="O601" i="1"/>
  <c r="N601" i="1"/>
  <c r="M601" i="1"/>
  <c r="G601" i="1"/>
  <c r="S600" i="1"/>
  <c r="R600" i="1"/>
  <c r="Q600" i="1"/>
  <c r="P600" i="1"/>
  <c r="O600" i="1"/>
  <c r="N600" i="1"/>
  <c r="M600" i="1"/>
  <c r="G600" i="1"/>
  <c r="S599" i="1"/>
  <c r="R599" i="1"/>
  <c r="Q599" i="1"/>
  <c r="P599" i="1"/>
  <c r="O599" i="1"/>
  <c r="N599" i="1"/>
  <c r="M599" i="1"/>
  <c r="G599" i="1"/>
  <c r="S598" i="1"/>
  <c r="R598" i="1"/>
  <c r="Q598" i="1"/>
  <c r="P598" i="1"/>
  <c r="O598" i="1"/>
  <c r="N598" i="1"/>
  <c r="M598" i="1"/>
  <c r="G598" i="1"/>
  <c r="S597" i="1"/>
  <c r="R597" i="1"/>
  <c r="Q597" i="1"/>
  <c r="P597" i="1"/>
  <c r="O597" i="1"/>
  <c r="N597" i="1"/>
  <c r="M597" i="1"/>
  <c r="G597" i="1"/>
  <c r="S596" i="1"/>
  <c r="R596" i="1"/>
  <c r="Q596" i="1"/>
  <c r="P596" i="1"/>
  <c r="O596" i="1"/>
  <c r="N596" i="1"/>
  <c r="M596" i="1"/>
  <c r="G596" i="1"/>
  <c r="S595" i="1"/>
  <c r="R595" i="1"/>
  <c r="Q595" i="1"/>
  <c r="P595" i="1"/>
  <c r="O595" i="1"/>
  <c r="N595" i="1"/>
  <c r="M595" i="1"/>
  <c r="G595" i="1"/>
  <c r="S594" i="1"/>
  <c r="R594" i="1"/>
  <c r="Q594" i="1"/>
  <c r="P594" i="1"/>
  <c r="O594" i="1"/>
  <c r="N594" i="1"/>
  <c r="M594" i="1"/>
  <c r="G594" i="1"/>
  <c r="S593" i="1"/>
  <c r="R593" i="1"/>
  <c r="Q593" i="1"/>
  <c r="P593" i="1"/>
  <c r="O593" i="1"/>
  <c r="N593" i="1"/>
  <c r="M593" i="1"/>
  <c r="G593" i="1"/>
  <c r="S592" i="1"/>
  <c r="R592" i="1"/>
  <c r="Q592" i="1"/>
  <c r="P592" i="1"/>
  <c r="O592" i="1"/>
  <c r="N592" i="1"/>
  <c r="M592" i="1"/>
  <c r="G592" i="1"/>
  <c r="S591" i="1"/>
  <c r="R591" i="1"/>
  <c r="Q591" i="1"/>
  <c r="P591" i="1"/>
  <c r="O591" i="1"/>
  <c r="N591" i="1"/>
  <c r="M591" i="1"/>
  <c r="G591" i="1"/>
  <c r="S590" i="1"/>
  <c r="R590" i="1"/>
  <c r="Q590" i="1"/>
  <c r="P590" i="1"/>
  <c r="O590" i="1"/>
  <c r="N590" i="1"/>
  <c r="M590" i="1"/>
  <c r="G590" i="1"/>
  <c r="S589" i="1"/>
  <c r="R589" i="1"/>
  <c r="Q589" i="1"/>
  <c r="P589" i="1"/>
  <c r="O589" i="1"/>
  <c r="N589" i="1"/>
  <c r="M589" i="1"/>
  <c r="G589" i="1"/>
  <c r="S588" i="1"/>
  <c r="R588" i="1"/>
  <c r="Q588" i="1"/>
  <c r="P588" i="1"/>
  <c r="O588" i="1"/>
  <c r="N588" i="1"/>
  <c r="M588" i="1"/>
  <c r="G588" i="1"/>
  <c r="S587" i="1"/>
  <c r="R587" i="1"/>
  <c r="Q587" i="1"/>
  <c r="P587" i="1"/>
  <c r="O587" i="1"/>
  <c r="N587" i="1"/>
  <c r="M587" i="1"/>
  <c r="G587" i="1"/>
  <c r="S586" i="1"/>
  <c r="R586" i="1"/>
  <c r="Q586" i="1"/>
  <c r="P586" i="1"/>
  <c r="O586" i="1"/>
  <c r="N586" i="1"/>
  <c r="M586" i="1"/>
  <c r="G586" i="1"/>
  <c r="S585" i="1"/>
  <c r="R585" i="1"/>
  <c r="Q585" i="1"/>
  <c r="P585" i="1"/>
  <c r="O585" i="1"/>
  <c r="N585" i="1"/>
  <c r="M585" i="1"/>
  <c r="G585" i="1"/>
  <c r="S584" i="1"/>
  <c r="R584" i="1"/>
  <c r="Q584" i="1"/>
  <c r="P584" i="1"/>
  <c r="O584" i="1"/>
  <c r="N584" i="1"/>
  <c r="M584" i="1"/>
  <c r="G584" i="1"/>
  <c r="S583" i="1"/>
  <c r="R583" i="1"/>
  <c r="Q583" i="1"/>
  <c r="P583" i="1"/>
  <c r="O583" i="1"/>
  <c r="N583" i="1"/>
  <c r="M583" i="1"/>
  <c r="G583" i="1"/>
  <c r="S582" i="1"/>
  <c r="R582" i="1"/>
  <c r="Q582" i="1"/>
  <c r="P582" i="1"/>
  <c r="O582" i="1"/>
  <c r="N582" i="1"/>
  <c r="M582" i="1"/>
  <c r="G582" i="1"/>
  <c r="S581" i="1"/>
  <c r="R581" i="1"/>
  <c r="Q581" i="1"/>
  <c r="P581" i="1"/>
  <c r="O581" i="1"/>
  <c r="N581" i="1"/>
  <c r="M581" i="1"/>
  <c r="G581" i="1"/>
  <c r="S580" i="1"/>
  <c r="R580" i="1"/>
  <c r="Q580" i="1"/>
  <c r="P580" i="1"/>
  <c r="O580" i="1"/>
  <c r="N580" i="1"/>
  <c r="M580" i="1"/>
  <c r="G580" i="1"/>
  <c r="S579" i="1"/>
  <c r="R579" i="1"/>
  <c r="Q579" i="1"/>
  <c r="P579" i="1"/>
  <c r="O579" i="1"/>
  <c r="N579" i="1"/>
  <c r="M579" i="1"/>
  <c r="G579" i="1"/>
  <c r="S578" i="1"/>
  <c r="R578" i="1"/>
  <c r="Q578" i="1"/>
  <c r="P578" i="1"/>
  <c r="O578" i="1"/>
  <c r="N578" i="1"/>
  <c r="M578" i="1"/>
  <c r="G578" i="1"/>
  <c r="S577" i="1"/>
  <c r="R577" i="1"/>
  <c r="Q577" i="1"/>
  <c r="P577" i="1"/>
  <c r="O577" i="1"/>
  <c r="N577" i="1"/>
  <c r="M577" i="1"/>
  <c r="G577" i="1"/>
  <c r="S576" i="1"/>
  <c r="R576" i="1"/>
  <c r="Q576" i="1"/>
  <c r="P576" i="1"/>
  <c r="O576" i="1"/>
  <c r="N576" i="1"/>
  <c r="M576" i="1"/>
  <c r="G576" i="1"/>
  <c r="S575" i="1"/>
  <c r="R575" i="1"/>
  <c r="Q575" i="1"/>
  <c r="P575" i="1"/>
  <c r="O575" i="1"/>
  <c r="N575" i="1"/>
  <c r="M575" i="1"/>
  <c r="G575" i="1"/>
  <c r="S574" i="1"/>
  <c r="R574" i="1"/>
  <c r="Q574" i="1"/>
  <c r="P574" i="1"/>
  <c r="O574" i="1"/>
  <c r="N574" i="1"/>
  <c r="M574" i="1"/>
  <c r="G574" i="1"/>
  <c r="S573" i="1"/>
  <c r="R573" i="1"/>
  <c r="Q573" i="1"/>
  <c r="P573" i="1"/>
  <c r="O573" i="1"/>
  <c r="N573" i="1"/>
  <c r="M573" i="1"/>
  <c r="G573" i="1"/>
  <c r="S572" i="1"/>
  <c r="R572" i="1"/>
  <c r="Q572" i="1"/>
  <c r="P572" i="1"/>
  <c r="O572" i="1"/>
  <c r="N572" i="1"/>
  <c r="M572" i="1"/>
  <c r="G572" i="1"/>
  <c r="S571" i="1"/>
  <c r="R571" i="1"/>
  <c r="Q571" i="1"/>
  <c r="P571" i="1"/>
  <c r="O571" i="1"/>
  <c r="N571" i="1"/>
  <c r="M571" i="1"/>
  <c r="G571" i="1"/>
  <c r="S570" i="1"/>
  <c r="R570" i="1"/>
  <c r="Q570" i="1"/>
  <c r="P570" i="1"/>
  <c r="O570" i="1"/>
  <c r="N570" i="1"/>
  <c r="M570" i="1"/>
  <c r="G570" i="1"/>
  <c r="S569" i="1"/>
  <c r="R569" i="1"/>
  <c r="Q569" i="1"/>
  <c r="P569" i="1"/>
  <c r="O569" i="1"/>
  <c r="N569" i="1"/>
  <c r="M569" i="1"/>
  <c r="G569" i="1"/>
  <c r="S568" i="1"/>
  <c r="R568" i="1"/>
  <c r="Q568" i="1"/>
  <c r="P568" i="1"/>
  <c r="O568" i="1"/>
  <c r="N568" i="1"/>
  <c r="M568" i="1"/>
  <c r="G568" i="1"/>
  <c r="S567" i="1"/>
  <c r="R567" i="1"/>
  <c r="Q567" i="1"/>
  <c r="P567" i="1"/>
  <c r="O567" i="1"/>
  <c r="N567" i="1"/>
  <c r="M567" i="1"/>
  <c r="G567" i="1"/>
  <c r="S566" i="1"/>
  <c r="R566" i="1"/>
  <c r="Q566" i="1"/>
  <c r="P566" i="1"/>
  <c r="O566" i="1"/>
  <c r="N566" i="1"/>
  <c r="M566" i="1"/>
  <c r="G566" i="1"/>
  <c r="S565" i="1"/>
  <c r="R565" i="1"/>
  <c r="Q565" i="1"/>
  <c r="P565" i="1"/>
  <c r="O565" i="1"/>
  <c r="N565" i="1"/>
  <c r="M565" i="1"/>
  <c r="G565" i="1"/>
  <c r="S564" i="1"/>
  <c r="R564" i="1"/>
  <c r="Q564" i="1"/>
  <c r="P564" i="1"/>
  <c r="O564" i="1"/>
  <c r="N564" i="1"/>
  <c r="M564" i="1"/>
  <c r="G564" i="1"/>
  <c r="S563" i="1"/>
  <c r="R563" i="1"/>
  <c r="Q563" i="1"/>
  <c r="P563" i="1"/>
  <c r="O563" i="1"/>
  <c r="N563" i="1"/>
  <c r="M563" i="1"/>
  <c r="G563" i="1"/>
  <c r="S562" i="1"/>
  <c r="R562" i="1"/>
  <c r="Q562" i="1"/>
  <c r="P562" i="1"/>
  <c r="O562" i="1"/>
  <c r="N562" i="1"/>
  <c r="M562" i="1"/>
  <c r="G562" i="1"/>
  <c r="S561" i="1"/>
  <c r="R561" i="1"/>
  <c r="Q561" i="1"/>
  <c r="P561" i="1"/>
  <c r="O561" i="1"/>
  <c r="N561" i="1"/>
  <c r="M561" i="1"/>
  <c r="G561" i="1"/>
  <c r="S560" i="1"/>
  <c r="R560" i="1"/>
  <c r="Q560" i="1"/>
  <c r="P560" i="1"/>
  <c r="O560" i="1"/>
  <c r="N560" i="1"/>
  <c r="M560" i="1"/>
  <c r="G560" i="1"/>
  <c r="S559" i="1"/>
  <c r="R559" i="1"/>
  <c r="Q559" i="1"/>
  <c r="P559" i="1"/>
  <c r="O559" i="1"/>
  <c r="N559" i="1"/>
  <c r="M559" i="1"/>
  <c r="G559" i="1"/>
  <c r="S558" i="1"/>
  <c r="R558" i="1"/>
  <c r="Q558" i="1"/>
  <c r="P558" i="1"/>
  <c r="O558" i="1"/>
  <c r="N558" i="1"/>
  <c r="M558" i="1"/>
  <c r="G558" i="1"/>
  <c r="S557" i="1"/>
  <c r="R557" i="1"/>
  <c r="Q557" i="1"/>
  <c r="P557" i="1"/>
  <c r="O557" i="1"/>
  <c r="N557" i="1"/>
  <c r="M557" i="1"/>
  <c r="G557" i="1"/>
  <c r="S556" i="1"/>
  <c r="R556" i="1"/>
  <c r="Q556" i="1"/>
  <c r="P556" i="1"/>
  <c r="O556" i="1"/>
  <c r="N556" i="1"/>
  <c r="M556" i="1"/>
  <c r="G556" i="1"/>
  <c r="S555" i="1"/>
  <c r="R555" i="1"/>
  <c r="Q555" i="1"/>
  <c r="P555" i="1"/>
  <c r="O555" i="1"/>
  <c r="N555" i="1"/>
  <c r="M555" i="1"/>
  <c r="G555" i="1"/>
  <c r="S554" i="1"/>
  <c r="R554" i="1"/>
  <c r="Q554" i="1"/>
  <c r="P554" i="1"/>
  <c r="O554" i="1"/>
  <c r="N554" i="1"/>
  <c r="M554" i="1"/>
  <c r="G554" i="1"/>
  <c r="S553" i="1"/>
  <c r="R553" i="1"/>
  <c r="Q553" i="1"/>
  <c r="P553" i="1"/>
  <c r="O553" i="1"/>
  <c r="N553" i="1"/>
  <c r="M553" i="1"/>
  <c r="G553" i="1"/>
  <c r="S552" i="1"/>
  <c r="R552" i="1"/>
  <c r="Q552" i="1"/>
  <c r="P552" i="1"/>
  <c r="O552" i="1"/>
  <c r="N552" i="1"/>
  <c r="M552" i="1"/>
  <c r="G552" i="1"/>
  <c r="S551" i="1"/>
  <c r="R551" i="1"/>
  <c r="Q551" i="1"/>
  <c r="P551" i="1"/>
  <c r="O551" i="1"/>
  <c r="N551" i="1"/>
  <c r="M551" i="1"/>
  <c r="G551" i="1"/>
  <c r="S550" i="1"/>
  <c r="R550" i="1"/>
  <c r="Q550" i="1"/>
  <c r="P550" i="1"/>
  <c r="O550" i="1"/>
  <c r="N550" i="1"/>
  <c r="M550" i="1"/>
  <c r="G550" i="1"/>
  <c r="S549" i="1"/>
  <c r="R549" i="1"/>
  <c r="Q549" i="1"/>
  <c r="P549" i="1"/>
  <c r="O549" i="1"/>
  <c r="N549" i="1"/>
  <c r="M549" i="1"/>
  <c r="G549" i="1"/>
  <c r="S548" i="1"/>
  <c r="R548" i="1"/>
  <c r="Q548" i="1"/>
  <c r="P548" i="1"/>
  <c r="O548" i="1"/>
  <c r="N548" i="1"/>
  <c r="M548" i="1"/>
  <c r="G548" i="1"/>
  <c r="S547" i="1"/>
  <c r="R547" i="1"/>
  <c r="Q547" i="1"/>
  <c r="P547" i="1"/>
  <c r="O547" i="1"/>
  <c r="N547" i="1"/>
  <c r="M547" i="1"/>
  <c r="G547" i="1"/>
  <c r="S546" i="1"/>
  <c r="R546" i="1"/>
  <c r="Q546" i="1"/>
  <c r="P546" i="1"/>
  <c r="O546" i="1"/>
  <c r="N546" i="1"/>
  <c r="M546" i="1"/>
  <c r="G546" i="1"/>
  <c r="S545" i="1"/>
  <c r="R545" i="1"/>
  <c r="Q545" i="1"/>
  <c r="P545" i="1"/>
  <c r="O545" i="1"/>
  <c r="N545" i="1"/>
  <c r="M545" i="1"/>
  <c r="G545" i="1"/>
  <c r="S544" i="1"/>
  <c r="R544" i="1"/>
  <c r="Q544" i="1"/>
  <c r="P544" i="1"/>
  <c r="O544" i="1"/>
  <c r="N544" i="1"/>
  <c r="M544" i="1"/>
  <c r="G544" i="1"/>
  <c r="S543" i="1"/>
  <c r="R543" i="1"/>
  <c r="Q543" i="1"/>
  <c r="P543" i="1"/>
  <c r="O543" i="1"/>
  <c r="N543" i="1"/>
  <c r="M543" i="1"/>
  <c r="G543" i="1"/>
  <c r="S542" i="1"/>
  <c r="R542" i="1"/>
  <c r="Q542" i="1"/>
  <c r="P542" i="1"/>
  <c r="O542" i="1"/>
  <c r="N542" i="1"/>
  <c r="M542" i="1"/>
  <c r="G542" i="1"/>
  <c r="S541" i="1"/>
  <c r="R541" i="1"/>
  <c r="Q541" i="1"/>
  <c r="P541" i="1"/>
  <c r="O541" i="1"/>
  <c r="N541" i="1"/>
  <c r="M541" i="1"/>
  <c r="G541" i="1"/>
  <c r="S540" i="1"/>
  <c r="R540" i="1"/>
  <c r="Q540" i="1"/>
  <c r="P540" i="1"/>
  <c r="O540" i="1"/>
  <c r="N540" i="1"/>
  <c r="M540" i="1"/>
  <c r="G540" i="1"/>
  <c r="S539" i="1"/>
  <c r="R539" i="1"/>
  <c r="Q539" i="1"/>
  <c r="P539" i="1"/>
  <c r="O539" i="1"/>
  <c r="N539" i="1"/>
  <c r="M539" i="1"/>
  <c r="G539" i="1"/>
  <c r="S538" i="1"/>
  <c r="R538" i="1"/>
  <c r="Q538" i="1"/>
  <c r="P538" i="1"/>
  <c r="O538" i="1"/>
  <c r="N538" i="1"/>
  <c r="M538" i="1"/>
  <c r="G538" i="1"/>
  <c r="S537" i="1"/>
  <c r="R537" i="1"/>
  <c r="Q537" i="1"/>
  <c r="P537" i="1"/>
  <c r="O537" i="1"/>
  <c r="N537" i="1"/>
  <c r="M537" i="1"/>
  <c r="G537" i="1"/>
  <c r="S536" i="1"/>
  <c r="R536" i="1"/>
  <c r="Q536" i="1"/>
  <c r="P536" i="1"/>
  <c r="O536" i="1"/>
  <c r="N536" i="1"/>
  <c r="M536" i="1"/>
  <c r="G536" i="1"/>
  <c r="S535" i="1"/>
  <c r="R535" i="1"/>
  <c r="Q535" i="1"/>
  <c r="P535" i="1"/>
  <c r="O535" i="1"/>
  <c r="N535" i="1"/>
  <c r="M535" i="1"/>
  <c r="G535" i="1"/>
  <c r="S534" i="1"/>
  <c r="R534" i="1"/>
  <c r="Q534" i="1"/>
  <c r="P534" i="1"/>
  <c r="O534" i="1"/>
  <c r="N534" i="1"/>
  <c r="M534" i="1"/>
  <c r="G534" i="1"/>
  <c r="S533" i="1"/>
  <c r="R533" i="1"/>
  <c r="Q533" i="1"/>
  <c r="P533" i="1"/>
  <c r="O533" i="1"/>
  <c r="N533" i="1"/>
  <c r="M533" i="1"/>
  <c r="G533" i="1"/>
  <c r="S532" i="1"/>
  <c r="R532" i="1"/>
  <c r="Q532" i="1"/>
  <c r="P532" i="1"/>
  <c r="O532" i="1"/>
  <c r="N532" i="1"/>
  <c r="M532" i="1"/>
  <c r="G532" i="1"/>
  <c r="S531" i="1"/>
  <c r="R531" i="1"/>
  <c r="Q531" i="1"/>
  <c r="P531" i="1"/>
  <c r="O531" i="1"/>
  <c r="N531" i="1"/>
  <c r="M531" i="1"/>
  <c r="G531" i="1"/>
  <c r="S530" i="1"/>
  <c r="R530" i="1"/>
  <c r="Q530" i="1"/>
  <c r="P530" i="1"/>
  <c r="O530" i="1"/>
  <c r="N530" i="1"/>
  <c r="M530" i="1"/>
  <c r="G530" i="1"/>
  <c r="S529" i="1"/>
  <c r="R529" i="1"/>
  <c r="Q529" i="1"/>
  <c r="P529" i="1"/>
  <c r="O529" i="1"/>
  <c r="N529" i="1"/>
  <c r="M529" i="1"/>
  <c r="G529" i="1"/>
  <c r="S528" i="1"/>
  <c r="R528" i="1"/>
  <c r="Q528" i="1"/>
  <c r="P528" i="1"/>
  <c r="O528" i="1"/>
  <c r="N528" i="1"/>
  <c r="M528" i="1"/>
  <c r="G528" i="1"/>
  <c r="S527" i="1"/>
  <c r="R527" i="1"/>
  <c r="Q527" i="1"/>
  <c r="P527" i="1"/>
  <c r="O527" i="1"/>
  <c r="N527" i="1"/>
  <c r="M527" i="1"/>
  <c r="G527" i="1"/>
  <c r="S526" i="1"/>
  <c r="R526" i="1"/>
  <c r="Q526" i="1"/>
  <c r="P526" i="1"/>
  <c r="O526" i="1"/>
  <c r="N526" i="1"/>
  <c r="M526" i="1"/>
  <c r="G526" i="1"/>
  <c r="S525" i="1"/>
  <c r="R525" i="1"/>
  <c r="Q525" i="1"/>
  <c r="P525" i="1"/>
  <c r="O525" i="1"/>
  <c r="N525" i="1"/>
  <c r="M525" i="1"/>
  <c r="G525" i="1"/>
  <c r="S524" i="1"/>
  <c r="R524" i="1"/>
  <c r="Q524" i="1"/>
  <c r="P524" i="1"/>
  <c r="O524" i="1"/>
  <c r="N524" i="1"/>
  <c r="M524" i="1"/>
  <c r="G524" i="1"/>
  <c r="S523" i="1"/>
  <c r="R523" i="1"/>
  <c r="Q523" i="1"/>
  <c r="P523" i="1"/>
  <c r="O523" i="1"/>
  <c r="N523" i="1"/>
  <c r="M523" i="1"/>
  <c r="G523" i="1"/>
  <c r="S522" i="1"/>
  <c r="R522" i="1"/>
  <c r="Q522" i="1"/>
  <c r="P522" i="1"/>
  <c r="O522" i="1"/>
  <c r="N522" i="1"/>
  <c r="M522" i="1"/>
  <c r="G522" i="1"/>
  <c r="S521" i="1"/>
  <c r="R521" i="1"/>
  <c r="Q521" i="1"/>
  <c r="P521" i="1"/>
  <c r="O521" i="1"/>
  <c r="N521" i="1"/>
  <c r="M521" i="1"/>
  <c r="G521" i="1"/>
  <c r="S520" i="1"/>
  <c r="R520" i="1"/>
  <c r="Q520" i="1"/>
  <c r="P520" i="1"/>
  <c r="O520" i="1"/>
  <c r="N520" i="1"/>
  <c r="M520" i="1"/>
  <c r="G520" i="1"/>
  <c r="S519" i="1"/>
  <c r="R519" i="1"/>
  <c r="Q519" i="1"/>
  <c r="P519" i="1"/>
  <c r="O519" i="1"/>
  <c r="N519" i="1"/>
  <c r="M519" i="1"/>
  <c r="G519" i="1"/>
  <c r="S518" i="1"/>
  <c r="R518" i="1"/>
  <c r="Q518" i="1"/>
  <c r="P518" i="1"/>
  <c r="O518" i="1"/>
  <c r="N518" i="1"/>
  <c r="M518" i="1"/>
  <c r="G518" i="1"/>
  <c r="S517" i="1"/>
  <c r="R517" i="1"/>
  <c r="Q517" i="1"/>
  <c r="P517" i="1"/>
  <c r="O517" i="1"/>
  <c r="N517" i="1"/>
  <c r="M517" i="1"/>
  <c r="G517" i="1"/>
  <c r="S516" i="1"/>
  <c r="R516" i="1"/>
  <c r="Q516" i="1"/>
  <c r="P516" i="1"/>
  <c r="O516" i="1"/>
  <c r="N516" i="1"/>
  <c r="M516" i="1"/>
  <c r="G516" i="1"/>
  <c r="S515" i="1"/>
  <c r="R515" i="1"/>
  <c r="Q515" i="1"/>
  <c r="P515" i="1"/>
  <c r="O515" i="1"/>
  <c r="N515" i="1"/>
  <c r="M515" i="1"/>
  <c r="G515" i="1"/>
  <c r="S514" i="1"/>
  <c r="R514" i="1"/>
  <c r="Q514" i="1"/>
  <c r="P514" i="1"/>
  <c r="O514" i="1"/>
  <c r="N514" i="1"/>
  <c r="M514" i="1"/>
  <c r="G514" i="1"/>
  <c r="S513" i="1"/>
  <c r="R513" i="1"/>
  <c r="Q513" i="1"/>
  <c r="P513" i="1"/>
  <c r="O513" i="1"/>
  <c r="N513" i="1"/>
  <c r="M513" i="1"/>
  <c r="G513" i="1"/>
  <c r="S512" i="1"/>
  <c r="R512" i="1"/>
  <c r="Q512" i="1"/>
  <c r="P512" i="1"/>
  <c r="O512" i="1"/>
  <c r="N512" i="1"/>
  <c r="M512" i="1"/>
  <c r="G512" i="1"/>
  <c r="S511" i="1"/>
  <c r="R511" i="1"/>
  <c r="Q511" i="1"/>
  <c r="P511" i="1"/>
  <c r="O511" i="1"/>
  <c r="N511" i="1"/>
  <c r="M511" i="1"/>
  <c r="G511" i="1"/>
  <c r="S510" i="1"/>
  <c r="R510" i="1"/>
  <c r="Q510" i="1"/>
  <c r="P510" i="1"/>
  <c r="O510" i="1"/>
  <c r="N510" i="1"/>
  <c r="M510" i="1"/>
  <c r="G510" i="1"/>
  <c r="S509" i="1"/>
  <c r="R509" i="1"/>
  <c r="Q509" i="1"/>
  <c r="P509" i="1"/>
  <c r="O509" i="1"/>
  <c r="N509" i="1"/>
  <c r="M509" i="1"/>
  <c r="G509" i="1"/>
  <c r="S508" i="1"/>
  <c r="R508" i="1"/>
  <c r="Q508" i="1"/>
  <c r="P508" i="1"/>
  <c r="O508" i="1"/>
  <c r="N508" i="1"/>
  <c r="M508" i="1"/>
  <c r="G508" i="1"/>
  <c r="S507" i="1"/>
  <c r="R507" i="1"/>
  <c r="Q507" i="1"/>
  <c r="P507" i="1"/>
  <c r="O507" i="1"/>
  <c r="N507" i="1"/>
  <c r="M507" i="1"/>
  <c r="G507" i="1"/>
  <c r="S506" i="1"/>
  <c r="R506" i="1"/>
  <c r="Q506" i="1"/>
  <c r="P506" i="1"/>
  <c r="O506" i="1"/>
  <c r="N506" i="1"/>
  <c r="M506" i="1"/>
  <c r="G506" i="1"/>
  <c r="S505" i="1"/>
  <c r="R505" i="1"/>
  <c r="Q505" i="1"/>
  <c r="P505" i="1"/>
  <c r="O505" i="1"/>
  <c r="N505" i="1"/>
  <c r="M505" i="1"/>
  <c r="G505" i="1"/>
  <c r="S504" i="1"/>
  <c r="R504" i="1"/>
  <c r="Q504" i="1"/>
  <c r="P504" i="1"/>
  <c r="O504" i="1"/>
  <c r="N504" i="1"/>
  <c r="M504" i="1"/>
  <c r="G504" i="1"/>
  <c r="S503" i="1"/>
  <c r="R503" i="1"/>
  <c r="Q503" i="1"/>
  <c r="P503" i="1"/>
  <c r="O503" i="1"/>
  <c r="N503" i="1"/>
  <c r="M503" i="1"/>
  <c r="G503" i="1"/>
  <c r="S502" i="1"/>
  <c r="R502" i="1"/>
  <c r="Q502" i="1"/>
  <c r="P502" i="1"/>
  <c r="O502" i="1"/>
  <c r="N502" i="1"/>
  <c r="M502" i="1"/>
  <c r="G502" i="1"/>
  <c r="S501" i="1"/>
  <c r="R501" i="1"/>
  <c r="Q501" i="1"/>
  <c r="P501" i="1"/>
  <c r="O501" i="1"/>
  <c r="N501" i="1"/>
  <c r="M501" i="1"/>
  <c r="G501" i="1"/>
  <c r="S500" i="1"/>
  <c r="R500" i="1"/>
  <c r="Q500" i="1"/>
  <c r="P500" i="1"/>
  <c r="O500" i="1"/>
  <c r="N500" i="1"/>
  <c r="M500" i="1"/>
  <c r="G500" i="1"/>
  <c r="S499" i="1"/>
  <c r="R499" i="1"/>
  <c r="Q499" i="1"/>
  <c r="P499" i="1"/>
  <c r="O499" i="1"/>
  <c r="N499" i="1"/>
  <c r="M499" i="1"/>
  <c r="G499" i="1"/>
  <c r="S498" i="1"/>
  <c r="R498" i="1"/>
  <c r="Q498" i="1"/>
  <c r="P498" i="1"/>
  <c r="O498" i="1"/>
  <c r="N498" i="1"/>
  <c r="M498" i="1"/>
  <c r="G498" i="1"/>
  <c r="S497" i="1"/>
  <c r="R497" i="1"/>
  <c r="Q497" i="1"/>
  <c r="P497" i="1"/>
  <c r="O497" i="1"/>
  <c r="N497" i="1"/>
  <c r="M497" i="1"/>
  <c r="G497" i="1"/>
  <c r="S496" i="1"/>
  <c r="R496" i="1"/>
  <c r="Q496" i="1"/>
  <c r="P496" i="1"/>
  <c r="O496" i="1"/>
  <c r="N496" i="1"/>
  <c r="M496" i="1"/>
  <c r="G496" i="1"/>
  <c r="S495" i="1"/>
  <c r="R495" i="1"/>
  <c r="Q495" i="1"/>
  <c r="P495" i="1"/>
  <c r="O495" i="1"/>
  <c r="N495" i="1"/>
  <c r="M495" i="1"/>
  <c r="G495" i="1"/>
  <c r="S494" i="1"/>
  <c r="R494" i="1"/>
  <c r="Q494" i="1"/>
  <c r="P494" i="1"/>
  <c r="O494" i="1"/>
  <c r="N494" i="1"/>
  <c r="M494" i="1"/>
  <c r="G494" i="1"/>
  <c r="S493" i="1"/>
  <c r="R493" i="1"/>
  <c r="Q493" i="1"/>
  <c r="P493" i="1"/>
  <c r="O493" i="1"/>
  <c r="N493" i="1"/>
  <c r="M493" i="1"/>
  <c r="G493" i="1"/>
  <c r="S492" i="1"/>
  <c r="R492" i="1"/>
  <c r="Q492" i="1"/>
  <c r="P492" i="1"/>
  <c r="O492" i="1"/>
  <c r="N492" i="1"/>
  <c r="M492" i="1"/>
  <c r="G492" i="1"/>
  <c r="S491" i="1"/>
  <c r="R491" i="1"/>
  <c r="Q491" i="1"/>
  <c r="P491" i="1"/>
  <c r="O491" i="1"/>
  <c r="N491" i="1"/>
  <c r="M491" i="1"/>
  <c r="G491" i="1"/>
  <c r="S490" i="1"/>
  <c r="R490" i="1"/>
  <c r="Q490" i="1"/>
  <c r="P490" i="1"/>
  <c r="O490" i="1"/>
  <c r="N490" i="1"/>
  <c r="M490" i="1"/>
  <c r="G490" i="1"/>
  <c r="S489" i="1"/>
  <c r="R489" i="1"/>
  <c r="Q489" i="1"/>
  <c r="P489" i="1"/>
  <c r="O489" i="1"/>
  <c r="N489" i="1"/>
  <c r="M489" i="1"/>
  <c r="G489" i="1"/>
  <c r="S488" i="1"/>
  <c r="R488" i="1"/>
  <c r="Q488" i="1"/>
  <c r="P488" i="1"/>
  <c r="O488" i="1"/>
  <c r="N488" i="1"/>
  <c r="M488" i="1"/>
  <c r="G488" i="1"/>
  <c r="S487" i="1"/>
  <c r="R487" i="1"/>
  <c r="Q487" i="1"/>
  <c r="P487" i="1"/>
  <c r="O487" i="1"/>
  <c r="N487" i="1"/>
  <c r="M487" i="1"/>
  <c r="G487" i="1"/>
  <c r="S486" i="1"/>
  <c r="R486" i="1"/>
  <c r="Q486" i="1"/>
  <c r="P486" i="1"/>
  <c r="O486" i="1"/>
  <c r="N486" i="1"/>
  <c r="M486" i="1"/>
  <c r="G486" i="1"/>
  <c r="S485" i="1"/>
  <c r="R485" i="1"/>
  <c r="Q485" i="1"/>
  <c r="P485" i="1"/>
  <c r="O485" i="1"/>
  <c r="N485" i="1"/>
  <c r="M485" i="1"/>
  <c r="G485" i="1"/>
  <c r="S484" i="1"/>
  <c r="R484" i="1"/>
  <c r="Q484" i="1"/>
  <c r="P484" i="1"/>
  <c r="O484" i="1"/>
  <c r="N484" i="1"/>
  <c r="M484" i="1"/>
  <c r="G484" i="1"/>
  <c r="S483" i="1"/>
  <c r="R483" i="1"/>
  <c r="Q483" i="1"/>
  <c r="P483" i="1"/>
  <c r="O483" i="1"/>
  <c r="N483" i="1"/>
  <c r="M483" i="1"/>
  <c r="G483" i="1"/>
  <c r="S482" i="1"/>
  <c r="R482" i="1"/>
  <c r="Q482" i="1"/>
  <c r="P482" i="1"/>
  <c r="O482" i="1"/>
  <c r="N482" i="1"/>
  <c r="M482" i="1"/>
  <c r="G482" i="1"/>
  <c r="S481" i="1"/>
  <c r="R481" i="1"/>
  <c r="Q481" i="1"/>
  <c r="P481" i="1"/>
  <c r="O481" i="1"/>
  <c r="N481" i="1"/>
  <c r="M481" i="1"/>
  <c r="G481" i="1"/>
  <c r="S480" i="1"/>
  <c r="R480" i="1"/>
  <c r="Q480" i="1"/>
  <c r="P480" i="1"/>
  <c r="O480" i="1"/>
  <c r="N480" i="1"/>
  <c r="M480" i="1"/>
  <c r="G480" i="1"/>
  <c r="S479" i="1"/>
  <c r="R479" i="1"/>
  <c r="Q479" i="1"/>
  <c r="P479" i="1"/>
  <c r="O479" i="1"/>
  <c r="N479" i="1"/>
  <c r="M479" i="1"/>
  <c r="G479" i="1"/>
  <c r="S478" i="1"/>
  <c r="R478" i="1"/>
  <c r="Q478" i="1"/>
  <c r="P478" i="1"/>
  <c r="O478" i="1"/>
  <c r="N478" i="1"/>
  <c r="M478" i="1"/>
  <c r="G478" i="1"/>
  <c r="S477" i="1"/>
  <c r="R477" i="1"/>
  <c r="Q477" i="1"/>
  <c r="P477" i="1"/>
  <c r="O477" i="1"/>
  <c r="N477" i="1"/>
  <c r="M477" i="1"/>
  <c r="G477" i="1"/>
  <c r="S476" i="1"/>
  <c r="R476" i="1"/>
  <c r="Q476" i="1"/>
  <c r="P476" i="1"/>
  <c r="O476" i="1"/>
  <c r="N476" i="1"/>
  <c r="M476" i="1"/>
  <c r="G476" i="1"/>
  <c r="S475" i="1"/>
  <c r="R475" i="1"/>
  <c r="Q475" i="1"/>
  <c r="P475" i="1"/>
  <c r="O475" i="1"/>
  <c r="N475" i="1"/>
  <c r="M475" i="1"/>
  <c r="G475" i="1"/>
  <c r="S474" i="1"/>
  <c r="R474" i="1"/>
  <c r="Q474" i="1"/>
  <c r="P474" i="1"/>
  <c r="O474" i="1"/>
  <c r="N474" i="1"/>
  <c r="M474" i="1"/>
  <c r="G474" i="1"/>
  <c r="S473" i="1"/>
  <c r="R473" i="1"/>
  <c r="Q473" i="1"/>
  <c r="P473" i="1"/>
  <c r="O473" i="1"/>
  <c r="N473" i="1"/>
  <c r="M473" i="1"/>
  <c r="G473" i="1"/>
  <c r="S472" i="1"/>
  <c r="R472" i="1"/>
  <c r="Q472" i="1"/>
  <c r="P472" i="1"/>
  <c r="O472" i="1"/>
  <c r="N472" i="1"/>
  <c r="M472" i="1"/>
  <c r="G472" i="1"/>
  <c r="S471" i="1"/>
  <c r="R471" i="1"/>
  <c r="Q471" i="1"/>
  <c r="P471" i="1"/>
  <c r="O471" i="1"/>
  <c r="N471" i="1"/>
  <c r="M471" i="1"/>
  <c r="G471" i="1"/>
  <c r="S470" i="1"/>
  <c r="R470" i="1"/>
  <c r="Q470" i="1"/>
  <c r="P470" i="1"/>
  <c r="O470" i="1"/>
  <c r="N470" i="1"/>
  <c r="M470" i="1"/>
  <c r="G470" i="1"/>
  <c r="S469" i="1"/>
  <c r="R469" i="1"/>
  <c r="Q469" i="1"/>
  <c r="P469" i="1"/>
  <c r="O469" i="1"/>
  <c r="N469" i="1"/>
  <c r="M469" i="1"/>
  <c r="G469" i="1"/>
  <c r="S468" i="1"/>
  <c r="R468" i="1"/>
  <c r="Q468" i="1"/>
  <c r="P468" i="1"/>
  <c r="O468" i="1"/>
  <c r="N468" i="1"/>
  <c r="M468" i="1"/>
  <c r="G468" i="1"/>
  <c r="S467" i="1"/>
  <c r="R467" i="1"/>
  <c r="Q467" i="1"/>
  <c r="P467" i="1"/>
  <c r="O467" i="1"/>
  <c r="N467" i="1"/>
  <c r="M467" i="1"/>
  <c r="G467" i="1"/>
  <c r="S466" i="1"/>
  <c r="R466" i="1"/>
  <c r="Q466" i="1"/>
  <c r="P466" i="1"/>
  <c r="O466" i="1"/>
  <c r="N466" i="1"/>
  <c r="M466" i="1"/>
  <c r="G466" i="1"/>
  <c r="S465" i="1"/>
  <c r="R465" i="1"/>
  <c r="Q465" i="1"/>
  <c r="P465" i="1"/>
  <c r="O465" i="1"/>
  <c r="N465" i="1"/>
  <c r="M465" i="1"/>
  <c r="G465" i="1"/>
  <c r="S464" i="1"/>
  <c r="R464" i="1"/>
  <c r="Q464" i="1"/>
  <c r="P464" i="1"/>
  <c r="O464" i="1"/>
  <c r="N464" i="1"/>
  <c r="M464" i="1"/>
  <c r="G464" i="1"/>
  <c r="S463" i="1"/>
  <c r="R463" i="1"/>
  <c r="Q463" i="1"/>
  <c r="P463" i="1"/>
  <c r="O463" i="1"/>
  <c r="N463" i="1"/>
  <c r="M463" i="1"/>
  <c r="G463" i="1"/>
  <c r="S462" i="1"/>
  <c r="R462" i="1"/>
  <c r="Q462" i="1"/>
  <c r="P462" i="1"/>
  <c r="O462" i="1"/>
  <c r="N462" i="1"/>
  <c r="M462" i="1"/>
  <c r="G462" i="1"/>
  <c r="S461" i="1"/>
  <c r="R461" i="1"/>
  <c r="Q461" i="1"/>
  <c r="P461" i="1"/>
  <c r="O461" i="1"/>
  <c r="N461" i="1"/>
  <c r="M461" i="1"/>
  <c r="G461" i="1"/>
  <c r="S460" i="1"/>
  <c r="R460" i="1"/>
  <c r="Q460" i="1"/>
  <c r="P460" i="1"/>
  <c r="O460" i="1"/>
  <c r="N460" i="1"/>
  <c r="M460" i="1"/>
  <c r="G460" i="1"/>
  <c r="S459" i="1"/>
  <c r="R459" i="1"/>
  <c r="Q459" i="1"/>
  <c r="P459" i="1"/>
  <c r="O459" i="1"/>
  <c r="N459" i="1"/>
  <c r="M459" i="1"/>
  <c r="G459" i="1"/>
  <c r="S458" i="1"/>
  <c r="R458" i="1"/>
  <c r="Q458" i="1"/>
  <c r="P458" i="1"/>
  <c r="O458" i="1"/>
  <c r="N458" i="1"/>
  <c r="M458" i="1"/>
  <c r="G458" i="1"/>
  <c r="S457" i="1"/>
  <c r="R457" i="1"/>
  <c r="Q457" i="1"/>
  <c r="P457" i="1"/>
  <c r="O457" i="1"/>
  <c r="N457" i="1"/>
  <c r="M457" i="1"/>
  <c r="G457" i="1"/>
  <c r="S456" i="1"/>
  <c r="R456" i="1"/>
  <c r="Q456" i="1"/>
  <c r="P456" i="1"/>
  <c r="O456" i="1"/>
  <c r="N456" i="1"/>
  <c r="M456" i="1"/>
  <c r="G456" i="1"/>
  <c r="S455" i="1"/>
  <c r="R455" i="1"/>
  <c r="Q455" i="1"/>
  <c r="P455" i="1"/>
  <c r="O455" i="1"/>
  <c r="N455" i="1"/>
  <c r="M455" i="1"/>
  <c r="G455" i="1"/>
  <c r="S454" i="1"/>
  <c r="R454" i="1"/>
  <c r="Q454" i="1"/>
  <c r="P454" i="1"/>
  <c r="O454" i="1"/>
  <c r="N454" i="1"/>
  <c r="M454" i="1"/>
  <c r="G454" i="1"/>
  <c r="S453" i="1"/>
  <c r="R453" i="1"/>
  <c r="Q453" i="1"/>
  <c r="P453" i="1"/>
  <c r="O453" i="1"/>
  <c r="N453" i="1"/>
  <c r="M453" i="1"/>
  <c r="G453" i="1"/>
  <c r="S452" i="1"/>
  <c r="R452" i="1"/>
  <c r="Q452" i="1"/>
  <c r="P452" i="1"/>
  <c r="O452" i="1"/>
  <c r="N452" i="1"/>
  <c r="M452" i="1"/>
  <c r="G452" i="1"/>
  <c r="S451" i="1"/>
  <c r="R451" i="1"/>
  <c r="Q451" i="1"/>
  <c r="P451" i="1"/>
  <c r="O451" i="1"/>
  <c r="N451" i="1"/>
  <c r="M451" i="1"/>
  <c r="G451" i="1"/>
  <c r="S450" i="1"/>
  <c r="R450" i="1"/>
  <c r="Q450" i="1"/>
  <c r="P450" i="1"/>
  <c r="O450" i="1"/>
  <c r="N450" i="1"/>
  <c r="M450" i="1"/>
  <c r="G450" i="1"/>
  <c r="S449" i="1"/>
  <c r="R449" i="1"/>
  <c r="Q449" i="1"/>
  <c r="P449" i="1"/>
  <c r="O449" i="1"/>
  <c r="N449" i="1"/>
  <c r="M449" i="1"/>
  <c r="G449" i="1"/>
  <c r="S448" i="1"/>
  <c r="R448" i="1"/>
  <c r="Q448" i="1"/>
  <c r="P448" i="1"/>
  <c r="O448" i="1"/>
  <c r="N448" i="1"/>
  <c r="M448" i="1"/>
  <c r="G448" i="1"/>
  <c r="S447" i="1"/>
  <c r="R447" i="1"/>
  <c r="Q447" i="1"/>
  <c r="P447" i="1"/>
  <c r="O447" i="1"/>
  <c r="N447" i="1"/>
  <c r="M447" i="1"/>
  <c r="G447" i="1"/>
  <c r="S446" i="1"/>
  <c r="R446" i="1"/>
  <c r="Q446" i="1"/>
  <c r="P446" i="1"/>
  <c r="O446" i="1"/>
  <c r="N446" i="1"/>
  <c r="M446" i="1"/>
  <c r="G446" i="1"/>
  <c r="S445" i="1"/>
  <c r="R445" i="1"/>
  <c r="Q445" i="1"/>
  <c r="P445" i="1"/>
  <c r="O445" i="1"/>
  <c r="N445" i="1"/>
  <c r="M445" i="1"/>
  <c r="G445" i="1"/>
  <c r="S444" i="1"/>
  <c r="R444" i="1"/>
  <c r="Q444" i="1"/>
  <c r="P444" i="1"/>
  <c r="O444" i="1"/>
  <c r="N444" i="1"/>
  <c r="M444" i="1"/>
  <c r="G444" i="1"/>
  <c r="S443" i="1"/>
  <c r="R443" i="1"/>
  <c r="Q443" i="1"/>
  <c r="P443" i="1"/>
  <c r="O443" i="1"/>
  <c r="N443" i="1"/>
  <c r="M443" i="1"/>
  <c r="G443" i="1"/>
  <c r="S442" i="1"/>
  <c r="R442" i="1"/>
  <c r="Q442" i="1"/>
  <c r="P442" i="1"/>
  <c r="O442" i="1"/>
  <c r="N442" i="1"/>
  <c r="M442" i="1"/>
  <c r="G442" i="1"/>
  <c r="S441" i="1"/>
  <c r="R441" i="1"/>
  <c r="Q441" i="1"/>
  <c r="P441" i="1"/>
  <c r="O441" i="1"/>
  <c r="N441" i="1"/>
  <c r="M441" i="1"/>
  <c r="G441" i="1"/>
  <c r="S440" i="1"/>
  <c r="R440" i="1"/>
  <c r="Q440" i="1"/>
  <c r="P440" i="1"/>
  <c r="O440" i="1"/>
  <c r="N440" i="1"/>
  <c r="M440" i="1"/>
  <c r="G440" i="1"/>
  <c r="S439" i="1"/>
  <c r="R439" i="1"/>
  <c r="Q439" i="1"/>
  <c r="P439" i="1"/>
  <c r="O439" i="1"/>
  <c r="N439" i="1"/>
  <c r="M439" i="1"/>
  <c r="G439" i="1"/>
  <c r="S438" i="1"/>
  <c r="R438" i="1"/>
  <c r="Q438" i="1"/>
  <c r="P438" i="1"/>
  <c r="O438" i="1"/>
  <c r="N438" i="1"/>
  <c r="M438" i="1"/>
  <c r="G438" i="1"/>
  <c r="S437" i="1"/>
  <c r="R437" i="1"/>
  <c r="Q437" i="1"/>
  <c r="P437" i="1"/>
  <c r="O437" i="1"/>
  <c r="N437" i="1"/>
  <c r="M437" i="1"/>
  <c r="G437" i="1"/>
  <c r="S436" i="1"/>
  <c r="R436" i="1"/>
  <c r="Q436" i="1"/>
  <c r="P436" i="1"/>
  <c r="O436" i="1"/>
  <c r="N436" i="1"/>
  <c r="M436" i="1"/>
  <c r="G436" i="1"/>
  <c r="S435" i="1"/>
  <c r="R435" i="1"/>
  <c r="Q435" i="1"/>
  <c r="P435" i="1"/>
  <c r="O435" i="1"/>
  <c r="N435" i="1"/>
  <c r="M435" i="1"/>
  <c r="G435" i="1"/>
  <c r="S434" i="1"/>
  <c r="R434" i="1"/>
  <c r="Q434" i="1"/>
  <c r="P434" i="1"/>
  <c r="O434" i="1"/>
  <c r="N434" i="1"/>
  <c r="M434" i="1"/>
  <c r="G434" i="1"/>
  <c r="S433" i="1"/>
  <c r="R433" i="1"/>
  <c r="Q433" i="1"/>
  <c r="P433" i="1"/>
  <c r="O433" i="1"/>
  <c r="N433" i="1"/>
  <c r="M433" i="1"/>
  <c r="G433" i="1"/>
  <c r="S432" i="1"/>
  <c r="R432" i="1"/>
  <c r="Q432" i="1"/>
  <c r="P432" i="1"/>
  <c r="O432" i="1"/>
  <c r="N432" i="1"/>
  <c r="M432" i="1"/>
  <c r="G432" i="1"/>
  <c r="S431" i="1"/>
  <c r="R431" i="1"/>
  <c r="Q431" i="1"/>
  <c r="P431" i="1"/>
  <c r="O431" i="1"/>
  <c r="N431" i="1"/>
  <c r="M431" i="1"/>
  <c r="G431" i="1"/>
  <c r="S430" i="1"/>
  <c r="R430" i="1"/>
  <c r="Q430" i="1"/>
  <c r="P430" i="1"/>
  <c r="O430" i="1"/>
  <c r="N430" i="1"/>
  <c r="M430" i="1"/>
  <c r="G430" i="1"/>
  <c r="S429" i="1"/>
  <c r="R429" i="1"/>
  <c r="Q429" i="1"/>
  <c r="P429" i="1"/>
  <c r="O429" i="1"/>
  <c r="N429" i="1"/>
  <c r="M429" i="1"/>
  <c r="G429" i="1"/>
  <c r="S428" i="1"/>
  <c r="R428" i="1"/>
  <c r="Q428" i="1"/>
  <c r="P428" i="1"/>
  <c r="O428" i="1"/>
  <c r="N428" i="1"/>
  <c r="M428" i="1"/>
  <c r="G428" i="1"/>
  <c r="S427" i="1"/>
  <c r="R427" i="1"/>
  <c r="Q427" i="1"/>
  <c r="P427" i="1"/>
  <c r="O427" i="1"/>
  <c r="N427" i="1"/>
  <c r="M427" i="1"/>
  <c r="G427" i="1"/>
  <c r="S426" i="1"/>
  <c r="R426" i="1"/>
  <c r="Q426" i="1"/>
  <c r="P426" i="1"/>
  <c r="O426" i="1"/>
  <c r="N426" i="1"/>
  <c r="M426" i="1"/>
  <c r="G426" i="1"/>
  <c r="S425" i="1"/>
  <c r="R425" i="1"/>
  <c r="Q425" i="1"/>
  <c r="P425" i="1"/>
  <c r="O425" i="1"/>
  <c r="N425" i="1"/>
  <c r="M425" i="1"/>
  <c r="G425" i="1"/>
  <c r="S424" i="1"/>
  <c r="R424" i="1"/>
  <c r="Q424" i="1"/>
  <c r="P424" i="1"/>
  <c r="O424" i="1"/>
  <c r="N424" i="1"/>
  <c r="M424" i="1"/>
  <c r="G424" i="1"/>
  <c r="S423" i="1"/>
  <c r="R423" i="1"/>
  <c r="Q423" i="1"/>
  <c r="P423" i="1"/>
  <c r="O423" i="1"/>
  <c r="N423" i="1"/>
  <c r="M423" i="1"/>
  <c r="G423" i="1"/>
  <c r="S422" i="1"/>
  <c r="R422" i="1"/>
  <c r="Q422" i="1"/>
  <c r="P422" i="1"/>
  <c r="O422" i="1"/>
  <c r="N422" i="1"/>
  <c r="M422" i="1"/>
  <c r="G422" i="1"/>
  <c r="S421" i="1"/>
  <c r="R421" i="1"/>
  <c r="Q421" i="1"/>
  <c r="P421" i="1"/>
  <c r="O421" i="1"/>
  <c r="N421" i="1"/>
  <c r="M421" i="1"/>
  <c r="G421" i="1"/>
  <c r="S420" i="1"/>
  <c r="R420" i="1"/>
  <c r="Q420" i="1"/>
  <c r="P420" i="1"/>
  <c r="O420" i="1"/>
  <c r="N420" i="1"/>
  <c r="M420" i="1"/>
  <c r="G420" i="1"/>
  <c r="S419" i="1"/>
  <c r="R419" i="1"/>
  <c r="Q419" i="1"/>
  <c r="P419" i="1"/>
  <c r="O419" i="1"/>
  <c r="N419" i="1"/>
  <c r="M419" i="1"/>
  <c r="G419" i="1"/>
  <c r="S418" i="1"/>
  <c r="R418" i="1"/>
  <c r="Q418" i="1"/>
  <c r="P418" i="1"/>
  <c r="O418" i="1"/>
  <c r="N418" i="1"/>
  <c r="M418" i="1"/>
  <c r="G418" i="1"/>
  <c r="S417" i="1"/>
  <c r="R417" i="1"/>
  <c r="Q417" i="1"/>
  <c r="P417" i="1"/>
  <c r="O417" i="1"/>
  <c r="N417" i="1"/>
  <c r="M417" i="1"/>
  <c r="G417" i="1"/>
  <c r="S416" i="1"/>
  <c r="R416" i="1"/>
  <c r="Q416" i="1"/>
  <c r="P416" i="1"/>
  <c r="O416" i="1"/>
  <c r="N416" i="1"/>
  <c r="M416" i="1"/>
  <c r="G416" i="1"/>
  <c r="S415" i="1"/>
  <c r="R415" i="1"/>
  <c r="Q415" i="1"/>
  <c r="P415" i="1"/>
  <c r="O415" i="1"/>
  <c r="N415" i="1"/>
  <c r="M415" i="1"/>
  <c r="G415" i="1"/>
  <c r="S414" i="1"/>
  <c r="R414" i="1"/>
  <c r="Q414" i="1"/>
  <c r="P414" i="1"/>
  <c r="O414" i="1"/>
  <c r="N414" i="1"/>
  <c r="M414" i="1"/>
  <c r="G414" i="1"/>
  <c r="S413" i="1"/>
  <c r="R413" i="1"/>
  <c r="Q413" i="1"/>
  <c r="P413" i="1"/>
  <c r="O413" i="1"/>
  <c r="N413" i="1"/>
  <c r="M413" i="1"/>
  <c r="G413" i="1"/>
  <c r="S412" i="1"/>
  <c r="R412" i="1"/>
  <c r="Q412" i="1"/>
  <c r="P412" i="1"/>
  <c r="O412" i="1"/>
  <c r="N412" i="1"/>
  <c r="M412" i="1"/>
  <c r="G412" i="1"/>
  <c r="S411" i="1"/>
  <c r="R411" i="1"/>
  <c r="Q411" i="1"/>
  <c r="P411" i="1"/>
  <c r="O411" i="1"/>
  <c r="N411" i="1"/>
  <c r="M411" i="1"/>
  <c r="G411" i="1"/>
  <c r="S410" i="1"/>
  <c r="R410" i="1"/>
  <c r="Q410" i="1"/>
  <c r="P410" i="1"/>
  <c r="O410" i="1"/>
  <c r="N410" i="1"/>
  <c r="M410" i="1"/>
  <c r="G410" i="1"/>
  <c r="S409" i="1"/>
  <c r="R409" i="1"/>
  <c r="Q409" i="1"/>
  <c r="P409" i="1"/>
  <c r="O409" i="1"/>
  <c r="N409" i="1"/>
  <c r="M409" i="1"/>
  <c r="G409" i="1"/>
  <c r="S408" i="1"/>
  <c r="R408" i="1"/>
  <c r="Q408" i="1"/>
  <c r="P408" i="1"/>
  <c r="O408" i="1"/>
  <c r="N408" i="1"/>
  <c r="M408" i="1"/>
  <c r="G408" i="1"/>
  <c r="S407" i="1"/>
  <c r="R407" i="1"/>
  <c r="Q407" i="1"/>
  <c r="P407" i="1"/>
  <c r="O407" i="1"/>
  <c r="N407" i="1"/>
  <c r="M407" i="1"/>
  <c r="G407" i="1"/>
  <c r="S406" i="1"/>
  <c r="R406" i="1"/>
  <c r="Q406" i="1"/>
  <c r="P406" i="1"/>
  <c r="O406" i="1"/>
  <c r="N406" i="1"/>
  <c r="M406" i="1"/>
  <c r="G406" i="1"/>
  <c r="S405" i="1"/>
  <c r="R405" i="1"/>
  <c r="Q405" i="1"/>
  <c r="P405" i="1"/>
  <c r="O405" i="1"/>
  <c r="N405" i="1"/>
  <c r="M405" i="1"/>
  <c r="G405" i="1"/>
  <c r="S404" i="1"/>
  <c r="R404" i="1"/>
  <c r="Q404" i="1"/>
  <c r="P404" i="1"/>
  <c r="O404" i="1"/>
  <c r="N404" i="1"/>
  <c r="M404" i="1"/>
  <c r="G404" i="1"/>
  <c r="S403" i="1"/>
  <c r="R403" i="1"/>
  <c r="Q403" i="1"/>
  <c r="P403" i="1"/>
  <c r="O403" i="1"/>
  <c r="N403" i="1"/>
  <c r="M403" i="1"/>
  <c r="G403" i="1"/>
  <c r="S402" i="1"/>
  <c r="R402" i="1"/>
  <c r="Q402" i="1"/>
  <c r="P402" i="1"/>
  <c r="O402" i="1"/>
  <c r="N402" i="1"/>
  <c r="M402" i="1"/>
  <c r="G402" i="1"/>
  <c r="S401" i="1"/>
  <c r="R401" i="1"/>
  <c r="Q401" i="1"/>
  <c r="P401" i="1"/>
  <c r="O401" i="1"/>
  <c r="N401" i="1"/>
  <c r="M401" i="1"/>
  <c r="G401" i="1"/>
  <c r="S400" i="1"/>
  <c r="R400" i="1"/>
  <c r="Q400" i="1"/>
  <c r="P400" i="1"/>
  <c r="O400" i="1"/>
  <c r="N400" i="1"/>
  <c r="M400" i="1"/>
  <c r="G400" i="1"/>
  <c r="S399" i="1"/>
  <c r="R399" i="1"/>
  <c r="Q399" i="1"/>
  <c r="P399" i="1"/>
  <c r="O399" i="1"/>
  <c r="N399" i="1"/>
  <c r="M399" i="1"/>
  <c r="G399" i="1"/>
  <c r="S398" i="1"/>
  <c r="R398" i="1"/>
  <c r="Q398" i="1"/>
  <c r="P398" i="1"/>
  <c r="O398" i="1"/>
  <c r="N398" i="1"/>
  <c r="M398" i="1"/>
  <c r="G398" i="1"/>
  <c r="S397" i="1"/>
  <c r="R397" i="1"/>
  <c r="Q397" i="1"/>
  <c r="P397" i="1"/>
  <c r="O397" i="1"/>
  <c r="N397" i="1"/>
  <c r="M397" i="1"/>
  <c r="G397" i="1"/>
  <c r="S396" i="1"/>
  <c r="R396" i="1"/>
  <c r="Q396" i="1"/>
  <c r="P396" i="1"/>
  <c r="O396" i="1"/>
  <c r="N396" i="1"/>
  <c r="M396" i="1"/>
  <c r="G396" i="1"/>
  <c r="S395" i="1"/>
  <c r="R395" i="1"/>
  <c r="Q395" i="1"/>
  <c r="P395" i="1"/>
  <c r="O395" i="1"/>
  <c r="N395" i="1"/>
  <c r="M395" i="1"/>
  <c r="G395" i="1"/>
  <c r="S394" i="1"/>
  <c r="R394" i="1"/>
  <c r="Q394" i="1"/>
  <c r="P394" i="1"/>
  <c r="O394" i="1"/>
  <c r="N394" i="1"/>
  <c r="M394" i="1"/>
  <c r="G394" i="1"/>
  <c r="S393" i="1"/>
  <c r="R393" i="1"/>
  <c r="Q393" i="1"/>
  <c r="P393" i="1"/>
  <c r="O393" i="1"/>
  <c r="N393" i="1"/>
  <c r="M393" i="1"/>
  <c r="G393" i="1"/>
  <c r="S392" i="1"/>
  <c r="R392" i="1"/>
  <c r="Q392" i="1"/>
  <c r="P392" i="1"/>
  <c r="O392" i="1"/>
  <c r="N392" i="1"/>
  <c r="M392" i="1"/>
  <c r="G392" i="1"/>
  <c r="S391" i="1"/>
  <c r="R391" i="1"/>
  <c r="Q391" i="1"/>
  <c r="P391" i="1"/>
  <c r="O391" i="1"/>
  <c r="N391" i="1"/>
  <c r="M391" i="1"/>
  <c r="G391" i="1"/>
  <c r="S390" i="1"/>
  <c r="R390" i="1"/>
  <c r="Q390" i="1"/>
  <c r="P390" i="1"/>
  <c r="O390" i="1"/>
  <c r="N390" i="1"/>
  <c r="M390" i="1"/>
  <c r="G390" i="1"/>
  <c r="S389" i="1"/>
  <c r="R389" i="1"/>
  <c r="Q389" i="1"/>
  <c r="P389" i="1"/>
  <c r="O389" i="1"/>
  <c r="N389" i="1"/>
  <c r="M389" i="1"/>
  <c r="G389" i="1"/>
  <c r="S388" i="1"/>
  <c r="R388" i="1"/>
  <c r="Q388" i="1"/>
  <c r="P388" i="1"/>
  <c r="O388" i="1"/>
  <c r="N388" i="1"/>
  <c r="M388" i="1"/>
  <c r="G388" i="1"/>
  <c r="S387" i="1"/>
  <c r="R387" i="1"/>
  <c r="Q387" i="1"/>
  <c r="P387" i="1"/>
  <c r="O387" i="1"/>
  <c r="N387" i="1"/>
  <c r="M387" i="1"/>
  <c r="G387" i="1"/>
  <c r="S386" i="1"/>
  <c r="R386" i="1"/>
  <c r="Q386" i="1"/>
  <c r="P386" i="1"/>
  <c r="O386" i="1"/>
  <c r="N386" i="1"/>
  <c r="M386" i="1"/>
  <c r="G386" i="1"/>
  <c r="S385" i="1"/>
  <c r="R385" i="1"/>
  <c r="Q385" i="1"/>
  <c r="P385" i="1"/>
  <c r="O385" i="1"/>
  <c r="N385" i="1"/>
  <c r="M385" i="1"/>
  <c r="G385" i="1"/>
  <c r="S384" i="1"/>
  <c r="R384" i="1"/>
  <c r="Q384" i="1"/>
  <c r="P384" i="1"/>
  <c r="O384" i="1"/>
  <c r="N384" i="1"/>
  <c r="M384" i="1"/>
  <c r="G384" i="1"/>
  <c r="S383" i="1"/>
  <c r="R383" i="1"/>
  <c r="Q383" i="1"/>
  <c r="P383" i="1"/>
  <c r="O383" i="1"/>
  <c r="N383" i="1"/>
  <c r="M383" i="1"/>
  <c r="G383" i="1"/>
  <c r="S382" i="1"/>
  <c r="R382" i="1"/>
  <c r="Q382" i="1"/>
  <c r="P382" i="1"/>
  <c r="O382" i="1"/>
  <c r="N382" i="1"/>
  <c r="M382" i="1"/>
  <c r="G382" i="1"/>
  <c r="S381" i="1"/>
  <c r="R381" i="1"/>
  <c r="Q381" i="1"/>
  <c r="P381" i="1"/>
  <c r="O381" i="1"/>
  <c r="N381" i="1"/>
  <c r="M381" i="1"/>
  <c r="G381" i="1"/>
  <c r="S380" i="1"/>
  <c r="R380" i="1"/>
  <c r="Q380" i="1"/>
  <c r="P380" i="1"/>
  <c r="O380" i="1"/>
  <c r="N380" i="1"/>
  <c r="M380" i="1"/>
  <c r="G380" i="1"/>
  <c r="S379" i="1"/>
  <c r="R379" i="1"/>
  <c r="Q379" i="1"/>
  <c r="P379" i="1"/>
  <c r="O379" i="1"/>
  <c r="N379" i="1"/>
  <c r="M379" i="1"/>
  <c r="G379" i="1"/>
  <c r="S378" i="1"/>
  <c r="R378" i="1"/>
  <c r="Q378" i="1"/>
  <c r="P378" i="1"/>
  <c r="O378" i="1"/>
  <c r="N378" i="1"/>
  <c r="M378" i="1"/>
  <c r="G378" i="1"/>
  <c r="S377" i="1"/>
  <c r="R377" i="1"/>
  <c r="Q377" i="1"/>
  <c r="P377" i="1"/>
  <c r="O377" i="1"/>
  <c r="N377" i="1"/>
  <c r="M377" i="1"/>
  <c r="G377" i="1"/>
  <c r="S376" i="1"/>
  <c r="R376" i="1"/>
  <c r="Q376" i="1"/>
  <c r="P376" i="1"/>
  <c r="O376" i="1"/>
  <c r="N376" i="1"/>
  <c r="M376" i="1"/>
  <c r="G376" i="1"/>
  <c r="S375" i="1"/>
  <c r="R375" i="1"/>
  <c r="Q375" i="1"/>
  <c r="P375" i="1"/>
  <c r="O375" i="1"/>
  <c r="N375" i="1"/>
  <c r="M375" i="1"/>
  <c r="G375" i="1"/>
  <c r="S374" i="1"/>
  <c r="R374" i="1"/>
  <c r="Q374" i="1"/>
  <c r="P374" i="1"/>
  <c r="O374" i="1"/>
  <c r="N374" i="1"/>
  <c r="M374" i="1"/>
  <c r="G374" i="1"/>
  <c r="S373" i="1"/>
  <c r="R373" i="1"/>
  <c r="Q373" i="1"/>
  <c r="P373" i="1"/>
  <c r="O373" i="1"/>
  <c r="N373" i="1"/>
  <c r="M373" i="1"/>
  <c r="G373" i="1"/>
  <c r="S372" i="1"/>
  <c r="R372" i="1"/>
  <c r="Q372" i="1"/>
  <c r="P372" i="1"/>
  <c r="O372" i="1"/>
  <c r="N372" i="1"/>
  <c r="M372" i="1"/>
  <c r="G372" i="1"/>
  <c r="S371" i="1"/>
  <c r="R371" i="1"/>
  <c r="Q371" i="1"/>
  <c r="P371" i="1"/>
  <c r="O371" i="1"/>
  <c r="N371" i="1"/>
  <c r="M371" i="1"/>
  <c r="G371" i="1"/>
  <c r="S370" i="1"/>
  <c r="R370" i="1"/>
  <c r="Q370" i="1"/>
  <c r="P370" i="1"/>
  <c r="O370" i="1"/>
  <c r="N370" i="1"/>
  <c r="M370" i="1"/>
  <c r="G370" i="1"/>
  <c r="S369" i="1"/>
  <c r="R369" i="1"/>
  <c r="Q369" i="1"/>
  <c r="P369" i="1"/>
  <c r="O369" i="1"/>
  <c r="N369" i="1"/>
  <c r="M369" i="1"/>
  <c r="G369" i="1"/>
  <c r="S368" i="1"/>
  <c r="R368" i="1"/>
  <c r="Q368" i="1"/>
  <c r="P368" i="1"/>
  <c r="O368" i="1"/>
  <c r="N368" i="1"/>
  <c r="M368" i="1"/>
  <c r="G368" i="1"/>
  <c r="S367" i="1"/>
  <c r="R367" i="1"/>
  <c r="Q367" i="1"/>
  <c r="P367" i="1"/>
  <c r="O367" i="1"/>
  <c r="N367" i="1"/>
  <c r="M367" i="1"/>
  <c r="G367" i="1"/>
  <c r="S366" i="1"/>
  <c r="R366" i="1"/>
  <c r="Q366" i="1"/>
  <c r="P366" i="1"/>
  <c r="O366" i="1"/>
  <c r="N366" i="1"/>
  <c r="M366" i="1"/>
  <c r="G366" i="1"/>
  <c r="S365" i="1"/>
  <c r="R365" i="1"/>
  <c r="Q365" i="1"/>
  <c r="P365" i="1"/>
  <c r="O365" i="1"/>
  <c r="N365" i="1"/>
  <c r="M365" i="1"/>
  <c r="G365" i="1"/>
  <c r="S364" i="1"/>
  <c r="R364" i="1"/>
  <c r="Q364" i="1"/>
  <c r="P364" i="1"/>
  <c r="O364" i="1"/>
  <c r="N364" i="1"/>
  <c r="M364" i="1"/>
  <c r="G364" i="1"/>
  <c r="S363" i="1"/>
  <c r="R363" i="1"/>
  <c r="Q363" i="1"/>
  <c r="P363" i="1"/>
  <c r="O363" i="1"/>
  <c r="N363" i="1"/>
  <c r="M363" i="1"/>
  <c r="G363" i="1"/>
  <c r="S362" i="1"/>
  <c r="R362" i="1"/>
  <c r="Q362" i="1"/>
  <c r="P362" i="1"/>
  <c r="O362" i="1"/>
  <c r="N362" i="1"/>
  <c r="M362" i="1"/>
  <c r="G362" i="1"/>
  <c r="S361" i="1"/>
  <c r="R361" i="1"/>
  <c r="Q361" i="1"/>
  <c r="P361" i="1"/>
  <c r="O361" i="1"/>
  <c r="N361" i="1"/>
  <c r="M361" i="1"/>
  <c r="G361" i="1"/>
  <c r="S360" i="1"/>
  <c r="R360" i="1"/>
  <c r="Q360" i="1"/>
  <c r="P360" i="1"/>
  <c r="O360" i="1"/>
  <c r="N360" i="1"/>
  <c r="M360" i="1"/>
  <c r="G360" i="1"/>
  <c r="S359" i="1"/>
  <c r="R359" i="1"/>
  <c r="Q359" i="1"/>
  <c r="P359" i="1"/>
  <c r="O359" i="1"/>
  <c r="N359" i="1"/>
  <c r="M359" i="1"/>
  <c r="G359" i="1"/>
  <c r="S358" i="1"/>
  <c r="R358" i="1"/>
  <c r="Q358" i="1"/>
  <c r="P358" i="1"/>
  <c r="O358" i="1"/>
  <c r="N358" i="1"/>
  <c r="M358" i="1"/>
  <c r="G358" i="1"/>
  <c r="S357" i="1"/>
  <c r="R357" i="1"/>
  <c r="Q357" i="1"/>
  <c r="P357" i="1"/>
  <c r="O357" i="1"/>
  <c r="N357" i="1"/>
  <c r="M357" i="1"/>
  <c r="G357" i="1"/>
  <c r="S356" i="1"/>
  <c r="R356" i="1"/>
  <c r="Q356" i="1"/>
  <c r="P356" i="1"/>
  <c r="O356" i="1"/>
  <c r="N356" i="1"/>
  <c r="M356" i="1"/>
  <c r="G356" i="1"/>
  <c r="S355" i="1"/>
  <c r="R355" i="1"/>
  <c r="Q355" i="1"/>
  <c r="P355" i="1"/>
  <c r="O355" i="1"/>
  <c r="N355" i="1"/>
  <c r="M355" i="1"/>
  <c r="G355" i="1"/>
  <c r="S354" i="1"/>
  <c r="R354" i="1"/>
  <c r="Q354" i="1"/>
  <c r="P354" i="1"/>
  <c r="O354" i="1"/>
  <c r="N354" i="1"/>
  <c r="M354" i="1"/>
  <c r="G354" i="1"/>
  <c r="S353" i="1"/>
  <c r="R353" i="1"/>
  <c r="Q353" i="1"/>
  <c r="P353" i="1"/>
  <c r="O353" i="1"/>
  <c r="N353" i="1"/>
  <c r="M353" i="1"/>
  <c r="G353" i="1"/>
  <c r="S352" i="1"/>
  <c r="R352" i="1"/>
  <c r="Q352" i="1"/>
  <c r="P352" i="1"/>
  <c r="O352" i="1"/>
  <c r="N352" i="1"/>
  <c r="M352" i="1"/>
  <c r="G352" i="1"/>
  <c r="S351" i="1"/>
  <c r="R351" i="1"/>
  <c r="Q351" i="1"/>
  <c r="P351" i="1"/>
  <c r="O351" i="1"/>
  <c r="N351" i="1"/>
  <c r="M351" i="1"/>
  <c r="G351" i="1"/>
  <c r="S350" i="1"/>
  <c r="R350" i="1"/>
  <c r="Q350" i="1"/>
  <c r="P350" i="1"/>
  <c r="O350" i="1"/>
  <c r="N350" i="1"/>
  <c r="M350" i="1"/>
  <c r="G350" i="1"/>
  <c r="S349" i="1"/>
  <c r="R349" i="1"/>
  <c r="Q349" i="1"/>
  <c r="P349" i="1"/>
  <c r="O349" i="1"/>
  <c r="N349" i="1"/>
  <c r="M349" i="1"/>
  <c r="G349" i="1"/>
  <c r="S348" i="1"/>
  <c r="R348" i="1"/>
  <c r="Q348" i="1"/>
  <c r="P348" i="1"/>
  <c r="O348" i="1"/>
  <c r="N348" i="1"/>
  <c r="M348" i="1"/>
  <c r="G348" i="1"/>
  <c r="S347" i="1"/>
  <c r="R347" i="1"/>
  <c r="Q347" i="1"/>
  <c r="P347" i="1"/>
  <c r="O347" i="1"/>
  <c r="N347" i="1"/>
  <c r="M347" i="1"/>
  <c r="G347" i="1"/>
  <c r="S346" i="1"/>
  <c r="R346" i="1"/>
  <c r="Q346" i="1"/>
  <c r="P346" i="1"/>
  <c r="O346" i="1"/>
  <c r="N346" i="1"/>
  <c r="M346" i="1"/>
  <c r="G346" i="1"/>
  <c r="S345" i="1"/>
  <c r="R345" i="1"/>
  <c r="Q345" i="1"/>
  <c r="P345" i="1"/>
  <c r="O345" i="1"/>
  <c r="N345" i="1"/>
  <c r="M345" i="1"/>
  <c r="G345" i="1"/>
  <c r="S344" i="1"/>
  <c r="R344" i="1"/>
  <c r="Q344" i="1"/>
  <c r="P344" i="1"/>
  <c r="O344" i="1"/>
  <c r="N344" i="1"/>
  <c r="M344" i="1"/>
  <c r="G344" i="1"/>
  <c r="S343" i="1"/>
  <c r="R343" i="1"/>
  <c r="Q343" i="1"/>
  <c r="P343" i="1"/>
  <c r="O343" i="1"/>
  <c r="N343" i="1"/>
  <c r="M343" i="1"/>
  <c r="G343" i="1"/>
  <c r="S342" i="1"/>
  <c r="R342" i="1"/>
  <c r="Q342" i="1"/>
  <c r="P342" i="1"/>
  <c r="O342" i="1"/>
  <c r="N342" i="1"/>
  <c r="M342" i="1"/>
  <c r="G342" i="1"/>
  <c r="S341" i="1"/>
  <c r="R341" i="1"/>
  <c r="Q341" i="1"/>
  <c r="P341" i="1"/>
  <c r="O341" i="1"/>
  <c r="N341" i="1"/>
  <c r="M341" i="1"/>
  <c r="G341" i="1"/>
  <c r="S340" i="1"/>
  <c r="R340" i="1"/>
  <c r="Q340" i="1"/>
  <c r="P340" i="1"/>
  <c r="O340" i="1"/>
  <c r="N340" i="1"/>
  <c r="M340" i="1"/>
  <c r="G340" i="1"/>
  <c r="S339" i="1"/>
  <c r="R339" i="1"/>
  <c r="Q339" i="1"/>
  <c r="P339" i="1"/>
  <c r="O339" i="1"/>
  <c r="N339" i="1"/>
  <c r="M339" i="1"/>
  <c r="G339" i="1"/>
  <c r="S338" i="1"/>
  <c r="R338" i="1"/>
  <c r="Q338" i="1"/>
  <c r="P338" i="1"/>
  <c r="O338" i="1"/>
  <c r="N338" i="1"/>
  <c r="M338" i="1"/>
  <c r="G338" i="1"/>
  <c r="S337" i="1"/>
  <c r="R337" i="1"/>
  <c r="Q337" i="1"/>
  <c r="P337" i="1"/>
  <c r="O337" i="1"/>
  <c r="N337" i="1"/>
  <c r="M337" i="1"/>
  <c r="G337" i="1"/>
  <c r="S336" i="1"/>
  <c r="R336" i="1"/>
  <c r="Q336" i="1"/>
  <c r="P336" i="1"/>
  <c r="O336" i="1"/>
  <c r="N336" i="1"/>
  <c r="M336" i="1"/>
  <c r="G336" i="1"/>
  <c r="S335" i="1"/>
  <c r="R335" i="1"/>
  <c r="Q335" i="1"/>
  <c r="P335" i="1"/>
  <c r="O335" i="1"/>
  <c r="N335" i="1"/>
  <c r="M335" i="1"/>
  <c r="G335" i="1"/>
  <c r="S334" i="1"/>
  <c r="R334" i="1"/>
  <c r="Q334" i="1"/>
  <c r="P334" i="1"/>
  <c r="O334" i="1"/>
  <c r="N334" i="1"/>
  <c r="M334" i="1"/>
  <c r="G334" i="1"/>
  <c r="S333" i="1"/>
  <c r="R333" i="1"/>
  <c r="Q333" i="1"/>
  <c r="P333" i="1"/>
  <c r="O333" i="1"/>
  <c r="N333" i="1"/>
  <c r="M333" i="1"/>
  <c r="G333" i="1"/>
  <c r="S332" i="1"/>
  <c r="R332" i="1"/>
  <c r="Q332" i="1"/>
  <c r="P332" i="1"/>
  <c r="O332" i="1"/>
  <c r="N332" i="1"/>
  <c r="M332" i="1"/>
  <c r="G332" i="1"/>
  <c r="S331" i="1"/>
  <c r="R331" i="1"/>
  <c r="Q331" i="1"/>
  <c r="P331" i="1"/>
  <c r="O331" i="1"/>
  <c r="N331" i="1"/>
  <c r="M331" i="1"/>
  <c r="G331" i="1"/>
  <c r="S330" i="1"/>
  <c r="R330" i="1"/>
  <c r="Q330" i="1"/>
  <c r="P330" i="1"/>
  <c r="O330" i="1"/>
  <c r="N330" i="1"/>
  <c r="M330" i="1"/>
  <c r="G330" i="1"/>
  <c r="S329" i="1"/>
  <c r="R329" i="1"/>
  <c r="Q329" i="1"/>
  <c r="P329" i="1"/>
  <c r="O329" i="1"/>
  <c r="N329" i="1"/>
  <c r="M329" i="1"/>
  <c r="G329" i="1"/>
  <c r="S328" i="1"/>
  <c r="R328" i="1"/>
  <c r="Q328" i="1"/>
  <c r="P328" i="1"/>
  <c r="O328" i="1"/>
  <c r="N328" i="1"/>
  <c r="M328" i="1"/>
  <c r="G328" i="1"/>
  <c r="S327" i="1"/>
  <c r="R327" i="1"/>
  <c r="Q327" i="1"/>
  <c r="P327" i="1"/>
  <c r="O327" i="1"/>
  <c r="N327" i="1"/>
  <c r="M327" i="1"/>
  <c r="G327" i="1"/>
  <c r="S326" i="1"/>
  <c r="R326" i="1"/>
  <c r="Q326" i="1"/>
  <c r="P326" i="1"/>
  <c r="O326" i="1"/>
  <c r="N326" i="1"/>
  <c r="M326" i="1"/>
  <c r="G326" i="1"/>
  <c r="S325" i="1"/>
  <c r="R325" i="1"/>
  <c r="Q325" i="1"/>
  <c r="P325" i="1"/>
  <c r="O325" i="1"/>
  <c r="N325" i="1"/>
  <c r="M325" i="1"/>
  <c r="G325" i="1"/>
  <c r="S324" i="1"/>
  <c r="R324" i="1"/>
  <c r="Q324" i="1"/>
  <c r="P324" i="1"/>
  <c r="O324" i="1"/>
  <c r="N324" i="1"/>
  <c r="M324" i="1"/>
  <c r="G324" i="1"/>
  <c r="S323" i="1"/>
  <c r="R323" i="1"/>
  <c r="Q323" i="1"/>
  <c r="P323" i="1"/>
  <c r="O323" i="1"/>
  <c r="N323" i="1"/>
  <c r="M323" i="1"/>
  <c r="G323" i="1"/>
  <c r="S322" i="1"/>
  <c r="R322" i="1"/>
  <c r="Q322" i="1"/>
  <c r="P322" i="1"/>
  <c r="O322" i="1"/>
  <c r="N322" i="1"/>
  <c r="M322" i="1"/>
  <c r="G322" i="1"/>
  <c r="S321" i="1"/>
  <c r="R321" i="1"/>
  <c r="Q321" i="1"/>
  <c r="P321" i="1"/>
  <c r="O321" i="1"/>
  <c r="N321" i="1"/>
  <c r="M321" i="1"/>
  <c r="G321" i="1"/>
  <c r="S320" i="1"/>
  <c r="R320" i="1"/>
  <c r="Q320" i="1"/>
  <c r="P320" i="1"/>
  <c r="O320" i="1"/>
  <c r="N320" i="1"/>
  <c r="M320" i="1"/>
  <c r="G320" i="1"/>
  <c r="S319" i="1"/>
  <c r="R319" i="1"/>
  <c r="Q319" i="1"/>
  <c r="P319" i="1"/>
  <c r="O319" i="1"/>
  <c r="N319" i="1"/>
  <c r="M319" i="1"/>
  <c r="G319" i="1"/>
  <c r="S318" i="1"/>
  <c r="R318" i="1"/>
  <c r="Q318" i="1"/>
  <c r="P318" i="1"/>
  <c r="O318" i="1"/>
  <c r="N318" i="1"/>
  <c r="M318" i="1"/>
  <c r="G318" i="1"/>
  <c r="S317" i="1"/>
  <c r="R317" i="1"/>
  <c r="Q317" i="1"/>
  <c r="P317" i="1"/>
  <c r="O317" i="1"/>
  <c r="N317" i="1"/>
  <c r="M317" i="1"/>
  <c r="G317" i="1"/>
  <c r="S316" i="1"/>
  <c r="R316" i="1"/>
  <c r="Q316" i="1"/>
  <c r="P316" i="1"/>
  <c r="O316" i="1"/>
  <c r="N316" i="1"/>
  <c r="M316" i="1"/>
  <c r="G316" i="1"/>
  <c r="S315" i="1"/>
  <c r="R315" i="1"/>
  <c r="Q315" i="1"/>
  <c r="P315" i="1"/>
  <c r="O315" i="1"/>
  <c r="N315" i="1"/>
  <c r="M315" i="1"/>
  <c r="G315" i="1"/>
  <c r="S314" i="1"/>
  <c r="R314" i="1"/>
  <c r="Q314" i="1"/>
  <c r="P314" i="1"/>
  <c r="O314" i="1"/>
  <c r="N314" i="1"/>
  <c r="M314" i="1"/>
  <c r="G314" i="1"/>
  <c r="S313" i="1"/>
  <c r="R313" i="1"/>
  <c r="Q313" i="1"/>
  <c r="P313" i="1"/>
  <c r="O313" i="1"/>
  <c r="N313" i="1"/>
  <c r="M313" i="1"/>
  <c r="G313" i="1"/>
  <c r="S312" i="1"/>
  <c r="R312" i="1"/>
  <c r="Q312" i="1"/>
  <c r="P312" i="1"/>
  <c r="O312" i="1"/>
  <c r="N312" i="1"/>
  <c r="M312" i="1"/>
  <c r="G312" i="1"/>
  <c r="S311" i="1"/>
  <c r="R311" i="1"/>
  <c r="Q311" i="1"/>
  <c r="P311" i="1"/>
  <c r="O311" i="1"/>
  <c r="N311" i="1"/>
  <c r="M311" i="1"/>
  <c r="G311" i="1"/>
  <c r="S310" i="1"/>
  <c r="R310" i="1"/>
  <c r="Q310" i="1"/>
  <c r="P310" i="1"/>
  <c r="O310" i="1"/>
  <c r="N310" i="1"/>
  <c r="M310" i="1"/>
  <c r="G310" i="1"/>
  <c r="S309" i="1"/>
  <c r="R309" i="1"/>
  <c r="Q309" i="1"/>
  <c r="P309" i="1"/>
  <c r="O309" i="1"/>
  <c r="N309" i="1"/>
  <c r="M309" i="1"/>
  <c r="G309" i="1"/>
  <c r="S308" i="1"/>
  <c r="R308" i="1"/>
  <c r="Q308" i="1"/>
  <c r="P308" i="1"/>
  <c r="O308" i="1"/>
  <c r="N308" i="1"/>
  <c r="M308" i="1"/>
  <c r="G308" i="1"/>
  <c r="S307" i="1"/>
  <c r="R307" i="1"/>
  <c r="Q307" i="1"/>
  <c r="P307" i="1"/>
  <c r="O307" i="1"/>
  <c r="N307" i="1"/>
  <c r="M307" i="1"/>
  <c r="G307" i="1"/>
  <c r="S306" i="1"/>
  <c r="R306" i="1"/>
  <c r="Q306" i="1"/>
  <c r="P306" i="1"/>
  <c r="O306" i="1"/>
  <c r="N306" i="1"/>
  <c r="M306" i="1"/>
  <c r="G306" i="1"/>
  <c r="S305" i="1"/>
  <c r="R305" i="1"/>
  <c r="Q305" i="1"/>
  <c r="P305" i="1"/>
  <c r="O305" i="1"/>
  <c r="N305" i="1"/>
  <c r="M305" i="1"/>
  <c r="G305" i="1"/>
  <c r="S304" i="1"/>
  <c r="R304" i="1"/>
  <c r="Q304" i="1"/>
  <c r="P304" i="1"/>
  <c r="O304" i="1"/>
  <c r="N304" i="1"/>
  <c r="M304" i="1"/>
  <c r="G304" i="1"/>
  <c r="S303" i="1"/>
  <c r="R303" i="1"/>
  <c r="Q303" i="1"/>
  <c r="P303" i="1"/>
  <c r="O303" i="1"/>
  <c r="N303" i="1"/>
  <c r="M303" i="1"/>
  <c r="G303" i="1"/>
  <c r="S302" i="1"/>
  <c r="R302" i="1"/>
  <c r="Q302" i="1"/>
  <c r="P302" i="1"/>
  <c r="O302" i="1"/>
  <c r="N302" i="1"/>
  <c r="M302" i="1"/>
  <c r="G302" i="1"/>
  <c r="S301" i="1"/>
  <c r="R301" i="1"/>
  <c r="Q301" i="1"/>
  <c r="P301" i="1"/>
  <c r="O301" i="1"/>
  <c r="N301" i="1"/>
  <c r="M301" i="1"/>
  <c r="G301" i="1"/>
  <c r="S300" i="1"/>
  <c r="R300" i="1"/>
  <c r="Q300" i="1"/>
  <c r="P300" i="1"/>
  <c r="O300" i="1"/>
  <c r="N300" i="1"/>
  <c r="M300" i="1"/>
  <c r="G300" i="1"/>
  <c r="S299" i="1"/>
  <c r="R299" i="1"/>
  <c r="Q299" i="1"/>
  <c r="P299" i="1"/>
  <c r="O299" i="1"/>
  <c r="N299" i="1"/>
  <c r="M299" i="1"/>
  <c r="G299" i="1"/>
  <c r="S298" i="1"/>
  <c r="R298" i="1"/>
  <c r="Q298" i="1"/>
  <c r="P298" i="1"/>
  <c r="O298" i="1"/>
  <c r="N298" i="1"/>
  <c r="M298" i="1"/>
  <c r="G298" i="1"/>
  <c r="S297" i="1"/>
  <c r="R297" i="1"/>
  <c r="Q297" i="1"/>
  <c r="P297" i="1"/>
  <c r="O297" i="1"/>
  <c r="N297" i="1"/>
  <c r="M297" i="1"/>
  <c r="G297" i="1"/>
  <c r="S296" i="1"/>
  <c r="R296" i="1"/>
  <c r="Q296" i="1"/>
  <c r="P296" i="1"/>
  <c r="O296" i="1"/>
  <c r="N296" i="1"/>
  <c r="M296" i="1"/>
  <c r="G296" i="1"/>
  <c r="S295" i="1"/>
  <c r="R295" i="1"/>
  <c r="Q295" i="1"/>
  <c r="P295" i="1"/>
  <c r="O295" i="1"/>
  <c r="N295" i="1"/>
  <c r="M295" i="1"/>
  <c r="G295" i="1"/>
  <c r="S294" i="1"/>
  <c r="R294" i="1"/>
  <c r="Q294" i="1"/>
  <c r="P294" i="1"/>
  <c r="O294" i="1"/>
  <c r="N294" i="1"/>
  <c r="M294" i="1"/>
  <c r="G294" i="1"/>
  <c r="S293" i="1"/>
  <c r="R293" i="1"/>
  <c r="Q293" i="1"/>
  <c r="P293" i="1"/>
  <c r="O293" i="1"/>
  <c r="N293" i="1"/>
  <c r="M293" i="1"/>
  <c r="G293" i="1"/>
  <c r="S292" i="1"/>
  <c r="R292" i="1"/>
  <c r="Q292" i="1"/>
  <c r="P292" i="1"/>
  <c r="O292" i="1"/>
  <c r="N292" i="1"/>
  <c r="M292" i="1"/>
  <c r="G292" i="1"/>
  <c r="S291" i="1"/>
  <c r="R291" i="1"/>
  <c r="Q291" i="1"/>
  <c r="P291" i="1"/>
  <c r="O291" i="1"/>
  <c r="N291" i="1"/>
  <c r="M291" i="1"/>
  <c r="G291" i="1"/>
  <c r="S290" i="1"/>
  <c r="R290" i="1"/>
  <c r="Q290" i="1"/>
  <c r="P290" i="1"/>
  <c r="O290" i="1"/>
  <c r="N290" i="1"/>
  <c r="M290" i="1"/>
  <c r="G290" i="1"/>
  <c r="S289" i="1"/>
  <c r="R289" i="1"/>
  <c r="Q289" i="1"/>
  <c r="P289" i="1"/>
  <c r="O289" i="1"/>
  <c r="N289" i="1"/>
  <c r="M289" i="1"/>
  <c r="G289" i="1"/>
  <c r="S288" i="1"/>
  <c r="R288" i="1"/>
  <c r="Q288" i="1"/>
  <c r="P288" i="1"/>
  <c r="O288" i="1"/>
  <c r="N288" i="1"/>
  <c r="M288" i="1"/>
  <c r="G288" i="1"/>
  <c r="S287" i="1"/>
  <c r="R287" i="1"/>
  <c r="Q287" i="1"/>
  <c r="P287" i="1"/>
  <c r="O287" i="1"/>
  <c r="N287" i="1"/>
  <c r="M287" i="1"/>
  <c r="G287" i="1"/>
  <c r="S286" i="1"/>
  <c r="R286" i="1"/>
  <c r="Q286" i="1"/>
  <c r="P286" i="1"/>
  <c r="O286" i="1"/>
  <c r="N286" i="1"/>
  <c r="M286" i="1"/>
  <c r="G286" i="1"/>
  <c r="S285" i="1"/>
  <c r="R285" i="1"/>
  <c r="Q285" i="1"/>
  <c r="P285" i="1"/>
  <c r="O285" i="1"/>
  <c r="N285" i="1"/>
  <c r="M285" i="1"/>
  <c r="G285" i="1"/>
  <c r="S284" i="1"/>
  <c r="R284" i="1"/>
  <c r="Q284" i="1"/>
  <c r="P284" i="1"/>
  <c r="O284" i="1"/>
  <c r="N284" i="1"/>
  <c r="M284" i="1"/>
  <c r="G284" i="1"/>
  <c r="S283" i="1"/>
  <c r="R283" i="1"/>
  <c r="Q283" i="1"/>
  <c r="P283" i="1"/>
  <c r="O283" i="1"/>
  <c r="N283" i="1"/>
  <c r="M283" i="1"/>
  <c r="G283" i="1"/>
  <c r="S282" i="1"/>
  <c r="R282" i="1"/>
  <c r="Q282" i="1"/>
  <c r="P282" i="1"/>
  <c r="O282" i="1"/>
  <c r="N282" i="1"/>
  <c r="M282" i="1"/>
  <c r="G282" i="1"/>
  <c r="S281" i="1"/>
  <c r="R281" i="1"/>
  <c r="Q281" i="1"/>
  <c r="P281" i="1"/>
  <c r="O281" i="1"/>
  <c r="N281" i="1"/>
  <c r="M281" i="1"/>
  <c r="G281" i="1"/>
  <c r="S280" i="1"/>
  <c r="R280" i="1"/>
  <c r="Q280" i="1"/>
  <c r="P280" i="1"/>
  <c r="O280" i="1"/>
  <c r="N280" i="1"/>
  <c r="M280" i="1"/>
  <c r="G280" i="1"/>
  <c r="S279" i="1"/>
  <c r="R279" i="1"/>
  <c r="Q279" i="1"/>
  <c r="P279" i="1"/>
  <c r="O279" i="1"/>
  <c r="N279" i="1"/>
  <c r="M279" i="1"/>
  <c r="G279" i="1"/>
  <c r="S278" i="1"/>
  <c r="R278" i="1"/>
  <c r="Q278" i="1"/>
  <c r="P278" i="1"/>
  <c r="O278" i="1"/>
  <c r="N278" i="1"/>
  <c r="M278" i="1"/>
  <c r="G278" i="1"/>
  <c r="S277" i="1"/>
  <c r="R277" i="1"/>
  <c r="Q277" i="1"/>
  <c r="P277" i="1"/>
  <c r="O277" i="1"/>
  <c r="N277" i="1"/>
  <c r="M277" i="1"/>
  <c r="G277" i="1"/>
  <c r="S276" i="1"/>
  <c r="R276" i="1"/>
  <c r="Q276" i="1"/>
  <c r="P276" i="1"/>
  <c r="O276" i="1"/>
  <c r="N276" i="1"/>
  <c r="M276" i="1"/>
  <c r="G276" i="1"/>
  <c r="S275" i="1"/>
  <c r="R275" i="1"/>
  <c r="Q275" i="1"/>
  <c r="P275" i="1"/>
  <c r="O275" i="1"/>
  <c r="N275" i="1"/>
  <c r="M275" i="1"/>
  <c r="G275" i="1"/>
  <c r="S274" i="1"/>
  <c r="R274" i="1"/>
  <c r="Q274" i="1"/>
  <c r="P274" i="1"/>
  <c r="O274" i="1"/>
  <c r="N274" i="1"/>
  <c r="M274" i="1"/>
  <c r="G274" i="1"/>
  <c r="S273" i="1"/>
  <c r="R273" i="1"/>
  <c r="Q273" i="1"/>
  <c r="P273" i="1"/>
  <c r="O273" i="1"/>
  <c r="N273" i="1"/>
  <c r="M273" i="1"/>
  <c r="G273" i="1"/>
  <c r="S272" i="1"/>
  <c r="R272" i="1"/>
  <c r="Q272" i="1"/>
  <c r="P272" i="1"/>
  <c r="O272" i="1"/>
  <c r="N272" i="1"/>
  <c r="M272" i="1"/>
  <c r="G272" i="1"/>
  <c r="S271" i="1"/>
  <c r="R271" i="1"/>
  <c r="Q271" i="1"/>
  <c r="P271" i="1"/>
  <c r="O271" i="1"/>
  <c r="N271" i="1"/>
  <c r="M271" i="1"/>
  <c r="G271" i="1"/>
  <c r="S270" i="1"/>
  <c r="R270" i="1"/>
  <c r="Q270" i="1"/>
  <c r="P270" i="1"/>
  <c r="O270" i="1"/>
  <c r="N270" i="1"/>
  <c r="M270" i="1"/>
  <c r="G270" i="1"/>
  <c r="S269" i="1"/>
  <c r="R269" i="1"/>
  <c r="Q269" i="1"/>
  <c r="P269" i="1"/>
  <c r="O269" i="1"/>
  <c r="N269" i="1"/>
  <c r="M269" i="1"/>
  <c r="G269" i="1"/>
  <c r="S268" i="1"/>
  <c r="R268" i="1"/>
  <c r="Q268" i="1"/>
  <c r="P268" i="1"/>
  <c r="O268" i="1"/>
  <c r="N268" i="1"/>
  <c r="M268" i="1"/>
  <c r="G268" i="1"/>
  <c r="S267" i="1"/>
  <c r="R267" i="1"/>
  <c r="Q267" i="1"/>
  <c r="P267" i="1"/>
  <c r="O267" i="1"/>
  <c r="N267" i="1"/>
  <c r="M267" i="1"/>
  <c r="G267" i="1"/>
  <c r="S266" i="1"/>
  <c r="R266" i="1"/>
  <c r="Q266" i="1"/>
  <c r="P266" i="1"/>
  <c r="O266" i="1"/>
  <c r="N266" i="1"/>
  <c r="M266" i="1"/>
  <c r="G266" i="1"/>
  <c r="S265" i="1"/>
  <c r="R265" i="1"/>
  <c r="Q265" i="1"/>
  <c r="P265" i="1"/>
  <c r="O265" i="1"/>
  <c r="N265" i="1"/>
  <c r="M265" i="1"/>
  <c r="G265" i="1"/>
  <c r="S264" i="1"/>
  <c r="R264" i="1"/>
  <c r="Q264" i="1"/>
  <c r="P264" i="1"/>
  <c r="O264" i="1"/>
  <c r="N264" i="1"/>
  <c r="M264" i="1"/>
  <c r="G264" i="1"/>
  <c r="S263" i="1"/>
  <c r="R263" i="1"/>
  <c r="Q263" i="1"/>
  <c r="P263" i="1"/>
  <c r="O263" i="1"/>
  <c r="N263" i="1"/>
  <c r="M263" i="1"/>
  <c r="G263" i="1"/>
  <c r="S262" i="1"/>
  <c r="R262" i="1"/>
  <c r="Q262" i="1"/>
  <c r="P262" i="1"/>
  <c r="O262" i="1"/>
  <c r="N262" i="1"/>
  <c r="M262" i="1"/>
  <c r="G262" i="1"/>
  <c r="S261" i="1"/>
  <c r="R261" i="1"/>
  <c r="Q261" i="1"/>
  <c r="P261" i="1"/>
  <c r="O261" i="1"/>
  <c r="N261" i="1"/>
  <c r="M261" i="1"/>
  <c r="G261" i="1"/>
  <c r="S260" i="1"/>
  <c r="R260" i="1"/>
  <c r="Q260" i="1"/>
  <c r="P260" i="1"/>
  <c r="O260" i="1"/>
  <c r="N260" i="1"/>
  <c r="M260" i="1"/>
  <c r="G260" i="1"/>
  <c r="S259" i="1"/>
  <c r="R259" i="1"/>
  <c r="Q259" i="1"/>
  <c r="P259" i="1"/>
  <c r="O259" i="1"/>
  <c r="N259" i="1"/>
  <c r="M259" i="1"/>
  <c r="G259" i="1"/>
  <c r="S258" i="1"/>
  <c r="R258" i="1"/>
  <c r="Q258" i="1"/>
  <c r="P258" i="1"/>
  <c r="O258" i="1"/>
  <c r="N258" i="1"/>
  <c r="M258" i="1"/>
  <c r="G258" i="1"/>
  <c r="S257" i="1"/>
  <c r="R257" i="1"/>
  <c r="Q257" i="1"/>
  <c r="P257" i="1"/>
  <c r="O257" i="1"/>
  <c r="N257" i="1"/>
  <c r="M257" i="1"/>
  <c r="G257" i="1"/>
  <c r="S256" i="1"/>
  <c r="R256" i="1"/>
  <c r="Q256" i="1"/>
  <c r="P256" i="1"/>
  <c r="O256" i="1"/>
  <c r="N256" i="1"/>
  <c r="M256" i="1"/>
  <c r="G256" i="1"/>
  <c r="S255" i="1"/>
  <c r="R255" i="1"/>
  <c r="Q255" i="1"/>
  <c r="P255" i="1"/>
  <c r="O255" i="1"/>
  <c r="N255" i="1"/>
  <c r="M255" i="1"/>
  <c r="G255" i="1"/>
  <c r="S254" i="1"/>
  <c r="R254" i="1"/>
  <c r="Q254" i="1"/>
  <c r="P254" i="1"/>
  <c r="O254" i="1"/>
  <c r="N254" i="1"/>
  <c r="M254" i="1"/>
  <c r="G254" i="1"/>
  <c r="S253" i="1"/>
  <c r="R253" i="1"/>
  <c r="Q253" i="1"/>
  <c r="P253" i="1"/>
  <c r="O253" i="1"/>
  <c r="N253" i="1"/>
  <c r="M253" i="1"/>
  <c r="G253" i="1"/>
  <c r="S252" i="1"/>
  <c r="R252" i="1"/>
  <c r="Q252" i="1"/>
  <c r="P252" i="1"/>
  <c r="O252" i="1"/>
  <c r="N252" i="1"/>
  <c r="M252" i="1"/>
  <c r="G252" i="1"/>
  <c r="S251" i="1"/>
  <c r="R251" i="1"/>
  <c r="Q251" i="1"/>
  <c r="P251" i="1"/>
  <c r="O251" i="1"/>
  <c r="N251" i="1"/>
  <c r="M251" i="1"/>
  <c r="G251" i="1"/>
  <c r="S250" i="1"/>
  <c r="R250" i="1"/>
  <c r="Q250" i="1"/>
  <c r="P250" i="1"/>
  <c r="O250" i="1"/>
  <c r="N250" i="1"/>
  <c r="M250" i="1"/>
  <c r="G250" i="1"/>
  <c r="S249" i="1"/>
  <c r="R249" i="1"/>
  <c r="Q249" i="1"/>
  <c r="P249" i="1"/>
  <c r="O249" i="1"/>
  <c r="N249" i="1"/>
  <c r="M249" i="1"/>
  <c r="G249" i="1"/>
  <c r="S248" i="1"/>
  <c r="R248" i="1"/>
  <c r="Q248" i="1"/>
  <c r="P248" i="1"/>
  <c r="O248" i="1"/>
  <c r="N248" i="1"/>
  <c r="M248" i="1"/>
  <c r="G248" i="1"/>
  <c r="S247" i="1"/>
  <c r="R247" i="1"/>
  <c r="Q247" i="1"/>
  <c r="P247" i="1"/>
  <c r="O247" i="1"/>
  <c r="N247" i="1"/>
  <c r="M247" i="1"/>
  <c r="G247" i="1"/>
  <c r="S246" i="1"/>
  <c r="R246" i="1"/>
  <c r="Q246" i="1"/>
  <c r="P246" i="1"/>
  <c r="O246" i="1"/>
  <c r="N246" i="1"/>
  <c r="M246" i="1"/>
  <c r="G246" i="1"/>
  <c r="S245" i="1"/>
  <c r="R245" i="1"/>
  <c r="Q245" i="1"/>
  <c r="P245" i="1"/>
  <c r="O245" i="1"/>
  <c r="N245" i="1"/>
  <c r="M245" i="1"/>
  <c r="G245" i="1"/>
  <c r="S244" i="1"/>
  <c r="R244" i="1"/>
  <c r="Q244" i="1"/>
  <c r="P244" i="1"/>
  <c r="O244" i="1"/>
  <c r="N244" i="1"/>
  <c r="M244" i="1"/>
  <c r="G244" i="1"/>
  <c r="S243" i="1"/>
  <c r="R243" i="1"/>
  <c r="Q243" i="1"/>
  <c r="P243" i="1"/>
  <c r="O243" i="1"/>
  <c r="N243" i="1"/>
  <c r="M243" i="1"/>
  <c r="G243" i="1"/>
  <c r="S242" i="1"/>
  <c r="R242" i="1"/>
  <c r="Q242" i="1"/>
  <c r="P242" i="1"/>
  <c r="O242" i="1"/>
  <c r="N242" i="1"/>
  <c r="M242" i="1"/>
  <c r="G242" i="1"/>
  <c r="S241" i="1"/>
  <c r="R241" i="1"/>
  <c r="Q241" i="1"/>
  <c r="P241" i="1"/>
  <c r="O241" i="1"/>
  <c r="N241" i="1"/>
  <c r="M241" i="1"/>
  <c r="G241" i="1"/>
  <c r="S240" i="1"/>
  <c r="R240" i="1"/>
  <c r="Q240" i="1"/>
  <c r="P240" i="1"/>
  <c r="O240" i="1"/>
  <c r="N240" i="1"/>
  <c r="M240" i="1"/>
  <c r="G240" i="1"/>
  <c r="S239" i="1"/>
  <c r="R239" i="1"/>
  <c r="Q239" i="1"/>
  <c r="P239" i="1"/>
  <c r="O239" i="1"/>
  <c r="N239" i="1"/>
  <c r="M239" i="1"/>
  <c r="G239" i="1"/>
  <c r="S238" i="1"/>
  <c r="R238" i="1"/>
  <c r="Q238" i="1"/>
  <c r="P238" i="1"/>
  <c r="O238" i="1"/>
  <c r="N238" i="1"/>
  <c r="M238" i="1"/>
  <c r="G238" i="1"/>
  <c r="S237" i="1"/>
  <c r="R237" i="1"/>
  <c r="Q237" i="1"/>
  <c r="P237" i="1"/>
  <c r="O237" i="1"/>
  <c r="N237" i="1"/>
  <c r="M237" i="1"/>
  <c r="G237" i="1"/>
  <c r="S236" i="1"/>
  <c r="R236" i="1"/>
  <c r="Q236" i="1"/>
  <c r="P236" i="1"/>
  <c r="O236" i="1"/>
  <c r="N236" i="1"/>
  <c r="M236" i="1"/>
  <c r="G236" i="1"/>
  <c r="S235" i="1"/>
  <c r="R235" i="1"/>
  <c r="Q235" i="1"/>
  <c r="P235" i="1"/>
  <c r="O235" i="1"/>
  <c r="N235" i="1"/>
  <c r="M235" i="1"/>
  <c r="G235" i="1"/>
  <c r="S234" i="1"/>
  <c r="R234" i="1"/>
  <c r="Q234" i="1"/>
  <c r="P234" i="1"/>
  <c r="O234" i="1"/>
  <c r="N234" i="1"/>
  <c r="M234" i="1"/>
  <c r="G234" i="1"/>
  <c r="S233" i="1"/>
  <c r="R233" i="1"/>
  <c r="Q233" i="1"/>
  <c r="P233" i="1"/>
  <c r="O233" i="1"/>
  <c r="N233" i="1"/>
  <c r="M233" i="1"/>
  <c r="G233" i="1"/>
  <c r="S232" i="1"/>
  <c r="R232" i="1"/>
  <c r="Q232" i="1"/>
  <c r="P232" i="1"/>
  <c r="O232" i="1"/>
  <c r="N232" i="1"/>
  <c r="M232" i="1"/>
  <c r="G232" i="1"/>
  <c r="S231" i="1"/>
  <c r="R231" i="1"/>
  <c r="Q231" i="1"/>
  <c r="P231" i="1"/>
  <c r="O231" i="1"/>
  <c r="N231" i="1"/>
  <c r="M231" i="1"/>
  <c r="G231" i="1"/>
  <c r="S230" i="1"/>
  <c r="R230" i="1"/>
  <c r="Q230" i="1"/>
  <c r="P230" i="1"/>
  <c r="O230" i="1"/>
  <c r="N230" i="1"/>
  <c r="M230" i="1"/>
  <c r="G230" i="1"/>
  <c r="S229" i="1"/>
  <c r="R229" i="1"/>
  <c r="Q229" i="1"/>
  <c r="P229" i="1"/>
  <c r="O229" i="1"/>
  <c r="N229" i="1"/>
  <c r="M229" i="1"/>
  <c r="G229" i="1"/>
  <c r="S228" i="1"/>
  <c r="R228" i="1"/>
  <c r="Q228" i="1"/>
  <c r="P228" i="1"/>
  <c r="O228" i="1"/>
  <c r="N228" i="1"/>
  <c r="M228" i="1"/>
  <c r="G228" i="1"/>
  <c r="S227" i="1"/>
  <c r="R227" i="1"/>
  <c r="Q227" i="1"/>
  <c r="P227" i="1"/>
  <c r="O227" i="1"/>
  <c r="N227" i="1"/>
  <c r="M227" i="1"/>
  <c r="G227" i="1"/>
  <c r="S226" i="1"/>
  <c r="R226" i="1"/>
  <c r="Q226" i="1"/>
  <c r="P226" i="1"/>
  <c r="O226" i="1"/>
  <c r="N226" i="1"/>
  <c r="M226" i="1"/>
  <c r="G226" i="1"/>
  <c r="S225" i="1"/>
  <c r="R225" i="1"/>
  <c r="Q225" i="1"/>
  <c r="P225" i="1"/>
  <c r="O225" i="1"/>
  <c r="N225" i="1"/>
  <c r="M225" i="1"/>
  <c r="G225" i="1"/>
  <c r="S224" i="1"/>
  <c r="R224" i="1"/>
  <c r="Q224" i="1"/>
  <c r="P224" i="1"/>
  <c r="O224" i="1"/>
  <c r="N224" i="1"/>
  <c r="M224" i="1"/>
  <c r="G224" i="1"/>
  <c r="S223" i="1"/>
  <c r="R223" i="1"/>
  <c r="Q223" i="1"/>
  <c r="P223" i="1"/>
  <c r="O223" i="1"/>
  <c r="N223" i="1"/>
  <c r="M223" i="1"/>
  <c r="G223" i="1"/>
  <c r="S222" i="1"/>
  <c r="R222" i="1"/>
  <c r="Q222" i="1"/>
  <c r="P222" i="1"/>
  <c r="O222" i="1"/>
  <c r="N222" i="1"/>
  <c r="M222" i="1"/>
  <c r="G222" i="1"/>
  <c r="S221" i="1"/>
  <c r="R221" i="1"/>
  <c r="Q221" i="1"/>
  <c r="P221" i="1"/>
  <c r="O221" i="1"/>
  <c r="N221" i="1"/>
  <c r="M221" i="1"/>
  <c r="G221" i="1"/>
  <c r="S220" i="1"/>
  <c r="R220" i="1"/>
  <c r="Q220" i="1"/>
  <c r="P220" i="1"/>
  <c r="O220" i="1"/>
  <c r="N220" i="1"/>
  <c r="M220" i="1"/>
  <c r="G220" i="1"/>
  <c r="S219" i="1"/>
  <c r="R219" i="1"/>
  <c r="Q219" i="1"/>
  <c r="P219" i="1"/>
  <c r="O219" i="1"/>
  <c r="N219" i="1"/>
  <c r="M219" i="1"/>
  <c r="G219" i="1"/>
  <c r="S218" i="1"/>
  <c r="R218" i="1"/>
  <c r="Q218" i="1"/>
  <c r="P218" i="1"/>
  <c r="O218" i="1"/>
  <c r="N218" i="1"/>
  <c r="M218" i="1"/>
  <c r="G218" i="1"/>
  <c r="S217" i="1"/>
  <c r="R217" i="1"/>
  <c r="Q217" i="1"/>
  <c r="P217" i="1"/>
  <c r="O217" i="1"/>
  <c r="N217" i="1"/>
  <c r="M217" i="1"/>
  <c r="G217" i="1"/>
  <c r="S216" i="1"/>
  <c r="R216" i="1"/>
  <c r="Q216" i="1"/>
  <c r="P216" i="1"/>
  <c r="O216" i="1"/>
  <c r="N216" i="1"/>
  <c r="M216" i="1"/>
  <c r="G216" i="1"/>
  <c r="S215" i="1"/>
  <c r="R215" i="1"/>
  <c r="Q215" i="1"/>
  <c r="P215" i="1"/>
  <c r="O215" i="1"/>
  <c r="N215" i="1"/>
  <c r="M215" i="1"/>
  <c r="G215" i="1"/>
  <c r="S214" i="1"/>
  <c r="R214" i="1"/>
  <c r="Q214" i="1"/>
  <c r="P214" i="1"/>
  <c r="O214" i="1"/>
  <c r="N214" i="1"/>
  <c r="M214" i="1"/>
  <c r="G214" i="1"/>
  <c r="S213" i="1"/>
  <c r="R213" i="1"/>
  <c r="Q213" i="1"/>
  <c r="P213" i="1"/>
  <c r="O213" i="1"/>
  <c r="N213" i="1"/>
  <c r="M213" i="1"/>
  <c r="G213" i="1"/>
  <c r="S212" i="1"/>
  <c r="R212" i="1"/>
  <c r="Q212" i="1"/>
  <c r="P212" i="1"/>
  <c r="O212" i="1"/>
  <c r="N212" i="1"/>
  <c r="M212" i="1"/>
  <c r="G212" i="1"/>
  <c r="S211" i="1"/>
  <c r="R211" i="1"/>
  <c r="Q211" i="1"/>
  <c r="P211" i="1"/>
  <c r="O211" i="1"/>
  <c r="N211" i="1"/>
  <c r="M211" i="1"/>
  <c r="G211" i="1"/>
  <c r="S210" i="1"/>
  <c r="R210" i="1"/>
  <c r="Q210" i="1"/>
  <c r="P210" i="1"/>
  <c r="O210" i="1"/>
  <c r="N210" i="1"/>
  <c r="M210" i="1"/>
  <c r="G210" i="1"/>
  <c r="S209" i="1"/>
  <c r="R209" i="1"/>
  <c r="Q209" i="1"/>
  <c r="P209" i="1"/>
  <c r="O209" i="1"/>
  <c r="N209" i="1"/>
  <c r="M209" i="1"/>
  <c r="G209" i="1"/>
  <c r="S208" i="1"/>
  <c r="R208" i="1"/>
  <c r="Q208" i="1"/>
  <c r="P208" i="1"/>
  <c r="O208" i="1"/>
  <c r="N208" i="1"/>
  <c r="M208" i="1"/>
  <c r="G208" i="1"/>
  <c r="S207" i="1"/>
  <c r="R207" i="1"/>
  <c r="Q207" i="1"/>
  <c r="P207" i="1"/>
  <c r="O207" i="1"/>
  <c r="N207" i="1"/>
  <c r="M207" i="1"/>
  <c r="G207" i="1"/>
  <c r="S206" i="1"/>
  <c r="R206" i="1"/>
  <c r="Q206" i="1"/>
  <c r="P206" i="1"/>
  <c r="O206" i="1"/>
  <c r="N206" i="1"/>
  <c r="M206" i="1"/>
  <c r="G206" i="1"/>
  <c r="S205" i="1"/>
  <c r="R205" i="1"/>
  <c r="Q205" i="1"/>
  <c r="P205" i="1"/>
  <c r="O205" i="1"/>
  <c r="N205" i="1"/>
  <c r="M205" i="1"/>
  <c r="G205" i="1"/>
  <c r="S204" i="1"/>
  <c r="R204" i="1"/>
  <c r="Q204" i="1"/>
  <c r="P204" i="1"/>
  <c r="O204" i="1"/>
  <c r="N204" i="1"/>
  <c r="M204" i="1"/>
  <c r="G204" i="1"/>
  <c r="S203" i="1"/>
  <c r="R203" i="1"/>
  <c r="Q203" i="1"/>
  <c r="P203" i="1"/>
  <c r="O203" i="1"/>
  <c r="N203" i="1"/>
  <c r="M203" i="1"/>
  <c r="G203" i="1"/>
  <c r="S202" i="1"/>
  <c r="R202" i="1"/>
  <c r="Q202" i="1"/>
  <c r="P202" i="1"/>
  <c r="O202" i="1"/>
  <c r="N202" i="1"/>
  <c r="M202" i="1"/>
  <c r="G202" i="1"/>
  <c r="S201" i="1"/>
  <c r="R201" i="1"/>
  <c r="Q201" i="1"/>
  <c r="P201" i="1"/>
  <c r="O201" i="1"/>
  <c r="N201" i="1"/>
  <c r="M201" i="1"/>
  <c r="G201" i="1"/>
  <c r="S200" i="1"/>
  <c r="R200" i="1"/>
  <c r="Q200" i="1"/>
  <c r="P200" i="1"/>
  <c r="O200" i="1"/>
  <c r="N200" i="1"/>
  <c r="M200" i="1"/>
  <c r="G200" i="1"/>
  <c r="S199" i="1"/>
  <c r="R199" i="1"/>
  <c r="Q199" i="1"/>
  <c r="P199" i="1"/>
  <c r="O199" i="1"/>
  <c r="N199" i="1"/>
  <c r="M199" i="1"/>
  <c r="G199" i="1"/>
  <c r="S198" i="1"/>
  <c r="R198" i="1"/>
  <c r="Q198" i="1"/>
  <c r="P198" i="1"/>
  <c r="O198" i="1"/>
  <c r="N198" i="1"/>
  <c r="M198" i="1"/>
  <c r="G198" i="1"/>
  <c r="S197" i="1"/>
  <c r="R197" i="1"/>
  <c r="Q197" i="1"/>
  <c r="P197" i="1"/>
  <c r="O197" i="1"/>
  <c r="N197" i="1"/>
  <c r="M197" i="1"/>
  <c r="G197" i="1"/>
  <c r="S196" i="1"/>
  <c r="R196" i="1"/>
  <c r="Q196" i="1"/>
  <c r="P196" i="1"/>
  <c r="O196" i="1"/>
  <c r="N196" i="1"/>
  <c r="M196" i="1"/>
  <c r="G196" i="1"/>
  <c r="S195" i="1"/>
  <c r="R195" i="1"/>
  <c r="Q195" i="1"/>
  <c r="P195" i="1"/>
  <c r="O195" i="1"/>
  <c r="N195" i="1"/>
  <c r="M195" i="1"/>
  <c r="G195" i="1"/>
  <c r="S194" i="1"/>
  <c r="R194" i="1"/>
  <c r="Q194" i="1"/>
  <c r="P194" i="1"/>
  <c r="O194" i="1"/>
  <c r="N194" i="1"/>
  <c r="M194" i="1"/>
  <c r="G194" i="1"/>
  <c r="S193" i="1"/>
  <c r="R193" i="1"/>
  <c r="Q193" i="1"/>
  <c r="P193" i="1"/>
  <c r="O193" i="1"/>
  <c r="N193" i="1"/>
  <c r="M193" i="1"/>
  <c r="G193" i="1"/>
  <c r="S192" i="1"/>
  <c r="R192" i="1"/>
  <c r="Q192" i="1"/>
  <c r="P192" i="1"/>
  <c r="O192" i="1"/>
  <c r="N192" i="1"/>
  <c r="M192" i="1"/>
  <c r="G192" i="1"/>
  <c r="S191" i="1"/>
  <c r="R191" i="1"/>
  <c r="Q191" i="1"/>
  <c r="P191" i="1"/>
  <c r="O191" i="1"/>
  <c r="N191" i="1"/>
  <c r="M191" i="1"/>
  <c r="G191" i="1"/>
  <c r="S190" i="1"/>
  <c r="R190" i="1"/>
  <c r="Q190" i="1"/>
  <c r="P190" i="1"/>
  <c r="O190" i="1"/>
  <c r="N190" i="1"/>
  <c r="M190" i="1"/>
  <c r="G190" i="1"/>
  <c r="S189" i="1"/>
  <c r="R189" i="1"/>
  <c r="Q189" i="1"/>
  <c r="P189" i="1"/>
  <c r="O189" i="1"/>
  <c r="N189" i="1"/>
  <c r="M189" i="1"/>
  <c r="G189" i="1"/>
  <c r="S188" i="1"/>
  <c r="R188" i="1"/>
  <c r="Q188" i="1"/>
  <c r="P188" i="1"/>
  <c r="O188" i="1"/>
  <c r="N188" i="1"/>
  <c r="M188" i="1"/>
  <c r="G188" i="1"/>
  <c r="S187" i="1"/>
  <c r="R187" i="1"/>
  <c r="Q187" i="1"/>
  <c r="P187" i="1"/>
  <c r="O187" i="1"/>
  <c r="N187" i="1"/>
  <c r="M187" i="1"/>
  <c r="G187" i="1"/>
  <c r="S186" i="1"/>
  <c r="R186" i="1"/>
  <c r="Q186" i="1"/>
  <c r="P186" i="1"/>
  <c r="O186" i="1"/>
  <c r="N186" i="1"/>
  <c r="M186" i="1"/>
  <c r="G186" i="1"/>
  <c r="S185" i="1"/>
  <c r="R185" i="1"/>
  <c r="Q185" i="1"/>
  <c r="P185" i="1"/>
  <c r="O185" i="1"/>
  <c r="N185" i="1"/>
  <c r="M185" i="1"/>
  <c r="G185" i="1"/>
  <c r="S184" i="1"/>
  <c r="R184" i="1"/>
  <c r="Q184" i="1"/>
  <c r="P184" i="1"/>
  <c r="O184" i="1"/>
  <c r="N184" i="1"/>
  <c r="M184" i="1"/>
  <c r="G184" i="1"/>
  <c r="S183" i="1"/>
  <c r="R183" i="1"/>
  <c r="Q183" i="1"/>
  <c r="P183" i="1"/>
  <c r="O183" i="1"/>
  <c r="N183" i="1"/>
  <c r="M183" i="1"/>
  <c r="G183" i="1"/>
  <c r="S182" i="1"/>
  <c r="R182" i="1"/>
  <c r="Q182" i="1"/>
  <c r="P182" i="1"/>
  <c r="O182" i="1"/>
  <c r="N182" i="1"/>
  <c r="M182" i="1"/>
  <c r="G182" i="1"/>
  <c r="S181" i="1"/>
  <c r="R181" i="1"/>
  <c r="Q181" i="1"/>
  <c r="P181" i="1"/>
  <c r="O181" i="1"/>
  <c r="N181" i="1"/>
  <c r="M181" i="1"/>
  <c r="G181" i="1"/>
  <c r="S180" i="1"/>
  <c r="R180" i="1"/>
  <c r="Q180" i="1"/>
  <c r="P180" i="1"/>
  <c r="O180" i="1"/>
  <c r="N180" i="1"/>
  <c r="M180" i="1"/>
  <c r="G180" i="1"/>
  <c r="S179" i="1"/>
  <c r="R179" i="1"/>
  <c r="Q179" i="1"/>
  <c r="P179" i="1"/>
  <c r="O179" i="1"/>
  <c r="N179" i="1"/>
  <c r="M179" i="1"/>
  <c r="G179" i="1"/>
  <c r="S178" i="1"/>
  <c r="R178" i="1"/>
  <c r="Q178" i="1"/>
  <c r="P178" i="1"/>
  <c r="O178" i="1"/>
  <c r="N178" i="1"/>
  <c r="M178" i="1"/>
  <c r="G178" i="1"/>
  <c r="S177" i="1"/>
  <c r="R177" i="1"/>
  <c r="Q177" i="1"/>
  <c r="P177" i="1"/>
  <c r="O177" i="1"/>
  <c r="N177" i="1"/>
  <c r="M177" i="1"/>
  <c r="G177" i="1"/>
  <c r="S176" i="1"/>
  <c r="R176" i="1"/>
  <c r="Q176" i="1"/>
  <c r="P176" i="1"/>
  <c r="O176" i="1"/>
  <c r="N176" i="1"/>
  <c r="M176" i="1"/>
  <c r="G176" i="1"/>
  <c r="S175" i="1"/>
  <c r="R175" i="1"/>
  <c r="Q175" i="1"/>
  <c r="P175" i="1"/>
  <c r="O175" i="1"/>
  <c r="N175" i="1"/>
  <c r="M175" i="1"/>
  <c r="G175" i="1"/>
  <c r="S174" i="1"/>
  <c r="R174" i="1"/>
  <c r="Q174" i="1"/>
  <c r="P174" i="1"/>
  <c r="O174" i="1"/>
  <c r="N174" i="1"/>
  <c r="M174" i="1"/>
  <c r="G174" i="1"/>
  <c r="S173" i="1"/>
  <c r="R173" i="1"/>
  <c r="Q173" i="1"/>
  <c r="P173" i="1"/>
  <c r="O173" i="1"/>
  <c r="N173" i="1"/>
  <c r="M173" i="1"/>
  <c r="G173" i="1"/>
  <c r="S172" i="1"/>
  <c r="R172" i="1"/>
  <c r="Q172" i="1"/>
  <c r="P172" i="1"/>
  <c r="O172" i="1"/>
  <c r="N172" i="1"/>
  <c r="M172" i="1"/>
  <c r="G172" i="1"/>
  <c r="S171" i="1"/>
  <c r="R171" i="1"/>
  <c r="Q171" i="1"/>
  <c r="P171" i="1"/>
  <c r="O171" i="1"/>
  <c r="N171" i="1"/>
  <c r="M171" i="1"/>
  <c r="G171" i="1"/>
  <c r="S170" i="1"/>
  <c r="R170" i="1"/>
  <c r="Q170" i="1"/>
  <c r="P170" i="1"/>
  <c r="O170" i="1"/>
  <c r="N170" i="1"/>
  <c r="M170" i="1"/>
  <c r="G170" i="1"/>
  <c r="S169" i="1"/>
  <c r="R169" i="1"/>
  <c r="Q169" i="1"/>
  <c r="P169" i="1"/>
  <c r="O169" i="1"/>
  <c r="N169" i="1"/>
  <c r="M169" i="1"/>
  <c r="G169" i="1"/>
  <c r="S168" i="1"/>
  <c r="R168" i="1"/>
  <c r="Q168" i="1"/>
  <c r="P168" i="1"/>
  <c r="O168" i="1"/>
  <c r="N168" i="1"/>
  <c r="M168" i="1"/>
  <c r="G168" i="1"/>
  <c r="S167" i="1"/>
  <c r="R167" i="1"/>
  <c r="Q167" i="1"/>
  <c r="P167" i="1"/>
  <c r="O167" i="1"/>
  <c r="N167" i="1"/>
  <c r="M167" i="1"/>
  <c r="G167" i="1"/>
  <c r="S166" i="1"/>
  <c r="R166" i="1"/>
  <c r="Q166" i="1"/>
  <c r="P166" i="1"/>
  <c r="O166" i="1"/>
  <c r="N166" i="1"/>
  <c r="M166" i="1"/>
  <c r="G166" i="1"/>
  <c r="S165" i="1"/>
  <c r="R165" i="1"/>
  <c r="Q165" i="1"/>
  <c r="P165" i="1"/>
  <c r="O165" i="1"/>
  <c r="N165" i="1"/>
  <c r="M165" i="1"/>
  <c r="G165" i="1"/>
  <c r="S164" i="1"/>
  <c r="R164" i="1"/>
  <c r="Q164" i="1"/>
  <c r="P164" i="1"/>
  <c r="O164" i="1"/>
  <c r="N164" i="1"/>
  <c r="M164" i="1"/>
  <c r="G164" i="1"/>
  <c r="S163" i="1"/>
  <c r="R163" i="1"/>
  <c r="Q163" i="1"/>
  <c r="P163" i="1"/>
  <c r="O163" i="1"/>
  <c r="N163" i="1"/>
  <c r="M163" i="1"/>
  <c r="G163" i="1"/>
  <c r="S162" i="1"/>
  <c r="R162" i="1"/>
  <c r="Q162" i="1"/>
  <c r="P162" i="1"/>
  <c r="O162" i="1"/>
  <c r="N162" i="1"/>
  <c r="M162" i="1"/>
  <c r="G162" i="1"/>
  <c r="S161" i="1"/>
  <c r="R161" i="1"/>
  <c r="Q161" i="1"/>
  <c r="P161" i="1"/>
  <c r="O161" i="1"/>
  <c r="N161" i="1"/>
  <c r="M161" i="1"/>
  <c r="G161" i="1"/>
  <c r="S160" i="1"/>
  <c r="R160" i="1"/>
  <c r="Q160" i="1"/>
  <c r="P160" i="1"/>
  <c r="O160" i="1"/>
  <c r="N160" i="1"/>
  <c r="M160" i="1"/>
  <c r="G160" i="1"/>
  <c r="S159" i="1"/>
  <c r="R159" i="1"/>
  <c r="Q159" i="1"/>
  <c r="P159" i="1"/>
  <c r="O159" i="1"/>
  <c r="N159" i="1"/>
  <c r="M159" i="1"/>
  <c r="G159" i="1"/>
  <c r="S158" i="1"/>
  <c r="R158" i="1"/>
  <c r="Q158" i="1"/>
  <c r="P158" i="1"/>
  <c r="O158" i="1"/>
  <c r="N158" i="1"/>
  <c r="M158" i="1"/>
  <c r="G158" i="1"/>
  <c r="S157" i="1"/>
  <c r="R157" i="1"/>
  <c r="Q157" i="1"/>
  <c r="P157" i="1"/>
  <c r="O157" i="1"/>
  <c r="N157" i="1"/>
  <c r="M157" i="1"/>
  <c r="G157" i="1"/>
  <c r="S156" i="1"/>
  <c r="R156" i="1"/>
  <c r="Q156" i="1"/>
  <c r="P156" i="1"/>
  <c r="O156" i="1"/>
  <c r="N156" i="1"/>
  <c r="M156" i="1"/>
  <c r="G156" i="1"/>
  <c r="S155" i="1"/>
  <c r="R155" i="1"/>
  <c r="Q155" i="1"/>
  <c r="P155" i="1"/>
  <c r="O155" i="1"/>
  <c r="N155" i="1"/>
  <c r="M155" i="1"/>
  <c r="G155" i="1"/>
  <c r="S154" i="1"/>
  <c r="R154" i="1"/>
  <c r="Q154" i="1"/>
  <c r="P154" i="1"/>
  <c r="O154" i="1"/>
  <c r="N154" i="1"/>
  <c r="M154" i="1"/>
  <c r="G154" i="1"/>
  <c r="S153" i="1"/>
  <c r="R153" i="1"/>
  <c r="Q153" i="1"/>
  <c r="P153" i="1"/>
  <c r="O153" i="1"/>
  <c r="N153" i="1"/>
  <c r="M153" i="1"/>
  <c r="G153" i="1"/>
  <c r="S152" i="1"/>
  <c r="R152" i="1"/>
  <c r="Q152" i="1"/>
  <c r="P152" i="1"/>
  <c r="O152" i="1"/>
  <c r="N152" i="1"/>
  <c r="M152" i="1"/>
  <c r="G152" i="1"/>
  <c r="S151" i="1"/>
  <c r="R151" i="1"/>
  <c r="Q151" i="1"/>
  <c r="P151" i="1"/>
  <c r="O151" i="1"/>
  <c r="N151" i="1"/>
  <c r="M151" i="1"/>
  <c r="G151" i="1"/>
  <c r="S150" i="1"/>
  <c r="R150" i="1"/>
  <c r="Q150" i="1"/>
  <c r="P150" i="1"/>
  <c r="O150" i="1"/>
  <c r="N150" i="1"/>
  <c r="M150" i="1"/>
  <c r="G150" i="1"/>
  <c r="S149" i="1"/>
  <c r="R149" i="1"/>
  <c r="Q149" i="1"/>
  <c r="P149" i="1"/>
  <c r="O149" i="1"/>
  <c r="N149" i="1"/>
  <c r="M149" i="1"/>
  <c r="G149" i="1"/>
  <c r="S148" i="1"/>
  <c r="R148" i="1"/>
  <c r="Q148" i="1"/>
  <c r="P148" i="1"/>
  <c r="O148" i="1"/>
  <c r="N148" i="1"/>
  <c r="M148" i="1"/>
  <c r="G148" i="1"/>
  <c r="S147" i="1"/>
  <c r="R147" i="1"/>
  <c r="Q147" i="1"/>
  <c r="P147" i="1"/>
  <c r="O147" i="1"/>
  <c r="N147" i="1"/>
  <c r="M147" i="1"/>
  <c r="G147" i="1"/>
  <c r="S146" i="1"/>
  <c r="R146" i="1"/>
  <c r="Q146" i="1"/>
  <c r="P146" i="1"/>
  <c r="O146" i="1"/>
  <c r="N146" i="1"/>
  <c r="M146" i="1"/>
  <c r="G146" i="1"/>
  <c r="S145" i="1"/>
  <c r="R145" i="1"/>
  <c r="Q145" i="1"/>
  <c r="P145" i="1"/>
  <c r="O145" i="1"/>
  <c r="N145" i="1"/>
  <c r="M145" i="1"/>
  <c r="G145" i="1"/>
  <c r="S144" i="1"/>
  <c r="R144" i="1"/>
  <c r="Q144" i="1"/>
  <c r="P144" i="1"/>
  <c r="O144" i="1"/>
  <c r="N144" i="1"/>
  <c r="M144" i="1"/>
  <c r="G144" i="1"/>
  <c r="S143" i="1"/>
  <c r="R143" i="1"/>
  <c r="Q143" i="1"/>
  <c r="P143" i="1"/>
  <c r="O143" i="1"/>
  <c r="N143" i="1"/>
  <c r="M143" i="1"/>
  <c r="G143" i="1"/>
  <c r="S142" i="1"/>
  <c r="R142" i="1"/>
  <c r="Q142" i="1"/>
  <c r="P142" i="1"/>
  <c r="O142" i="1"/>
  <c r="N142" i="1"/>
  <c r="M142" i="1"/>
  <c r="G142" i="1"/>
  <c r="S141" i="1"/>
  <c r="R141" i="1"/>
  <c r="Q141" i="1"/>
  <c r="P141" i="1"/>
  <c r="O141" i="1"/>
  <c r="N141" i="1"/>
  <c r="M141" i="1"/>
  <c r="G141" i="1"/>
  <c r="S140" i="1"/>
  <c r="R140" i="1"/>
  <c r="Q140" i="1"/>
  <c r="P140" i="1"/>
  <c r="O140" i="1"/>
  <c r="N140" i="1"/>
  <c r="M140" i="1"/>
  <c r="G140" i="1"/>
  <c r="S139" i="1"/>
  <c r="R139" i="1"/>
  <c r="Q139" i="1"/>
  <c r="P139" i="1"/>
  <c r="O139" i="1"/>
  <c r="N139" i="1"/>
  <c r="M139" i="1"/>
  <c r="G139" i="1"/>
  <c r="S138" i="1"/>
  <c r="R138" i="1"/>
  <c r="Q138" i="1"/>
  <c r="P138" i="1"/>
  <c r="O138" i="1"/>
  <c r="N138" i="1"/>
  <c r="M138" i="1"/>
  <c r="G138" i="1"/>
  <c r="S137" i="1"/>
  <c r="R137" i="1"/>
  <c r="Q137" i="1"/>
  <c r="P137" i="1"/>
  <c r="O137" i="1"/>
  <c r="N137" i="1"/>
  <c r="M137" i="1"/>
  <c r="G137" i="1"/>
  <c r="S136" i="1"/>
  <c r="R136" i="1"/>
  <c r="Q136" i="1"/>
  <c r="P136" i="1"/>
  <c r="O136" i="1"/>
  <c r="N136" i="1"/>
  <c r="M136" i="1"/>
  <c r="G136" i="1"/>
  <c r="S135" i="1"/>
  <c r="R135" i="1"/>
  <c r="Q135" i="1"/>
  <c r="P135" i="1"/>
  <c r="O135" i="1"/>
  <c r="N135" i="1"/>
  <c r="M135" i="1"/>
  <c r="G135" i="1"/>
  <c r="S134" i="1"/>
  <c r="R134" i="1"/>
  <c r="Q134" i="1"/>
  <c r="P134" i="1"/>
  <c r="O134" i="1"/>
  <c r="N134" i="1"/>
  <c r="M134" i="1"/>
  <c r="G134" i="1"/>
  <c r="S133" i="1"/>
  <c r="R133" i="1"/>
  <c r="Q133" i="1"/>
  <c r="P133" i="1"/>
  <c r="O133" i="1"/>
  <c r="N133" i="1"/>
  <c r="M133" i="1"/>
  <c r="G133" i="1"/>
  <c r="S132" i="1"/>
  <c r="R132" i="1"/>
  <c r="Q132" i="1"/>
  <c r="P132" i="1"/>
  <c r="O132" i="1"/>
  <c r="N132" i="1"/>
  <c r="M132" i="1"/>
  <c r="G132" i="1"/>
  <c r="S131" i="1"/>
  <c r="R131" i="1"/>
  <c r="Q131" i="1"/>
  <c r="P131" i="1"/>
  <c r="O131" i="1"/>
  <c r="N131" i="1"/>
  <c r="M131" i="1"/>
  <c r="G131" i="1"/>
  <c r="S130" i="1"/>
  <c r="R130" i="1"/>
  <c r="Q130" i="1"/>
  <c r="P130" i="1"/>
  <c r="O130" i="1"/>
  <c r="N130" i="1"/>
  <c r="M130" i="1"/>
  <c r="G130" i="1"/>
  <c r="S129" i="1"/>
  <c r="R129" i="1"/>
  <c r="Q129" i="1"/>
  <c r="P129" i="1"/>
  <c r="O129" i="1"/>
  <c r="N129" i="1"/>
  <c r="M129" i="1"/>
  <c r="G129" i="1"/>
  <c r="S128" i="1"/>
  <c r="R128" i="1"/>
  <c r="Q128" i="1"/>
  <c r="P128" i="1"/>
  <c r="O128" i="1"/>
  <c r="N128" i="1"/>
  <c r="M128" i="1"/>
  <c r="G128" i="1"/>
  <c r="S127" i="1"/>
  <c r="R127" i="1"/>
  <c r="Q127" i="1"/>
  <c r="P127" i="1"/>
  <c r="O127" i="1"/>
  <c r="N127" i="1"/>
  <c r="M127" i="1"/>
  <c r="G127" i="1"/>
  <c r="S126" i="1"/>
  <c r="R126" i="1"/>
  <c r="Q126" i="1"/>
  <c r="P126" i="1"/>
  <c r="O126" i="1"/>
  <c r="N126" i="1"/>
  <c r="M126" i="1"/>
  <c r="G126" i="1"/>
  <c r="S125" i="1"/>
  <c r="R125" i="1"/>
  <c r="Q125" i="1"/>
  <c r="P125" i="1"/>
  <c r="O125" i="1"/>
  <c r="N125" i="1"/>
  <c r="M125" i="1"/>
  <c r="G125" i="1"/>
  <c r="S124" i="1"/>
  <c r="R124" i="1"/>
  <c r="Q124" i="1"/>
  <c r="P124" i="1"/>
  <c r="O124" i="1"/>
  <c r="N124" i="1"/>
  <c r="M124" i="1"/>
  <c r="G124" i="1"/>
  <c r="S123" i="1"/>
  <c r="R123" i="1"/>
  <c r="Q123" i="1"/>
  <c r="P123" i="1"/>
  <c r="O123" i="1"/>
  <c r="N123" i="1"/>
  <c r="M123" i="1"/>
  <c r="G123" i="1"/>
  <c r="S122" i="1"/>
  <c r="R122" i="1"/>
  <c r="Q122" i="1"/>
  <c r="P122" i="1"/>
  <c r="O122" i="1"/>
  <c r="N122" i="1"/>
  <c r="M122" i="1"/>
  <c r="G122" i="1"/>
  <c r="S121" i="1"/>
  <c r="R121" i="1"/>
  <c r="Q121" i="1"/>
  <c r="P121" i="1"/>
  <c r="O121" i="1"/>
  <c r="N121" i="1"/>
  <c r="M121" i="1"/>
  <c r="G121" i="1"/>
  <c r="S120" i="1"/>
  <c r="R120" i="1"/>
  <c r="Q120" i="1"/>
  <c r="P120" i="1"/>
  <c r="O120" i="1"/>
  <c r="N120" i="1"/>
  <c r="M120" i="1"/>
  <c r="G120" i="1"/>
  <c r="S119" i="1"/>
  <c r="R119" i="1"/>
  <c r="Q119" i="1"/>
  <c r="P119" i="1"/>
  <c r="O119" i="1"/>
  <c r="N119" i="1"/>
  <c r="M119" i="1"/>
  <c r="G119" i="1"/>
  <c r="S118" i="1"/>
  <c r="R118" i="1"/>
  <c r="Q118" i="1"/>
  <c r="P118" i="1"/>
  <c r="O118" i="1"/>
  <c r="N118" i="1"/>
  <c r="M118" i="1"/>
  <c r="G118" i="1"/>
  <c r="S117" i="1"/>
  <c r="R117" i="1"/>
  <c r="Q117" i="1"/>
  <c r="P117" i="1"/>
  <c r="O117" i="1"/>
  <c r="N117" i="1"/>
  <c r="M117" i="1"/>
  <c r="G117" i="1"/>
  <c r="S116" i="1"/>
  <c r="R116" i="1"/>
  <c r="Q116" i="1"/>
  <c r="P116" i="1"/>
  <c r="O116" i="1"/>
  <c r="N116" i="1"/>
  <c r="M116" i="1"/>
  <c r="G116" i="1"/>
  <c r="S115" i="1"/>
  <c r="R115" i="1"/>
  <c r="Q115" i="1"/>
  <c r="P115" i="1"/>
  <c r="O115" i="1"/>
  <c r="N115" i="1"/>
  <c r="M115" i="1"/>
  <c r="G115" i="1"/>
  <c r="S114" i="1"/>
  <c r="R114" i="1"/>
  <c r="Q114" i="1"/>
  <c r="P114" i="1"/>
  <c r="O114" i="1"/>
  <c r="N114" i="1"/>
  <c r="M114" i="1"/>
  <c r="G114" i="1"/>
  <c r="S113" i="1"/>
  <c r="R113" i="1"/>
  <c r="Q113" i="1"/>
  <c r="P113" i="1"/>
  <c r="O113" i="1"/>
  <c r="N113" i="1"/>
  <c r="M113" i="1"/>
  <c r="G113" i="1"/>
  <c r="S112" i="1"/>
  <c r="R112" i="1"/>
  <c r="Q112" i="1"/>
  <c r="P112" i="1"/>
  <c r="O112" i="1"/>
  <c r="N112" i="1"/>
  <c r="M112" i="1"/>
  <c r="G112" i="1"/>
  <c r="S111" i="1"/>
  <c r="R111" i="1"/>
  <c r="Q111" i="1"/>
  <c r="P111" i="1"/>
  <c r="O111" i="1"/>
  <c r="N111" i="1"/>
  <c r="M111" i="1"/>
  <c r="G111" i="1"/>
  <c r="S110" i="1"/>
  <c r="R110" i="1"/>
  <c r="Q110" i="1"/>
  <c r="P110" i="1"/>
  <c r="O110" i="1"/>
  <c r="N110" i="1"/>
  <c r="M110" i="1"/>
  <c r="G110" i="1"/>
  <c r="S109" i="1"/>
  <c r="R109" i="1"/>
  <c r="Q109" i="1"/>
  <c r="P109" i="1"/>
  <c r="O109" i="1"/>
  <c r="N109" i="1"/>
  <c r="M109" i="1"/>
  <c r="G109" i="1"/>
  <c r="S108" i="1"/>
  <c r="R108" i="1"/>
  <c r="Q108" i="1"/>
  <c r="P108" i="1"/>
  <c r="O108" i="1"/>
  <c r="N108" i="1"/>
  <c r="M108" i="1"/>
  <c r="G108" i="1"/>
  <c r="S107" i="1"/>
  <c r="R107" i="1"/>
  <c r="Q107" i="1"/>
  <c r="P107" i="1"/>
  <c r="O107" i="1"/>
  <c r="N107" i="1"/>
  <c r="M107" i="1"/>
  <c r="G107" i="1"/>
  <c r="S106" i="1"/>
  <c r="R106" i="1"/>
  <c r="Q106" i="1"/>
  <c r="P106" i="1"/>
  <c r="O106" i="1"/>
  <c r="N106" i="1"/>
  <c r="M106" i="1"/>
  <c r="G106" i="1"/>
  <c r="S105" i="1"/>
  <c r="R105" i="1"/>
  <c r="Q105" i="1"/>
  <c r="P105" i="1"/>
  <c r="O105" i="1"/>
  <c r="N105" i="1"/>
  <c r="M105" i="1"/>
  <c r="G105" i="1"/>
  <c r="S104" i="1"/>
  <c r="R104" i="1"/>
  <c r="Q104" i="1"/>
  <c r="P104" i="1"/>
  <c r="O104" i="1"/>
  <c r="N104" i="1"/>
  <c r="M104" i="1"/>
  <c r="G104" i="1"/>
  <c r="S103" i="1"/>
  <c r="R103" i="1"/>
  <c r="Q103" i="1"/>
  <c r="P103" i="1"/>
  <c r="O103" i="1"/>
  <c r="N103" i="1"/>
  <c r="M103" i="1"/>
  <c r="G103" i="1"/>
  <c r="S102" i="1"/>
  <c r="R102" i="1"/>
  <c r="Q102" i="1"/>
  <c r="P102" i="1"/>
  <c r="O102" i="1"/>
  <c r="N102" i="1"/>
  <c r="M102" i="1"/>
  <c r="G102" i="1"/>
  <c r="S101" i="1"/>
  <c r="R101" i="1"/>
  <c r="Q101" i="1"/>
  <c r="P101" i="1"/>
  <c r="O101" i="1"/>
  <c r="N101" i="1"/>
  <c r="M101" i="1"/>
  <c r="G101" i="1"/>
  <c r="S100" i="1"/>
  <c r="R100" i="1"/>
  <c r="Q100" i="1"/>
  <c r="P100" i="1"/>
  <c r="O100" i="1"/>
  <c r="N100" i="1"/>
  <c r="M100" i="1"/>
  <c r="G100" i="1"/>
  <c r="S99" i="1"/>
  <c r="R99" i="1"/>
  <c r="Q99" i="1"/>
  <c r="P99" i="1"/>
  <c r="O99" i="1"/>
  <c r="N99" i="1"/>
  <c r="M99" i="1"/>
  <c r="G99" i="1"/>
  <c r="S98" i="1"/>
  <c r="R98" i="1"/>
  <c r="Q98" i="1"/>
  <c r="P98" i="1"/>
  <c r="O98" i="1"/>
  <c r="N98" i="1"/>
  <c r="M98" i="1"/>
  <c r="G98" i="1"/>
  <c r="S97" i="1"/>
  <c r="R97" i="1"/>
  <c r="Q97" i="1"/>
  <c r="P97" i="1"/>
  <c r="O97" i="1"/>
  <c r="N97" i="1"/>
  <c r="M97" i="1"/>
  <c r="G97" i="1"/>
  <c r="S96" i="1"/>
  <c r="R96" i="1"/>
  <c r="Q96" i="1"/>
  <c r="P96" i="1"/>
  <c r="O96" i="1"/>
  <c r="N96" i="1"/>
  <c r="M96" i="1"/>
  <c r="G96" i="1"/>
  <c r="S95" i="1"/>
  <c r="R95" i="1"/>
  <c r="Q95" i="1"/>
  <c r="P95" i="1"/>
  <c r="O95" i="1"/>
  <c r="N95" i="1"/>
  <c r="M95" i="1"/>
  <c r="G95" i="1"/>
  <c r="S94" i="1"/>
  <c r="R94" i="1"/>
  <c r="Q94" i="1"/>
  <c r="P94" i="1"/>
  <c r="O94" i="1"/>
  <c r="N94" i="1"/>
  <c r="M94" i="1"/>
  <c r="G94" i="1"/>
  <c r="S93" i="1"/>
  <c r="R93" i="1"/>
  <c r="Q93" i="1"/>
  <c r="P93" i="1"/>
  <c r="O93" i="1"/>
  <c r="N93" i="1"/>
  <c r="M93" i="1"/>
  <c r="G93" i="1"/>
  <c r="S92" i="1"/>
  <c r="R92" i="1"/>
  <c r="Q92" i="1"/>
  <c r="P92" i="1"/>
  <c r="O92" i="1"/>
  <c r="N92" i="1"/>
  <c r="M92" i="1"/>
  <c r="G92" i="1"/>
  <c r="S91" i="1"/>
  <c r="R91" i="1"/>
  <c r="Q91" i="1"/>
  <c r="P91" i="1"/>
  <c r="O91" i="1"/>
  <c r="N91" i="1"/>
  <c r="M91" i="1"/>
  <c r="G91" i="1"/>
  <c r="S90" i="1"/>
  <c r="R90" i="1"/>
  <c r="Q90" i="1"/>
  <c r="P90" i="1"/>
  <c r="O90" i="1"/>
  <c r="N90" i="1"/>
  <c r="M90" i="1"/>
  <c r="G90" i="1"/>
  <c r="S89" i="1"/>
  <c r="R89" i="1"/>
  <c r="Q89" i="1"/>
  <c r="P89" i="1"/>
  <c r="O89" i="1"/>
  <c r="N89" i="1"/>
  <c r="M89" i="1"/>
  <c r="G89" i="1"/>
  <c r="S88" i="1"/>
  <c r="R88" i="1"/>
  <c r="Q88" i="1"/>
  <c r="P88" i="1"/>
  <c r="O88" i="1"/>
  <c r="N88" i="1"/>
  <c r="M88" i="1"/>
  <c r="G88" i="1"/>
  <c r="S87" i="1"/>
  <c r="R87" i="1"/>
  <c r="Q87" i="1"/>
  <c r="P87" i="1"/>
  <c r="O87" i="1"/>
  <c r="N87" i="1"/>
  <c r="M87" i="1"/>
  <c r="G87" i="1"/>
  <c r="S86" i="1"/>
  <c r="R86" i="1"/>
  <c r="Q86" i="1"/>
  <c r="P86" i="1"/>
  <c r="O86" i="1"/>
  <c r="N86" i="1"/>
  <c r="M86" i="1"/>
  <c r="G86" i="1"/>
  <c r="S85" i="1"/>
  <c r="R85" i="1"/>
  <c r="Q85" i="1"/>
  <c r="P85" i="1"/>
  <c r="O85" i="1"/>
  <c r="N85" i="1"/>
  <c r="M85" i="1"/>
  <c r="G85" i="1"/>
  <c r="S84" i="1"/>
  <c r="R84" i="1"/>
  <c r="Q84" i="1"/>
  <c r="P84" i="1"/>
  <c r="O84" i="1"/>
  <c r="N84" i="1"/>
  <c r="M84" i="1"/>
  <c r="G84" i="1"/>
  <c r="S83" i="1"/>
  <c r="R83" i="1"/>
  <c r="Q83" i="1"/>
  <c r="P83" i="1"/>
  <c r="O83" i="1"/>
  <c r="N83" i="1"/>
  <c r="M83" i="1"/>
  <c r="G83" i="1"/>
  <c r="S82" i="1"/>
  <c r="R82" i="1"/>
  <c r="Q82" i="1"/>
  <c r="P82" i="1"/>
  <c r="O82" i="1"/>
  <c r="N82" i="1"/>
  <c r="M82" i="1"/>
  <c r="G82" i="1"/>
  <c r="S81" i="1"/>
  <c r="R81" i="1"/>
  <c r="Q81" i="1"/>
  <c r="P81" i="1"/>
  <c r="O81" i="1"/>
  <c r="N81" i="1"/>
  <c r="M81" i="1"/>
  <c r="G81" i="1"/>
  <c r="S80" i="1"/>
  <c r="R80" i="1"/>
  <c r="Q80" i="1"/>
  <c r="P80" i="1"/>
  <c r="O80" i="1"/>
  <c r="N80" i="1"/>
  <c r="M80" i="1"/>
  <c r="G80" i="1"/>
  <c r="S79" i="1"/>
  <c r="R79" i="1"/>
  <c r="Q79" i="1"/>
  <c r="P79" i="1"/>
  <c r="O79" i="1"/>
  <c r="N79" i="1"/>
  <c r="M79" i="1"/>
  <c r="G79" i="1"/>
  <c r="S78" i="1"/>
  <c r="R78" i="1"/>
  <c r="Q78" i="1"/>
  <c r="P78" i="1"/>
  <c r="O78" i="1"/>
  <c r="N78" i="1"/>
  <c r="M78" i="1"/>
  <c r="G78" i="1"/>
  <c r="S77" i="1"/>
  <c r="R77" i="1"/>
  <c r="Q77" i="1"/>
  <c r="P77" i="1"/>
  <c r="O77" i="1"/>
  <c r="N77" i="1"/>
  <c r="M77" i="1"/>
  <c r="G77" i="1"/>
  <c r="S76" i="1"/>
  <c r="R76" i="1"/>
  <c r="Q76" i="1"/>
  <c r="P76" i="1"/>
  <c r="O76" i="1"/>
  <c r="N76" i="1"/>
  <c r="M76" i="1"/>
  <c r="G76" i="1"/>
  <c r="S75" i="1"/>
  <c r="R75" i="1"/>
  <c r="Q75" i="1"/>
  <c r="P75" i="1"/>
  <c r="O75" i="1"/>
  <c r="N75" i="1"/>
  <c r="M75" i="1"/>
  <c r="G75" i="1"/>
  <c r="S74" i="1"/>
  <c r="R74" i="1"/>
  <c r="Q74" i="1"/>
  <c r="P74" i="1"/>
  <c r="O74" i="1"/>
  <c r="N74" i="1"/>
  <c r="M74" i="1"/>
  <c r="G74" i="1"/>
  <c r="S73" i="1"/>
  <c r="R73" i="1"/>
  <c r="Q73" i="1"/>
  <c r="P73" i="1"/>
  <c r="O73" i="1"/>
  <c r="N73" i="1"/>
  <c r="M73" i="1"/>
  <c r="G73" i="1"/>
  <c r="S72" i="1"/>
  <c r="R72" i="1"/>
  <c r="Q72" i="1"/>
  <c r="P72" i="1"/>
  <c r="O72" i="1"/>
  <c r="N72" i="1"/>
  <c r="M72" i="1"/>
  <c r="G72" i="1"/>
  <c r="S71" i="1"/>
  <c r="R71" i="1"/>
  <c r="Q71" i="1"/>
  <c r="P71" i="1"/>
  <c r="O71" i="1"/>
  <c r="N71" i="1"/>
  <c r="M71" i="1"/>
  <c r="G71" i="1"/>
  <c r="S70" i="1"/>
  <c r="R70" i="1"/>
  <c r="Q70" i="1"/>
  <c r="P70" i="1"/>
  <c r="O70" i="1"/>
  <c r="N70" i="1"/>
  <c r="M70" i="1"/>
  <c r="G70" i="1"/>
  <c r="S69" i="1"/>
  <c r="R69" i="1"/>
  <c r="Q69" i="1"/>
  <c r="P69" i="1"/>
  <c r="O69" i="1"/>
  <c r="N69" i="1"/>
  <c r="M69" i="1"/>
  <c r="G69" i="1"/>
  <c r="S68" i="1"/>
  <c r="R68" i="1"/>
  <c r="Q68" i="1"/>
  <c r="P68" i="1"/>
  <c r="O68" i="1"/>
  <c r="N68" i="1"/>
  <c r="M68" i="1"/>
  <c r="G68" i="1"/>
  <c r="S67" i="1"/>
  <c r="R67" i="1"/>
  <c r="Q67" i="1"/>
  <c r="P67" i="1"/>
  <c r="O67" i="1"/>
  <c r="N67" i="1"/>
  <c r="M67" i="1"/>
  <c r="G67" i="1"/>
  <c r="S66" i="1"/>
  <c r="R66" i="1"/>
  <c r="Q66" i="1"/>
  <c r="P66" i="1"/>
  <c r="O66" i="1"/>
  <c r="N66" i="1"/>
  <c r="M66" i="1"/>
  <c r="G66" i="1"/>
  <c r="S65" i="1"/>
  <c r="R65" i="1"/>
  <c r="Q65" i="1"/>
  <c r="P65" i="1"/>
  <c r="O65" i="1"/>
  <c r="N65" i="1"/>
  <c r="M65" i="1"/>
  <c r="G65" i="1"/>
  <c r="S64" i="1"/>
  <c r="R64" i="1"/>
  <c r="Q64" i="1"/>
  <c r="P64" i="1"/>
  <c r="O64" i="1"/>
  <c r="N64" i="1"/>
  <c r="M64" i="1"/>
  <c r="G64" i="1"/>
  <c r="S63" i="1"/>
  <c r="R63" i="1"/>
  <c r="Q63" i="1"/>
  <c r="P63" i="1"/>
  <c r="O63" i="1"/>
  <c r="N63" i="1"/>
  <c r="M63" i="1"/>
  <c r="G63" i="1"/>
  <c r="S62" i="1"/>
  <c r="R62" i="1"/>
  <c r="Q62" i="1"/>
  <c r="P62" i="1"/>
  <c r="O62" i="1"/>
  <c r="N62" i="1"/>
  <c r="M62" i="1"/>
  <c r="G62" i="1"/>
  <c r="S61" i="1"/>
  <c r="R61" i="1"/>
  <c r="Q61" i="1"/>
  <c r="P61" i="1"/>
  <c r="O61" i="1"/>
  <c r="N61" i="1"/>
  <c r="M61" i="1"/>
  <c r="G61" i="1"/>
  <c r="S60" i="1"/>
  <c r="R60" i="1"/>
  <c r="Q60" i="1"/>
  <c r="P60" i="1"/>
  <c r="O60" i="1"/>
  <c r="N60" i="1"/>
  <c r="M60" i="1"/>
  <c r="G60" i="1"/>
  <c r="S59" i="1"/>
  <c r="R59" i="1"/>
  <c r="Q59" i="1"/>
  <c r="P59" i="1"/>
  <c r="O59" i="1"/>
  <c r="N59" i="1"/>
  <c r="M59" i="1"/>
  <c r="G59" i="1"/>
  <c r="S58" i="1"/>
  <c r="R58" i="1"/>
  <c r="Q58" i="1"/>
  <c r="P58" i="1"/>
  <c r="O58" i="1"/>
  <c r="N58" i="1"/>
  <c r="M58" i="1"/>
  <c r="G58" i="1"/>
  <c r="S57" i="1"/>
  <c r="R57" i="1"/>
  <c r="Q57" i="1"/>
  <c r="P57" i="1"/>
  <c r="O57" i="1"/>
  <c r="N57" i="1"/>
  <c r="M57" i="1"/>
  <c r="G57" i="1"/>
  <c r="S56" i="1"/>
  <c r="R56" i="1"/>
  <c r="Q56" i="1"/>
  <c r="P56" i="1"/>
  <c r="O56" i="1"/>
  <c r="N56" i="1"/>
  <c r="M56" i="1"/>
  <c r="G56" i="1"/>
  <c r="S55" i="1"/>
  <c r="R55" i="1"/>
  <c r="Q55" i="1"/>
  <c r="P55" i="1"/>
  <c r="O55" i="1"/>
  <c r="N55" i="1"/>
  <c r="M55" i="1"/>
  <c r="G55" i="1"/>
  <c r="S54" i="1"/>
  <c r="R54" i="1"/>
  <c r="Q54" i="1"/>
  <c r="P54" i="1"/>
  <c r="O54" i="1"/>
  <c r="N54" i="1"/>
  <c r="M54" i="1"/>
  <c r="G54" i="1"/>
  <c r="S53" i="1"/>
  <c r="R53" i="1"/>
  <c r="Q53" i="1"/>
  <c r="P53" i="1"/>
  <c r="O53" i="1"/>
  <c r="N53" i="1"/>
  <c r="M53" i="1"/>
  <c r="G53" i="1"/>
  <c r="S52" i="1"/>
  <c r="R52" i="1"/>
  <c r="Q52" i="1"/>
  <c r="P52" i="1"/>
  <c r="O52" i="1"/>
  <c r="N52" i="1"/>
  <c r="M52" i="1"/>
  <c r="G52" i="1"/>
  <c r="S51" i="1"/>
  <c r="R51" i="1"/>
  <c r="Q51" i="1"/>
  <c r="P51" i="1"/>
  <c r="O51" i="1"/>
  <c r="N51" i="1"/>
  <c r="M51" i="1"/>
  <c r="G51" i="1"/>
  <c r="S50" i="1"/>
  <c r="R50" i="1"/>
  <c r="Q50" i="1"/>
  <c r="P50" i="1"/>
  <c r="O50" i="1"/>
  <c r="N50" i="1"/>
  <c r="M50" i="1"/>
  <c r="G50" i="1"/>
  <c r="S49" i="1"/>
  <c r="R49" i="1"/>
  <c r="Q49" i="1"/>
  <c r="P49" i="1"/>
  <c r="O49" i="1"/>
  <c r="N49" i="1"/>
  <c r="M49" i="1"/>
  <c r="G49" i="1"/>
  <c r="S48" i="1"/>
  <c r="R48" i="1"/>
  <c r="Q48" i="1"/>
  <c r="P48" i="1"/>
  <c r="O48" i="1"/>
  <c r="N48" i="1"/>
  <c r="M48" i="1"/>
  <c r="G48" i="1"/>
  <c r="S47" i="1"/>
  <c r="R47" i="1"/>
  <c r="Q47" i="1"/>
  <c r="P47" i="1"/>
  <c r="O47" i="1"/>
  <c r="N47" i="1"/>
  <c r="M47" i="1"/>
  <c r="G47" i="1"/>
  <c r="S46" i="1"/>
  <c r="R46" i="1"/>
  <c r="Q46" i="1"/>
  <c r="P46" i="1"/>
  <c r="O46" i="1"/>
  <c r="N46" i="1"/>
  <c r="M46" i="1"/>
  <c r="G46" i="1"/>
  <c r="S45" i="1"/>
  <c r="R45" i="1"/>
  <c r="Q45" i="1"/>
  <c r="P45" i="1"/>
  <c r="O45" i="1"/>
  <c r="N45" i="1"/>
  <c r="M45" i="1"/>
  <c r="G45" i="1"/>
  <c r="S44" i="1"/>
  <c r="R44" i="1"/>
  <c r="Q44" i="1"/>
  <c r="P44" i="1"/>
  <c r="O44" i="1"/>
  <c r="N44" i="1"/>
  <c r="M44" i="1"/>
  <c r="G44" i="1"/>
  <c r="S43" i="1"/>
  <c r="R43" i="1"/>
  <c r="Q43" i="1"/>
  <c r="P43" i="1"/>
  <c r="O43" i="1"/>
  <c r="N43" i="1"/>
  <c r="M43" i="1"/>
  <c r="G43" i="1"/>
  <c r="S42" i="1"/>
  <c r="R42" i="1"/>
  <c r="Q42" i="1"/>
  <c r="P42" i="1"/>
  <c r="O42" i="1"/>
  <c r="N42" i="1"/>
  <c r="M42" i="1"/>
  <c r="G42" i="1"/>
  <c r="S41" i="1"/>
  <c r="R41" i="1"/>
  <c r="Q41" i="1"/>
  <c r="P41" i="1"/>
  <c r="O41" i="1"/>
  <c r="N41" i="1"/>
  <c r="M41" i="1"/>
  <c r="G41" i="1"/>
  <c r="S40" i="1"/>
  <c r="R40" i="1"/>
  <c r="Q40" i="1"/>
  <c r="P40" i="1"/>
  <c r="O40" i="1"/>
  <c r="N40" i="1"/>
  <c r="M40" i="1"/>
  <c r="G40" i="1"/>
  <c r="S39" i="1"/>
  <c r="R39" i="1"/>
  <c r="Q39" i="1"/>
  <c r="P39" i="1"/>
  <c r="O39" i="1"/>
  <c r="N39" i="1"/>
  <c r="M39" i="1"/>
  <c r="G39" i="1"/>
  <c r="S38" i="1"/>
  <c r="R38" i="1"/>
  <c r="Q38" i="1"/>
  <c r="P38" i="1"/>
  <c r="O38" i="1"/>
  <c r="N38" i="1"/>
  <c r="M38" i="1"/>
  <c r="G38" i="1"/>
  <c r="S37" i="1"/>
  <c r="R37" i="1"/>
  <c r="Q37" i="1"/>
  <c r="P37" i="1"/>
  <c r="O37" i="1"/>
  <c r="N37" i="1"/>
  <c r="M37" i="1"/>
  <c r="G37" i="1"/>
  <c r="S36" i="1"/>
  <c r="R36" i="1"/>
  <c r="Q36" i="1"/>
  <c r="P36" i="1"/>
  <c r="O36" i="1"/>
  <c r="N36" i="1"/>
  <c r="M36" i="1"/>
  <c r="G36" i="1"/>
  <c r="S35" i="1"/>
  <c r="R35" i="1"/>
  <c r="Q35" i="1"/>
  <c r="P35" i="1"/>
  <c r="O35" i="1"/>
  <c r="N35" i="1"/>
  <c r="M35" i="1"/>
  <c r="G35" i="1"/>
  <c r="S34" i="1"/>
  <c r="R34" i="1"/>
  <c r="Q34" i="1"/>
  <c r="P34" i="1"/>
  <c r="O34" i="1"/>
  <c r="N34" i="1"/>
  <c r="M34" i="1"/>
  <c r="G34" i="1"/>
  <c r="S33" i="1"/>
  <c r="R33" i="1"/>
  <c r="Q33" i="1"/>
  <c r="P33" i="1"/>
  <c r="O33" i="1"/>
  <c r="N33" i="1"/>
  <c r="M33" i="1"/>
  <c r="G33" i="1"/>
  <c r="S32" i="1"/>
  <c r="R32" i="1"/>
  <c r="Q32" i="1"/>
  <c r="P32" i="1"/>
  <c r="O32" i="1"/>
  <c r="N32" i="1"/>
  <c r="M32" i="1"/>
  <c r="G32" i="1"/>
  <c r="S31" i="1"/>
  <c r="R31" i="1"/>
  <c r="Q31" i="1"/>
  <c r="P31" i="1"/>
  <c r="O31" i="1"/>
  <c r="N31" i="1"/>
  <c r="M31" i="1"/>
  <c r="G31" i="1"/>
  <c r="S30" i="1"/>
  <c r="R30" i="1"/>
  <c r="Q30" i="1"/>
  <c r="P30" i="1"/>
  <c r="O30" i="1"/>
  <c r="N30" i="1"/>
  <c r="M30" i="1"/>
  <c r="G30" i="1"/>
  <c r="S29" i="1"/>
  <c r="R29" i="1"/>
  <c r="Q29" i="1"/>
  <c r="P29" i="1"/>
  <c r="O29" i="1"/>
  <c r="N29" i="1"/>
  <c r="M29" i="1"/>
  <c r="G29" i="1"/>
  <c r="S28" i="1"/>
  <c r="R28" i="1"/>
  <c r="Q28" i="1"/>
  <c r="P28" i="1"/>
  <c r="O28" i="1"/>
  <c r="N28" i="1"/>
  <c r="M28" i="1"/>
  <c r="G28" i="1"/>
  <c r="S27" i="1"/>
  <c r="R27" i="1"/>
  <c r="Q27" i="1"/>
  <c r="P27" i="1"/>
  <c r="O27" i="1"/>
  <c r="N27" i="1"/>
  <c r="M27" i="1"/>
  <c r="G27" i="1"/>
  <c r="S26" i="1"/>
  <c r="R26" i="1"/>
  <c r="Q26" i="1"/>
  <c r="P26" i="1"/>
  <c r="O26" i="1"/>
  <c r="N26" i="1"/>
  <c r="M26" i="1"/>
  <c r="G26" i="1"/>
  <c r="S25" i="1"/>
  <c r="R25" i="1"/>
  <c r="Q25" i="1"/>
  <c r="P25" i="1"/>
  <c r="O25" i="1"/>
  <c r="N25" i="1"/>
  <c r="M25" i="1"/>
  <c r="G25" i="1"/>
  <c r="S24" i="1"/>
  <c r="R24" i="1"/>
  <c r="Q24" i="1"/>
  <c r="P24" i="1"/>
  <c r="O24" i="1"/>
  <c r="N24" i="1"/>
  <c r="M24" i="1"/>
  <c r="G24" i="1"/>
  <c r="S23" i="1"/>
  <c r="R23" i="1"/>
  <c r="Q23" i="1"/>
  <c r="P23" i="1"/>
  <c r="O23" i="1"/>
  <c r="N23" i="1"/>
  <c r="M23" i="1"/>
  <c r="G23" i="1"/>
  <c r="S22" i="1"/>
  <c r="R22" i="1"/>
  <c r="Q22" i="1"/>
  <c r="P22" i="1"/>
  <c r="O22" i="1"/>
  <c r="N22" i="1"/>
  <c r="M22" i="1"/>
  <c r="G22" i="1"/>
  <c r="S21" i="1"/>
  <c r="R21" i="1"/>
  <c r="Q21" i="1"/>
  <c r="P21" i="1"/>
  <c r="O21" i="1"/>
  <c r="N21" i="1"/>
  <c r="M21" i="1"/>
  <c r="G21" i="1"/>
  <c r="S20" i="1"/>
  <c r="R20" i="1"/>
  <c r="Q20" i="1"/>
  <c r="P20" i="1"/>
  <c r="O20" i="1"/>
  <c r="N20" i="1"/>
  <c r="M20" i="1"/>
  <c r="G20" i="1"/>
  <c r="S19" i="1"/>
  <c r="R19" i="1"/>
  <c r="Q19" i="1"/>
  <c r="P19" i="1"/>
  <c r="O19" i="1"/>
  <c r="N19" i="1"/>
  <c r="M19" i="1"/>
  <c r="G19" i="1"/>
  <c r="S18" i="1"/>
  <c r="R18" i="1"/>
  <c r="Q18" i="1"/>
  <c r="P18" i="1"/>
  <c r="O18" i="1"/>
  <c r="N18" i="1"/>
  <c r="M18" i="1"/>
  <c r="G18" i="1"/>
  <c r="S17" i="1"/>
  <c r="R17" i="1"/>
  <c r="Q17" i="1"/>
  <c r="P17" i="1"/>
  <c r="O17" i="1"/>
  <c r="N17" i="1"/>
  <c r="M17" i="1"/>
  <c r="G17" i="1"/>
  <c r="S16" i="1"/>
  <c r="R16" i="1"/>
  <c r="Q16" i="1"/>
  <c r="P16" i="1"/>
  <c r="O16" i="1"/>
  <c r="N16" i="1"/>
  <c r="M16" i="1"/>
  <c r="G16" i="1"/>
  <c r="S15" i="1"/>
  <c r="R15" i="1"/>
  <c r="Q15" i="1"/>
  <c r="P15" i="1"/>
  <c r="O15" i="1"/>
  <c r="N15" i="1"/>
  <c r="M15" i="1"/>
  <c r="G15" i="1"/>
  <c r="S14" i="1"/>
  <c r="R14" i="1"/>
  <c r="Q14" i="1"/>
  <c r="P14" i="1"/>
  <c r="O14" i="1"/>
  <c r="N14" i="1"/>
  <c r="M14" i="1"/>
  <c r="G14" i="1"/>
  <c r="S13" i="1"/>
  <c r="R13" i="1"/>
  <c r="Q13" i="1"/>
  <c r="P13" i="1"/>
  <c r="O13" i="1"/>
  <c r="N13" i="1"/>
  <c r="M13" i="1"/>
  <c r="G13" i="1"/>
  <c r="S12" i="1"/>
  <c r="R12" i="1"/>
  <c r="Q12" i="1"/>
  <c r="P12" i="1"/>
  <c r="O12" i="1"/>
  <c r="N12" i="1"/>
  <c r="M12" i="1"/>
  <c r="S11" i="1"/>
  <c r="R11" i="1"/>
  <c r="Q11" i="1"/>
  <c r="P11" i="1"/>
  <c r="O11" i="1"/>
  <c r="N11" i="1"/>
  <c r="M11" i="1"/>
  <c r="A9" i="2" l="1"/>
  <c r="A9" i="1" s="1"/>
  <c r="A21" i="2"/>
  <c r="A33" i="2"/>
  <c r="M8" i="1" s="1"/>
  <c r="A10" i="2"/>
  <c r="C9" i="1" s="1"/>
  <c r="A22" i="2"/>
  <c r="A34" i="2"/>
  <c r="M10" i="1" s="1"/>
  <c r="A11" i="2"/>
  <c r="D9" i="1" s="1"/>
  <c r="A23" i="2"/>
  <c r="A35" i="2"/>
  <c r="N10" i="1" s="1"/>
  <c r="A12" i="2"/>
  <c r="D10" i="1" s="1"/>
  <c r="A24" i="2"/>
  <c r="A36" i="2"/>
  <c r="O10" i="1" s="1"/>
  <c r="A13" i="2"/>
  <c r="E10" i="1" s="1"/>
  <c r="A25" i="2"/>
  <c r="A3" i="1" s="1"/>
  <c r="A37" i="2"/>
  <c r="A14" i="2"/>
  <c r="F10" i="1" s="1"/>
  <c r="A26" i="2"/>
  <c r="A4" i="1" s="1"/>
  <c r="A38" i="2"/>
  <c r="A15" i="2"/>
  <c r="G10" i="1" s="1"/>
  <c r="A27" i="2"/>
  <c r="A5" i="1" s="1"/>
  <c r="A39" i="2"/>
  <c r="A16" i="2"/>
  <c r="H9" i="1" s="1"/>
  <c r="A28" i="2"/>
  <c r="D5" i="1" s="1"/>
  <c r="A40" i="2"/>
  <c r="P9" i="1" s="1"/>
  <c r="A17" i="2"/>
  <c r="H10" i="1" s="1"/>
  <c r="A29" i="2"/>
  <c r="A41" i="2"/>
  <c r="C1" i="1" s="1"/>
  <c r="A6" i="2"/>
  <c r="A2" i="1" s="1"/>
  <c r="A18" i="2"/>
  <c r="I10" i="1" s="1"/>
  <c r="A30" i="2"/>
  <c r="A42" i="2"/>
  <c r="A7" i="2"/>
  <c r="A6" i="1" s="1"/>
  <c r="A19" i="2"/>
  <c r="J10" i="1" s="1"/>
  <c r="A31" i="2"/>
  <c r="B9" i="1" s="1"/>
  <c r="A43" i="2"/>
  <c r="A8" i="2"/>
  <c r="A7" i="1" s="1"/>
  <c r="A20" i="2"/>
  <c r="K10" i="1" s="1"/>
  <c r="A32" i="2"/>
  <c r="G8" i="1" l="1"/>
  <c r="R10" i="1"/>
  <c r="Q10" i="1"/>
  <c r="P10" i="1"/>
  <c r="S10" i="1"/>
</calcChain>
</file>

<file path=xl/sharedStrings.xml><?xml version="1.0" encoding="utf-8"?>
<sst xmlns="http://schemas.openxmlformats.org/spreadsheetml/2006/main" count="11683" uniqueCount="5796">
  <si>
    <t>LV</t>
  </si>
  <si>
    <t>Var aplīmēt 2 garās malas, ja šaurā ir &gt;57mm</t>
  </si>
  <si>
    <t>Nevar izpildīt dēļ CNC ierobežojuma: MIN 40x155 mm; MAX 1600x3000 mm</t>
  </si>
  <si>
    <t>EE</t>
  </si>
  <si>
    <t>RU</t>
  </si>
  <si>
    <t>Pasūtījuma Nr</t>
  </si>
  <si>
    <t>Tellimuse number</t>
  </si>
  <si>
    <t>Номер заказа</t>
  </si>
  <si>
    <t>Klienta projekta Nr.</t>
  </si>
  <si>
    <t>Kliendiprojekt nr.</t>
  </si>
  <si>
    <t>Название проекта</t>
  </si>
  <si>
    <t>Klienta Nr.</t>
  </si>
  <si>
    <t>Kliendi nr.</t>
  </si>
  <si>
    <t>Номер клиента</t>
  </si>
  <si>
    <t>Detaili nimetus</t>
  </si>
  <si>
    <t>Название детали</t>
  </si>
  <si>
    <t>Materiāla artikuls</t>
  </si>
  <si>
    <t>Tootekood</t>
  </si>
  <si>
    <t>Артикул материала</t>
  </si>
  <si>
    <t>Detaļas izmēri</t>
  </si>
  <si>
    <t>Detaili mõõdud</t>
  </si>
  <si>
    <t>Размеры детали</t>
  </si>
  <si>
    <t>Skaits</t>
  </si>
  <si>
    <t>Kogus</t>
  </si>
  <si>
    <t>Количество</t>
  </si>
  <si>
    <t>Šķiedras virziens</t>
  </si>
  <si>
    <t>Puidusüü asetsemine</t>
  </si>
  <si>
    <t>Направление декора</t>
  </si>
  <si>
    <t>Aplīmēt malas (norādīt malas artikulu)</t>
  </si>
  <si>
    <t>ABS servakantide paigaldamine</t>
  </si>
  <si>
    <t>Указать артикул кромки</t>
  </si>
  <si>
    <t>paraksts</t>
  </si>
  <si>
    <t>Подпись</t>
  </si>
  <si>
    <t>Pasūtījuma datums</t>
  </si>
  <si>
    <t>Tellimuse kuupäev</t>
  </si>
  <si>
    <t>Дата Заказа</t>
  </si>
  <si>
    <t>Pasūtītājs</t>
  </si>
  <si>
    <t>Klient</t>
  </si>
  <si>
    <t>Клиент</t>
  </si>
  <si>
    <t>e-pasts</t>
  </si>
  <si>
    <t>E-mail</t>
  </si>
  <si>
    <t>е - почта</t>
  </si>
  <si>
    <t>Tālr.</t>
  </si>
  <si>
    <t>Mob.</t>
  </si>
  <si>
    <t>Тел.</t>
  </si>
  <si>
    <t>NORĀDĪTI GATAVO DETAĻU IZMĒRI</t>
  </si>
  <si>
    <t>SUURUS (VALMIS TOOTE)</t>
  </si>
  <si>
    <t>ГОТОВЫЕ РАЗМЕРЫ ДЕТАЛЕЙ</t>
  </si>
  <si>
    <t>'Pasūtījumu apstiprinu. Izmēri, materiāli pierakstīti precīzi!''</t>
  </si>
  <si>
    <t>Kinnitan tellimust. Suurused ja materjalid on õiged.</t>
  </si>
  <si>
    <t>'Заказ подтверждаю. Размеры, материал указаны правильно!''</t>
  </si>
  <si>
    <t>Joonise nr *</t>
  </si>
  <si>
    <t>Чертёж Нр.*</t>
  </si>
  <si>
    <r>
      <rPr>
        <b/>
        <sz val="11"/>
        <color theme="1"/>
        <rFont val="Calibri"/>
        <family val="2"/>
      </rPr>
      <t>Detaļas nosaukums*</t>
    </r>
    <r>
      <rPr>
        <sz val="11"/>
        <color theme="1"/>
        <rFont val="Calibri"/>
        <family val="2"/>
      </rPr>
      <t xml:space="preserve"> - ja detaļai nepieciešama papildus apstrāde( urbumu urbšana, frēzēšana),detaļas nosaukumu norādīt uz attiecīgā detaļas rasējuma!</t>
    </r>
  </si>
  <si>
    <t>Joonise nr * - Kui on vaja lisatöölemist: puurimine, freesimine. Siis info on joonises!</t>
  </si>
  <si>
    <r>
      <rPr>
        <b/>
        <sz val="11"/>
        <color rgb="FF000000"/>
        <rFont val="Calibri"/>
        <family val="2"/>
      </rPr>
      <t>Чертёж Нр.*</t>
    </r>
    <r>
      <rPr>
        <sz val="11"/>
        <color rgb="FF000000"/>
        <rFont val="Calibri"/>
        <family val="2"/>
      </rPr>
      <t xml:space="preserve"> - Если детали требуют дополнительной обработки: сверление, фрезерование. Oтзыв в чертёж!</t>
    </r>
  </si>
  <si>
    <t>KĻŪDU PĀRBAUDE</t>
  </si>
  <si>
    <t>Viga kontrollimisel</t>
  </si>
  <si>
    <t>Проверка ошибок</t>
  </si>
  <si>
    <t>Materiāla pārbaude</t>
  </si>
  <si>
    <t>Materjali kontroll</t>
  </si>
  <si>
    <t>Проверка материала</t>
  </si>
  <si>
    <t>Skaita pārbaude</t>
  </si>
  <si>
    <t>Koguse kontrollimine</t>
  </si>
  <si>
    <t>Проверка количество</t>
  </si>
  <si>
    <t>Šķiedras virziena pārbaude</t>
  </si>
  <si>
    <t>Kiudsuuna test</t>
  </si>
  <si>
    <t>напр. структ.</t>
  </si>
  <si>
    <t>Atbilst dekors</t>
  </si>
  <si>
    <t>Kaunistus ja laius</t>
  </si>
  <si>
    <t>Декор и ширина</t>
  </si>
  <si>
    <t>neatbilst dekors</t>
  </si>
  <si>
    <t>ei sobi dekooriga</t>
  </si>
  <si>
    <t>декор не прав.</t>
  </si>
  <si>
    <t>neatbilst platums</t>
  </si>
  <si>
    <t>ei sobi laius</t>
  </si>
  <si>
    <t>ширин не прав.</t>
  </si>
  <si>
    <t>Malas pārbaude</t>
  </si>
  <si>
    <t>Äärekontroll</t>
  </si>
  <si>
    <t>Проверка кромки</t>
  </si>
  <si>
    <t>Informācija par materiāliem atjaunota</t>
  </si>
  <si>
    <t>Materjaliandmeid on uuendatud</t>
  </si>
  <si>
    <t>Данние материалов обновлены</t>
  </si>
  <si>
    <t>Artikuls</t>
  </si>
  <si>
    <t>Dekors</t>
  </si>
  <si>
    <t>Škiedra</t>
  </si>
  <si>
    <t>garums</t>
  </si>
  <si>
    <t>biezums</t>
  </si>
  <si>
    <t>platums</t>
  </si>
  <si>
    <t>Tekstūra</t>
  </si>
  <si>
    <t>Šķiedra</t>
  </si>
  <si>
    <t>default_edge_X1</t>
  </si>
  <si>
    <t>default_edge_X2</t>
  </si>
  <si>
    <t>Garums Y</t>
  </si>
  <si>
    <t>Platums X</t>
  </si>
  <si>
    <t>Garums Y1</t>
  </si>
  <si>
    <t>Garums Y2</t>
  </si>
  <si>
    <t>Platums X1</t>
  </si>
  <si>
    <t>Platums X2</t>
  </si>
  <si>
    <t>Pikkus Y1</t>
  </si>
  <si>
    <t>Pikkus Y2</t>
  </si>
  <si>
    <t>Laius X1</t>
  </si>
  <si>
    <t>Laius X2</t>
  </si>
  <si>
    <t>Длина Y1</t>
  </si>
  <si>
    <t>Длина Y2</t>
  </si>
  <si>
    <t>Ширина X1</t>
  </si>
  <si>
    <t>Ширина X2</t>
  </si>
  <si>
    <t>Pikkus Y</t>
  </si>
  <si>
    <t>Laius X</t>
  </si>
  <si>
    <t>Длина Y</t>
  </si>
  <si>
    <t>Ширина X</t>
  </si>
  <si>
    <t xml:space="preserve">  Y-paralēli garumam</t>
  </si>
  <si>
    <t xml:space="preserve">  X-paralēli platumam</t>
  </si>
  <si>
    <t xml:space="preserve"> Y-paralleelne pikkusega;</t>
  </si>
  <si>
    <t>X-paralleelne laiusega</t>
  </si>
  <si>
    <t xml:space="preserve">  Y - параллельно длине</t>
  </si>
  <si>
    <t xml:space="preserve">  X - параллельно ширине</t>
  </si>
  <si>
    <t>N</t>
  </si>
  <si>
    <t>Y</t>
  </si>
  <si>
    <t>X</t>
  </si>
  <si>
    <t>Kļūda artikulā</t>
  </si>
  <si>
    <t>Viga artiklis</t>
  </si>
  <si>
    <t>Нет артикула</t>
  </si>
  <si>
    <t>Ievadiet skaitu</t>
  </si>
  <si>
    <t>Нет количество</t>
  </si>
  <si>
    <t>Sisestage kogus</t>
  </si>
  <si>
    <t>Nav korekts</t>
  </si>
  <si>
    <t>Ei ole õige</t>
  </si>
  <si>
    <t>Не правильно</t>
  </si>
  <si>
    <t xml:space="preserve">   N - bez virziena</t>
  </si>
  <si>
    <t xml:space="preserve">   N-ühetooniline dekoor;</t>
  </si>
  <si>
    <t xml:space="preserve">   N - однотонные декори </t>
  </si>
  <si>
    <t>MIN</t>
  </si>
  <si>
    <t>MAX</t>
  </si>
  <si>
    <t>102.16.0112PE</t>
  </si>
  <si>
    <t>0112PE</t>
  </si>
  <si>
    <t>FALSE</t>
  </si>
  <si>
    <t>102.16.0162PE</t>
  </si>
  <si>
    <t>0162PE</t>
  </si>
  <si>
    <t>102.16.0190PE</t>
  </si>
  <si>
    <t>0190PE</t>
  </si>
  <si>
    <t>102.16.0375PR</t>
  </si>
  <si>
    <t>0375PR</t>
  </si>
  <si>
    <t>TRUE</t>
  </si>
  <si>
    <t>102.16.0381PR</t>
  </si>
  <si>
    <t>0381PR</t>
  </si>
  <si>
    <t>102.16.6459PE</t>
  </si>
  <si>
    <t>6459PE</t>
  </si>
  <si>
    <t>102.18.0112PE</t>
  </si>
  <si>
    <t>102.18.0162PE</t>
  </si>
  <si>
    <t>102.18.0164PE</t>
  </si>
  <si>
    <t>0164PE</t>
  </si>
  <si>
    <t>102.18.0190PE</t>
  </si>
  <si>
    <t>102.18.0375PR</t>
  </si>
  <si>
    <t>102.18.0381PR</t>
  </si>
  <si>
    <t>102.18.6459PE</t>
  </si>
  <si>
    <t>102.18.K006PW</t>
  </si>
  <si>
    <t>K006PW</t>
  </si>
  <si>
    <t>102.18.K009PW</t>
  </si>
  <si>
    <t>K009PW</t>
  </si>
  <si>
    <t>102.22.0112PE</t>
  </si>
  <si>
    <t>102.25.0112PE</t>
  </si>
  <si>
    <t>102.25.0162PE</t>
  </si>
  <si>
    <t>102.25.0164PE</t>
  </si>
  <si>
    <t>102.25.0190PE</t>
  </si>
  <si>
    <t>102.25.0375PR</t>
  </si>
  <si>
    <t>102.25.0381PR</t>
  </si>
  <si>
    <t>102.25.6459PE</t>
  </si>
  <si>
    <t>102.25.K006PW</t>
  </si>
  <si>
    <t>102.25.K009PW</t>
  </si>
  <si>
    <t>73.2.FX0030.20</t>
  </si>
  <si>
    <t>0030</t>
  </si>
  <si>
    <t>73.2.FX0032.20</t>
  </si>
  <si>
    <t>FX0032</t>
  </si>
  <si>
    <t>73.2.FX0032.P.20</t>
  </si>
  <si>
    <t>73.2.FX0717.20</t>
  </si>
  <si>
    <t>FX0717</t>
  </si>
  <si>
    <t>73.2.FX0718.20</t>
  </si>
  <si>
    <t>FX0718</t>
  </si>
  <si>
    <t>73.2.FX0718.P.20</t>
  </si>
  <si>
    <t>73.2.FX0719.P.20</t>
  </si>
  <si>
    <t>FX0719</t>
  </si>
  <si>
    <t>73.2.FX0720.20</t>
  </si>
  <si>
    <t>FX0720</t>
  </si>
  <si>
    <t>73.2.FX0724.20</t>
  </si>
  <si>
    <t>FX0724</t>
  </si>
  <si>
    <t>73.2.FX0725.20</t>
  </si>
  <si>
    <t>FX0725</t>
  </si>
  <si>
    <t>73.2.FX0748.20</t>
  </si>
  <si>
    <t>FX0748</t>
  </si>
  <si>
    <t>73.2.FX0752.20</t>
  </si>
  <si>
    <t>0752 DIVPUSĒJS</t>
  </si>
  <si>
    <t>73.2.FX0794.20</t>
  </si>
  <si>
    <t>FX0794</t>
  </si>
  <si>
    <t>73.8685.16</t>
  </si>
  <si>
    <t>73.8685.18</t>
  </si>
  <si>
    <t>73.8685.BS.18</t>
  </si>
  <si>
    <t>73.B026.0J.18</t>
  </si>
  <si>
    <t>B026</t>
  </si>
  <si>
    <t>B073</t>
  </si>
  <si>
    <t>73.B073.AR.18</t>
  </si>
  <si>
    <t>B073AR</t>
  </si>
  <si>
    <t>73.B073.CH.8</t>
  </si>
  <si>
    <t>B073CH</t>
  </si>
  <si>
    <t>73.B073.IN.18</t>
  </si>
  <si>
    <t>B073IN</t>
  </si>
  <si>
    <t>73.B073.ML.18</t>
  </si>
  <si>
    <t>B073ML</t>
  </si>
  <si>
    <t>73.B073.TA.18</t>
  </si>
  <si>
    <t>B073TA</t>
  </si>
  <si>
    <t>73.B073.WO.18</t>
  </si>
  <si>
    <t>B073WO</t>
  </si>
  <si>
    <t>73.DEFECT.18</t>
  </si>
  <si>
    <t>73.F120.PM.18</t>
  </si>
  <si>
    <t>F120</t>
  </si>
  <si>
    <t>73.F186.10</t>
  </si>
  <si>
    <t>F186</t>
  </si>
  <si>
    <t>73.F186.16</t>
  </si>
  <si>
    <t>73.F186.18</t>
  </si>
  <si>
    <t>73.F186.25</t>
  </si>
  <si>
    <t>73.F187.16</t>
  </si>
  <si>
    <t>F187</t>
  </si>
  <si>
    <t>73.F187.18</t>
  </si>
  <si>
    <t>73.F204.18</t>
  </si>
  <si>
    <t>F204</t>
  </si>
  <si>
    <t>73.F206.18</t>
  </si>
  <si>
    <t>F206</t>
  </si>
  <si>
    <t>73.F206.PG.18</t>
  </si>
  <si>
    <t>F206STPG</t>
  </si>
  <si>
    <t>73.F206.PM.18</t>
  </si>
  <si>
    <t>F206STPM</t>
  </si>
  <si>
    <t>73.F235.18</t>
  </si>
  <si>
    <t>F235</t>
  </si>
  <si>
    <t>73.F243.18</t>
  </si>
  <si>
    <t>F243</t>
  </si>
  <si>
    <t>73.F302.18</t>
  </si>
  <si>
    <t>F302</t>
  </si>
  <si>
    <t>73.F302.25</t>
  </si>
  <si>
    <t>73.F311.18</t>
  </si>
  <si>
    <t>F311</t>
  </si>
  <si>
    <t>73.F323.10</t>
  </si>
  <si>
    <t>F323</t>
  </si>
  <si>
    <t>73.F323.18</t>
  </si>
  <si>
    <t>73.F416.10</t>
  </si>
  <si>
    <t>F416</t>
  </si>
  <si>
    <t>73.F416.18</t>
  </si>
  <si>
    <t>73.F416.25</t>
  </si>
  <si>
    <t>73.F417.18</t>
  </si>
  <si>
    <t>F417</t>
  </si>
  <si>
    <t>73.F425.10</t>
  </si>
  <si>
    <t>F425</t>
  </si>
  <si>
    <t>73.F425.16</t>
  </si>
  <si>
    <t>73.F425.18</t>
  </si>
  <si>
    <t>73.F425.25</t>
  </si>
  <si>
    <t>73.F426.16</t>
  </si>
  <si>
    <t>F426</t>
  </si>
  <si>
    <t>73.F426.22</t>
  </si>
  <si>
    <t>73.F433.10</t>
  </si>
  <si>
    <t>F433</t>
  </si>
  <si>
    <t>73.F433.16</t>
  </si>
  <si>
    <t>73.F433.18</t>
  </si>
  <si>
    <t>73.F433.25</t>
  </si>
  <si>
    <t>73.F501.10</t>
  </si>
  <si>
    <t>F501</t>
  </si>
  <si>
    <t>73.F501.16</t>
  </si>
  <si>
    <t>73.F501.18</t>
  </si>
  <si>
    <t>73.F501.22</t>
  </si>
  <si>
    <t>73.F501.25</t>
  </si>
  <si>
    <t>73.F509.10</t>
  </si>
  <si>
    <t>F509</t>
  </si>
  <si>
    <t>73.F509.16</t>
  </si>
  <si>
    <t>73.F509.18</t>
  </si>
  <si>
    <t>73.F509.25</t>
  </si>
  <si>
    <t>73.F528.18</t>
  </si>
  <si>
    <t>F528</t>
  </si>
  <si>
    <t>73.F570.18</t>
  </si>
  <si>
    <t>F570</t>
  </si>
  <si>
    <t>73.F571.18</t>
  </si>
  <si>
    <t>F571</t>
  </si>
  <si>
    <t>73.F583.10</t>
  </si>
  <si>
    <t>F583</t>
  </si>
  <si>
    <t>73.F583.16</t>
  </si>
  <si>
    <t>73.F583.25</t>
  </si>
  <si>
    <t>73.F584.16</t>
  </si>
  <si>
    <t>F584</t>
  </si>
  <si>
    <t>73.F633.10</t>
  </si>
  <si>
    <t>F633</t>
  </si>
  <si>
    <t>73.F633.16</t>
  </si>
  <si>
    <t>73.F637.18</t>
  </si>
  <si>
    <t>F637</t>
  </si>
  <si>
    <t>73.F642.18</t>
  </si>
  <si>
    <t>F642</t>
  </si>
  <si>
    <t>73.F649.18</t>
  </si>
  <si>
    <t>F649</t>
  </si>
  <si>
    <t>73.F651.18</t>
  </si>
  <si>
    <t>F651</t>
  </si>
  <si>
    <t>73.F685.18</t>
  </si>
  <si>
    <t>F685</t>
  </si>
  <si>
    <t>73.F765.10</t>
  </si>
  <si>
    <t>F765</t>
  </si>
  <si>
    <t>73.F765.18</t>
  </si>
  <si>
    <t>73.F784.10</t>
  </si>
  <si>
    <t>F784</t>
  </si>
  <si>
    <t>73.F784.16</t>
  </si>
  <si>
    <t>73.F784.18</t>
  </si>
  <si>
    <t>73.F784.25</t>
  </si>
  <si>
    <t>73.F800.18</t>
  </si>
  <si>
    <t>F800</t>
  </si>
  <si>
    <t>73.F812.18</t>
  </si>
  <si>
    <t>F812</t>
  </si>
  <si>
    <t>73.F812.PG.18</t>
  </si>
  <si>
    <t>F812STPG</t>
  </si>
  <si>
    <t>73.F812.PM.18</t>
  </si>
  <si>
    <t>F812STPM</t>
  </si>
  <si>
    <t>73.FA33.0J.18</t>
  </si>
  <si>
    <t>FA330J</t>
  </si>
  <si>
    <t>73.FA33.PF.18</t>
  </si>
  <si>
    <t>FA33PF</t>
  </si>
  <si>
    <t>73.FA33.PF.8</t>
  </si>
  <si>
    <t>73.FA41.0J.18</t>
  </si>
  <si>
    <t>FA410J</t>
  </si>
  <si>
    <t>73.FA41.0J.25</t>
  </si>
  <si>
    <t>73.FA41.0J.8</t>
  </si>
  <si>
    <t>73.FA42.0J.18</t>
  </si>
  <si>
    <t>FA420J</t>
  </si>
  <si>
    <t>73.FA42.0J.25</t>
  </si>
  <si>
    <t>73.FA42.0J.8</t>
  </si>
  <si>
    <t>73.FA44.0J.18</t>
  </si>
  <si>
    <t>FA440J</t>
  </si>
  <si>
    <t>73.FA44.0J.25</t>
  </si>
  <si>
    <t>73.FA44.0J.8</t>
  </si>
  <si>
    <t>73.FA46.0J.18</t>
  </si>
  <si>
    <t>FA460J</t>
  </si>
  <si>
    <t>73.FA84.FC.18</t>
  </si>
  <si>
    <t>FA84FC</t>
  </si>
  <si>
    <t>73.FB02.AR.18</t>
  </si>
  <si>
    <t>FB02AR</t>
  </si>
  <si>
    <t>73.FB11.AR.18</t>
  </si>
  <si>
    <t>FB11AR</t>
  </si>
  <si>
    <t>73.FB12.PF.18</t>
  </si>
  <si>
    <t>FB12PF</t>
  </si>
  <si>
    <t>73.FB35.IN.18</t>
  </si>
  <si>
    <t>FB35IN</t>
  </si>
  <si>
    <t>73.FB45.IN.18</t>
  </si>
  <si>
    <t>FB45IN</t>
  </si>
  <si>
    <t>73.FB48.AR.18</t>
  </si>
  <si>
    <t>FB48AR</t>
  </si>
  <si>
    <t>73.FB49.AR.18</t>
  </si>
  <si>
    <t>FB49AR</t>
  </si>
  <si>
    <t>73.FB51.AR.18</t>
  </si>
  <si>
    <t>FB51AR</t>
  </si>
  <si>
    <t>73.FB52.AR.18</t>
  </si>
  <si>
    <t>FB52AR</t>
  </si>
  <si>
    <t>73.FB79.RI.18</t>
  </si>
  <si>
    <t>FB79RI</t>
  </si>
  <si>
    <t>73.FB80.ID.18</t>
  </si>
  <si>
    <t>FB80ID</t>
  </si>
  <si>
    <t>73.FB80.ID.8</t>
  </si>
  <si>
    <t>73.FB81.ID.18</t>
  </si>
  <si>
    <t>FB81ID</t>
  </si>
  <si>
    <t>73.FB82.ID.18</t>
  </si>
  <si>
    <t>FB82ID</t>
  </si>
  <si>
    <t>73.FB86.ID.18</t>
  </si>
  <si>
    <t>FB86ID</t>
  </si>
  <si>
    <t>73.FB86.ID.8</t>
  </si>
  <si>
    <t>73.FC13.TA.18</t>
  </si>
  <si>
    <t>FC13TA</t>
  </si>
  <si>
    <t>73.FC18.RI.18</t>
  </si>
  <si>
    <t>FC18RI</t>
  </si>
  <si>
    <t>73.FC18.RI.8</t>
  </si>
  <si>
    <t>73.FC18.TA.18</t>
  </si>
  <si>
    <t>FC18TA</t>
  </si>
  <si>
    <t>73.FC36.CT.18</t>
  </si>
  <si>
    <t>FC36CT</t>
  </si>
  <si>
    <t>73.FC37.CT.18</t>
  </si>
  <si>
    <t>FC37CT</t>
  </si>
  <si>
    <t>73.FC38.CT.18</t>
  </si>
  <si>
    <t>FC38CT</t>
  </si>
  <si>
    <t>73.FC43.AP.18</t>
  </si>
  <si>
    <t>FC43AP</t>
  </si>
  <si>
    <t>73.FC44.AP.18</t>
  </si>
  <si>
    <t>FC44AP</t>
  </si>
  <si>
    <t>73.FC59.AP.18</t>
  </si>
  <si>
    <t>FC59AP</t>
  </si>
  <si>
    <t>73.FC60.AP.18</t>
  </si>
  <si>
    <t>FC60AP</t>
  </si>
  <si>
    <t>73.FC84.FC.18</t>
  </si>
  <si>
    <t>FC84FC</t>
  </si>
  <si>
    <t>73.FC85.FC.18</t>
  </si>
  <si>
    <t>FC85FC</t>
  </si>
  <si>
    <t>73.FC87.FC.18</t>
  </si>
  <si>
    <t>FC87FC</t>
  </si>
  <si>
    <t>73.FC88.CT.18</t>
  </si>
  <si>
    <t>FC88CT</t>
  </si>
  <si>
    <t>73.FC90.CT.18</t>
  </si>
  <si>
    <t>FC90CT</t>
  </si>
  <si>
    <t>73.FC91.CT.18</t>
  </si>
  <si>
    <t>FC91CT</t>
  </si>
  <si>
    <t>73.FC92.PA.18</t>
  </si>
  <si>
    <t>FC92PA</t>
  </si>
  <si>
    <t>73.FC95.PA.18</t>
  </si>
  <si>
    <t>FC95PA</t>
  </si>
  <si>
    <t>73.FC97.PA.18</t>
  </si>
  <si>
    <t>FC97PA</t>
  </si>
  <si>
    <t>73.FD02.PA.18</t>
  </si>
  <si>
    <t>FD02PA</t>
  </si>
  <si>
    <t>73.FX0032.20</t>
  </si>
  <si>
    <t>73.FX0717.20</t>
  </si>
  <si>
    <t>73.FX0718.20</t>
  </si>
  <si>
    <t>73.FX0720.20</t>
  </si>
  <si>
    <t>0720</t>
  </si>
  <si>
    <t>73.FX0724.20</t>
  </si>
  <si>
    <t>73.FX0725.20</t>
  </si>
  <si>
    <t>73.H1101.16</t>
  </si>
  <si>
    <t>H1101</t>
  </si>
  <si>
    <t>73.H1101.18</t>
  </si>
  <si>
    <t>73.H1101.25</t>
  </si>
  <si>
    <t>73.H1113.10</t>
  </si>
  <si>
    <t>H1113</t>
  </si>
  <si>
    <t>73.H1113.18</t>
  </si>
  <si>
    <t>73.H1113.25</t>
  </si>
  <si>
    <t>73.H1114.18</t>
  </si>
  <si>
    <t>H1114</t>
  </si>
  <si>
    <t>73.H1115.16</t>
  </si>
  <si>
    <t>H1115</t>
  </si>
  <si>
    <t>73.H1115.18</t>
  </si>
  <si>
    <t>73.H1122.16</t>
  </si>
  <si>
    <t>H1122</t>
  </si>
  <si>
    <t>73.H1122.18</t>
  </si>
  <si>
    <t>73.H1122.25</t>
  </si>
  <si>
    <t>73.H1123.16</t>
  </si>
  <si>
    <t>H1123</t>
  </si>
  <si>
    <t>73.H1123.18</t>
  </si>
  <si>
    <t>73.H1123.25</t>
  </si>
  <si>
    <t>73.H1137.10</t>
  </si>
  <si>
    <t>H1137</t>
  </si>
  <si>
    <t>73.H1137.16</t>
  </si>
  <si>
    <t>73.H1137.18</t>
  </si>
  <si>
    <t>73.H1137.25</t>
  </si>
  <si>
    <t>73.H1137.ST11.10</t>
  </si>
  <si>
    <t>H1137ST11</t>
  </si>
  <si>
    <t>73.H1137.ST11.16</t>
  </si>
  <si>
    <t>73.H1137.ST11.18</t>
  </si>
  <si>
    <t>73.H1137.ST11.25</t>
  </si>
  <si>
    <t>73.H1142.18</t>
  </si>
  <si>
    <t>H1142</t>
  </si>
  <si>
    <t>73.H1145.16</t>
  </si>
  <si>
    <t>H1145</t>
  </si>
  <si>
    <t>73.H1145.18</t>
  </si>
  <si>
    <t>73.H1145.25</t>
  </si>
  <si>
    <t>73.H1146.16</t>
  </si>
  <si>
    <t>H1146</t>
  </si>
  <si>
    <t>73.H1146.18</t>
  </si>
  <si>
    <t>73.H1146.25</t>
  </si>
  <si>
    <t>73.H1151.18</t>
  </si>
  <si>
    <t>H1151</t>
  </si>
  <si>
    <t>73.H1176.18</t>
  </si>
  <si>
    <t>H1176</t>
  </si>
  <si>
    <t>73.H1180.10</t>
  </si>
  <si>
    <t>H1180</t>
  </si>
  <si>
    <t>73.H1180.18</t>
  </si>
  <si>
    <t>73.H1181.18</t>
  </si>
  <si>
    <t>H1181</t>
  </si>
  <si>
    <t>73.H1186.TM37.18</t>
  </si>
  <si>
    <t>H1186</t>
  </si>
  <si>
    <t>73.H1199.10</t>
  </si>
  <si>
    <t>H1199</t>
  </si>
  <si>
    <t>73.H1199.18</t>
  </si>
  <si>
    <t>73.H1199.25</t>
  </si>
  <si>
    <t>73.H1204.TM22.18</t>
  </si>
  <si>
    <t>H1204</t>
  </si>
  <si>
    <t>73.H1210.10</t>
  </si>
  <si>
    <t>H1210</t>
  </si>
  <si>
    <t>73.H1210.18</t>
  </si>
  <si>
    <t>73.H1210.25</t>
  </si>
  <si>
    <t>73.H1212.18</t>
  </si>
  <si>
    <t>H1212</t>
  </si>
  <si>
    <t>73.H1213.18</t>
  </si>
  <si>
    <t>H1213</t>
  </si>
  <si>
    <t>73.H1223.10</t>
  </si>
  <si>
    <t>H1223</t>
  </si>
  <si>
    <t>73.H1223.16</t>
  </si>
  <si>
    <t>73.H1223.18</t>
  </si>
  <si>
    <t>73.H1223.25</t>
  </si>
  <si>
    <t>73.H1225.18</t>
  </si>
  <si>
    <t>H1225</t>
  </si>
  <si>
    <t>73.H1227.TM12.10</t>
  </si>
  <si>
    <t>H1227</t>
  </si>
  <si>
    <t>73.H1227.TM12.18</t>
  </si>
  <si>
    <t>73.H1232.25</t>
  </si>
  <si>
    <t>H1232</t>
  </si>
  <si>
    <t>73.H1242.18</t>
  </si>
  <si>
    <t>H1242</t>
  </si>
  <si>
    <t>73.H1250.18</t>
  </si>
  <si>
    <t>H1250</t>
  </si>
  <si>
    <t>73.H1251.18</t>
  </si>
  <si>
    <t>H1251</t>
  </si>
  <si>
    <t>73.H1253.10</t>
  </si>
  <si>
    <t>H1253</t>
  </si>
  <si>
    <t>73.H1253.18</t>
  </si>
  <si>
    <t>73.H1253.25</t>
  </si>
  <si>
    <t>73.H1253.38</t>
  </si>
  <si>
    <t>73.H1267.16</t>
  </si>
  <si>
    <t>H1267</t>
  </si>
  <si>
    <t>73.H1277.10</t>
  </si>
  <si>
    <t>H1277</t>
  </si>
  <si>
    <t>73.H1277.16</t>
  </si>
  <si>
    <t>73.H1277.18</t>
  </si>
  <si>
    <t>73.H1277.25</t>
  </si>
  <si>
    <t>73.H1284.16</t>
  </si>
  <si>
    <t>H1284</t>
  </si>
  <si>
    <t>73.H1298.16</t>
  </si>
  <si>
    <t>H1298</t>
  </si>
  <si>
    <t>73.H1303.18</t>
  </si>
  <si>
    <t>H1303</t>
  </si>
  <si>
    <t>73.H1307.10</t>
  </si>
  <si>
    <t>H1307</t>
  </si>
  <si>
    <t>73.H1307.18</t>
  </si>
  <si>
    <t>73.H1307.25</t>
  </si>
  <si>
    <t>73.H1312.18</t>
  </si>
  <si>
    <t>H1312</t>
  </si>
  <si>
    <t>73.H1313.18</t>
  </si>
  <si>
    <t>H1313</t>
  </si>
  <si>
    <t>73.H1318.18</t>
  </si>
  <si>
    <t>H1318</t>
  </si>
  <si>
    <t>73.H1330.10</t>
  </si>
  <si>
    <t>H1330</t>
  </si>
  <si>
    <t>73.H1330.18</t>
  </si>
  <si>
    <t>73.H1330.25</t>
  </si>
  <si>
    <t>73.H1334.10</t>
  </si>
  <si>
    <t>H1334</t>
  </si>
  <si>
    <t>73.H1334.16</t>
  </si>
  <si>
    <t>73.H1334.18</t>
  </si>
  <si>
    <t>73.H1334.22</t>
  </si>
  <si>
    <t>73.H1334.25</t>
  </si>
  <si>
    <t>73.H1334.38</t>
  </si>
  <si>
    <t>73.H1344.18</t>
  </si>
  <si>
    <t>H1344</t>
  </si>
  <si>
    <t>73.H1345.18</t>
  </si>
  <si>
    <t>H1345</t>
  </si>
  <si>
    <t>73.H1346.10</t>
  </si>
  <si>
    <t>H1346</t>
  </si>
  <si>
    <t>73.H1346.18</t>
  </si>
  <si>
    <t>73.H1346.25</t>
  </si>
  <si>
    <t>73.H1346.38</t>
  </si>
  <si>
    <t>73.H1362.18</t>
  </si>
  <si>
    <t>H1362</t>
  </si>
  <si>
    <t>73.H1367.18</t>
  </si>
  <si>
    <t>H1367</t>
  </si>
  <si>
    <t>73.H1372.10</t>
  </si>
  <si>
    <t>H1372</t>
  </si>
  <si>
    <t>73.H1372.18</t>
  </si>
  <si>
    <t>73.H1372.25</t>
  </si>
  <si>
    <t>73.H1377.16</t>
  </si>
  <si>
    <t>H1377</t>
  </si>
  <si>
    <t>73.H1379.16</t>
  </si>
  <si>
    <t>H1379</t>
  </si>
  <si>
    <t>73.H1379.25</t>
  </si>
  <si>
    <t>73.H1385.10</t>
  </si>
  <si>
    <t>H1385</t>
  </si>
  <si>
    <t>73.H1385.18</t>
  </si>
  <si>
    <t>73.H1385.38</t>
  </si>
  <si>
    <t>73.H1386.10</t>
  </si>
  <si>
    <t>H1386</t>
  </si>
  <si>
    <t>73.H1386.18</t>
  </si>
  <si>
    <t>73.H1386.25</t>
  </si>
  <si>
    <t>73.H1386.27.8</t>
  </si>
  <si>
    <t>73.H1386.29.8</t>
  </si>
  <si>
    <t>73.H1387.10</t>
  </si>
  <si>
    <t>H1387</t>
  </si>
  <si>
    <t>73.H1387.18</t>
  </si>
  <si>
    <t>73.H1387.25</t>
  </si>
  <si>
    <t>73.H1394.10</t>
  </si>
  <si>
    <t>H1394</t>
  </si>
  <si>
    <t>73.H1394.16</t>
  </si>
  <si>
    <t>73.H1394.18</t>
  </si>
  <si>
    <t>73.H1394.25</t>
  </si>
  <si>
    <t>73.H1399.10</t>
  </si>
  <si>
    <t>H1399</t>
  </si>
  <si>
    <t>73.H1399.18</t>
  </si>
  <si>
    <t>73.H1399.25</t>
  </si>
  <si>
    <t>73.H1400.18</t>
  </si>
  <si>
    <t>H1400</t>
  </si>
  <si>
    <t>73.H1401.18</t>
  </si>
  <si>
    <t>H1401</t>
  </si>
  <si>
    <t>73.H1424.10</t>
  </si>
  <si>
    <t>H1424</t>
  </si>
  <si>
    <t>73.H1424.16</t>
  </si>
  <si>
    <t>73.H1424.18</t>
  </si>
  <si>
    <t>73.H1424.25</t>
  </si>
  <si>
    <t>73.H1424.38</t>
  </si>
  <si>
    <t>73.H1428.16</t>
  </si>
  <si>
    <t>H1428</t>
  </si>
  <si>
    <t>73.H1428.18</t>
  </si>
  <si>
    <t>73.H1428.25</t>
  </si>
  <si>
    <t>73.H1444.18</t>
  </si>
  <si>
    <t>H1444</t>
  </si>
  <si>
    <t>73.H1474.16</t>
  </si>
  <si>
    <t>H1474</t>
  </si>
  <si>
    <t>73.H1476.25</t>
  </si>
  <si>
    <t>H1476</t>
  </si>
  <si>
    <t>73.H1484.16</t>
  </si>
  <si>
    <t>H1484</t>
  </si>
  <si>
    <t>73.H1484.25</t>
  </si>
  <si>
    <t>73.H1486.18</t>
  </si>
  <si>
    <t>H1486</t>
  </si>
  <si>
    <t>73.H1487.16</t>
  </si>
  <si>
    <t>H1487</t>
  </si>
  <si>
    <t>73.H1487.18</t>
  </si>
  <si>
    <t>73.H1487.25</t>
  </si>
  <si>
    <t>73.H1511.18</t>
  </si>
  <si>
    <t>H1511</t>
  </si>
  <si>
    <t>73.H1521.16</t>
  </si>
  <si>
    <t>H1521</t>
  </si>
  <si>
    <t>73.H1555.10</t>
  </si>
  <si>
    <t>H1555</t>
  </si>
  <si>
    <t>73.H1555.16</t>
  </si>
  <si>
    <t>73.H1555.18</t>
  </si>
  <si>
    <t>73.H1555.25</t>
  </si>
  <si>
    <t>73.H1582.10</t>
  </si>
  <si>
    <t>H1582</t>
  </si>
  <si>
    <t>73.H1582.16</t>
  </si>
  <si>
    <t>73.H1582.18</t>
  </si>
  <si>
    <t>73.H1582.25</t>
  </si>
  <si>
    <t>73.H1599.16</t>
  </si>
  <si>
    <t>H1599</t>
  </si>
  <si>
    <t>73.H1599.25</t>
  </si>
  <si>
    <t>73.H1615.10</t>
  </si>
  <si>
    <t>H1615</t>
  </si>
  <si>
    <t>73.H1615.16</t>
  </si>
  <si>
    <t>73.H1615.18</t>
  </si>
  <si>
    <t>73.H1615.25</t>
  </si>
  <si>
    <t>73.H1636.18</t>
  </si>
  <si>
    <t>H1636</t>
  </si>
  <si>
    <t>73.H1696.10</t>
  </si>
  <si>
    <t>H1696</t>
  </si>
  <si>
    <t>73.H1696.18</t>
  </si>
  <si>
    <t>73.H1696.25</t>
  </si>
  <si>
    <t>73.H1698.16</t>
  </si>
  <si>
    <t>H1698</t>
  </si>
  <si>
    <t>73.H1699.16</t>
  </si>
  <si>
    <t>H1699</t>
  </si>
  <si>
    <t>73.H1709.16</t>
  </si>
  <si>
    <t>H1709</t>
  </si>
  <si>
    <t>73.H1710.18</t>
  </si>
  <si>
    <t>H1710</t>
  </si>
  <si>
    <t>73.H1714.18</t>
  </si>
  <si>
    <t>H1714</t>
  </si>
  <si>
    <t>73.H1714.25</t>
  </si>
  <si>
    <t>73.H1715.18</t>
  </si>
  <si>
    <t>H1715</t>
  </si>
  <si>
    <t>73.H1715.25</t>
  </si>
  <si>
    <t>73.H1732.10</t>
  </si>
  <si>
    <t>H1732</t>
  </si>
  <si>
    <t>73.H1732.16</t>
  </si>
  <si>
    <t>73.H1732.18</t>
  </si>
  <si>
    <t>73.H1732.25</t>
  </si>
  <si>
    <t>73.H1733.10</t>
  </si>
  <si>
    <t>H1733</t>
  </si>
  <si>
    <t>73.H1733.16</t>
  </si>
  <si>
    <t>73.H1733.18</t>
  </si>
  <si>
    <t>73.H1733.25</t>
  </si>
  <si>
    <t>73.H1733.38</t>
  </si>
  <si>
    <t>73.H1760.TM28.18</t>
  </si>
  <si>
    <t>H1760</t>
  </si>
  <si>
    <t>73.H1887.16</t>
  </si>
  <si>
    <t>H1887</t>
  </si>
  <si>
    <t>73.H1910.18</t>
  </si>
  <si>
    <t>H1910</t>
  </si>
  <si>
    <t>73.H1910.25</t>
  </si>
  <si>
    <t>73.H2033.18</t>
  </si>
  <si>
    <t>H2033</t>
  </si>
  <si>
    <t>73.H3003.18</t>
  </si>
  <si>
    <t>H3003</t>
  </si>
  <si>
    <t>73.H3005.16</t>
  </si>
  <si>
    <t>H3005</t>
  </si>
  <si>
    <t>73.H3006.16</t>
  </si>
  <si>
    <t>H3006</t>
  </si>
  <si>
    <t>73.H3006.18</t>
  </si>
  <si>
    <t>73.H3006.22</t>
  </si>
  <si>
    <t>73.H3006.25</t>
  </si>
  <si>
    <t>73.H3012.16</t>
  </si>
  <si>
    <t>H3012</t>
  </si>
  <si>
    <t>73.H3012.18</t>
  </si>
  <si>
    <t>73.H3012.25</t>
  </si>
  <si>
    <t>73.H3031.16</t>
  </si>
  <si>
    <t>H3031</t>
  </si>
  <si>
    <t>73.H3041.TM12.18</t>
  </si>
  <si>
    <t>H3041</t>
  </si>
  <si>
    <t>73.H3043.16</t>
  </si>
  <si>
    <t>H3043</t>
  </si>
  <si>
    <t>73.H3043.18</t>
  </si>
  <si>
    <t>73.H3043.25</t>
  </si>
  <si>
    <t>73.H3047.16</t>
  </si>
  <si>
    <t>H3047</t>
  </si>
  <si>
    <t>73.H3047.18</t>
  </si>
  <si>
    <t>73.H3048.16</t>
  </si>
  <si>
    <t>H3048</t>
  </si>
  <si>
    <t>73.H3048.18</t>
  </si>
  <si>
    <t>73.H305.10</t>
  </si>
  <si>
    <t>H305</t>
  </si>
  <si>
    <t>73.H305.18</t>
  </si>
  <si>
    <t>73.H305.25</t>
  </si>
  <si>
    <t>73.H3058.16</t>
  </si>
  <si>
    <t>H3058</t>
  </si>
  <si>
    <t>73.H3058.18</t>
  </si>
  <si>
    <t>73.H3058.19</t>
  </si>
  <si>
    <t>73.H3058.22</t>
  </si>
  <si>
    <t>73.H3058.25</t>
  </si>
  <si>
    <t>73.H3070.10</t>
  </si>
  <si>
    <t>H3070</t>
  </si>
  <si>
    <t>73.H3070.16</t>
  </si>
  <si>
    <t>73.H3070.18</t>
  </si>
  <si>
    <t>73.H3070.25</t>
  </si>
  <si>
    <t>73.H3070.38</t>
  </si>
  <si>
    <t>73.H3078.10</t>
  </si>
  <si>
    <t>H3078</t>
  </si>
  <si>
    <t>73.H3078.16</t>
  </si>
  <si>
    <t>73.H3078.25</t>
  </si>
  <si>
    <t>73.H3080.18</t>
  </si>
  <si>
    <t>H3080</t>
  </si>
  <si>
    <t>73.H3081.10</t>
  </si>
  <si>
    <t>H3081</t>
  </si>
  <si>
    <t>73.H3081.16</t>
  </si>
  <si>
    <t>73.H3081.18</t>
  </si>
  <si>
    <t>73.H3081.25</t>
  </si>
  <si>
    <t>73.H3081.38</t>
  </si>
  <si>
    <t>73.H3090.10</t>
  </si>
  <si>
    <t>H3090</t>
  </si>
  <si>
    <t>73.H3090.12</t>
  </si>
  <si>
    <t>73.H3090.16</t>
  </si>
  <si>
    <t>73.H3090.18</t>
  </si>
  <si>
    <t>73.H309.18</t>
  </si>
  <si>
    <t>H309</t>
  </si>
  <si>
    <t>73.H3113.10</t>
  </si>
  <si>
    <t>H3113</t>
  </si>
  <si>
    <t>73.H3113.16</t>
  </si>
  <si>
    <t>73.H3113.18</t>
  </si>
  <si>
    <t>73.H3114.18</t>
  </si>
  <si>
    <t>H3114</t>
  </si>
  <si>
    <t>73.H3128.16</t>
  </si>
  <si>
    <t>H3128</t>
  </si>
  <si>
    <t>73.H3131.16</t>
  </si>
  <si>
    <t>H3131</t>
  </si>
  <si>
    <t>73.H3131.18</t>
  </si>
  <si>
    <t>73.H3133.18</t>
  </si>
  <si>
    <t>H3133</t>
  </si>
  <si>
    <t>73.H3133.25</t>
  </si>
  <si>
    <t>73.H3146.18</t>
  </si>
  <si>
    <t>H3146</t>
  </si>
  <si>
    <t>73.H3149.TM37.18</t>
  </si>
  <si>
    <t>H3149</t>
  </si>
  <si>
    <t>73.H3152.10</t>
  </si>
  <si>
    <t>H3152</t>
  </si>
  <si>
    <t>73.H3152.18</t>
  </si>
  <si>
    <t>73.H3152.25</t>
  </si>
  <si>
    <t>73.H3154.10</t>
  </si>
  <si>
    <t>H3154</t>
  </si>
  <si>
    <t>73.H3154.18</t>
  </si>
  <si>
    <t>73.H3154.25</t>
  </si>
  <si>
    <t>73.H3154.38</t>
  </si>
  <si>
    <t>73.H3156.10</t>
  </si>
  <si>
    <t>H3156</t>
  </si>
  <si>
    <t>73.H3156.18</t>
  </si>
  <si>
    <t>73.H3156.25</t>
  </si>
  <si>
    <t>73.H3157.10</t>
  </si>
  <si>
    <t>H3157</t>
  </si>
  <si>
    <t>73.H3157.16</t>
  </si>
  <si>
    <t>73.H3157.18</t>
  </si>
  <si>
    <t>73.H3157.25</t>
  </si>
  <si>
    <t>73.H3170.10</t>
  </si>
  <si>
    <t>H3170</t>
  </si>
  <si>
    <t>73.H3170.16</t>
  </si>
  <si>
    <t>73.H3170.18</t>
  </si>
  <si>
    <t>73.H3170.25</t>
  </si>
  <si>
    <t>73.H3176.18</t>
  </si>
  <si>
    <t>H3176</t>
  </si>
  <si>
    <t>73.H3178.18</t>
  </si>
  <si>
    <t>H3178</t>
  </si>
  <si>
    <t>73.H3180.TM37.18</t>
  </si>
  <si>
    <t>H3180</t>
  </si>
  <si>
    <t>73.H3190.10</t>
  </si>
  <si>
    <t>H3190</t>
  </si>
  <si>
    <t>73.H3190.18</t>
  </si>
  <si>
    <t>73.H3192.10</t>
  </si>
  <si>
    <t>H3192</t>
  </si>
  <si>
    <t>73.H3192.18</t>
  </si>
  <si>
    <t>73.H3192.25</t>
  </si>
  <si>
    <t>73.H3192.38</t>
  </si>
  <si>
    <t>73.H3195.18</t>
  </si>
  <si>
    <t>H3195</t>
  </si>
  <si>
    <t>73.H3197.18</t>
  </si>
  <si>
    <t>H3197</t>
  </si>
  <si>
    <t>73.H3198.18</t>
  </si>
  <si>
    <t>H3198</t>
  </si>
  <si>
    <t>73.H3303.10</t>
  </si>
  <si>
    <t>H3303</t>
  </si>
  <si>
    <t>73.H3303.16</t>
  </si>
  <si>
    <t>73.H3303.18</t>
  </si>
  <si>
    <t>73.H3303.25</t>
  </si>
  <si>
    <t>73.H3304.10</t>
  </si>
  <si>
    <t>H3304</t>
  </si>
  <si>
    <t>73.H3304.16</t>
  </si>
  <si>
    <t>73.H3304.18</t>
  </si>
  <si>
    <t>73.H3304.25</t>
  </si>
  <si>
    <t>73.H3306.10</t>
  </si>
  <si>
    <t>H3306</t>
  </si>
  <si>
    <t>73.H3306.16</t>
  </si>
  <si>
    <t>73.H3306.18</t>
  </si>
  <si>
    <t>73.H3306.25</t>
  </si>
  <si>
    <t>73.H3306.38</t>
  </si>
  <si>
    <t>73.H3309.18</t>
  </si>
  <si>
    <t>H3309</t>
  </si>
  <si>
    <t>73.H3311.TM28.18</t>
  </si>
  <si>
    <t>H3311</t>
  </si>
  <si>
    <t>73.H3317.18</t>
  </si>
  <si>
    <t>H3317</t>
  </si>
  <si>
    <t>73.H3325.16</t>
  </si>
  <si>
    <t>H3325</t>
  </si>
  <si>
    <t>73.H3325.18</t>
  </si>
  <si>
    <t>73.H3326.10</t>
  </si>
  <si>
    <t>H3326</t>
  </si>
  <si>
    <t>73.H3326.16</t>
  </si>
  <si>
    <t>73.H3326.18</t>
  </si>
  <si>
    <t>73.H3326.25</t>
  </si>
  <si>
    <t>73.H3330.18</t>
  </si>
  <si>
    <t>H3330</t>
  </si>
  <si>
    <t>73.H3331.16</t>
  </si>
  <si>
    <t>H3331</t>
  </si>
  <si>
    <t>73.H3331.18</t>
  </si>
  <si>
    <t>73.H3331.25</t>
  </si>
  <si>
    <t>73.H3332.16</t>
  </si>
  <si>
    <t>H3332</t>
  </si>
  <si>
    <t>73.H3342.10</t>
  </si>
  <si>
    <t>H3342</t>
  </si>
  <si>
    <t>73.H3342.18</t>
  </si>
  <si>
    <t>73.H3342.25</t>
  </si>
  <si>
    <t>73.H3344.10</t>
  </si>
  <si>
    <t>H3344</t>
  </si>
  <si>
    <t>73.H3344.18</t>
  </si>
  <si>
    <t>73.H3353.16</t>
  </si>
  <si>
    <t>H3353</t>
  </si>
  <si>
    <t>73.H3359.10</t>
  </si>
  <si>
    <t>H3359</t>
  </si>
  <si>
    <t>73.H3359.18</t>
  </si>
  <si>
    <t>73.H3362.10</t>
  </si>
  <si>
    <t>H3362</t>
  </si>
  <si>
    <t>73.H3370.10</t>
  </si>
  <si>
    <t>H3370</t>
  </si>
  <si>
    <t>73.H3370.25</t>
  </si>
  <si>
    <t>73.H3379.16</t>
  </si>
  <si>
    <t>H3379</t>
  </si>
  <si>
    <t>73.H3387.16</t>
  </si>
  <si>
    <t>H3387</t>
  </si>
  <si>
    <t>73.H3389.10</t>
  </si>
  <si>
    <t>H3389</t>
  </si>
  <si>
    <t>73.H3389.16</t>
  </si>
  <si>
    <t>73.H3389.18</t>
  </si>
  <si>
    <t>73.H3389.25</t>
  </si>
  <si>
    <t>73.H3389.38</t>
  </si>
  <si>
    <t>73.H3395.10</t>
  </si>
  <si>
    <t>H3395</t>
  </si>
  <si>
    <t>73.H3395.16</t>
  </si>
  <si>
    <t>73.H3395.18</t>
  </si>
  <si>
    <t>73.H3395.25</t>
  </si>
  <si>
    <t>73.H3398.16</t>
  </si>
  <si>
    <t>H3398</t>
  </si>
  <si>
    <t>73.H3398.18</t>
  </si>
  <si>
    <t>73.H3398.25</t>
  </si>
  <si>
    <t>73.H3399.16</t>
  </si>
  <si>
    <t>H3399</t>
  </si>
  <si>
    <t>73.H3399.25</t>
  </si>
  <si>
    <t>73.H3408.18</t>
  </si>
  <si>
    <t>H3408</t>
  </si>
  <si>
    <t>73.H3410.16</t>
  </si>
  <si>
    <t>H3410</t>
  </si>
  <si>
    <t>73.H3410.18</t>
  </si>
  <si>
    <t>73.H3410.25</t>
  </si>
  <si>
    <t>73.H3411.25</t>
  </si>
  <si>
    <t>H3411</t>
  </si>
  <si>
    <t>73.H3420.16</t>
  </si>
  <si>
    <t>H3420</t>
  </si>
  <si>
    <t>73.H3430.16</t>
  </si>
  <si>
    <t>H3430</t>
  </si>
  <si>
    <t>73.H3430.18</t>
  </si>
  <si>
    <t>73.H3430.25</t>
  </si>
  <si>
    <t>73.H3433.18</t>
  </si>
  <si>
    <t>H3433</t>
  </si>
  <si>
    <t>73.H3433.25</t>
  </si>
  <si>
    <t>73.H3450.10</t>
  </si>
  <si>
    <t>H3450</t>
  </si>
  <si>
    <t>73.H3450.16</t>
  </si>
  <si>
    <t>73.H3450.18</t>
  </si>
  <si>
    <t>73.H3450.25</t>
  </si>
  <si>
    <t>73.H3450.25.FSCMIX</t>
  </si>
  <si>
    <t>73.H3451.16</t>
  </si>
  <si>
    <t>H3451</t>
  </si>
  <si>
    <t>73.H3451.18</t>
  </si>
  <si>
    <t>73.H3451.25</t>
  </si>
  <si>
    <t>73.H3453.16</t>
  </si>
  <si>
    <t>H3453</t>
  </si>
  <si>
    <t>73.H3453.18</t>
  </si>
  <si>
    <t>73.H3453.25</t>
  </si>
  <si>
    <t>73.H3700.16</t>
  </si>
  <si>
    <t>H3700</t>
  </si>
  <si>
    <t>73.H3700.18</t>
  </si>
  <si>
    <t>73.H3700.25</t>
  </si>
  <si>
    <t>73.H3702.18</t>
  </si>
  <si>
    <t>H3702</t>
  </si>
  <si>
    <t>73.H3702.25</t>
  </si>
  <si>
    <t>73.H3704.10</t>
  </si>
  <si>
    <t>H3704</t>
  </si>
  <si>
    <t>73.H3704.16</t>
  </si>
  <si>
    <t>73.H3704.18</t>
  </si>
  <si>
    <t>73.H3704.25</t>
  </si>
  <si>
    <t>73.H3704.38</t>
  </si>
  <si>
    <t>73.H3710.18</t>
  </si>
  <si>
    <t>H3710</t>
  </si>
  <si>
    <t>73.H3710.25</t>
  </si>
  <si>
    <t>73.H3711.18</t>
  </si>
  <si>
    <t>H3711</t>
  </si>
  <si>
    <t>73.H3730.10</t>
  </si>
  <si>
    <t>H3730</t>
  </si>
  <si>
    <t>73.H3730.16</t>
  </si>
  <si>
    <t>73.H3730.18</t>
  </si>
  <si>
    <t>73.H3730.25</t>
  </si>
  <si>
    <t>73.H3730.38</t>
  </si>
  <si>
    <t>73.H3732.18</t>
  </si>
  <si>
    <t>H3732</t>
  </si>
  <si>
    <t>73.H3734.10</t>
  </si>
  <si>
    <t>H3734</t>
  </si>
  <si>
    <t>73.H3734.16</t>
  </si>
  <si>
    <t>73.H3734.18</t>
  </si>
  <si>
    <t>73.H3734.25</t>
  </si>
  <si>
    <t>73.H3760.16</t>
  </si>
  <si>
    <t>H3760</t>
  </si>
  <si>
    <t>73.H3760.18</t>
  </si>
  <si>
    <t>73.H3766.16</t>
  </si>
  <si>
    <t>H3766</t>
  </si>
  <si>
    <t>73.H3773.16</t>
  </si>
  <si>
    <t>H3773</t>
  </si>
  <si>
    <t>73.H3773.18</t>
  </si>
  <si>
    <t>73.H3778.16</t>
  </si>
  <si>
    <t>H3778</t>
  </si>
  <si>
    <t>73.H3778.25</t>
  </si>
  <si>
    <t>73.H3840.10</t>
  </si>
  <si>
    <t>H3840</t>
  </si>
  <si>
    <t>73.H3840.16</t>
  </si>
  <si>
    <t>73.H3840.18</t>
  </si>
  <si>
    <t>73.H3840.25</t>
  </si>
  <si>
    <t>73.H3860.18</t>
  </si>
  <si>
    <t>H3860</t>
  </si>
  <si>
    <t>73.H3991.18</t>
  </si>
  <si>
    <t>H3991</t>
  </si>
  <si>
    <t>73.HM00.PI.19</t>
  </si>
  <si>
    <t>HM00PI</t>
  </si>
  <si>
    <t>73.HM01.PI.19</t>
  </si>
  <si>
    <t>HM01PI</t>
  </si>
  <si>
    <t>73.HM02.PI.19</t>
  </si>
  <si>
    <t>HM02PI</t>
  </si>
  <si>
    <t>73.HM03.PI.19</t>
  </si>
  <si>
    <t>HM03PI</t>
  </si>
  <si>
    <t>73.HM04.PI.19</t>
  </si>
  <si>
    <t>HM04PI</t>
  </si>
  <si>
    <t>73.HM05.PI.19</t>
  </si>
  <si>
    <t>HM05PI</t>
  </si>
  <si>
    <t>73.HM06.PI.19</t>
  </si>
  <si>
    <t>HM06PI</t>
  </si>
  <si>
    <t>73.HM07.PI.19</t>
  </si>
  <si>
    <t>HM07PI</t>
  </si>
  <si>
    <t>73.HM08.PN.19</t>
  </si>
  <si>
    <t>HM08PN</t>
  </si>
  <si>
    <t>73.LR22.SB.18</t>
  </si>
  <si>
    <t>LR22SB</t>
  </si>
  <si>
    <t>73.LR25.SB.18</t>
  </si>
  <si>
    <t>LR25SB</t>
  </si>
  <si>
    <t>73.LR26.SB.18</t>
  </si>
  <si>
    <t>LR26SB</t>
  </si>
  <si>
    <t>73.LR28.SB.18</t>
  </si>
  <si>
    <t>LR28SB</t>
  </si>
  <si>
    <t>73.LR29.CH.18</t>
  </si>
  <si>
    <t>LR29CH</t>
  </si>
  <si>
    <t>73.LR29.SB.18</t>
  </si>
  <si>
    <t>LR29SB</t>
  </si>
  <si>
    <t>73.LS47.PN.18</t>
  </si>
  <si>
    <t>LS47PN</t>
  </si>
  <si>
    <t>73.LS47.RI.18</t>
  </si>
  <si>
    <t>LS47RI</t>
  </si>
  <si>
    <t>73.LS53.PN.18</t>
  </si>
  <si>
    <t>LS53PN</t>
  </si>
  <si>
    <t>73.LS53.RI.18</t>
  </si>
  <si>
    <t>LS53RI</t>
  </si>
  <si>
    <t>73.LS53.RI.8</t>
  </si>
  <si>
    <t>73.LS54.PN.18</t>
  </si>
  <si>
    <t>LS54PN</t>
  </si>
  <si>
    <t>73.LS54.RI.18</t>
  </si>
  <si>
    <t>LS54RI</t>
  </si>
  <si>
    <t>73.LS54.RI.8</t>
  </si>
  <si>
    <t>73.S010.YS.18</t>
  </si>
  <si>
    <t>S010YS</t>
  </si>
  <si>
    <t>73.S012.YS.18</t>
  </si>
  <si>
    <t>S012YS</t>
  </si>
  <si>
    <t>73.S013.YS.18</t>
  </si>
  <si>
    <t>S013</t>
  </si>
  <si>
    <t>73.S016.YS.18</t>
  </si>
  <si>
    <t>S016YS</t>
  </si>
  <si>
    <t>73.S016.YS.8</t>
  </si>
  <si>
    <t>73.S060.EN.18</t>
  </si>
  <si>
    <t>S060EN</t>
  </si>
  <si>
    <t>73.S061.EN.18</t>
  </si>
  <si>
    <t>S061EN</t>
  </si>
  <si>
    <t>73.S063.EN.18</t>
  </si>
  <si>
    <t>S063EN</t>
  </si>
  <si>
    <t>73.S070.WO.18</t>
  </si>
  <si>
    <t>S070WO</t>
  </si>
  <si>
    <t>73.S071.WO.18</t>
  </si>
  <si>
    <t>S071WO</t>
  </si>
  <si>
    <t>73.S072.WO.18</t>
  </si>
  <si>
    <t>S072WO</t>
  </si>
  <si>
    <t>73.S073.WO.18</t>
  </si>
  <si>
    <t>S073WO</t>
  </si>
  <si>
    <t>73.S083.ML.18</t>
  </si>
  <si>
    <t>S083ML</t>
  </si>
  <si>
    <t>73.S083.ML.8</t>
  </si>
  <si>
    <t>73.S087.ML.18</t>
  </si>
  <si>
    <t>S087ML</t>
  </si>
  <si>
    <t>73.S119.PB.18</t>
  </si>
  <si>
    <t>S119PB</t>
  </si>
  <si>
    <t>73.S120.PB.18</t>
  </si>
  <si>
    <t>S120PB</t>
  </si>
  <si>
    <t>73.S122.PB.18</t>
  </si>
  <si>
    <t>S122PB</t>
  </si>
  <si>
    <t>73.S126.PB.18</t>
  </si>
  <si>
    <t>S126PB</t>
  </si>
  <si>
    <t>73.S128.PB.18</t>
  </si>
  <si>
    <t>S128PB</t>
  </si>
  <si>
    <t>73.S133.ES.18</t>
  </si>
  <si>
    <t>S133ES</t>
  </si>
  <si>
    <t>73.S135.ES.18</t>
  </si>
  <si>
    <t>S135ES</t>
  </si>
  <si>
    <t>73.S136.ES.18</t>
  </si>
  <si>
    <t>S136ES</t>
  </si>
  <si>
    <t>73.S138.ES.18</t>
  </si>
  <si>
    <t>S138ES</t>
  </si>
  <si>
    <t>73.S141.TV.18</t>
  </si>
  <si>
    <t>S141TV</t>
  </si>
  <si>
    <t>73.S143.TV.18</t>
  </si>
  <si>
    <t>S143TV</t>
  </si>
  <si>
    <t>73.S144.TV.18</t>
  </si>
  <si>
    <t>S144TV</t>
  </si>
  <si>
    <t>73.S156.FR.18</t>
  </si>
  <si>
    <t>S156FR</t>
  </si>
  <si>
    <t>73.S158.GE.18</t>
  </si>
  <si>
    <t>S158GE</t>
  </si>
  <si>
    <t>73.S160.GE.18</t>
  </si>
  <si>
    <t>S160GE</t>
  </si>
  <si>
    <t>73.S162.GE.18</t>
  </si>
  <si>
    <t>S162GE</t>
  </si>
  <si>
    <t>73.S164.FR.18</t>
  </si>
  <si>
    <t>S164FR</t>
  </si>
  <si>
    <t>73.S165.FR.18</t>
  </si>
  <si>
    <t>S165FR</t>
  </si>
  <si>
    <t>73.S171.BR.18</t>
  </si>
  <si>
    <t>S171BR</t>
  </si>
  <si>
    <t>73.S181.QE.18</t>
  </si>
  <si>
    <t>S181QE</t>
  </si>
  <si>
    <t>73.S182.QE.18</t>
  </si>
  <si>
    <t>S182QE</t>
  </si>
  <si>
    <t>73.S182.QE.8</t>
  </si>
  <si>
    <t>73.S185.QE.18</t>
  </si>
  <si>
    <t>S185QE</t>
  </si>
  <si>
    <t>73.S191.JI.18</t>
  </si>
  <si>
    <t>S191JI</t>
  </si>
  <si>
    <t>73.S192.JI.18</t>
  </si>
  <si>
    <t>S192JI</t>
  </si>
  <si>
    <t>73.S195.JI.18</t>
  </si>
  <si>
    <t>S195JI</t>
  </si>
  <si>
    <t>73.S196.JI.18</t>
  </si>
  <si>
    <t>S196JI</t>
  </si>
  <si>
    <t>73.S203.QE.18</t>
  </si>
  <si>
    <t>S203QE</t>
  </si>
  <si>
    <t>73.S203.QE.8</t>
  </si>
  <si>
    <t>73.S206.QE.18</t>
  </si>
  <si>
    <t>S206QE</t>
  </si>
  <si>
    <t>73.U104.10</t>
  </si>
  <si>
    <t>U104</t>
  </si>
  <si>
    <t>73.U104.16</t>
  </si>
  <si>
    <t>73.U104.18</t>
  </si>
  <si>
    <t>73.U104.25</t>
  </si>
  <si>
    <t>73.U104.PG.18</t>
  </si>
  <si>
    <t>73.U104.ST15.10</t>
  </si>
  <si>
    <t>73.U104.ST15.16</t>
  </si>
  <si>
    <t>73.U104.ST15.25</t>
  </si>
  <si>
    <t>73.U108.16</t>
  </si>
  <si>
    <t>U108</t>
  </si>
  <si>
    <t>73.U108.18</t>
  </si>
  <si>
    <t>73.U113.16</t>
  </si>
  <si>
    <t>U113</t>
  </si>
  <si>
    <t>73.U113.18</t>
  </si>
  <si>
    <t>73.U113.25</t>
  </si>
  <si>
    <t>73.U114.16</t>
  </si>
  <si>
    <t>U114</t>
  </si>
  <si>
    <t>73.U114.18</t>
  </si>
  <si>
    <t>73.U114.ST15.16</t>
  </si>
  <si>
    <t>73.U114.ST15.18</t>
  </si>
  <si>
    <t>73.U115.10</t>
  </si>
  <si>
    <t>U115</t>
  </si>
  <si>
    <t>73.U115.18</t>
  </si>
  <si>
    <t>73.U115.25</t>
  </si>
  <si>
    <t>73.U116.16</t>
  </si>
  <si>
    <t>U116</t>
  </si>
  <si>
    <t>73.U116.18</t>
  </si>
  <si>
    <t>73.U116.25</t>
  </si>
  <si>
    <t>73.U125.10</t>
  </si>
  <si>
    <t>U125</t>
  </si>
  <si>
    <t>73.U125.18</t>
  </si>
  <si>
    <t>73.U125.25</t>
  </si>
  <si>
    <t>73.U129.BR.18</t>
  </si>
  <si>
    <t>U129BR</t>
  </si>
  <si>
    <t>73.U129.CH.18</t>
  </si>
  <si>
    <t>U129CH</t>
  </si>
  <si>
    <t>73.U129.CH.8</t>
  </si>
  <si>
    <t>73.U129.ML.18</t>
  </si>
  <si>
    <t>U129ML</t>
  </si>
  <si>
    <t>73.U129.WO.18</t>
  </si>
  <si>
    <t>U129WO</t>
  </si>
  <si>
    <t>73.U131.18</t>
  </si>
  <si>
    <t>U131</t>
  </si>
  <si>
    <t>73.U140.16</t>
  </si>
  <si>
    <t>U140</t>
  </si>
  <si>
    <t>73.U140.18</t>
  </si>
  <si>
    <t>73.U156.10</t>
  </si>
  <si>
    <t>U156</t>
  </si>
  <si>
    <t>73.U156.16</t>
  </si>
  <si>
    <t>73.U156.18</t>
  </si>
  <si>
    <t>73.U156.25</t>
  </si>
  <si>
    <t>73.U163.18</t>
  </si>
  <si>
    <t>U163</t>
  </si>
  <si>
    <t>73.U200.18</t>
  </si>
  <si>
    <t>U200</t>
  </si>
  <si>
    <t>73.U201.10</t>
  </si>
  <si>
    <t>U201</t>
  </si>
  <si>
    <t>73.U201.18</t>
  </si>
  <si>
    <t>73.U201.PM.10</t>
  </si>
  <si>
    <t>U201PM</t>
  </si>
  <si>
    <t>73.U201.PM.18</t>
  </si>
  <si>
    <t>73.U201.ST19.10</t>
  </si>
  <si>
    <t>U201ST19</t>
  </si>
  <si>
    <t>73.U201.ST19.18</t>
  </si>
  <si>
    <t>73.U204.18</t>
  </si>
  <si>
    <t>U204</t>
  </si>
  <si>
    <t>73.U206.10</t>
  </si>
  <si>
    <t>U206</t>
  </si>
  <si>
    <t>73.U206.25</t>
  </si>
  <si>
    <t>73.U211.10</t>
  </si>
  <si>
    <t>U211</t>
  </si>
  <si>
    <t>73.U211.18</t>
  </si>
  <si>
    <t>73.U211.25</t>
  </si>
  <si>
    <t>73.U211.PM.10</t>
  </si>
  <si>
    <t>U211PM</t>
  </si>
  <si>
    <t>73.U211.PM.18</t>
  </si>
  <si>
    <t>73.U216.18</t>
  </si>
  <si>
    <t>U216</t>
  </si>
  <si>
    <t>73.U216.25</t>
  </si>
  <si>
    <t>73.U222.10</t>
  </si>
  <si>
    <t>U222</t>
  </si>
  <si>
    <t>73.U222.16</t>
  </si>
  <si>
    <t>73.U222.18</t>
  </si>
  <si>
    <t>73.U222.25</t>
  </si>
  <si>
    <t>73.U222.PM.18</t>
  </si>
  <si>
    <t>73.U232.18</t>
  </si>
  <si>
    <t>U232</t>
  </si>
  <si>
    <t>73.U311.18</t>
  </si>
  <si>
    <t>U311</t>
  </si>
  <si>
    <t>73.U311.ST15.16</t>
  </si>
  <si>
    <t>73.U317.18</t>
  </si>
  <si>
    <t>U317</t>
  </si>
  <si>
    <t>73.U321.16</t>
  </si>
  <si>
    <t>U321</t>
  </si>
  <si>
    <t>73.U321.18</t>
  </si>
  <si>
    <t>73.U321.25</t>
  </si>
  <si>
    <t>73.U321.ST15.18</t>
  </si>
  <si>
    <t>73.U321.ST15.25</t>
  </si>
  <si>
    <t>73.U323.18</t>
  </si>
  <si>
    <t>U323</t>
  </si>
  <si>
    <t>73.U323.PG.18</t>
  </si>
  <si>
    <t>73.U325.10</t>
  </si>
  <si>
    <t>U325</t>
  </si>
  <si>
    <t>73.U325.18</t>
  </si>
  <si>
    <t>73.U325.PM.10</t>
  </si>
  <si>
    <t>U325PM</t>
  </si>
  <si>
    <t>73.U332.18</t>
  </si>
  <si>
    <t>U332</t>
  </si>
  <si>
    <t>73.U335.10</t>
  </si>
  <si>
    <t>U335</t>
  </si>
  <si>
    <t>73.U335.18</t>
  </si>
  <si>
    <t>73.U335.25</t>
  </si>
  <si>
    <t>73.U337.18</t>
  </si>
  <si>
    <t>U337</t>
  </si>
  <si>
    <t>73.U350.18</t>
  </si>
  <si>
    <t>U350</t>
  </si>
  <si>
    <t>73.U363.18</t>
  </si>
  <si>
    <t>U363</t>
  </si>
  <si>
    <t>73.U399.PM.10</t>
  </si>
  <si>
    <t>U399PM</t>
  </si>
  <si>
    <t>73.U399.PM.18</t>
  </si>
  <si>
    <t>73.U502.10</t>
  </si>
  <si>
    <t>U502</t>
  </si>
  <si>
    <t>73.U502.18</t>
  </si>
  <si>
    <t>73.U502.25</t>
  </si>
  <si>
    <t>73.U504.10</t>
  </si>
  <si>
    <t>U504</t>
  </si>
  <si>
    <t>73.U504.18</t>
  </si>
  <si>
    <t>73.U522.18</t>
  </si>
  <si>
    <t>U522</t>
  </si>
  <si>
    <t>73.U525.18</t>
  </si>
  <si>
    <t>U525</t>
  </si>
  <si>
    <t>73.U540.18</t>
  </si>
  <si>
    <t>U540</t>
  </si>
  <si>
    <t>73.U560.18</t>
  </si>
  <si>
    <t>U560</t>
  </si>
  <si>
    <t>73.U599.18</t>
  </si>
  <si>
    <t>U599</t>
  </si>
  <si>
    <t>73.U599.P3.25</t>
  </si>
  <si>
    <t>73.U599.PM.10</t>
  </si>
  <si>
    <t>U599PM</t>
  </si>
  <si>
    <t>73.U599.PM.18</t>
  </si>
  <si>
    <t>73.U600.18</t>
  </si>
  <si>
    <t>U600</t>
  </si>
  <si>
    <t>73.U604.10</t>
  </si>
  <si>
    <t>U604</t>
  </si>
  <si>
    <t>73.U604.18</t>
  </si>
  <si>
    <t>73.U604.25</t>
  </si>
  <si>
    <t>73.U604.PM.10</t>
  </si>
  <si>
    <t>U604PM</t>
  </si>
  <si>
    <t>73.U604.PM.18</t>
  </si>
  <si>
    <t>73.U606.18</t>
  </si>
  <si>
    <t>U606</t>
  </si>
  <si>
    <t>73.U608.18</t>
  </si>
  <si>
    <t>U608</t>
  </si>
  <si>
    <t>73.U617.16</t>
  </si>
  <si>
    <t>U617</t>
  </si>
  <si>
    <t>73.U617.18</t>
  </si>
  <si>
    <t>73.U625.10</t>
  </si>
  <si>
    <t>U625</t>
  </si>
  <si>
    <t>73.U625.16</t>
  </si>
  <si>
    <t>73.U626.10</t>
  </si>
  <si>
    <t>U626</t>
  </si>
  <si>
    <t>73.U626.18</t>
  </si>
  <si>
    <t>73.U630.16</t>
  </si>
  <si>
    <t>U630</t>
  </si>
  <si>
    <t>73.U630.18</t>
  </si>
  <si>
    <t>73.U630.ST15.18</t>
  </si>
  <si>
    <t>U630ST15</t>
  </si>
  <si>
    <t>73.U636.18</t>
  </si>
  <si>
    <t>U636</t>
  </si>
  <si>
    <t>73.U636.PM.10</t>
  </si>
  <si>
    <t>U636PM</t>
  </si>
  <si>
    <t>73.U636.PM.18</t>
  </si>
  <si>
    <t>73.U638.10</t>
  </si>
  <si>
    <t>U638</t>
  </si>
  <si>
    <t>73.U638.18</t>
  </si>
  <si>
    <t>73.U638.PM.10</t>
  </si>
  <si>
    <t>U638PM</t>
  </si>
  <si>
    <t>73.U638.PM.18</t>
  </si>
  <si>
    <t>73.U6458.16</t>
  </si>
  <si>
    <t>U6458</t>
  </si>
  <si>
    <t>73.U6458.18</t>
  </si>
  <si>
    <t>73.U655.18</t>
  </si>
  <si>
    <t>U655</t>
  </si>
  <si>
    <t>73.U665.10</t>
  </si>
  <si>
    <t>U665</t>
  </si>
  <si>
    <t>73.U665.18</t>
  </si>
  <si>
    <t>73.U665.25</t>
  </si>
  <si>
    <t>73.U665.PM.10</t>
  </si>
  <si>
    <t>U665PM</t>
  </si>
  <si>
    <t>73.U665.PM.18</t>
  </si>
  <si>
    <t>73.U699.18</t>
  </si>
  <si>
    <t>U699</t>
  </si>
  <si>
    <t>73.U702.10</t>
  </si>
  <si>
    <t>U702</t>
  </si>
  <si>
    <t>73.U702.16</t>
  </si>
  <si>
    <t>73.U702.18</t>
  </si>
  <si>
    <t>73.U702.25</t>
  </si>
  <si>
    <t>73.U702.PM.10</t>
  </si>
  <si>
    <t>U702PM</t>
  </si>
  <si>
    <t>73.U702.PM.18</t>
  </si>
  <si>
    <t>73.U702.PM.19</t>
  </si>
  <si>
    <t>73.U702.ST16.18</t>
  </si>
  <si>
    <t>U702ST16</t>
  </si>
  <si>
    <t>73.U705.16</t>
  </si>
  <si>
    <t>U705</t>
  </si>
  <si>
    <t>73.U705.18</t>
  </si>
  <si>
    <t>73.U705.PM.10</t>
  </si>
  <si>
    <t>U705PM</t>
  </si>
  <si>
    <t>73.U705.PM.18</t>
  </si>
  <si>
    <t>73.U707.18</t>
  </si>
  <si>
    <t>U707</t>
  </si>
  <si>
    <t>73.U708.10</t>
  </si>
  <si>
    <t>U708</t>
  </si>
  <si>
    <t>73.U708.16</t>
  </si>
  <si>
    <t>73.U708.18</t>
  </si>
  <si>
    <t>73.U708.25</t>
  </si>
  <si>
    <t>73.U708.MR.16</t>
  </si>
  <si>
    <t>73.U708.MR.18</t>
  </si>
  <si>
    <t>73.U708.P3.16</t>
  </si>
  <si>
    <t>73.U708.PM.10</t>
  </si>
  <si>
    <t>U708PM</t>
  </si>
  <si>
    <t>73.U708.PM.18</t>
  </si>
  <si>
    <t>73.U708.ST15.10</t>
  </si>
  <si>
    <t>U708ST15</t>
  </si>
  <si>
    <t>73.U727.10</t>
  </si>
  <si>
    <t>U727</t>
  </si>
  <si>
    <t>73.U727.16</t>
  </si>
  <si>
    <t>73.U727.18</t>
  </si>
  <si>
    <t>73.U727.25</t>
  </si>
  <si>
    <t>73.U727.PM.10</t>
  </si>
  <si>
    <t>U727PM</t>
  </si>
  <si>
    <t>73.U727.PM.18</t>
  </si>
  <si>
    <t>73.U732.10</t>
  </si>
  <si>
    <t>U732</t>
  </si>
  <si>
    <t>73.U732.16</t>
  </si>
  <si>
    <t>73.U732.18</t>
  </si>
  <si>
    <t>73.U732.25</t>
  </si>
  <si>
    <t>73.U732.25.FSCMIX</t>
  </si>
  <si>
    <t>73.U732.PM.10</t>
  </si>
  <si>
    <t>U732PM</t>
  </si>
  <si>
    <t>73.U732.PM.18</t>
  </si>
  <si>
    <t>73.U732.ST15.16</t>
  </si>
  <si>
    <t>U732ST15</t>
  </si>
  <si>
    <t>73.U732.ST15.18</t>
  </si>
  <si>
    <t>73.U732.ST30.18</t>
  </si>
  <si>
    <t>U732ST30</t>
  </si>
  <si>
    <t>73.U740.10</t>
  </si>
  <si>
    <t>U740</t>
  </si>
  <si>
    <t>73.U740.18</t>
  </si>
  <si>
    <t>73.U740.25</t>
  </si>
  <si>
    <t>73.U740.TM9.18</t>
  </si>
  <si>
    <t>U740TM9</t>
  </si>
  <si>
    <t>73.U741.16</t>
  </si>
  <si>
    <t>U741</t>
  </si>
  <si>
    <t>73.U741.18</t>
  </si>
  <si>
    <t>73.U741.25</t>
  </si>
  <si>
    <t>73.U748.10</t>
  </si>
  <si>
    <t>U748</t>
  </si>
  <si>
    <t>73.U748.18</t>
  </si>
  <si>
    <t>73.U748.25</t>
  </si>
  <si>
    <t>73.U750.10</t>
  </si>
  <si>
    <t>U750</t>
  </si>
  <si>
    <t>73.U750.16</t>
  </si>
  <si>
    <t>73.U750.18</t>
  </si>
  <si>
    <t>73.U750.25</t>
  </si>
  <si>
    <t>73.U763.10</t>
  </si>
  <si>
    <t>U763</t>
  </si>
  <si>
    <t>73.U763.16</t>
  </si>
  <si>
    <t>73.U763.18</t>
  </si>
  <si>
    <t>73.U763.25</t>
  </si>
  <si>
    <t>73.U763.PG.18</t>
  </si>
  <si>
    <t>U763PG</t>
  </si>
  <si>
    <t>73.U767.10</t>
  </si>
  <si>
    <t>U767</t>
  </si>
  <si>
    <t>73.U767.18</t>
  </si>
  <si>
    <t>73.U767.25</t>
  </si>
  <si>
    <t>73.U767.38</t>
  </si>
  <si>
    <t>73.U767.PM.10</t>
  </si>
  <si>
    <t>U767PM</t>
  </si>
  <si>
    <t>73.U767.PM.18</t>
  </si>
  <si>
    <t>73.U775.16</t>
  </si>
  <si>
    <t>U775</t>
  </si>
  <si>
    <t>73.U775.18</t>
  </si>
  <si>
    <t>73.U780.10</t>
  </si>
  <si>
    <t>U780</t>
  </si>
  <si>
    <t>73.U780.18</t>
  </si>
  <si>
    <t>73.U788.18</t>
  </si>
  <si>
    <t>U788</t>
  </si>
  <si>
    <t>73.U788.ST16.18</t>
  </si>
  <si>
    <t>U788ST16</t>
  </si>
  <si>
    <t>73.U795.16</t>
  </si>
  <si>
    <t>U795</t>
  </si>
  <si>
    <t>73.U795.18</t>
  </si>
  <si>
    <t>73.U795.38</t>
  </si>
  <si>
    <t>73.U808.16</t>
  </si>
  <si>
    <t>U808</t>
  </si>
  <si>
    <t>73.U818.18</t>
  </si>
  <si>
    <t>U818</t>
  </si>
  <si>
    <t>73.U830.10</t>
  </si>
  <si>
    <t>U830</t>
  </si>
  <si>
    <t>73.U830.18</t>
  </si>
  <si>
    <t>73.U899.16</t>
  </si>
  <si>
    <t>U899</t>
  </si>
  <si>
    <t>73.U899.18</t>
  </si>
  <si>
    <t>73.U899.25</t>
  </si>
  <si>
    <t>73.U960.10</t>
  </si>
  <si>
    <t>U960</t>
  </si>
  <si>
    <t>73.U960.16</t>
  </si>
  <si>
    <t>73.U960.18</t>
  </si>
  <si>
    <t>73.U960.25</t>
  </si>
  <si>
    <t>73.U960.PM.10</t>
  </si>
  <si>
    <t>U960PM</t>
  </si>
  <si>
    <t>73.U960.PM.18</t>
  </si>
  <si>
    <t>73.U960.TM9.18</t>
  </si>
  <si>
    <t>U960TM9</t>
  </si>
  <si>
    <t>73.U961.10</t>
  </si>
  <si>
    <t>U961</t>
  </si>
  <si>
    <t>73.U961.25</t>
  </si>
  <si>
    <t>73.U961.PM.10</t>
  </si>
  <si>
    <t>U961PM</t>
  </si>
  <si>
    <t>73.U961.PM.18</t>
  </si>
  <si>
    <t>73.U961.ST19.18</t>
  </si>
  <si>
    <t>U961ST19</t>
  </si>
  <si>
    <t>73.U961.ST7.10</t>
  </si>
  <si>
    <t>U961ST7</t>
  </si>
  <si>
    <t>73.U961.ST7.16</t>
  </si>
  <si>
    <t>73.U961.ST7.18</t>
  </si>
  <si>
    <t>73.U961.ST7.25</t>
  </si>
  <si>
    <t>73.U963.16</t>
  </si>
  <si>
    <t>U963</t>
  </si>
  <si>
    <t>73.U963.18</t>
  </si>
  <si>
    <t>73.U963.25</t>
  </si>
  <si>
    <t>73.U963.P3.16</t>
  </si>
  <si>
    <t>73.U968.18</t>
  </si>
  <si>
    <t>U968</t>
  </si>
  <si>
    <t>73.U998.ST38.10</t>
  </si>
  <si>
    <t>U998ST38</t>
  </si>
  <si>
    <t>73.U998.ST38.18</t>
  </si>
  <si>
    <t>73.U998.ST38.25</t>
  </si>
  <si>
    <t>73.U999.PG.18</t>
  </si>
  <si>
    <t>U999PG</t>
  </si>
  <si>
    <t>73.U999.PM.10</t>
  </si>
  <si>
    <t>U999PM</t>
  </si>
  <si>
    <t>73.U999.PM.18</t>
  </si>
  <si>
    <t>73.U999.ST18.10</t>
  </si>
  <si>
    <t>U999ST18</t>
  </si>
  <si>
    <t>73.U999.ST18.16</t>
  </si>
  <si>
    <t>73.U999.ST19.18</t>
  </si>
  <si>
    <t>U999ST19</t>
  </si>
  <si>
    <t>73.U999.ST2.16</t>
  </si>
  <si>
    <t>U999</t>
  </si>
  <si>
    <t>73.U999.ST2.18</t>
  </si>
  <si>
    <t>73.U999.ST2.25</t>
  </si>
  <si>
    <t>73.U999.ST30.18</t>
  </si>
  <si>
    <t>U999ST30</t>
  </si>
  <si>
    <t>73.U999.ST38.10</t>
  </si>
  <si>
    <t>U999ST38</t>
  </si>
  <si>
    <t>73.U999.ST38.18</t>
  </si>
  <si>
    <t>73.U999.ST38.25</t>
  </si>
  <si>
    <t>73.U999.ST7.16</t>
  </si>
  <si>
    <t>U999ST7</t>
  </si>
  <si>
    <t>73.U999.ST7.18</t>
  </si>
  <si>
    <t>73.U999.ST7.25</t>
  </si>
  <si>
    <t>73.U999.TM28.18</t>
  </si>
  <si>
    <t>U999STTM</t>
  </si>
  <si>
    <t>73.U999.TM9.18</t>
  </si>
  <si>
    <t>73.UA32.TA.18</t>
  </si>
  <si>
    <t>UA32TA</t>
  </si>
  <si>
    <t>73.UA80.PF.18</t>
  </si>
  <si>
    <t>UA80PF</t>
  </si>
  <si>
    <t>73.UA94.TA.18</t>
  </si>
  <si>
    <t>UA94TA</t>
  </si>
  <si>
    <t>73.UB07.PF.18</t>
  </si>
  <si>
    <t>UB07PF</t>
  </si>
  <si>
    <t>73.UB19.PF.18</t>
  </si>
  <si>
    <t>UB19PF</t>
  </si>
  <si>
    <t>73.UB19.TA.18</t>
  </si>
  <si>
    <t>UB19TA</t>
  </si>
  <si>
    <t>73.W1000.10</t>
  </si>
  <si>
    <t>W1000</t>
  </si>
  <si>
    <t>73.W1000.16</t>
  </si>
  <si>
    <t>73.W1000.18</t>
  </si>
  <si>
    <t>73.W1000.22</t>
  </si>
  <si>
    <t>73.W1000.25</t>
  </si>
  <si>
    <t>73.W1000.35.16</t>
  </si>
  <si>
    <t>73.W1000.38</t>
  </si>
  <si>
    <t>73.W1000.P3.16</t>
  </si>
  <si>
    <t>73.W1000.P3.18</t>
  </si>
  <si>
    <t>73.W1000.P5.16</t>
  </si>
  <si>
    <t>73.W1000.PG.18</t>
  </si>
  <si>
    <t>W1000PG</t>
  </si>
  <si>
    <t>73.W1000.PM.10</t>
  </si>
  <si>
    <t>W1000PM</t>
  </si>
  <si>
    <t>73.W1000.PM.18</t>
  </si>
  <si>
    <t>73.W1000.ST18.10</t>
  </si>
  <si>
    <t>W1000ST18</t>
  </si>
  <si>
    <t>73.W1000.ST19.18</t>
  </si>
  <si>
    <t>W1000ST19</t>
  </si>
  <si>
    <t>73.W1000.ST19.25</t>
  </si>
  <si>
    <t>73.W1000.ST22.18</t>
  </si>
  <si>
    <t>W1000ST22</t>
  </si>
  <si>
    <t>73.W1000.ST30.18</t>
  </si>
  <si>
    <t>W1000ST30</t>
  </si>
  <si>
    <t>73.W1000.ST38.10</t>
  </si>
  <si>
    <t>W1000ST38</t>
  </si>
  <si>
    <t>73.W1000.ST38.18</t>
  </si>
  <si>
    <t>73.W1000.ST38.25</t>
  </si>
  <si>
    <t>73.W1000.ST38.38</t>
  </si>
  <si>
    <t>73.W1000.TM9.18</t>
  </si>
  <si>
    <t>W1000TM9</t>
  </si>
  <si>
    <t>73.W1100.10</t>
  </si>
  <si>
    <t>W1100</t>
  </si>
  <si>
    <t>73.W1100.18</t>
  </si>
  <si>
    <t>73.W1100.25</t>
  </si>
  <si>
    <t>73.W1100.PG.18</t>
  </si>
  <si>
    <t>W1100STPG</t>
  </si>
  <si>
    <t>73.W1100.PM.10</t>
  </si>
  <si>
    <t>W1100PM</t>
  </si>
  <si>
    <t>73.W1100.PM.18</t>
  </si>
  <si>
    <t>73.W1100.ST30.18</t>
  </si>
  <si>
    <t>W1100ST30</t>
  </si>
  <si>
    <t>73.W1200.16</t>
  </si>
  <si>
    <t>W1200</t>
  </si>
  <si>
    <t>73.W1200.18</t>
  </si>
  <si>
    <t>73.W1200.25</t>
  </si>
  <si>
    <t>73.W908.18</t>
  </si>
  <si>
    <t>W908</t>
  </si>
  <si>
    <t>73.W908.SM.18</t>
  </si>
  <si>
    <t>W908SM</t>
  </si>
  <si>
    <t>73.W960.MR.16</t>
  </si>
  <si>
    <t>W960ST7</t>
  </si>
  <si>
    <t>73.W960.MR.18</t>
  </si>
  <si>
    <t>73.W960.SM.10</t>
  </si>
  <si>
    <t>W960STSM</t>
  </si>
  <si>
    <t>73.W960.SM.16</t>
  </si>
  <si>
    <t>73.W960.SM.18</t>
  </si>
  <si>
    <t>73.W960.SM.25</t>
  </si>
  <si>
    <t>73.W960.ST7.10</t>
  </si>
  <si>
    <t>73.W960.ST7.16</t>
  </si>
  <si>
    <t>73.W960.ST7.18</t>
  </si>
  <si>
    <t>73.W960.ST7.25</t>
  </si>
  <si>
    <t>73.W962.10</t>
  </si>
  <si>
    <t>73.W962.16</t>
  </si>
  <si>
    <t>W962ST2</t>
  </si>
  <si>
    <t>73.W962.18</t>
  </si>
  <si>
    <t>73.W962.25</t>
  </si>
  <si>
    <t>73.W962.SM.16</t>
  </si>
  <si>
    <t>W962STSM</t>
  </si>
  <si>
    <t>73.W962.SM.18</t>
  </si>
  <si>
    <t>73.W980.10</t>
  </si>
  <si>
    <t>W980ST2</t>
  </si>
  <si>
    <t>73.W980.16</t>
  </si>
  <si>
    <t>73.W980.18</t>
  </si>
  <si>
    <t>73.W980.25</t>
  </si>
  <si>
    <t>73.W980.30</t>
  </si>
  <si>
    <t>W980</t>
  </si>
  <si>
    <t>73.W980.MR.16</t>
  </si>
  <si>
    <t>73.W980.MR.18</t>
  </si>
  <si>
    <t>73.W980.P3.16</t>
  </si>
  <si>
    <t>73.W980.SM.10</t>
  </si>
  <si>
    <t>W980STSM</t>
  </si>
  <si>
    <t>73.W980.SM.16</t>
  </si>
  <si>
    <t>73.W980.SM.18</t>
  </si>
  <si>
    <t>73.W980.SM.25</t>
  </si>
  <si>
    <t>75.H1145.2.8</t>
  </si>
  <si>
    <t>75.H1146.2.8</t>
  </si>
  <si>
    <t>75.H1277.2.8</t>
  </si>
  <si>
    <t>75.H1334.2.8</t>
  </si>
  <si>
    <t>75.H3090.2.8</t>
  </si>
  <si>
    <t>75.H3331.2.8</t>
  </si>
  <si>
    <t>75.H3395.2.8</t>
  </si>
  <si>
    <t>75.H3700.2.8</t>
  </si>
  <si>
    <t>75.H3702.2.8</t>
  </si>
  <si>
    <t>75.H3734.2.8</t>
  </si>
  <si>
    <t>75.U156</t>
  </si>
  <si>
    <t>75.U222.2.8</t>
  </si>
  <si>
    <t>75.U5034</t>
  </si>
  <si>
    <t>75.U702.2.8</t>
  </si>
  <si>
    <t>75.U727.2.8</t>
  </si>
  <si>
    <t>75.U732.2.8</t>
  </si>
  <si>
    <t>75.U899.2.8</t>
  </si>
  <si>
    <t>75.U963.2.8</t>
  </si>
  <si>
    <t>75.U999</t>
  </si>
  <si>
    <t>75.W5021</t>
  </si>
  <si>
    <t>W5021</t>
  </si>
  <si>
    <t>76.0026.12</t>
  </si>
  <si>
    <t>76.0027.12</t>
  </si>
  <si>
    <t>76.0074.12</t>
  </si>
  <si>
    <t>76.0075.12</t>
  </si>
  <si>
    <t>76.0077.12</t>
  </si>
  <si>
    <t>76.0077.8</t>
  </si>
  <si>
    <t>0077</t>
  </si>
  <si>
    <t>76.0080.12</t>
  </si>
  <si>
    <t>76.0085.12</t>
  </si>
  <si>
    <t>76.0085.B.12</t>
  </si>
  <si>
    <t>76.0164.MM.30.12</t>
  </si>
  <si>
    <t>0164</t>
  </si>
  <si>
    <t>76.0164.MM.31.12</t>
  </si>
  <si>
    <t>76.0180.AR.31.12</t>
  </si>
  <si>
    <t>76.0218.CY.31.12</t>
  </si>
  <si>
    <t>76.0218.GL.31.12</t>
  </si>
  <si>
    <t>76.0273.BW.31.12</t>
  </si>
  <si>
    <t>76.0344.12</t>
  </si>
  <si>
    <t>76.0386.12</t>
  </si>
  <si>
    <t>76.0394.12</t>
  </si>
  <si>
    <t>76.0426.12</t>
  </si>
  <si>
    <t>76.0427.12</t>
  </si>
  <si>
    <t>76.0428.12</t>
  </si>
  <si>
    <t>76.0496.12</t>
  </si>
  <si>
    <t>76.0497.12</t>
  </si>
  <si>
    <t>76.0581.12</t>
  </si>
  <si>
    <t>76.0585.12</t>
  </si>
  <si>
    <t>76.0670.12</t>
  </si>
  <si>
    <t>76.0693.12</t>
  </si>
  <si>
    <t>76.0755.12</t>
  </si>
  <si>
    <t>76.0794.12</t>
  </si>
  <si>
    <t>76.0834.12</t>
  </si>
  <si>
    <t>76.0834.M.12</t>
  </si>
  <si>
    <t>76.0835.12</t>
  </si>
  <si>
    <t>76.0836.12</t>
  </si>
  <si>
    <t>76.0982.MN.31.12</t>
  </si>
  <si>
    <t>76.0983.CY.31.12</t>
  </si>
  <si>
    <t>76.0983.GL.31.12</t>
  </si>
  <si>
    <t>76.1106.60</t>
  </si>
  <si>
    <t>ORG</t>
  </si>
  <si>
    <t>76.1106.90</t>
  </si>
  <si>
    <t>76.1106.GL.60</t>
  </si>
  <si>
    <t>1106 GL</t>
  </si>
  <si>
    <t>76.1106.GL.90</t>
  </si>
  <si>
    <t>76.1AT.63.13</t>
  </si>
  <si>
    <t>1AT</t>
  </si>
  <si>
    <t>76.2409.MMG.31.12</t>
  </si>
  <si>
    <t>76.2423.MMG.31.12</t>
  </si>
  <si>
    <t>76.251B.63.13</t>
  </si>
  <si>
    <t>251B</t>
  </si>
  <si>
    <t>76.2633.MM.31.12</t>
  </si>
  <si>
    <t>76.267B.63.13</t>
  </si>
  <si>
    <t>267B</t>
  </si>
  <si>
    <t>76.274B.63.13</t>
  </si>
  <si>
    <t>274B</t>
  </si>
  <si>
    <t>76.32339.60</t>
  </si>
  <si>
    <t>76.32339.90</t>
  </si>
  <si>
    <t>76.32360.60</t>
  </si>
  <si>
    <t>76.32360.90</t>
  </si>
  <si>
    <t>76.34318.60</t>
  </si>
  <si>
    <t>76.34318.90</t>
  </si>
  <si>
    <t>76.34321.60</t>
  </si>
  <si>
    <t>76.34321.90</t>
  </si>
  <si>
    <t>76.3505.AR.62.12</t>
  </si>
  <si>
    <t>76.35252.60</t>
  </si>
  <si>
    <t>76.35252.90</t>
  </si>
  <si>
    <t>76.37905.60</t>
  </si>
  <si>
    <t>76.37905.90</t>
  </si>
  <si>
    <t>76.37978.60</t>
  </si>
  <si>
    <t>76.37978.90</t>
  </si>
  <si>
    <t>76.37979.60</t>
  </si>
  <si>
    <t>76.37979.90</t>
  </si>
  <si>
    <t>76.38356.60</t>
  </si>
  <si>
    <t>76.38356.90</t>
  </si>
  <si>
    <t>76.4064.CY.31.12</t>
  </si>
  <si>
    <t>76.4064.GL.31.12</t>
  </si>
  <si>
    <t>76.42207.60</t>
  </si>
  <si>
    <t>76.42207.90</t>
  </si>
  <si>
    <t>76.42238.60</t>
  </si>
  <si>
    <t>76.42238.90</t>
  </si>
  <si>
    <t>76.42364.60</t>
  </si>
  <si>
    <t>76.42364.90</t>
  </si>
  <si>
    <t>76.44374.60</t>
  </si>
  <si>
    <t>76.44374.90</t>
  </si>
  <si>
    <t>76.44375.60</t>
  </si>
  <si>
    <t>76.44375.90</t>
  </si>
  <si>
    <t>76.45273.60</t>
  </si>
  <si>
    <t>76.45273.90</t>
  </si>
  <si>
    <t>76.45274.60</t>
  </si>
  <si>
    <t>76.45274.90</t>
  </si>
  <si>
    <t>76.47980.60</t>
  </si>
  <si>
    <t>76.47980.90</t>
  </si>
  <si>
    <t>76.47981.60</t>
  </si>
  <si>
    <t>76.47981.90</t>
  </si>
  <si>
    <t>76.5530.AK.31.12</t>
  </si>
  <si>
    <t>76.5540.AK.31.12</t>
  </si>
  <si>
    <t>76.5560.AR.31.12</t>
  </si>
  <si>
    <t>76.583B.63.13</t>
  </si>
  <si>
    <t>583B</t>
  </si>
  <si>
    <t>76.6014.MMG.62.12</t>
  </si>
  <si>
    <t>76.6014.MN.62.12</t>
  </si>
  <si>
    <t>76.6019.MMG.62.12</t>
  </si>
  <si>
    <t>76.6026.SN.62.12</t>
  </si>
  <si>
    <t>76.6027.CY.62.12</t>
  </si>
  <si>
    <t>76.6027.GL.62.12</t>
  </si>
  <si>
    <t>76.6111.MMG.62.12</t>
  </si>
  <si>
    <t>76.6116.MN.62.12</t>
  </si>
  <si>
    <t>76.6120.GH.62.12</t>
  </si>
  <si>
    <t>76.6131.NK.31.12</t>
  </si>
  <si>
    <t>76.6133.MMG.62.12</t>
  </si>
  <si>
    <t>76.6140.GH.31.12</t>
  </si>
  <si>
    <t>76.6140.MMG.62.12</t>
  </si>
  <si>
    <t>76.6140.MN.62.12</t>
  </si>
  <si>
    <t>76.6145.LA.31.12</t>
  </si>
  <si>
    <t>76.6151.GH.62.12</t>
  </si>
  <si>
    <t>76.6152.GH.62.12</t>
  </si>
  <si>
    <t>76.6230.NK.31.12</t>
  </si>
  <si>
    <t>76.6230.SN.62.12</t>
  </si>
  <si>
    <t>76.6231.MN.62.12</t>
  </si>
  <si>
    <t>76.6240.MN.62.12</t>
  </si>
  <si>
    <t>76.6241.MN.62.12</t>
  </si>
  <si>
    <t>76.6242.MN.62.12</t>
  </si>
  <si>
    <t>76.6281.MN.62.12</t>
  </si>
  <si>
    <t>76.6300.NK.31.12</t>
  </si>
  <si>
    <t>76.6AS.63.13</t>
  </si>
  <si>
    <t>6AS</t>
  </si>
  <si>
    <t>76.72Y.63.13</t>
  </si>
  <si>
    <t>72Y</t>
  </si>
  <si>
    <t>76.9AS.63.13</t>
  </si>
  <si>
    <t>9AS</t>
  </si>
  <si>
    <t>76.F011.60</t>
  </si>
  <si>
    <t>F011</t>
  </si>
  <si>
    <t>76.F011.92</t>
  </si>
  <si>
    <t>76.F012.60</t>
  </si>
  <si>
    <t>F012</t>
  </si>
  <si>
    <t>76.F012.92</t>
  </si>
  <si>
    <t>76.F014.60</t>
  </si>
  <si>
    <t>F014</t>
  </si>
  <si>
    <t>76.F014.92</t>
  </si>
  <si>
    <t>76.F021.60</t>
  </si>
  <si>
    <t>F021</t>
  </si>
  <si>
    <t>76.F021.92</t>
  </si>
  <si>
    <t>76.F028.60</t>
  </si>
  <si>
    <t>F028</t>
  </si>
  <si>
    <t>76.F028.92</t>
  </si>
  <si>
    <t>76.F029.60</t>
  </si>
  <si>
    <t>F029</t>
  </si>
  <si>
    <t>76.F029.92</t>
  </si>
  <si>
    <t>76.F030.60</t>
  </si>
  <si>
    <t>F030</t>
  </si>
  <si>
    <t>76.F030.92</t>
  </si>
  <si>
    <t>76.F031.60</t>
  </si>
  <si>
    <t>F031</t>
  </si>
  <si>
    <t>76.F031.92</t>
  </si>
  <si>
    <t>76.F032.60</t>
  </si>
  <si>
    <t>F032</t>
  </si>
  <si>
    <t>76.F032.92</t>
  </si>
  <si>
    <t>76.F041.60</t>
  </si>
  <si>
    <t>F041</t>
  </si>
  <si>
    <t>76.F041.92</t>
  </si>
  <si>
    <t>76.F042.60</t>
  </si>
  <si>
    <t>F042</t>
  </si>
  <si>
    <t>76.F052.60</t>
  </si>
  <si>
    <t>F052</t>
  </si>
  <si>
    <t>76.F052.92</t>
  </si>
  <si>
    <t>76.F059.60</t>
  </si>
  <si>
    <t>F059</t>
  </si>
  <si>
    <t>76.F059.92</t>
  </si>
  <si>
    <t>76.F061.60</t>
  </si>
  <si>
    <t>F061</t>
  </si>
  <si>
    <t>76.F061.92</t>
  </si>
  <si>
    <t>76.F074.60</t>
  </si>
  <si>
    <t>F074</t>
  </si>
  <si>
    <t>76.F074.92</t>
  </si>
  <si>
    <t>76.F076.60</t>
  </si>
  <si>
    <t>F076</t>
  </si>
  <si>
    <t>76.F076.92</t>
  </si>
  <si>
    <t>76.F080.60</t>
  </si>
  <si>
    <t>F080</t>
  </si>
  <si>
    <t>76.F080.92</t>
  </si>
  <si>
    <t>76.F081.60</t>
  </si>
  <si>
    <t>F081</t>
  </si>
  <si>
    <t>76.F081.92</t>
  </si>
  <si>
    <t>76.F092.60</t>
  </si>
  <si>
    <t>F092</t>
  </si>
  <si>
    <t>76.F093.60</t>
  </si>
  <si>
    <t>F093</t>
  </si>
  <si>
    <t>76.F093.92</t>
  </si>
  <si>
    <t>76.F093.ST7.60</t>
  </si>
  <si>
    <t>F093ST7</t>
  </si>
  <si>
    <t>76.F093.ST7.92</t>
  </si>
  <si>
    <t>76.F094.60</t>
  </si>
  <si>
    <t>F094</t>
  </si>
  <si>
    <t>76.F094.92</t>
  </si>
  <si>
    <t>76.F095.60</t>
  </si>
  <si>
    <t>F095</t>
  </si>
  <si>
    <t>76.F095.92</t>
  </si>
  <si>
    <t>76.F104.60</t>
  </si>
  <si>
    <t>F104</t>
  </si>
  <si>
    <t>76.F104.92</t>
  </si>
  <si>
    <t>76.F105.60</t>
  </si>
  <si>
    <t>F105</t>
  </si>
  <si>
    <t>76.F105.92</t>
  </si>
  <si>
    <t>76.F108.60</t>
  </si>
  <si>
    <t>F108</t>
  </si>
  <si>
    <t>76.F108.92</t>
  </si>
  <si>
    <t>76.F110.60</t>
  </si>
  <si>
    <t>F110</t>
  </si>
  <si>
    <t>76.F112.60</t>
  </si>
  <si>
    <t>F112</t>
  </si>
  <si>
    <t>76.F112.92</t>
  </si>
  <si>
    <t>76.F117.60</t>
  </si>
  <si>
    <t>F117</t>
  </si>
  <si>
    <t>76.F117.92</t>
  </si>
  <si>
    <t>76.F121.60</t>
  </si>
  <si>
    <t>F121</t>
  </si>
  <si>
    <t>76.F121.92</t>
  </si>
  <si>
    <t>76.F133.60</t>
  </si>
  <si>
    <t>F133</t>
  </si>
  <si>
    <t>76.F141.60</t>
  </si>
  <si>
    <t>F141</t>
  </si>
  <si>
    <t>76.F142.60</t>
  </si>
  <si>
    <t>F142</t>
  </si>
  <si>
    <t>76.F147.60</t>
  </si>
  <si>
    <t>F147</t>
  </si>
  <si>
    <t>76.F147.92</t>
  </si>
  <si>
    <t>76.F160.60</t>
  </si>
  <si>
    <t>F160</t>
  </si>
  <si>
    <t>76.F160.92</t>
  </si>
  <si>
    <t>76.F166.92</t>
  </si>
  <si>
    <t>F166</t>
  </si>
  <si>
    <t>76.F1861.65.12</t>
  </si>
  <si>
    <t>76.F1861.92.12</t>
  </si>
  <si>
    <t>76.F186.60</t>
  </si>
  <si>
    <t>76.F186.65</t>
  </si>
  <si>
    <t>76.F186.92</t>
  </si>
  <si>
    <t>76.F187.60</t>
  </si>
  <si>
    <t>76.F187.92</t>
  </si>
  <si>
    <t>76.F204.60</t>
  </si>
  <si>
    <t>76.F204.92</t>
  </si>
  <si>
    <t>76.F205.60</t>
  </si>
  <si>
    <t>F205</t>
  </si>
  <si>
    <t>76.F205.92</t>
  </si>
  <si>
    <t>76.F206.60</t>
  </si>
  <si>
    <t>F206ST9</t>
  </si>
  <si>
    <t>76.F206.65</t>
  </si>
  <si>
    <t>76.F206.92</t>
  </si>
  <si>
    <t>76.F206.C.920</t>
  </si>
  <si>
    <t>76.F206.PM.65</t>
  </si>
  <si>
    <t>F206PM</t>
  </si>
  <si>
    <t>76.F206.PM.92</t>
  </si>
  <si>
    <t>76.F206.PT.60</t>
  </si>
  <si>
    <t>F206STPT</t>
  </si>
  <si>
    <t>76.F206.PT.92</t>
  </si>
  <si>
    <t>76.F208.60</t>
  </si>
  <si>
    <t>F208</t>
  </si>
  <si>
    <t>76.F208.92</t>
  </si>
  <si>
    <t>76.F212.92</t>
  </si>
  <si>
    <t>F212</t>
  </si>
  <si>
    <t>76.F221.60</t>
  </si>
  <si>
    <t>F221</t>
  </si>
  <si>
    <t>76.F221.65.12</t>
  </si>
  <si>
    <t>76.F221.92</t>
  </si>
  <si>
    <t>76.F221.92.12</t>
  </si>
  <si>
    <t>76.F222.60</t>
  </si>
  <si>
    <t>F222</t>
  </si>
  <si>
    <t>76.F222.92</t>
  </si>
  <si>
    <t>76.F222.ST76.65</t>
  </si>
  <si>
    <t>76.F222.ST76.92</t>
  </si>
  <si>
    <t>76.F226.60</t>
  </si>
  <si>
    <t>F226</t>
  </si>
  <si>
    <t>76.F226.92</t>
  </si>
  <si>
    <t>76.F227.60</t>
  </si>
  <si>
    <t>F227</t>
  </si>
  <si>
    <t>76.F227.92</t>
  </si>
  <si>
    <t>76.F228.60</t>
  </si>
  <si>
    <t>F228</t>
  </si>
  <si>
    <t>76.F228.92</t>
  </si>
  <si>
    <t>76.F229.60</t>
  </si>
  <si>
    <t>F229</t>
  </si>
  <si>
    <t>76.F229.92</t>
  </si>
  <si>
    <t>76.F230.60</t>
  </si>
  <si>
    <t>F230</t>
  </si>
  <si>
    <t>76.F230.92</t>
  </si>
  <si>
    <t>76.F234.60</t>
  </si>
  <si>
    <t>F234</t>
  </si>
  <si>
    <t>76.F234.92</t>
  </si>
  <si>
    <t>76.F235.60</t>
  </si>
  <si>
    <t>76.F235.92</t>
  </si>
  <si>
    <t>76.F237.60</t>
  </si>
  <si>
    <t>F237</t>
  </si>
  <si>
    <t>76.F237.92</t>
  </si>
  <si>
    <t>76.F242.60</t>
  </si>
  <si>
    <t>F242</t>
  </si>
  <si>
    <t>76.F242.92</t>
  </si>
  <si>
    <t>76.F243.60</t>
  </si>
  <si>
    <t>76.F243.92</t>
  </si>
  <si>
    <t>76.F244.65.12</t>
  </si>
  <si>
    <t>76.F244.92.12</t>
  </si>
  <si>
    <t>76.F251.60</t>
  </si>
  <si>
    <t>F251</t>
  </si>
  <si>
    <t>76.F251.92</t>
  </si>
  <si>
    <t>76.F256.60</t>
  </si>
  <si>
    <t>F256</t>
  </si>
  <si>
    <t>76.F274.60</t>
  </si>
  <si>
    <t>F274</t>
  </si>
  <si>
    <t>76.F274.65</t>
  </si>
  <si>
    <t>76.F274.92</t>
  </si>
  <si>
    <t>76.F274.C.920</t>
  </si>
  <si>
    <t>76.F275.60</t>
  </si>
  <si>
    <t>F275</t>
  </si>
  <si>
    <t>76.F275.92</t>
  </si>
  <si>
    <t>76.F276.92</t>
  </si>
  <si>
    <t>F276</t>
  </si>
  <si>
    <t>76.F292.60</t>
  </si>
  <si>
    <t>F292</t>
  </si>
  <si>
    <t>76.F292.92</t>
  </si>
  <si>
    <t>76.F302.60</t>
  </si>
  <si>
    <t>76.F302.92</t>
  </si>
  <si>
    <t>76.F303.60</t>
  </si>
  <si>
    <t>F303</t>
  </si>
  <si>
    <t>76.F303.92</t>
  </si>
  <si>
    <t>76.F310.92</t>
  </si>
  <si>
    <t>F310</t>
  </si>
  <si>
    <t>76.F311.60</t>
  </si>
  <si>
    <t>76.F311.65.12</t>
  </si>
  <si>
    <t>76.F311.92</t>
  </si>
  <si>
    <t>76.F311.92.12</t>
  </si>
  <si>
    <t>76.F312.60</t>
  </si>
  <si>
    <t>F312</t>
  </si>
  <si>
    <t>76.F312.92</t>
  </si>
  <si>
    <t>76.F333.60</t>
  </si>
  <si>
    <t>F333</t>
  </si>
  <si>
    <t>76.F333.92</t>
  </si>
  <si>
    <t>76.F352.60</t>
  </si>
  <si>
    <t>F352</t>
  </si>
  <si>
    <t>76.F352.92</t>
  </si>
  <si>
    <t>76.F371.60</t>
  </si>
  <si>
    <t>F371</t>
  </si>
  <si>
    <t>76.F371.92</t>
  </si>
  <si>
    <t>76.F385.60</t>
  </si>
  <si>
    <t>F385</t>
  </si>
  <si>
    <t>76.F385.92</t>
  </si>
  <si>
    <t>76.F484.60</t>
  </si>
  <si>
    <t>F484</t>
  </si>
  <si>
    <t>76.F484.92</t>
  </si>
  <si>
    <t>76.F486.60</t>
  </si>
  <si>
    <t>F486</t>
  </si>
  <si>
    <t>76.F486.92</t>
  </si>
  <si>
    <t>76.F502.60</t>
  </si>
  <si>
    <t>F502</t>
  </si>
  <si>
    <t>76.F502.92</t>
  </si>
  <si>
    <t>76.F502.ST7.60</t>
  </si>
  <si>
    <t>F502ST7</t>
  </si>
  <si>
    <t>76.F502.ST7.92</t>
  </si>
  <si>
    <t>76.F508.60</t>
  </si>
  <si>
    <t>F508</t>
  </si>
  <si>
    <t>76.F508.92</t>
  </si>
  <si>
    <t>76.F547.60</t>
  </si>
  <si>
    <t>F547</t>
  </si>
  <si>
    <t>76.F620.60</t>
  </si>
  <si>
    <t>F620</t>
  </si>
  <si>
    <t>76.F620.92</t>
  </si>
  <si>
    <t>76.F627.PT.60</t>
  </si>
  <si>
    <t>F627</t>
  </si>
  <si>
    <t>76.F627.PT.92</t>
  </si>
  <si>
    <t>76.F637.60</t>
  </si>
  <si>
    <t>76.F637.92</t>
  </si>
  <si>
    <t>76.F638.60</t>
  </si>
  <si>
    <t>F638</t>
  </si>
  <si>
    <t>76.F638.92</t>
  </si>
  <si>
    <t>76.F641.92</t>
  </si>
  <si>
    <t>F641</t>
  </si>
  <si>
    <t>76.F649.60</t>
  </si>
  <si>
    <t>76.F649.92</t>
  </si>
  <si>
    <t>76.F651.60</t>
  </si>
  <si>
    <t>76.F651.92</t>
  </si>
  <si>
    <t>76.F675.60</t>
  </si>
  <si>
    <t>F675</t>
  </si>
  <si>
    <t>76.F675.92</t>
  </si>
  <si>
    <t>76.F676.60</t>
  </si>
  <si>
    <t>F676</t>
  </si>
  <si>
    <t>76.F676.92</t>
  </si>
  <si>
    <t>76.F800.60</t>
  </si>
  <si>
    <t>76.F800.92</t>
  </si>
  <si>
    <t>76.F812.60</t>
  </si>
  <si>
    <t>76.F812.92</t>
  </si>
  <si>
    <t>76.F812.PT.60</t>
  </si>
  <si>
    <t>F812STPT</t>
  </si>
  <si>
    <t>76.F812.PT.92</t>
  </si>
  <si>
    <t>76.H0001.60</t>
  </si>
  <si>
    <t>H0001</t>
  </si>
  <si>
    <t>76.H011.60</t>
  </si>
  <si>
    <t>H011</t>
  </si>
  <si>
    <t>76.H011.92</t>
  </si>
  <si>
    <t>76.H050.60</t>
  </si>
  <si>
    <t>H050</t>
  </si>
  <si>
    <t>76.H050.92</t>
  </si>
  <si>
    <t>76.H110.60</t>
  </si>
  <si>
    <t>H110</t>
  </si>
  <si>
    <t>76.H110.92</t>
  </si>
  <si>
    <t>76.H1111.60</t>
  </si>
  <si>
    <t>H1111</t>
  </si>
  <si>
    <t>76.H111.60</t>
  </si>
  <si>
    <t>H111</t>
  </si>
  <si>
    <t>76.H1145.60</t>
  </si>
  <si>
    <t>76.H1145.92</t>
  </si>
  <si>
    <t>76.H1146.92</t>
  </si>
  <si>
    <t>76.H1176.60.1.5</t>
  </si>
  <si>
    <t>76.H1176.92.1.5</t>
  </si>
  <si>
    <t>76.H1180.60.1.5</t>
  </si>
  <si>
    <t>76.H1180.65.1.5</t>
  </si>
  <si>
    <t>76.H1180.92.1.5</t>
  </si>
  <si>
    <t>76.H1181.60.1.5</t>
  </si>
  <si>
    <t>76.H1181.65.1.5</t>
  </si>
  <si>
    <t>76.H1181.92.1.5</t>
  </si>
  <si>
    <t>76.H1199.60</t>
  </si>
  <si>
    <t>76.H1199.92</t>
  </si>
  <si>
    <t>76.H1303.60</t>
  </si>
  <si>
    <t>76.H1303.92</t>
  </si>
  <si>
    <t>76.H1313.60</t>
  </si>
  <si>
    <t>76.H1313.92</t>
  </si>
  <si>
    <t>76.H1318.130.12</t>
  </si>
  <si>
    <t>76.H1318.60</t>
  </si>
  <si>
    <t>76.H1318.65.12</t>
  </si>
  <si>
    <t>76.H1318.92</t>
  </si>
  <si>
    <t>76.H1318.92.12</t>
  </si>
  <si>
    <t>76.H1330.65.12</t>
  </si>
  <si>
    <t>76.H1330.92.12</t>
  </si>
  <si>
    <t>76.H1344.60.1.5</t>
  </si>
  <si>
    <t>76.H1344.65.1.5</t>
  </si>
  <si>
    <t>76.H1344.92.1.5</t>
  </si>
  <si>
    <t>76.H1357.60</t>
  </si>
  <si>
    <t>H1357</t>
  </si>
  <si>
    <t>76.H1357.92</t>
  </si>
  <si>
    <t>76.H1385.65.1.5</t>
  </si>
  <si>
    <t>76.H1385.92.1.5</t>
  </si>
  <si>
    <t>76.H1386.65.1.5</t>
  </si>
  <si>
    <t>76.H1386.92.1.5</t>
  </si>
  <si>
    <t>76.H1401.60</t>
  </si>
  <si>
    <t>76.H1401.92</t>
  </si>
  <si>
    <t>76.H148.60</t>
  </si>
  <si>
    <t>H148</t>
  </si>
  <si>
    <t>76.H1486.60</t>
  </si>
  <si>
    <t>76.H1486.92</t>
  </si>
  <si>
    <t>76.H148.92</t>
  </si>
  <si>
    <t>76.H1555.92</t>
  </si>
  <si>
    <t>76.H193.60</t>
  </si>
  <si>
    <t>H193</t>
  </si>
  <si>
    <t>76.H193.92</t>
  </si>
  <si>
    <t>76.H194.60</t>
  </si>
  <si>
    <t>H194</t>
  </si>
  <si>
    <t>76.H194.92</t>
  </si>
  <si>
    <t>76.H195.60</t>
  </si>
  <si>
    <t>H195</t>
  </si>
  <si>
    <t>76.H195.92</t>
  </si>
  <si>
    <t>76.H197.60</t>
  </si>
  <si>
    <t>H197</t>
  </si>
  <si>
    <t>76.H197.92</t>
  </si>
  <si>
    <t>76.H198.60</t>
  </si>
  <si>
    <t>H198</t>
  </si>
  <si>
    <t>76.H198.92</t>
  </si>
  <si>
    <t>76.H2031.60</t>
  </si>
  <si>
    <t>H2031</t>
  </si>
  <si>
    <t>76.H2031.92</t>
  </si>
  <si>
    <t>76.H2032.60</t>
  </si>
  <si>
    <t>H2032</t>
  </si>
  <si>
    <t>76.H2032.92</t>
  </si>
  <si>
    <t>76.H2033.60</t>
  </si>
  <si>
    <t>76.H2033.92</t>
  </si>
  <si>
    <t>76.H2409.60</t>
  </si>
  <si>
    <t>H2409</t>
  </si>
  <si>
    <t>76.H2409.92</t>
  </si>
  <si>
    <t>76.H2415.60</t>
  </si>
  <si>
    <t>H2415</t>
  </si>
  <si>
    <t>76.H2415.92</t>
  </si>
  <si>
    <t>76.H2572.92</t>
  </si>
  <si>
    <t>H2572</t>
  </si>
  <si>
    <t>76.H3012.60</t>
  </si>
  <si>
    <t>76.H305.60</t>
  </si>
  <si>
    <t>76.H3058.92</t>
  </si>
  <si>
    <t>76.H305.92</t>
  </si>
  <si>
    <t>76.H3133.60</t>
  </si>
  <si>
    <t>76.H3133.92</t>
  </si>
  <si>
    <t>76.H3157.60</t>
  </si>
  <si>
    <t>76.H3157.92</t>
  </si>
  <si>
    <t>76.H3176.60.1.5</t>
  </si>
  <si>
    <t>76.H3176.65.1.5</t>
  </si>
  <si>
    <t>76.H3176.92.1.5</t>
  </si>
  <si>
    <t>76.H3303.60</t>
  </si>
  <si>
    <t>76.H3303.92</t>
  </si>
  <si>
    <t>76.H3309.92.1.5</t>
  </si>
  <si>
    <t>76.H3325.60.1.5</t>
  </si>
  <si>
    <t>76.H3325.92.1.5</t>
  </si>
  <si>
    <t>76.H3330.60</t>
  </si>
  <si>
    <t>76.H3330.92</t>
  </si>
  <si>
    <t>76.H3331.60</t>
  </si>
  <si>
    <t>76.H3331.92</t>
  </si>
  <si>
    <t>76.H3332.60</t>
  </si>
  <si>
    <t>76.H3332.92</t>
  </si>
  <si>
    <t>76.H3359.65.1.5</t>
  </si>
  <si>
    <t>76.H3359.92.1.5</t>
  </si>
  <si>
    <t>76.H3702.60</t>
  </si>
  <si>
    <t>76.H3702.92</t>
  </si>
  <si>
    <t>76.H3704.60</t>
  </si>
  <si>
    <t>76.H3704.92</t>
  </si>
  <si>
    <t>76.H3730.60</t>
  </si>
  <si>
    <t>76.H3730.92</t>
  </si>
  <si>
    <t>76.H3840.60</t>
  </si>
  <si>
    <t>76.H3860.60</t>
  </si>
  <si>
    <t>76.H3860.92</t>
  </si>
  <si>
    <t>76.K2405.60</t>
  </si>
  <si>
    <t>K2405</t>
  </si>
  <si>
    <t>76.K2405.90</t>
  </si>
  <si>
    <t>76.K4410.60</t>
  </si>
  <si>
    <t>K4410</t>
  </si>
  <si>
    <t>76.K4410.90</t>
  </si>
  <si>
    <t>76.K4890.60</t>
  </si>
  <si>
    <t>K4890</t>
  </si>
  <si>
    <t>76.K4890.90</t>
  </si>
  <si>
    <t>76.K4892.GL.60</t>
  </si>
  <si>
    <t>K4892 GL</t>
  </si>
  <si>
    <t>76.K4892.GL.90</t>
  </si>
  <si>
    <t>76.K4946.60</t>
  </si>
  <si>
    <t>K4946</t>
  </si>
  <si>
    <t>76.K4946.90</t>
  </si>
  <si>
    <t>76.K5412.60</t>
  </si>
  <si>
    <t>K5412</t>
  </si>
  <si>
    <t>76.K5412.90</t>
  </si>
  <si>
    <t>76.K5413.60</t>
  </si>
  <si>
    <t>K5413</t>
  </si>
  <si>
    <t>76.K5413.90</t>
  </si>
  <si>
    <t>76.K5574.60</t>
  </si>
  <si>
    <t>K5574</t>
  </si>
  <si>
    <t>76.K5574.90</t>
  </si>
  <si>
    <t>76.K5577.60</t>
  </si>
  <si>
    <t>K5577</t>
  </si>
  <si>
    <t>76.K5577.90</t>
  </si>
  <si>
    <t>76.K5578.60</t>
  </si>
  <si>
    <t>K5578</t>
  </si>
  <si>
    <t>76.K5578.90</t>
  </si>
  <si>
    <t>76.U116.92</t>
  </si>
  <si>
    <t>76.U156.92</t>
  </si>
  <si>
    <t>76.U702.60.ST89</t>
  </si>
  <si>
    <t>U702ST89</t>
  </si>
  <si>
    <t>76.U702.60.ST89.1.5</t>
  </si>
  <si>
    <t>76.U702.92.ST89</t>
  </si>
  <si>
    <t>76.U702.ST78.60</t>
  </si>
  <si>
    <t>U702ST78</t>
  </si>
  <si>
    <t>76.U702.ST78.92</t>
  </si>
  <si>
    <t>76.U7081.ST76.65</t>
  </si>
  <si>
    <t>76.U7081.ST76.92</t>
  </si>
  <si>
    <t>76.U763.60</t>
  </si>
  <si>
    <t>76.U763.92</t>
  </si>
  <si>
    <t>76.U960.60</t>
  </si>
  <si>
    <t>76.U960.92</t>
  </si>
  <si>
    <t>76.U999.60.ST89</t>
  </si>
  <si>
    <t>U999ST89</t>
  </si>
  <si>
    <t>76.U999.60.ST89.1.5</t>
  </si>
  <si>
    <t>76.U999.92.ST82</t>
  </si>
  <si>
    <t>U999ST82</t>
  </si>
  <si>
    <t>76.U999.92.ST89</t>
  </si>
  <si>
    <t>76.U999.92.ST89.1.5</t>
  </si>
  <si>
    <t>76.U999.PM.65</t>
  </si>
  <si>
    <t>U999STPM</t>
  </si>
  <si>
    <t>76.U999.PM.92</t>
  </si>
  <si>
    <t>76.U999.PT.60</t>
  </si>
  <si>
    <t>U999STPT</t>
  </si>
  <si>
    <t>76.U999.PT.92</t>
  </si>
  <si>
    <t>76.U999.ST76.65</t>
  </si>
  <si>
    <t>76.U999.ST76.92</t>
  </si>
  <si>
    <t>76.U999.ST78.60</t>
  </si>
  <si>
    <t>U999ST78</t>
  </si>
  <si>
    <t>76.U999.ST78.92</t>
  </si>
  <si>
    <t>76.W1000.60</t>
  </si>
  <si>
    <t>76.W1000.92</t>
  </si>
  <si>
    <t>76.W1000.ST76.60</t>
  </si>
  <si>
    <t>W1000ST76</t>
  </si>
  <si>
    <t>76.W1000.ST76.92</t>
  </si>
  <si>
    <t>76.W1100.PM.65</t>
  </si>
  <si>
    <t>76.W1100.PM.92</t>
  </si>
  <si>
    <t>76.W1100.PT.60</t>
  </si>
  <si>
    <t>W1100STPT</t>
  </si>
  <si>
    <t>76.W1100.PT.92</t>
  </si>
  <si>
    <t>76.W1101.ST76.65</t>
  </si>
  <si>
    <t>76.W1101.ST76.92</t>
  </si>
  <si>
    <t>76.W980.60.ST2</t>
  </si>
  <si>
    <t>76.W980.60.ST7</t>
  </si>
  <si>
    <t>W980ST7</t>
  </si>
  <si>
    <t>76.W980.92.ST2</t>
  </si>
  <si>
    <t>76.W980.92.ST82</t>
  </si>
  <si>
    <t>W980ST82</t>
  </si>
  <si>
    <t>77.123.03</t>
  </si>
  <si>
    <t>MDF</t>
  </si>
  <si>
    <t>77.124.04</t>
  </si>
  <si>
    <t>77.124.28</t>
  </si>
  <si>
    <t>77.124.36.10</t>
  </si>
  <si>
    <t>77.124.38</t>
  </si>
  <si>
    <t>77.124.41.16</t>
  </si>
  <si>
    <t>77.124.41.19</t>
  </si>
  <si>
    <t>77.124.765.18</t>
  </si>
  <si>
    <t>77.124.D.06</t>
  </si>
  <si>
    <t>77.124.D.08</t>
  </si>
  <si>
    <t>77.124.D.10</t>
  </si>
  <si>
    <t>77.124.D.12</t>
  </si>
  <si>
    <t>77.124.D.16</t>
  </si>
  <si>
    <t>77.124.D.18</t>
  </si>
  <si>
    <t>77.124.D.19</t>
  </si>
  <si>
    <t>77.124.D.22</t>
  </si>
  <si>
    <t>77.124.D.25</t>
  </si>
  <si>
    <t>77.124.D.447.10</t>
  </si>
  <si>
    <t>MDF10MM</t>
  </si>
  <si>
    <t>77.124.D.697.10</t>
  </si>
  <si>
    <t>77.380.06</t>
  </si>
  <si>
    <t>77.380.08</t>
  </si>
  <si>
    <t>77.380.10</t>
  </si>
  <si>
    <t>77.380.16</t>
  </si>
  <si>
    <t>77.380.18</t>
  </si>
  <si>
    <t>77.380.19</t>
  </si>
  <si>
    <t>77.380.22</t>
  </si>
  <si>
    <t>77.539.06</t>
  </si>
  <si>
    <t>77.539.16</t>
  </si>
  <si>
    <t>77.539.18</t>
  </si>
  <si>
    <t>77.539.19</t>
  </si>
  <si>
    <t>77.539.22</t>
  </si>
  <si>
    <t>77.539.24.12</t>
  </si>
  <si>
    <t>77.539.D.10</t>
  </si>
  <si>
    <t>77.539.D.16</t>
  </si>
  <si>
    <t>77.539.D.18</t>
  </si>
  <si>
    <t>77.539.D.19</t>
  </si>
  <si>
    <t>77.539.D.22</t>
  </si>
  <si>
    <t>77.659.18</t>
  </si>
  <si>
    <t>77.659.19</t>
  </si>
  <si>
    <t>77.659.22</t>
  </si>
  <si>
    <t>77.800.19</t>
  </si>
  <si>
    <t>77.810.19</t>
  </si>
  <si>
    <t>77.900.12</t>
  </si>
  <si>
    <t>77.900.16</t>
  </si>
  <si>
    <t>77.900.19</t>
  </si>
  <si>
    <t>77.901.12</t>
  </si>
  <si>
    <t>MDF 12MM MITR</t>
  </si>
  <si>
    <t>77.901.16</t>
  </si>
  <si>
    <t>MDF 16MM MITR</t>
  </si>
  <si>
    <t>77.901.18</t>
  </si>
  <si>
    <t>MDF 18MM MITR</t>
  </si>
  <si>
    <t>77.901.19</t>
  </si>
  <si>
    <t>MDF 19MM MITR</t>
  </si>
  <si>
    <t>77.910.08</t>
  </si>
  <si>
    <t>MDF FORM VERTIK</t>
  </si>
  <si>
    <t>77.911.08</t>
  </si>
  <si>
    <t>MDF FORM HORIZ</t>
  </si>
  <si>
    <t>77.912.06</t>
  </si>
  <si>
    <t>MDF EXTERIOR</t>
  </si>
  <si>
    <t>77.913.00.18</t>
  </si>
  <si>
    <t>77.913.08</t>
  </si>
  <si>
    <t>77.913.10.18</t>
  </si>
  <si>
    <t>77.913.24.09</t>
  </si>
  <si>
    <t>77.913.24.12</t>
  </si>
  <si>
    <t>77.913.24.16</t>
  </si>
  <si>
    <t>77.913.24.22</t>
  </si>
  <si>
    <t>77.913.24.25</t>
  </si>
  <si>
    <t>77.913.24.30</t>
  </si>
  <si>
    <t>77.913.80.16</t>
  </si>
  <si>
    <t>77.913.80.18</t>
  </si>
  <si>
    <t>77.913.80.25</t>
  </si>
  <si>
    <t>77.915.30.06</t>
  </si>
  <si>
    <t>77.915.30.12</t>
  </si>
  <si>
    <t>77.915.30.16</t>
  </si>
  <si>
    <t>77.915.30.18</t>
  </si>
  <si>
    <t>77.917.28.19</t>
  </si>
  <si>
    <t>MRFR</t>
  </si>
  <si>
    <t>77.919.11.08</t>
  </si>
  <si>
    <t>77.919.13.08</t>
  </si>
  <si>
    <t>77.930.40</t>
  </si>
  <si>
    <t>MDF LIGHT</t>
  </si>
  <si>
    <t>77.939.06</t>
  </si>
  <si>
    <t>MDF FIBRAPLAST</t>
  </si>
  <si>
    <t>77.950.12</t>
  </si>
  <si>
    <t>77.950.16</t>
  </si>
  <si>
    <t>77.950.18</t>
  </si>
  <si>
    <t>77.950.22</t>
  </si>
  <si>
    <t>77.950.25</t>
  </si>
  <si>
    <t>77.950.E1.12</t>
  </si>
  <si>
    <t>77.950.E1.16</t>
  </si>
  <si>
    <t>77.950.E1.18</t>
  </si>
  <si>
    <t>77.950.E1.22</t>
  </si>
  <si>
    <t>77.950.E1.25</t>
  </si>
  <si>
    <t>77.950.E1.28</t>
  </si>
  <si>
    <t>77.950.E1.38</t>
  </si>
  <si>
    <t>77.950.E1.742.16</t>
  </si>
  <si>
    <t>KSP</t>
  </si>
  <si>
    <t>77.950.E1.752.16</t>
  </si>
  <si>
    <t>77.950.E1.810.25</t>
  </si>
  <si>
    <t>77.952.18</t>
  </si>
  <si>
    <t>KSP 18</t>
  </si>
  <si>
    <t>77.955.40</t>
  </si>
  <si>
    <t>KSP SUPERPAN STAR</t>
  </si>
  <si>
    <t>77.983.P2.22</t>
  </si>
  <si>
    <t>KSP 22MM</t>
  </si>
  <si>
    <t>77.983.P2.MR.18</t>
  </si>
  <si>
    <t>KSP 18MM</t>
  </si>
  <si>
    <t>77.983.P2.MR.28</t>
  </si>
  <si>
    <t>KSP 28MM</t>
  </si>
  <si>
    <t>77.983.P2.MR.38</t>
  </si>
  <si>
    <t>KSP 38MM</t>
  </si>
  <si>
    <t>77.990.50.19</t>
  </si>
  <si>
    <t>77D.913.183.12</t>
  </si>
  <si>
    <t>77D.913.183.19</t>
  </si>
  <si>
    <t>77.F.125.19</t>
  </si>
  <si>
    <t>MDF19</t>
  </si>
  <si>
    <t>78.F028.08</t>
  </si>
  <si>
    <t>78.F041.08</t>
  </si>
  <si>
    <t>78.F094.08</t>
  </si>
  <si>
    <t>78.F104.08</t>
  </si>
  <si>
    <t>78.F112.08</t>
  </si>
  <si>
    <t>78.F117.08</t>
  </si>
  <si>
    <t>78.F204.08</t>
  </si>
  <si>
    <t>78.F222.ST76.08</t>
  </si>
  <si>
    <t>78.F242.08</t>
  </si>
  <si>
    <t>78.F292.08</t>
  </si>
  <si>
    <t>78.F333.08</t>
  </si>
  <si>
    <t>78.F371.08</t>
  </si>
  <si>
    <t>78.F385.08</t>
  </si>
  <si>
    <t>78.F484.08</t>
  </si>
  <si>
    <t>78.F502.08</t>
  </si>
  <si>
    <t>78.F508.08</t>
  </si>
  <si>
    <t>78.F637.08</t>
  </si>
  <si>
    <t>78.F812.08</t>
  </si>
  <si>
    <t>78.FX0717.09</t>
  </si>
  <si>
    <t>0717</t>
  </si>
  <si>
    <t>78.FX0725.09</t>
  </si>
  <si>
    <t>0725</t>
  </si>
  <si>
    <t>78.H050.08</t>
  </si>
  <si>
    <t>78.H1486.08</t>
  </si>
  <si>
    <t>78.H1733.08</t>
  </si>
  <si>
    <t>78.H194.08</t>
  </si>
  <si>
    <t>78.H195.08</t>
  </si>
  <si>
    <t>78.H198.08</t>
  </si>
  <si>
    <t>78.H2031.08</t>
  </si>
  <si>
    <t>78.H3330.08</t>
  </si>
  <si>
    <t>78.H3332.08</t>
  </si>
  <si>
    <t>78.H3702.08</t>
  </si>
  <si>
    <t>78.U961.08</t>
  </si>
  <si>
    <t>78.U999.ST2.08</t>
  </si>
  <si>
    <t>78.U999.ST89.08</t>
  </si>
  <si>
    <t>78.W980.ST7.08</t>
  </si>
  <si>
    <t>79.0026.8</t>
  </si>
  <si>
    <t>79.0027.8</t>
  </si>
  <si>
    <t>79.0075.8</t>
  </si>
  <si>
    <t>79.0077.8</t>
  </si>
  <si>
    <t>79.0080.8</t>
  </si>
  <si>
    <t>79.0085.8</t>
  </si>
  <si>
    <t>79.0164.MM.31.04</t>
  </si>
  <si>
    <t>79.0164.MM.9</t>
  </si>
  <si>
    <t>79.0180.AR.31.04</t>
  </si>
  <si>
    <t>79.0180.AR.9</t>
  </si>
  <si>
    <t>0180</t>
  </si>
  <si>
    <t>79.0218.CY.31.04</t>
  </si>
  <si>
    <t>79.0218.GL.31.04</t>
  </si>
  <si>
    <t>79.0218.GL.9</t>
  </si>
  <si>
    <t>0218</t>
  </si>
  <si>
    <t>79.0273.BW.31.04</t>
  </si>
  <si>
    <t>79.0344.8</t>
  </si>
  <si>
    <t>79.0386.8</t>
  </si>
  <si>
    <t>79.0394.8</t>
  </si>
  <si>
    <t>79.0426.8</t>
  </si>
  <si>
    <t>79.0427.8</t>
  </si>
  <si>
    <t>79.0428.8</t>
  </si>
  <si>
    <t>79.0496.8</t>
  </si>
  <si>
    <t>79.0497.8</t>
  </si>
  <si>
    <t>79.0581.6</t>
  </si>
  <si>
    <t>79.0585.6</t>
  </si>
  <si>
    <t>79.0670.6</t>
  </si>
  <si>
    <t>79.0693.8</t>
  </si>
  <si>
    <t>79.0755.8</t>
  </si>
  <si>
    <t>79.0834.6</t>
  </si>
  <si>
    <t>79.0835.6</t>
  </si>
  <si>
    <t>79.0836.6</t>
  </si>
  <si>
    <t>79.0982.MN.31.04</t>
  </si>
  <si>
    <t>79.0983.CY.31.04</t>
  </si>
  <si>
    <t>0983</t>
  </si>
  <si>
    <t>79.0983.GL.31.04</t>
  </si>
  <si>
    <t>79.0983.GL.9</t>
  </si>
  <si>
    <t>79.1106.K5413.15</t>
  </si>
  <si>
    <t>1106 GL/K5413</t>
  </si>
  <si>
    <t>79.1106.PE.15</t>
  </si>
  <si>
    <t>79.2409.MM.30.04</t>
  </si>
  <si>
    <t>79.2409.MM.31.04</t>
  </si>
  <si>
    <t>79.2409.MMG.9</t>
  </si>
  <si>
    <t>79.2423.MM.31.04</t>
  </si>
  <si>
    <t>79.2423.MMG.9</t>
  </si>
  <si>
    <t>79.2633.MM.30.04</t>
  </si>
  <si>
    <t>79.2633.MMG.30.04</t>
  </si>
  <si>
    <t>79.32339.32360.15</t>
  </si>
  <si>
    <t>32339/32336</t>
  </si>
  <si>
    <t>79.3505.AR.31.04</t>
  </si>
  <si>
    <t>79.3505.AR.9</t>
  </si>
  <si>
    <t>79.35252.34318.15</t>
  </si>
  <si>
    <t>35252/34318</t>
  </si>
  <si>
    <t>79.37905.15</t>
  </si>
  <si>
    <t>79.37978.15</t>
  </si>
  <si>
    <t>79.37979.45273.15</t>
  </si>
  <si>
    <t>37979/45273</t>
  </si>
  <si>
    <t>79.38356.15</t>
  </si>
  <si>
    <t>79.4064.CY.31.04</t>
  </si>
  <si>
    <t>79.4064.GL.31.04</t>
  </si>
  <si>
    <t>79.4064.GL.9</t>
  </si>
  <si>
    <t>79.42207.42238.15</t>
  </si>
  <si>
    <t>42207/42238</t>
  </si>
  <si>
    <t>79.42364.K2405.15</t>
  </si>
  <si>
    <t>42364/K2405</t>
  </si>
  <si>
    <t>79.44375.44374.15</t>
  </si>
  <si>
    <t>44375/44374</t>
  </si>
  <si>
    <t>79.47980.47981.15</t>
  </si>
  <si>
    <t>47980/47981</t>
  </si>
  <si>
    <t>79.5530.AK.31.04</t>
  </si>
  <si>
    <t>79.5530.AK.9</t>
  </si>
  <si>
    <t>79.5540.AK.31.04</t>
  </si>
  <si>
    <t>79.5540.AK.9</t>
  </si>
  <si>
    <t>79.5560.AR.31.04</t>
  </si>
  <si>
    <t>79.5560.AR.9</t>
  </si>
  <si>
    <t>79.6014.MMG.30.04</t>
  </si>
  <si>
    <t>79.6014.MMG.31.04</t>
  </si>
  <si>
    <t>79.6014.MMG.9</t>
  </si>
  <si>
    <t>79.6014.MN.31.04</t>
  </si>
  <si>
    <t>79.6014.MN.6140.MN.9</t>
  </si>
  <si>
    <t>6014 6140</t>
  </si>
  <si>
    <t>79.6014.MN.9</t>
  </si>
  <si>
    <t>79.6019.MMG.31.04</t>
  </si>
  <si>
    <t>79.6019.MMG.9</t>
  </si>
  <si>
    <t>79.6026.NK.31.04</t>
  </si>
  <si>
    <t>79.6026.SN.62.04</t>
  </si>
  <si>
    <t>79.6026.SN.9</t>
  </si>
  <si>
    <t>79.6027.CY.31.04</t>
  </si>
  <si>
    <t>79.6027.GL.31.04</t>
  </si>
  <si>
    <t>79.6111.GH.6116.MN.9</t>
  </si>
  <si>
    <t>6111 6116</t>
  </si>
  <si>
    <t>79.6111.MMG.31.04</t>
  </si>
  <si>
    <t>79.6111.MMG.9</t>
  </si>
  <si>
    <t>79.6116.MN.31.04</t>
  </si>
  <si>
    <t>79.6116.MN.9</t>
  </si>
  <si>
    <t>79.6120.GH.31.04</t>
  </si>
  <si>
    <t>79.6120.GH.9</t>
  </si>
  <si>
    <t>79.6131.NK.31.04</t>
  </si>
  <si>
    <t>79.6131.NK.9</t>
  </si>
  <si>
    <t>79.6133.MM.31.04</t>
  </si>
  <si>
    <t>79.6133.MMG.31.04</t>
  </si>
  <si>
    <t>79.6133.MMG.9</t>
  </si>
  <si>
    <t>79.6140.GH.9</t>
  </si>
  <si>
    <t>79.6140.MMG.31.04</t>
  </si>
  <si>
    <t>79.6140.MN.31.04</t>
  </si>
  <si>
    <t>79.6140.MN.9</t>
  </si>
  <si>
    <t>79.6145.LA.31.04</t>
  </si>
  <si>
    <t>79.6151.GH.31.04</t>
  </si>
  <si>
    <t>79.6151.GH.9</t>
  </si>
  <si>
    <t>79.6152.GH.31.04</t>
  </si>
  <si>
    <t>79.6152.GH.9</t>
  </si>
  <si>
    <t>79.6230.NK.31.04</t>
  </si>
  <si>
    <t>79.6230.SN.9</t>
  </si>
  <si>
    <t>79.6231.MN.31.04</t>
  </si>
  <si>
    <t>79.6231.MN.9</t>
  </si>
  <si>
    <t>79.6240.MN.31.04</t>
  </si>
  <si>
    <t>79.6240.MN.9</t>
  </si>
  <si>
    <t>79.6241.MN.31.04</t>
  </si>
  <si>
    <t>79.6241.MN.9</t>
  </si>
  <si>
    <t>79.6242.MN.31.04</t>
  </si>
  <si>
    <t>79.6242.MN.9</t>
  </si>
  <si>
    <t>79.6281.MN.31.04</t>
  </si>
  <si>
    <t>79.6281.MN.9</t>
  </si>
  <si>
    <t>79.6300.NK.31.04</t>
  </si>
  <si>
    <t>79.6300.NK.9</t>
  </si>
  <si>
    <t>79.F007.F008.8</t>
  </si>
  <si>
    <t>F007/F008</t>
  </si>
  <si>
    <t>79.F009.F010.8</t>
  </si>
  <si>
    <t>F009/F010</t>
  </si>
  <si>
    <t>79.F011.F012.8</t>
  </si>
  <si>
    <t>F011/F012</t>
  </si>
  <si>
    <t>79.F014.F021.8</t>
  </si>
  <si>
    <t>F014/F021</t>
  </si>
  <si>
    <t>79.F021.F030.8</t>
  </si>
  <si>
    <t>F021 F030</t>
  </si>
  <si>
    <t>79.F028.H3133.8</t>
  </si>
  <si>
    <t>F028/H3133</t>
  </si>
  <si>
    <t>79.F029.F649.8</t>
  </si>
  <si>
    <t>79.F031.F187.8</t>
  </si>
  <si>
    <t>F031/F187</t>
  </si>
  <si>
    <t>79.F032.F186.8</t>
  </si>
  <si>
    <t>F032/F186.8</t>
  </si>
  <si>
    <t>79.F041.F095.8</t>
  </si>
  <si>
    <t>F041/F095</t>
  </si>
  <si>
    <t>79.F041.F638.8</t>
  </si>
  <si>
    <t>79.F052.F121.8</t>
  </si>
  <si>
    <t>F052 F121</t>
  </si>
  <si>
    <t>79.F059.H3303.8</t>
  </si>
  <si>
    <t>79.F061.U763.8</t>
  </si>
  <si>
    <t>79.F074.H2415.8</t>
  </si>
  <si>
    <t>79.F076.U960.8</t>
  </si>
  <si>
    <t>79.F080.W980.8</t>
  </si>
  <si>
    <t>79.F081.F141.8</t>
  </si>
  <si>
    <t>79.F093.F095.8</t>
  </si>
  <si>
    <t>F093 F095</t>
  </si>
  <si>
    <t>79.F093.H2031.8</t>
  </si>
  <si>
    <t>F093/H2031</t>
  </si>
  <si>
    <t>79.F093.W1000.76.8</t>
  </si>
  <si>
    <t>79.F094.H1145.8</t>
  </si>
  <si>
    <t>F094/H1145</t>
  </si>
  <si>
    <t>79.F104.H3730.8</t>
  </si>
  <si>
    <t>F104/H3730</t>
  </si>
  <si>
    <t>79.F108.F208.8</t>
  </si>
  <si>
    <t>F108 F208</t>
  </si>
  <si>
    <t>79.F110.F502.8</t>
  </si>
  <si>
    <t>79.F112.F385.8</t>
  </si>
  <si>
    <t>F112/F385</t>
  </si>
  <si>
    <t>79.F117.F121.8</t>
  </si>
  <si>
    <t>79.F133.H1151.8</t>
  </si>
  <si>
    <t>79.F142.F312.8</t>
  </si>
  <si>
    <t>79.F147.H3387.8</t>
  </si>
  <si>
    <t>79.F148.H110.8</t>
  </si>
  <si>
    <t>F148</t>
  </si>
  <si>
    <t>79.F160.H111.8</t>
  </si>
  <si>
    <t>79.F166.F371.8</t>
  </si>
  <si>
    <t>79.F166.H3012.8</t>
  </si>
  <si>
    <t>79.F186.F187.8</t>
  </si>
  <si>
    <t>F186/F187</t>
  </si>
  <si>
    <t>79.F202.F238</t>
  </si>
  <si>
    <t>F202</t>
  </si>
  <si>
    <t>79.F204.F205.8</t>
  </si>
  <si>
    <t>F204/F205</t>
  </si>
  <si>
    <t>79.F205.F206.8</t>
  </si>
  <si>
    <t>F205 F206</t>
  </si>
  <si>
    <t>79.F206.F221.8</t>
  </si>
  <si>
    <t>F206/F221</t>
  </si>
  <si>
    <t>79.F206.PM.8</t>
  </si>
  <si>
    <t>79.F206.PT.8</t>
  </si>
  <si>
    <t>79.F212.F213</t>
  </si>
  <si>
    <t>79.F221.F222</t>
  </si>
  <si>
    <t>79.F221.F227.8</t>
  </si>
  <si>
    <t>F221/F227</t>
  </si>
  <si>
    <t>79.F221.H3332.8</t>
  </si>
  <si>
    <t>79.F222.F641.8</t>
  </si>
  <si>
    <t>79.F226.F229.8</t>
  </si>
  <si>
    <t>F226 F229</t>
  </si>
  <si>
    <t>79.F228.F230.8</t>
  </si>
  <si>
    <t>F228 F230</t>
  </si>
  <si>
    <t>79.F234.F251.8</t>
  </si>
  <si>
    <t>F234 F251</t>
  </si>
  <si>
    <t>79.F235.F237.8</t>
  </si>
  <si>
    <t>F235/F237</t>
  </si>
  <si>
    <t>79.F242.F222.76.8</t>
  </si>
  <si>
    <t>F242/F222</t>
  </si>
  <si>
    <t>79.F243.F244.8</t>
  </si>
  <si>
    <t>F243/F244</t>
  </si>
  <si>
    <t>79.F256.H1199.8</t>
  </si>
  <si>
    <t>79.F274.F275.8</t>
  </si>
  <si>
    <t>F274/F275</t>
  </si>
  <si>
    <t>79.F274.H1401.8</t>
  </si>
  <si>
    <t>79.F274.H3734.8</t>
  </si>
  <si>
    <t>79.F275.F207.8</t>
  </si>
  <si>
    <t>79.F275.F310.8</t>
  </si>
  <si>
    <t>79.F276.H1150.8</t>
  </si>
  <si>
    <t>79.F292.F213.8</t>
  </si>
  <si>
    <t>79.F292.H1401.8</t>
  </si>
  <si>
    <t>F292/H1401</t>
  </si>
  <si>
    <t>79.F292.H3702.8</t>
  </si>
  <si>
    <t>79.F302.F311.8</t>
  </si>
  <si>
    <t>F302 F311</t>
  </si>
  <si>
    <t>79.F302.F547.8</t>
  </si>
  <si>
    <t>79.F333.F371.8</t>
  </si>
  <si>
    <t>F333/F371</t>
  </si>
  <si>
    <t>79.F352.F502.ST7.8</t>
  </si>
  <si>
    <t>F352 F502ST7</t>
  </si>
  <si>
    <t>79.F371.F133</t>
  </si>
  <si>
    <t>79.F371.F133.8</t>
  </si>
  <si>
    <t>79.F385.F310.8</t>
  </si>
  <si>
    <t>79.F385.W980.8</t>
  </si>
  <si>
    <t>79.F390.F148.8</t>
  </si>
  <si>
    <t>F390</t>
  </si>
  <si>
    <t>79.F403.F042.8</t>
  </si>
  <si>
    <t>F403</t>
  </si>
  <si>
    <t>79.F405.F238.8</t>
  </si>
  <si>
    <t>F405</t>
  </si>
  <si>
    <t>79.F484.F502.8</t>
  </si>
  <si>
    <t>79.F502.F311.8</t>
  </si>
  <si>
    <t>79.F502.H3058.8</t>
  </si>
  <si>
    <t>79.F508.F637.8</t>
  </si>
  <si>
    <t>F508/F637</t>
  </si>
  <si>
    <t>79.F627.PT.8</t>
  </si>
  <si>
    <t>79.F633.F371.8</t>
  </si>
  <si>
    <t>79.F638.F676.8</t>
  </si>
  <si>
    <t>F638 F676</t>
  </si>
  <si>
    <t>79.F812.H050.8</t>
  </si>
  <si>
    <t>F812/H050</t>
  </si>
  <si>
    <t>79.F812.PT.8</t>
  </si>
  <si>
    <t>79.H011.F675.76.8</t>
  </si>
  <si>
    <t>H011 F675</t>
  </si>
  <si>
    <t>79.H110.H192.8</t>
  </si>
  <si>
    <t>H110/H192</t>
  </si>
  <si>
    <t>79.H1111.H1145.8</t>
  </si>
  <si>
    <t>79.H1145.H1303.8</t>
  </si>
  <si>
    <t>H1145/H1303</t>
  </si>
  <si>
    <t>79.H1176.8</t>
  </si>
  <si>
    <t>79.H1180.8</t>
  </si>
  <si>
    <t>79.H1181.8</t>
  </si>
  <si>
    <t>79.H1313.F800.8</t>
  </si>
  <si>
    <t>H1313 F800</t>
  </si>
  <si>
    <t>79.H1318.H1330.8</t>
  </si>
  <si>
    <t>H1318/H1330</t>
  </si>
  <si>
    <t>79.H1318.H1486.8</t>
  </si>
  <si>
    <t>H1318/H1486</t>
  </si>
  <si>
    <t>79.H1344.8</t>
  </si>
  <si>
    <t>79.H1357.H197.8</t>
  </si>
  <si>
    <t>H1357 H197</t>
  </si>
  <si>
    <t>79.H1385.W908.8</t>
  </si>
  <si>
    <t>79.H1386.W908.8</t>
  </si>
  <si>
    <t>79.H1401.H193.8</t>
  </si>
  <si>
    <t>H1401 H193</t>
  </si>
  <si>
    <t>79.H1555.F396.8</t>
  </si>
  <si>
    <t>79.H193.H194.8</t>
  </si>
  <si>
    <t>H193/H194</t>
  </si>
  <si>
    <t>79.H195.H197.8</t>
  </si>
  <si>
    <t>H195/H197</t>
  </si>
  <si>
    <t>79.H198.H1313.8</t>
  </si>
  <si>
    <t>H198/H1313</t>
  </si>
  <si>
    <t>79.H2032.H2033.8</t>
  </si>
  <si>
    <t>H2032/H2033</t>
  </si>
  <si>
    <t>79.H2032.H3133.8</t>
  </si>
  <si>
    <t>H2032 H3133</t>
  </si>
  <si>
    <t>79.H2033.H3157.8</t>
  </si>
  <si>
    <t>H2033/H3157</t>
  </si>
  <si>
    <t>79.H2409.H305.8</t>
  </si>
  <si>
    <t>H2409 H305</t>
  </si>
  <si>
    <t>79.H3058.H3778.8</t>
  </si>
  <si>
    <t>79.H3114.F210.8</t>
  </si>
  <si>
    <t>79.H3176.8</t>
  </si>
  <si>
    <t>79.H3303.F620.8</t>
  </si>
  <si>
    <t>H3303 F620</t>
  </si>
  <si>
    <t>79.H3303.H3330.8</t>
  </si>
  <si>
    <t>H3303/H3330</t>
  </si>
  <si>
    <t>79.H3303.H3332.8</t>
  </si>
  <si>
    <t>79.H3309.8</t>
  </si>
  <si>
    <t>79.H3325.8</t>
  </si>
  <si>
    <t>79.H3331.H3730.8</t>
  </si>
  <si>
    <t>H3331/H3730</t>
  </si>
  <si>
    <t>79.H3331.U708.8</t>
  </si>
  <si>
    <t>79.H3359.8</t>
  </si>
  <si>
    <t>79.H3704.H3389.8</t>
  </si>
  <si>
    <t>79.K4410.45274.15</t>
  </si>
  <si>
    <t>K4410/45274</t>
  </si>
  <si>
    <t>79.K4410.K5414.15</t>
  </si>
  <si>
    <t>K4410/K5414</t>
  </si>
  <si>
    <t>79.K4890.15</t>
  </si>
  <si>
    <t>79.K4892.GL.15</t>
  </si>
  <si>
    <t>79.K4946.34321.15</t>
  </si>
  <si>
    <t>K4946/34321</t>
  </si>
  <si>
    <t>79.K5412.15</t>
  </si>
  <si>
    <t>79.K5574.15</t>
  </si>
  <si>
    <t>79.K5577.15</t>
  </si>
  <si>
    <t>79.K5578.15</t>
  </si>
  <si>
    <t>79.U116.U156.8</t>
  </si>
  <si>
    <t>79.U702.U999.78.8</t>
  </si>
  <si>
    <t>U702ST78 U999ST78</t>
  </si>
  <si>
    <t>79.U702.W1000.76.8</t>
  </si>
  <si>
    <t>79.U702.W980.8</t>
  </si>
  <si>
    <t>79.U7081.W1101.76.8</t>
  </si>
  <si>
    <t>W1100/U708</t>
  </si>
  <si>
    <t>79.U763.U999.76.8</t>
  </si>
  <si>
    <t>U763ST76 U999ST76</t>
  </si>
  <si>
    <t>79.U763.U999.89.8</t>
  </si>
  <si>
    <t>79.U999.76.8</t>
  </si>
  <si>
    <t>79.U999.82.F161.8</t>
  </si>
  <si>
    <t>79.U999.PM.8</t>
  </si>
  <si>
    <t>79.U999.PT.8</t>
  </si>
  <si>
    <t>79.U999.W1000.ST89.8</t>
  </si>
  <si>
    <t>79.W1000.F486.8</t>
  </si>
  <si>
    <t>W1000 F486</t>
  </si>
  <si>
    <t>79.W1100.PM.8</t>
  </si>
  <si>
    <t>79.W1100.PT.8</t>
  </si>
  <si>
    <t>79.W980.82.F212.8</t>
  </si>
  <si>
    <t>79.W980.F211.8</t>
  </si>
  <si>
    <t>79.W980.H1582.8</t>
  </si>
  <si>
    <t>79.W980.ST7.H194.8</t>
  </si>
  <si>
    <t>W980 H194</t>
  </si>
  <si>
    <t>80.2.BB.WG.04</t>
  </si>
  <si>
    <t>80.2.BB.WG.18</t>
  </si>
  <si>
    <t>80.BB.BB.15</t>
  </si>
  <si>
    <t>80.BB.BB.18</t>
  </si>
  <si>
    <t>80.BB.BB.21</t>
  </si>
  <si>
    <t>80.BB.WG.04</t>
  </si>
  <si>
    <t>80.BB.WG.065</t>
  </si>
  <si>
    <t>80.BB.WG.09</t>
  </si>
  <si>
    <t>80.BB.WG.12</t>
  </si>
  <si>
    <t>80.BB.WG.15</t>
  </si>
  <si>
    <t>80.BB.WG.18</t>
  </si>
  <si>
    <t>80.BB.WG.21</t>
  </si>
  <si>
    <t>80.BB.WG.24</t>
  </si>
  <si>
    <t>80.BB.WG.30</t>
  </si>
  <si>
    <t>80.BB.WG.35</t>
  </si>
  <si>
    <t>80.BB.WG.607.09</t>
  </si>
  <si>
    <t>80.F1.F1.B.18</t>
  </si>
  <si>
    <t>80.F1.F1.M.065</t>
  </si>
  <si>
    <t>80.WG.WG.15</t>
  </si>
  <si>
    <t>80.WG.WG.18</t>
  </si>
  <si>
    <t>87.73.190.16</t>
  </si>
  <si>
    <t>OZOLS</t>
  </si>
  <si>
    <t>87.73.640.19</t>
  </si>
  <si>
    <t>87.73.809.16</t>
  </si>
  <si>
    <t>87.73.812.39</t>
  </si>
  <si>
    <t>87.73.813.09</t>
  </si>
  <si>
    <t>87.73.813.16</t>
  </si>
  <si>
    <t>87.73.832.09</t>
  </si>
  <si>
    <t>87.73.833.16</t>
  </si>
  <si>
    <t>87.73.834.19</t>
  </si>
  <si>
    <t>87.73.855.16</t>
  </si>
  <si>
    <t>87.73.855.19</t>
  </si>
  <si>
    <t>87.73.872.16</t>
  </si>
  <si>
    <t>87.73.872.19</t>
  </si>
  <si>
    <t>87.73.872.26</t>
  </si>
  <si>
    <t>87.73.877.39</t>
  </si>
  <si>
    <t>87.73.888.16</t>
  </si>
  <si>
    <t>87.73.895.26</t>
  </si>
  <si>
    <t>87.73.900.16</t>
  </si>
  <si>
    <t>87.73.921.09</t>
  </si>
  <si>
    <t>OSIS</t>
  </si>
  <si>
    <t>87.73.921.16</t>
  </si>
  <si>
    <t>87.73.930.16</t>
  </si>
  <si>
    <t>87.73.930.19</t>
  </si>
  <si>
    <t>87.73.997.19</t>
  </si>
  <si>
    <t>87.77.190.13</t>
  </si>
  <si>
    <t>87.77.190.16</t>
  </si>
  <si>
    <t>87.77.190.19</t>
  </si>
  <si>
    <t>87.77.190.26</t>
  </si>
  <si>
    <t>87.77.200.06</t>
  </si>
  <si>
    <t>87.77.200.13</t>
  </si>
  <si>
    <t>87.77.200.16</t>
  </si>
  <si>
    <t>87.77.200.19</t>
  </si>
  <si>
    <t>87.77.200.23</t>
  </si>
  <si>
    <t>87.77.200.29</t>
  </si>
  <si>
    <t>87.77.201.16</t>
  </si>
  <si>
    <t>87.77.211.06</t>
  </si>
  <si>
    <t>87.77.212.04</t>
  </si>
  <si>
    <t>87.77.214.23</t>
  </si>
  <si>
    <t>87.77.216.16</t>
  </si>
  <si>
    <t>87.77.217.19</t>
  </si>
  <si>
    <t>87.77.255.19</t>
  </si>
  <si>
    <t>87.77.280.19</t>
  </si>
  <si>
    <t>OZOLS UZ MELNA MDF</t>
  </si>
  <si>
    <t>87.77.282.04</t>
  </si>
  <si>
    <t>87.77.295.26</t>
  </si>
  <si>
    <t>87.77.305.16</t>
  </si>
  <si>
    <t>87.77.311.16</t>
  </si>
  <si>
    <t>87.77.311.19</t>
  </si>
  <si>
    <t>OZOLS A/BALANSS</t>
  </si>
  <si>
    <t>87.77.312.19</t>
  </si>
  <si>
    <t>87.77.632.19</t>
  </si>
  <si>
    <t>87.77.640.19</t>
  </si>
  <si>
    <t>RIEKSTS</t>
  </si>
  <si>
    <t>87.77.657.19</t>
  </si>
  <si>
    <t>87.77.660.09</t>
  </si>
  <si>
    <t>87.77.660.16</t>
  </si>
  <si>
    <t>87.77.660.19</t>
  </si>
  <si>
    <t>87.77.660.23</t>
  </si>
  <si>
    <t>87.77.660.26</t>
  </si>
  <si>
    <t>87.77.661.19</t>
  </si>
  <si>
    <t>87.77.897.16</t>
  </si>
  <si>
    <t>87.77.897.19</t>
  </si>
  <si>
    <t>87.77.950.04</t>
  </si>
  <si>
    <t>87.77.950.19</t>
  </si>
  <si>
    <t>87.77.958.19</t>
  </si>
  <si>
    <t>87.77.Q7.25.19</t>
  </si>
  <si>
    <t>87.77.Q9.25.19</t>
  </si>
  <si>
    <t>87.79.532.19</t>
  </si>
  <si>
    <t>87.S1.01.19</t>
  </si>
  <si>
    <t>01</t>
  </si>
  <si>
    <t>87.S1.01.19.V</t>
  </si>
  <si>
    <t>S01</t>
  </si>
  <si>
    <t>87.S1.02.19</t>
  </si>
  <si>
    <t>02</t>
  </si>
  <si>
    <t>87.S1.03.19</t>
  </si>
  <si>
    <t>03</t>
  </si>
  <si>
    <t>87.S1.04.19</t>
  </si>
  <si>
    <t>04</t>
  </si>
  <si>
    <t>87.S1.04.19.V</t>
  </si>
  <si>
    <t>S04</t>
  </si>
  <si>
    <t>87.S1.05.19</t>
  </si>
  <si>
    <t>05</t>
  </si>
  <si>
    <t>87.S1.05.19.V</t>
  </si>
  <si>
    <t>S05</t>
  </si>
  <si>
    <t>87.S1.06.19</t>
  </si>
  <si>
    <t>06</t>
  </si>
  <si>
    <t>87.S1.07.19</t>
  </si>
  <si>
    <t>07</t>
  </si>
  <si>
    <t>87.S1.08.19</t>
  </si>
  <si>
    <t>08</t>
  </si>
  <si>
    <t>87.S1.09.19</t>
  </si>
  <si>
    <t>09</t>
  </si>
  <si>
    <t>87.S1.10.19</t>
  </si>
  <si>
    <t>87.S1.11.19</t>
  </si>
  <si>
    <t>87.S1.12.19</t>
  </si>
  <si>
    <t>87.S1.13.19</t>
  </si>
  <si>
    <t>87.S1.14.19</t>
  </si>
  <si>
    <t>87.S1.15.19</t>
  </si>
  <si>
    <t>87.S1.15.19.V</t>
  </si>
  <si>
    <t>S15</t>
  </si>
  <si>
    <t>87.S1.16.19</t>
  </si>
  <si>
    <t>87.S1.17.19</t>
  </si>
  <si>
    <t>87.S1.18.19</t>
  </si>
  <si>
    <t>87.S1.19.19.V</t>
  </si>
  <si>
    <t>S19</t>
  </si>
  <si>
    <t>87.S1.20.19.V</t>
  </si>
  <si>
    <t>S20</t>
  </si>
  <si>
    <t>87.S1.23.19.V</t>
  </si>
  <si>
    <t>S23</t>
  </si>
  <si>
    <t>87.S1.24.19.V</t>
  </si>
  <si>
    <t>S24</t>
  </si>
  <si>
    <t>87.S2.01.19</t>
  </si>
  <si>
    <t>87.S2.18.19</t>
  </si>
  <si>
    <t>S18</t>
  </si>
  <si>
    <t>87.S2.21.19.V</t>
  </si>
  <si>
    <t>92.010S.19</t>
  </si>
  <si>
    <t>010S</t>
  </si>
  <si>
    <t>92.1684L.19</t>
  </si>
  <si>
    <t>92.1686L.19</t>
  </si>
  <si>
    <t>92.1687L.19</t>
  </si>
  <si>
    <t>92.1696L.19</t>
  </si>
  <si>
    <t>92.1697L.19</t>
  </si>
  <si>
    <t>92.1698L.19</t>
  </si>
  <si>
    <t>92.1700L.19</t>
  </si>
  <si>
    <t>92.1702L.19</t>
  </si>
  <si>
    <t>92.1703L.19</t>
  </si>
  <si>
    <t>92.1721.B.19</t>
  </si>
  <si>
    <t>92.1721L.19</t>
  </si>
  <si>
    <t>92.1721.P.19</t>
  </si>
  <si>
    <t>92.1744.19</t>
  </si>
  <si>
    <t>92.1745.19</t>
  </si>
  <si>
    <t>92.1746L.19</t>
  </si>
  <si>
    <t>92.1910L.19</t>
  </si>
  <si>
    <t>92.1911L.19</t>
  </si>
  <si>
    <t>92.1923L.19</t>
  </si>
  <si>
    <t>92.1967L.19</t>
  </si>
  <si>
    <t>92.1970L.19</t>
  </si>
  <si>
    <t>92.1973L.19</t>
  </si>
  <si>
    <t>92.2015L.19</t>
  </si>
  <si>
    <t>92.2016L.19</t>
  </si>
  <si>
    <t>92.2106.19</t>
  </si>
  <si>
    <t>92.2107.19</t>
  </si>
  <si>
    <t>92.2108.19</t>
  </si>
  <si>
    <t>92.2109.19</t>
  </si>
  <si>
    <t>92.2405.19</t>
  </si>
  <si>
    <t>92.2406.19</t>
  </si>
  <si>
    <t>92.2407.19</t>
  </si>
  <si>
    <t>92.2408.19</t>
  </si>
  <si>
    <t>92.2409.19</t>
  </si>
  <si>
    <t>92.2410.19</t>
  </si>
  <si>
    <t>92.2473.19</t>
  </si>
  <si>
    <t>92.2474.19</t>
  </si>
  <si>
    <t>92.2578.19</t>
  </si>
  <si>
    <t>92.2584.19</t>
  </si>
  <si>
    <t>92.2585.19</t>
  </si>
  <si>
    <t>92.2586.19</t>
  </si>
  <si>
    <t>92.2587.19</t>
  </si>
  <si>
    <t>92.2588.19</t>
  </si>
  <si>
    <t>92.2724.19</t>
  </si>
  <si>
    <t>92.2725.19</t>
  </si>
  <si>
    <t>92.2726.19</t>
  </si>
  <si>
    <t>92.2727.19</t>
  </si>
  <si>
    <t>92.2728.19</t>
  </si>
  <si>
    <t>92.2729.19</t>
  </si>
  <si>
    <t>92.3146L.19</t>
  </si>
  <si>
    <t>92.3147L.19</t>
  </si>
  <si>
    <t>92.3199L.19</t>
  </si>
  <si>
    <t>92.3200L.19</t>
  </si>
  <si>
    <t>92.3201L.19</t>
  </si>
  <si>
    <t>92.3202L.19</t>
  </si>
  <si>
    <t>92.3203L.19</t>
  </si>
  <si>
    <t>92.3204L.19</t>
  </si>
  <si>
    <t>92.3205L.19</t>
  </si>
  <si>
    <t>92.3206L.19</t>
  </si>
  <si>
    <t>92.3207L.19</t>
  </si>
  <si>
    <t>92.3208L.19</t>
  </si>
  <si>
    <t>92.73703.19</t>
  </si>
  <si>
    <t>92.810.B.20</t>
  </si>
  <si>
    <t>92.810.M.20</t>
  </si>
  <si>
    <t>810M</t>
  </si>
  <si>
    <t>92.M001.G.20</t>
  </si>
  <si>
    <t>M001G</t>
  </si>
  <si>
    <t>92.M001.M.20</t>
  </si>
  <si>
    <t>M001M</t>
  </si>
  <si>
    <t>92.M021.G.20</t>
  </si>
  <si>
    <t>M021G</t>
  </si>
  <si>
    <t>92.M021.M.20</t>
  </si>
  <si>
    <t>M021M</t>
  </si>
  <si>
    <t>92.M060.G.20</t>
  </si>
  <si>
    <t>M060G</t>
  </si>
  <si>
    <t>92.M060.M.20</t>
  </si>
  <si>
    <t>M060M</t>
  </si>
  <si>
    <t>92.M067.M.20</t>
  </si>
  <si>
    <t>M067M</t>
  </si>
  <si>
    <t>92.M115.M.20</t>
  </si>
  <si>
    <t>M115M</t>
  </si>
  <si>
    <t>92.M179.M.20</t>
  </si>
  <si>
    <t>M179M</t>
  </si>
  <si>
    <t>92.V2778.19</t>
  </si>
  <si>
    <t>V2778</t>
  </si>
  <si>
    <t>92.V2892.19</t>
  </si>
  <si>
    <t>V2892</t>
  </si>
  <si>
    <t>93.0181.16</t>
  </si>
  <si>
    <t>0181 GRIP</t>
  </si>
  <si>
    <t>93.0182.16</t>
  </si>
  <si>
    <t>0182 GRIP</t>
  </si>
  <si>
    <t>93.0183.16</t>
  </si>
  <si>
    <t>0183 GRIP</t>
  </si>
  <si>
    <t>93.0184.16</t>
  </si>
  <si>
    <t>0184 GRIP</t>
  </si>
  <si>
    <t>93.154367.16</t>
  </si>
  <si>
    <t>154367 GRIP</t>
  </si>
  <si>
    <t>93.1644.19</t>
  </si>
  <si>
    <t>93.1678.19</t>
  </si>
  <si>
    <t>93.1678.2.19</t>
  </si>
  <si>
    <t>93.1895.19</t>
  </si>
  <si>
    <t>93.1896.19</t>
  </si>
  <si>
    <t>93.1897.19</t>
  </si>
  <si>
    <t>93.1898.19</t>
  </si>
  <si>
    <t>93.1899.19</t>
  </si>
  <si>
    <t>93.1900.19</t>
  </si>
  <si>
    <t>93.1901.19</t>
  </si>
  <si>
    <t>93.1902.19</t>
  </si>
  <si>
    <t>93.1903.19</t>
  </si>
  <si>
    <t>93.1904.19</t>
  </si>
  <si>
    <t>93.1917.19</t>
  </si>
  <si>
    <t>93.1918.19</t>
  </si>
  <si>
    <t>93.1919.19</t>
  </si>
  <si>
    <t>93.1920.19</t>
  </si>
  <si>
    <t>93.2100.19</t>
  </si>
  <si>
    <t>93.2101.19</t>
  </si>
  <si>
    <t>93.2102.19</t>
  </si>
  <si>
    <t>93.2103.19</t>
  </si>
  <si>
    <t>93.2104.19</t>
  </si>
  <si>
    <t>93.2105.19</t>
  </si>
  <si>
    <t>93.2.1904.19</t>
  </si>
  <si>
    <t>93.2262.19</t>
  </si>
  <si>
    <t>93.2411.19</t>
  </si>
  <si>
    <t>93.2412.19</t>
  </si>
  <si>
    <t>93.2453.19</t>
  </si>
  <si>
    <t>93.2454.19</t>
  </si>
  <si>
    <t>93.2455.19</t>
  </si>
  <si>
    <t>93.2456.19</t>
  </si>
  <si>
    <t>93.2457.19</t>
  </si>
  <si>
    <t>93.2458.19</t>
  </si>
  <si>
    <t>93.2459.19</t>
  </si>
  <si>
    <t>93.2460.3141.2.19</t>
  </si>
  <si>
    <t>93.2461.19</t>
  </si>
  <si>
    <t>93.2461.2.19</t>
  </si>
  <si>
    <t>93.2462.3145.2.19</t>
  </si>
  <si>
    <t>93.2463.2.19</t>
  </si>
  <si>
    <t>93.2464.19</t>
  </si>
  <si>
    <t>93.2464.2.19</t>
  </si>
  <si>
    <t>93.2735.3140.2.19</t>
  </si>
  <si>
    <t>93.2736.2.19</t>
  </si>
  <si>
    <t>93.2737.2.19</t>
  </si>
  <si>
    <t>93.2738.2.19</t>
  </si>
  <si>
    <t>93.2739.2.19</t>
  </si>
  <si>
    <t>93.2740.2.19</t>
  </si>
  <si>
    <t>93.2741.2.19</t>
  </si>
  <si>
    <t>93.2742.2.19</t>
  </si>
  <si>
    <t>93.3228.19</t>
  </si>
  <si>
    <t>93.5000.19</t>
  </si>
  <si>
    <t>93.5026.19</t>
  </si>
  <si>
    <t>93.5112.19</t>
  </si>
  <si>
    <t>93.5335.10</t>
  </si>
  <si>
    <t>93.5335.19</t>
  </si>
  <si>
    <t>93.5338.19</t>
  </si>
  <si>
    <t>93.5641.19</t>
  </si>
  <si>
    <t>93.5642.19</t>
  </si>
  <si>
    <t>93.6339.19</t>
  </si>
  <si>
    <t>93.6340.19</t>
  </si>
  <si>
    <t>93.91426.16</t>
  </si>
  <si>
    <t>91426 GRIP</t>
  </si>
  <si>
    <t>93.AM.1920.19</t>
  </si>
  <si>
    <t>93.AM.5000.19</t>
  </si>
  <si>
    <t>93.G154367.16</t>
  </si>
  <si>
    <t>93.M001.HG.18</t>
  </si>
  <si>
    <t>M001</t>
  </si>
  <si>
    <t>93.M001.MAT.18</t>
  </si>
  <si>
    <t>93.M032.HG.18</t>
  </si>
  <si>
    <t>M032</t>
  </si>
  <si>
    <t>93.M032.MAT.18</t>
  </si>
  <si>
    <t>96.2453.19</t>
  </si>
  <si>
    <t>96.2454.19</t>
  </si>
  <si>
    <t>96.2455.19</t>
  </si>
  <si>
    <t>96.2456.19</t>
  </si>
  <si>
    <t>96.2457.19</t>
  </si>
  <si>
    <t>96.2458.18</t>
  </si>
  <si>
    <t>96.2458.19</t>
  </si>
  <si>
    <t>96.2459.19</t>
  </si>
  <si>
    <t>96.2460.18</t>
  </si>
  <si>
    <t>96.2460.19</t>
  </si>
  <si>
    <t>96.2461.18</t>
  </si>
  <si>
    <t>96.2461.19</t>
  </si>
  <si>
    <t>96.2462.19</t>
  </si>
  <si>
    <t>96.2463.19</t>
  </si>
  <si>
    <t>96.2464.19</t>
  </si>
  <si>
    <t>96.2735.19</t>
  </si>
  <si>
    <t>96.2736.19</t>
  </si>
  <si>
    <t>96.2737.19</t>
  </si>
  <si>
    <t>96.2738.19</t>
  </si>
  <si>
    <t>96.2739.19</t>
  </si>
  <si>
    <t>96.2740.19</t>
  </si>
  <si>
    <t>96.2741.19</t>
  </si>
  <si>
    <t>96.2742.19</t>
  </si>
  <si>
    <t>98.1744.2</t>
  </si>
  <si>
    <t>98.1745.014</t>
  </si>
  <si>
    <t>98.1745.2</t>
  </si>
  <si>
    <t>FC.102.18.0112PE</t>
  </si>
  <si>
    <t>FC.102.18.0375PR</t>
  </si>
  <si>
    <t>FC.102.18.6459PE</t>
  </si>
  <si>
    <t>6459 PE</t>
  </si>
  <si>
    <t>FC.102.18.K006PW</t>
  </si>
  <si>
    <t>K006 PW</t>
  </si>
  <si>
    <t>IEP.LOKSNE</t>
  </si>
  <si>
    <t>KLIENTA10-20</t>
  </si>
  <si>
    <t>KLIENTA</t>
  </si>
  <si>
    <t>KLIENTA26-40</t>
  </si>
  <si>
    <t>KLIENTA_GV</t>
  </si>
  <si>
    <t>KLIENTA_KOM</t>
  </si>
  <si>
    <t>L50219.1800</t>
  </si>
  <si>
    <t>74.35252.1.45</t>
  </si>
  <si>
    <t>74.38356.1.45</t>
  </si>
  <si>
    <t>74.47981.1.45</t>
  </si>
  <si>
    <t>74.B073.AR.1.23</t>
  </si>
  <si>
    <t>74.B073.CH.1.23</t>
  </si>
  <si>
    <t>74.B073.IN.1.23</t>
  </si>
  <si>
    <t>74.B073.ML.1.23</t>
  </si>
  <si>
    <t>74.B073.WO.1.23</t>
  </si>
  <si>
    <t>74D.U114.1.23</t>
  </si>
  <si>
    <t>74D.U114.2.43</t>
  </si>
  <si>
    <t>74D.U702.PM.1.23</t>
  </si>
  <si>
    <t>74.F011.1.5.43</t>
  </si>
  <si>
    <t>74.F012.1.5.43</t>
  </si>
  <si>
    <t>74.F014.1.5.43</t>
  </si>
  <si>
    <t>74.F021.1.5.43</t>
  </si>
  <si>
    <t>74.F028.1.5.43</t>
  </si>
  <si>
    <t>74.F029.1.5.43</t>
  </si>
  <si>
    <t>74.F030.1.5.43</t>
  </si>
  <si>
    <t>74.F031.1.5.43</t>
  </si>
  <si>
    <t>74.F032.1.5.43</t>
  </si>
  <si>
    <t>74.F041.1.5.43</t>
  </si>
  <si>
    <t>74.F052.1.5.43</t>
  </si>
  <si>
    <t>74.F059.1.5.43</t>
  </si>
  <si>
    <t>74.F061.1.5.43</t>
  </si>
  <si>
    <t>74.F064.1.5.43</t>
  </si>
  <si>
    <t>F064</t>
  </si>
  <si>
    <t>74.F065.1.5.43</t>
  </si>
  <si>
    <t>F065</t>
  </si>
  <si>
    <t>74.F074.1.5.43</t>
  </si>
  <si>
    <t>74.F076.1.5.43</t>
  </si>
  <si>
    <t>74.F093.1.5.43</t>
  </si>
  <si>
    <t>74.F093.ST7.1.5.43</t>
  </si>
  <si>
    <t>74.F094.1.5.43</t>
  </si>
  <si>
    <t>74.F095.1.5.43</t>
  </si>
  <si>
    <t>74.F104.1.5.43</t>
  </si>
  <si>
    <t>74.F105.1.5.43</t>
  </si>
  <si>
    <t>74.F108.1.5.43</t>
  </si>
  <si>
    <t>74.F110.1.5.43</t>
  </si>
  <si>
    <t>74.F112.1.5.43</t>
  </si>
  <si>
    <t>74.F117.1.5.43</t>
  </si>
  <si>
    <t>74.F120.PM.1.23</t>
  </si>
  <si>
    <t>74.F121.1.5.43</t>
  </si>
  <si>
    <t>74.F132.1.5.43</t>
  </si>
  <si>
    <t>F132</t>
  </si>
  <si>
    <t>74.F141.1.5.43</t>
  </si>
  <si>
    <t>74.F142.1.5.43</t>
  </si>
  <si>
    <t>74.F147.1.5.43</t>
  </si>
  <si>
    <t>74.F161.2.42</t>
  </si>
  <si>
    <t>F161</t>
  </si>
  <si>
    <t>74.F166.1.5.43</t>
  </si>
  <si>
    <t>74.F186.08.23</t>
  </si>
  <si>
    <t>74.F186.1.5.43</t>
  </si>
  <si>
    <t>74.F186.2.23</t>
  </si>
  <si>
    <t>74.F186.2.28</t>
  </si>
  <si>
    <t>74.F187.08.23</t>
  </si>
  <si>
    <t>74.F187.1.5.43</t>
  </si>
  <si>
    <t>74.F187.2.23</t>
  </si>
  <si>
    <t>74.F204.08.23</t>
  </si>
  <si>
    <t>74.F204.1.5.43</t>
  </si>
  <si>
    <t>74.F204.2.23</t>
  </si>
  <si>
    <t>74.F205.1.5.43</t>
  </si>
  <si>
    <t>74.F206.08.23</t>
  </si>
  <si>
    <t>74.F206.1.5.43</t>
  </si>
  <si>
    <t>74.F206.2.23</t>
  </si>
  <si>
    <t>74.F206.PG.1.23</t>
  </si>
  <si>
    <t>74.F206.PM.1.23</t>
  </si>
  <si>
    <t>74.F206.PM.1.5.43</t>
  </si>
  <si>
    <t>74.F208.1.5.43</t>
  </si>
  <si>
    <t>74.F211.2.42</t>
  </si>
  <si>
    <t>F211</t>
  </si>
  <si>
    <t>74.F212.2.42</t>
  </si>
  <si>
    <t>74.F214.2.42</t>
  </si>
  <si>
    <t>F214</t>
  </si>
  <si>
    <t>74.F221.1.5.43</t>
  </si>
  <si>
    <t>74.F222.1.5.43</t>
  </si>
  <si>
    <t>74.F226.1.5.43</t>
  </si>
  <si>
    <t>74.F227.1.5.43</t>
  </si>
  <si>
    <t>74.F228.1.5.43</t>
  </si>
  <si>
    <t>74.F229.1.5.43</t>
  </si>
  <si>
    <t>74.F230.1.5.43</t>
  </si>
  <si>
    <t>74.F234.1.5.43</t>
  </si>
  <si>
    <t>74.F235.08.23</t>
  </si>
  <si>
    <t>74.F235.1.5.43</t>
  </si>
  <si>
    <t>74.F235.2.23</t>
  </si>
  <si>
    <t>74.F237.1.5.43</t>
  </si>
  <si>
    <t>74.F242.1.5.43</t>
  </si>
  <si>
    <t>74.F243.08.23</t>
  </si>
  <si>
    <t>74.F243.1.5.43</t>
  </si>
  <si>
    <t>74.F243.2.23</t>
  </si>
  <si>
    <t>74.F251.1.5.43</t>
  </si>
  <si>
    <t>74.F256.1.5.43</t>
  </si>
  <si>
    <t>74.F274.1.5.43</t>
  </si>
  <si>
    <t>74.F275.1.5.43</t>
  </si>
  <si>
    <t>74.F292.1.5.43</t>
  </si>
  <si>
    <t>74.F302.08.23</t>
  </si>
  <si>
    <t>74.F302.1.5.43</t>
  </si>
  <si>
    <t>74.F302.2.23</t>
  </si>
  <si>
    <t>74.F302.2.28</t>
  </si>
  <si>
    <t>74.F303.1.5.43</t>
  </si>
  <si>
    <t>74.F309.1.5.43</t>
  </si>
  <si>
    <t>F309</t>
  </si>
  <si>
    <t>74.F310.1.5.43</t>
  </si>
  <si>
    <t>74.F311.1.5.43</t>
  </si>
  <si>
    <t>74.F311.2.23</t>
  </si>
  <si>
    <t>74.F323.08.23</t>
  </si>
  <si>
    <t>74.F323.2.23</t>
  </si>
  <si>
    <t>74.F333.1.5.43</t>
  </si>
  <si>
    <t>74.F352.1.5.43</t>
  </si>
  <si>
    <t>74.F371.1.5.43</t>
  </si>
  <si>
    <t>74.F385.1.5.43</t>
  </si>
  <si>
    <t>74.F390.2.42</t>
  </si>
  <si>
    <t>74.F396.2.23</t>
  </si>
  <si>
    <t>F396</t>
  </si>
  <si>
    <t>74.F403.2.42</t>
  </si>
  <si>
    <t>74.F407.2.42</t>
  </si>
  <si>
    <t>F407</t>
  </si>
  <si>
    <t>74.F416.08.23</t>
  </si>
  <si>
    <t>74.F416.08.28</t>
  </si>
  <si>
    <t>74.F416.2.23</t>
  </si>
  <si>
    <t>74.F416.2.28</t>
  </si>
  <si>
    <t>74.F416.2.43</t>
  </si>
  <si>
    <t>74.F417.08.23</t>
  </si>
  <si>
    <t>74.F425.08.23</t>
  </si>
  <si>
    <t>74.F425.2.23</t>
  </si>
  <si>
    <t>74.F425.2.28</t>
  </si>
  <si>
    <t>74.F425.2.43</t>
  </si>
  <si>
    <t>74.F426.08.23</t>
  </si>
  <si>
    <t>74.F426.2.23</t>
  </si>
  <si>
    <t>74.F433.08.23</t>
  </si>
  <si>
    <t>74.F433.2.23</t>
  </si>
  <si>
    <t>74.F433.2.28</t>
  </si>
  <si>
    <t>74.F484.1.5.43</t>
  </si>
  <si>
    <t>74.F486.1.5.43</t>
  </si>
  <si>
    <t>74.F491.1.5.43</t>
  </si>
  <si>
    <t>F491</t>
  </si>
  <si>
    <t>74.F501.08.23</t>
  </si>
  <si>
    <t>74.F501.2.23</t>
  </si>
  <si>
    <t>74.F501.2.28</t>
  </si>
  <si>
    <t>74.F501.2.42</t>
  </si>
  <si>
    <t>74.F502.1.5.43</t>
  </si>
  <si>
    <t>74.F502.ST7.1.5.43</t>
  </si>
  <si>
    <t>74.F508.1.5.43</t>
  </si>
  <si>
    <t>74.F509.08.23</t>
  </si>
  <si>
    <t>74.F509.2.23</t>
  </si>
  <si>
    <t>74.F509.2.28</t>
  </si>
  <si>
    <t>74.F509.2.43</t>
  </si>
  <si>
    <t>74.F528.08.23</t>
  </si>
  <si>
    <t>74.F528.2.23</t>
  </si>
  <si>
    <t>74.F528.2.43</t>
  </si>
  <si>
    <t>74.F547.1.5.43</t>
  </si>
  <si>
    <t>74.F570.08.23</t>
  </si>
  <si>
    <t>74.F570.2.23</t>
  </si>
  <si>
    <t>74.F571.08.23</t>
  </si>
  <si>
    <t>74.F571.2.23</t>
  </si>
  <si>
    <t>74.F583.08.23</t>
  </si>
  <si>
    <t>74.F583.2.23</t>
  </si>
  <si>
    <t>74.F583.2.42</t>
  </si>
  <si>
    <t>74.F620.1.5.43</t>
  </si>
  <si>
    <t>74.F627.PM.1.23</t>
  </si>
  <si>
    <t>74.F637.08.23</t>
  </si>
  <si>
    <t>74.F637.1.5.43</t>
  </si>
  <si>
    <t>74.F637.2.23</t>
  </si>
  <si>
    <t>74.F638.1.5.43</t>
  </si>
  <si>
    <t>74.F641.1.5.43</t>
  </si>
  <si>
    <t>74.F642.08.23</t>
  </si>
  <si>
    <t>74.F642.2.23</t>
  </si>
  <si>
    <t>74.F649.08.23</t>
  </si>
  <si>
    <t>74.F649.2.23</t>
  </si>
  <si>
    <t>74.F651.08.23</t>
  </si>
  <si>
    <t>74.F651.2.23</t>
  </si>
  <si>
    <t>74.F675.1.5.43</t>
  </si>
  <si>
    <t>74.F676.1.5.43</t>
  </si>
  <si>
    <t>74.F685.08.23</t>
  </si>
  <si>
    <t>74.F685.2.23</t>
  </si>
  <si>
    <t>74.F765.08.23</t>
  </si>
  <si>
    <t>74.F765.2.23</t>
  </si>
  <si>
    <t>74.F784.08.23</t>
  </si>
  <si>
    <t>74.F784.2.23</t>
  </si>
  <si>
    <t>74.F784.2.28</t>
  </si>
  <si>
    <t>74.F800.08.23</t>
  </si>
  <si>
    <t>74.F800.1.5.43</t>
  </si>
  <si>
    <t>74.F800.2.23</t>
  </si>
  <si>
    <t>74.F812.08.23</t>
  </si>
  <si>
    <t>F812ST9</t>
  </si>
  <si>
    <t>74.F812.1.5.43</t>
  </si>
  <si>
    <t>74.F812.2.23</t>
  </si>
  <si>
    <t>74.F812.PG.1.23</t>
  </si>
  <si>
    <t>74.F812.PM.1.23</t>
  </si>
  <si>
    <t>74.F870.2.42</t>
  </si>
  <si>
    <t>F870</t>
  </si>
  <si>
    <t>74.F8930.1.23</t>
  </si>
  <si>
    <t>F8930</t>
  </si>
  <si>
    <t>74.F8980.1.3.23</t>
  </si>
  <si>
    <t>74.F8981.1.3.23</t>
  </si>
  <si>
    <t>74.F8982.1.3.23</t>
  </si>
  <si>
    <t>74.FA33.0J.1.23</t>
  </si>
  <si>
    <t>74.FA33.PF.1.23</t>
  </si>
  <si>
    <t>74.FA41.0J.1.23</t>
  </si>
  <si>
    <t>FA41OJ</t>
  </si>
  <si>
    <t>74.FA41.0J.1.29</t>
  </si>
  <si>
    <t>74.FA42.0J.1.23</t>
  </si>
  <si>
    <t>74.FA44.0J.1.23</t>
  </si>
  <si>
    <t>FA44OJ</t>
  </si>
  <si>
    <t>74.FA44.0J.1.29</t>
  </si>
  <si>
    <t>74.FB35.IN.1.23</t>
  </si>
  <si>
    <t>74.FB45.IN.1.23</t>
  </si>
  <si>
    <t>74.FB48.AR.1.23</t>
  </si>
  <si>
    <t>74.FB49.AR.1.23</t>
  </si>
  <si>
    <t>74.FB51.AR.1.23</t>
  </si>
  <si>
    <t>74.FB52.AR.1.23</t>
  </si>
  <si>
    <t>74.FB79.RI.1.23</t>
  </si>
  <si>
    <t>74.FB80.ID.1.23</t>
  </si>
  <si>
    <t>74.FB81.ID.1.23</t>
  </si>
  <si>
    <t>74.FB82.ID.1.23</t>
  </si>
  <si>
    <t>74.FB86.ID.1.23</t>
  </si>
  <si>
    <t>74.FB86.ID.1.43</t>
  </si>
  <si>
    <t>74.FC36.CT.1.23</t>
  </si>
  <si>
    <t>74.FC43.AP.1.23</t>
  </si>
  <si>
    <t>74.FC44.AP.1.23</t>
  </si>
  <si>
    <t>74.FC59.AP.1.23</t>
  </si>
  <si>
    <t>74.FC60.AP.1.23</t>
  </si>
  <si>
    <t>74.FC92.PA.1.23</t>
  </si>
  <si>
    <t>74.FC95.PA.1.23</t>
  </si>
  <si>
    <t>74.FC97.PA.1.23</t>
  </si>
  <si>
    <t>74.FD02.PA.1.23</t>
  </si>
  <si>
    <t>74.H0001.2.26</t>
  </si>
  <si>
    <t>74.H011.1.5.43</t>
  </si>
  <si>
    <t>74.H045.1.5.43</t>
  </si>
  <si>
    <t>H045</t>
  </si>
  <si>
    <t>74.H046.1.5.43</t>
  </si>
  <si>
    <t>H046</t>
  </si>
  <si>
    <t>74.H050.1.5.43</t>
  </si>
  <si>
    <t>74.H1101.08.23</t>
  </si>
  <si>
    <t>74.H1101.2.23</t>
  </si>
  <si>
    <t>74.H1101.2.28</t>
  </si>
  <si>
    <t>74.H110.1.5.43</t>
  </si>
  <si>
    <t>74.H1113.08.23</t>
  </si>
  <si>
    <t>74.H1113.08.28</t>
  </si>
  <si>
    <t>74.H1113.2.23</t>
  </si>
  <si>
    <t>74.H1113.2.28</t>
  </si>
  <si>
    <t>74.H1113.2.43</t>
  </si>
  <si>
    <t>74.H1114.08.23</t>
  </si>
  <si>
    <t>74.H1114.2.23</t>
  </si>
  <si>
    <t>74.H1115.08.23</t>
  </si>
  <si>
    <t>74.H1115.2.23</t>
  </si>
  <si>
    <t>74.H1122.08.23</t>
  </si>
  <si>
    <t>74.H1122.2.23</t>
  </si>
  <si>
    <t>74.H1122.2.28</t>
  </si>
  <si>
    <t>74.H1122.2.43</t>
  </si>
  <si>
    <t>74.H1123.08.23</t>
  </si>
  <si>
    <t>74.H1123.2.23</t>
  </si>
  <si>
    <t>74.H1123.2.28</t>
  </si>
  <si>
    <t>74.H1137.08.23</t>
  </si>
  <si>
    <t>74.H1137.2.23</t>
  </si>
  <si>
    <t>74.H1137.2.28</t>
  </si>
  <si>
    <t>74.H1137.ST11.08.23</t>
  </si>
  <si>
    <t>74.H1137.ST11.2.23</t>
  </si>
  <si>
    <t>74.H1137.ST11.2.42</t>
  </si>
  <si>
    <t>74.H1142.08.23</t>
  </si>
  <si>
    <t>74.H1142.2.23</t>
  </si>
  <si>
    <t>74.H1145.08.23</t>
  </si>
  <si>
    <t>74.H1145.08.28</t>
  </si>
  <si>
    <t>74.H1145.1.5.43</t>
  </si>
  <si>
    <t>74.H1145.2.23</t>
  </si>
  <si>
    <t>74.H1145.2.28</t>
  </si>
  <si>
    <t>74.H1146.08.23</t>
  </si>
  <si>
    <t>74.H1146.2.23</t>
  </si>
  <si>
    <t>74.H1146.2.28</t>
  </si>
  <si>
    <t>74.H1146.2.43</t>
  </si>
  <si>
    <t>74.H1150.2.42</t>
  </si>
  <si>
    <t>H1150</t>
  </si>
  <si>
    <t>74.H1151.08.23</t>
  </si>
  <si>
    <t>74.H1151.2.23</t>
  </si>
  <si>
    <t>74.H1151.2.43</t>
  </si>
  <si>
    <t>74.H1176.08.23</t>
  </si>
  <si>
    <t>74.H1176.1.5.43</t>
  </si>
  <si>
    <t>74.H1176.2.23</t>
  </si>
  <si>
    <t>74.H1176.2.43</t>
  </si>
  <si>
    <t>74.H1180.08.23</t>
  </si>
  <si>
    <t>74.H1180.1.5.43</t>
  </si>
  <si>
    <t>74.H1180.2.23</t>
  </si>
  <si>
    <t>74.H1181.08.23</t>
  </si>
  <si>
    <t>74.H1181.1.5.43</t>
  </si>
  <si>
    <t>74.H1181.2.23</t>
  </si>
  <si>
    <t>74.H1186.1.23</t>
  </si>
  <si>
    <t>74.H1189.2.42</t>
  </si>
  <si>
    <t>H1189</t>
  </si>
  <si>
    <t>74.H1199.08.23</t>
  </si>
  <si>
    <t>74.H1199.2.23</t>
  </si>
  <si>
    <t>74.H1199.2.28</t>
  </si>
  <si>
    <t>74.H1199.2.43</t>
  </si>
  <si>
    <t>74.H1204.1.23</t>
  </si>
  <si>
    <t>74.H1210.08.23</t>
  </si>
  <si>
    <t>74.H1210.2.23</t>
  </si>
  <si>
    <t>74.H1210.2.28</t>
  </si>
  <si>
    <t>74.H1212.08.23</t>
  </si>
  <si>
    <t>74.H1212.2.23</t>
  </si>
  <si>
    <t>74.H1213.08.23</t>
  </si>
  <si>
    <t>74.H1213.2.23</t>
  </si>
  <si>
    <t>74.H1215.2.23</t>
  </si>
  <si>
    <t>H1215</t>
  </si>
  <si>
    <t>74.H1223.08.23</t>
  </si>
  <si>
    <t>74.H1223.08.28</t>
  </si>
  <si>
    <t>74.H1223.2.23</t>
  </si>
  <si>
    <t>74.H1223.2.28</t>
  </si>
  <si>
    <t>74.H1223.2.43</t>
  </si>
  <si>
    <t>74.H1225.08.23</t>
  </si>
  <si>
    <t>74.H1225.2.23</t>
  </si>
  <si>
    <t>74.H1225.2.43</t>
  </si>
  <si>
    <t>74.H1227.1.23</t>
  </si>
  <si>
    <t>74.H1242.08.23</t>
  </si>
  <si>
    <t>74.H1242.2.23</t>
  </si>
  <si>
    <t>74.H1242.2.43</t>
  </si>
  <si>
    <t>74.H1250.08.23</t>
  </si>
  <si>
    <t>74.H1250.2.23</t>
  </si>
  <si>
    <t>74.H1250.2.43</t>
  </si>
  <si>
    <t>74.H1251.08.23</t>
  </si>
  <si>
    <t>74.H1251.2.23</t>
  </si>
  <si>
    <t>74.H1253.08.23</t>
  </si>
  <si>
    <t>74.H1253.2.23</t>
  </si>
  <si>
    <t>74.H1253.2.28</t>
  </si>
  <si>
    <t>74.H1267.08.23</t>
  </si>
  <si>
    <t>74.H1267.2.23</t>
  </si>
  <si>
    <t>74.H1267.2.42</t>
  </si>
  <si>
    <t>74.H1277.08.23</t>
  </si>
  <si>
    <t>74.H1277.08.28</t>
  </si>
  <si>
    <t>74.H1277.2.23</t>
  </si>
  <si>
    <t>74.H1277.2.28</t>
  </si>
  <si>
    <t>74.H1277.2.43</t>
  </si>
  <si>
    <t>74.H1298.08.23</t>
  </si>
  <si>
    <t>74.H1303.08.23</t>
  </si>
  <si>
    <t>74.H1303.1.5.43</t>
  </si>
  <si>
    <t>74.H1303.2.23</t>
  </si>
  <si>
    <t>74.H1307.08.23</t>
  </si>
  <si>
    <t>74.H1307.08.28</t>
  </si>
  <si>
    <t>74.H1307.2.23</t>
  </si>
  <si>
    <t>74.H1307.2.28</t>
  </si>
  <si>
    <t>74.H1307.2.43</t>
  </si>
  <si>
    <t>74.H1312.08.23</t>
  </si>
  <si>
    <t>74.H1312.2.23</t>
  </si>
  <si>
    <t>74.H1312.2.43</t>
  </si>
  <si>
    <t>74.H1313.08.23</t>
  </si>
  <si>
    <t>74.H1313.1.5.43</t>
  </si>
  <si>
    <t>74.H1313.2.23</t>
  </si>
  <si>
    <t>74.H1318.08.23</t>
  </si>
  <si>
    <t>74.H1318.1.5.43</t>
  </si>
  <si>
    <t>74.H1318.2.23</t>
  </si>
  <si>
    <t>74.H1330.08.23</t>
  </si>
  <si>
    <t>74.H1330.08.28</t>
  </si>
  <si>
    <t>74.H1330.2.23</t>
  </si>
  <si>
    <t>74.H1330.2.28</t>
  </si>
  <si>
    <t>74.H1334.08.23</t>
  </si>
  <si>
    <t>74.H1334.2.23</t>
  </si>
  <si>
    <t>74.H1334.2.28</t>
  </si>
  <si>
    <t>74.H1334.2.43</t>
  </si>
  <si>
    <t>74.H1344.08.23</t>
  </si>
  <si>
    <t>74.H1344.1.5.43</t>
  </si>
  <si>
    <t>74.H1344.2.23</t>
  </si>
  <si>
    <t>74.H1345.08.23</t>
  </si>
  <si>
    <t>74.H1345.2.23</t>
  </si>
  <si>
    <t>74.H1346.08.23</t>
  </si>
  <si>
    <t>74.H1346.2.23</t>
  </si>
  <si>
    <t>74.H1346.2.28</t>
  </si>
  <si>
    <t>74.H1357.1.5.43</t>
  </si>
  <si>
    <t>74.H1362.08.23</t>
  </si>
  <si>
    <t>74.H1362.2.23</t>
  </si>
  <si>
    <t>74.H1362.2.43</t>
  </si>
  <si>
    <t>74.H1367.08.23</t>
  </si>
  <si>
    <t>74.H1367.2.23</t>
  </si>
  <si>
    <t>74.H1367.2.43</t>
  </si>
  <si>
    <t>74.H1372.08.23</t>
  </si>
  <si>
    <t>74.H1372.2.23</t>
  </si>
  <si>
    <t>74.H1377.08.23</t>
  </si>
  <si>
    <t>74.H1377.2.42</t>
  </si>
  <si>
    <t>74.H1379.08.23</t>
  </si>
  <si>
    <t>74.H1379.2.23</t>
  </si>
  <si>
    <t>74.H1385.08.23</t>
  </si>
  <si>
    <t>74.H1385.08.43</t>
  </si>
  <si>
    <t>74.H1385.2.23</t>
  </si>
  <si>
    <t>74.H1386.08.23</t>
  </si>
  <si>
    <t>74.H1386.08.28</t>
  </si>
  <si>
    <t>74.H1386.2.23</t>
  </si>
  <si>
    <t>74.H1386.2.28</t>
  </si>
  <si>
    <t>74.H1386.2.43</t>
  </si>
  <si>
    <t>74.H1387.08.23</t>
  </si>
  <si>
    <t>74.H1387.2.23</t>
  </si>
  <si>
    <t>74.H1387.2.28</t>
  </si>
  <si>
    <t>74.H1394.08.23</t>
  </si>
  <si>
    <t>74.H1394.2.23</t>
  </si>
  <si>
    <t>74.H1394.2.31</t>
  </si>
  <si>
    <t>74.H1399.08.23</t>
  </si>
  <si>
    <t>74.H1399.2.23</t>
  </si>
  <si>
    <t>74.H1399.2.28</t>
  </si>
  <si>
    <t>74.H1399.2.43</t>
  </si>
  <si>
    <t>74.H1400.08.23</t>
  </si>
  <si>
    <t>74.H1400.2.23</t>
  </si>
  <si>
    <t>74.H1401.08.23</t>
  </si>
  <si>
    <t>74.H1401.1.5.43</t>
  </si>
  <si>
    <t>74.H1401.2.23</t>
  </si>
  <si>
    <t>74.H1401.2.43</t>
  </si>
  <si>
    <t>74.H1424.08.23</t>
  </si>
  <si>
    <t>74.H1424.2.23</t>
  </si>
  <si>
    <t>74.H1424.2.28</t>
  </si>
  <si>
    <t>74.H1424.2.43</t>
  </si>
  <si>
    <t>74.H1428.08.23</t>
  </si>
  <si>
    <t>74.H1428.2.31</t>
  </si>
  <si>
    <t>74.H1444.08.23</t>
  </si>
  <si>
    <t>74.H1444.2.23</t>
  </si>
  <si>
    <t>74.H1474.08.23</t>
  </si>
  <si>
    <t>74.H1474.2.23</t>
  </si>
  <si>
    <t>74.H1476.08.23</t>
  </si>
  <si>
    <t>74.H1476.2.23</t>
  </si>
  <si>
    <t>74.H1476.2.31</t>
  </si>
  <si>
    <t>74.H1476.2.42</t>
  </si>
  <si>
    <t>74.H148.1.5.43</t>
  </si>
  <si>
    <t>H148.</t>
  </si>
  <si>
    <t>74.H1484.08.23</t>
  </si>
  <si>
    <t>74.H1486.08.23</t>
  </si>
  <si>
    <t>74.H1486.1.5.43</t>
  </si>
  <si>
    <t>74.H1486.2.23</t>
  </si>
  <si>
    <t>74.H1487.08.23</t>
  </si>
  <si>
    <t>74.H1487.2.23</t>
  </si>
  <si>
    <t>74.H1487.2.28</t>
  </si>
  <si>
    <t>74.H1487.2.43</t>
  </si>
  <si>
    <t>74.H1511.08.23</t>
  </si>
  <si>
    <t>74.H1511.2.23</t>
  </si>
  <si>
    <t>74.H1555.2.31</t>
  </si>
  <si>
    <t>74.H1582.08.23</t>
  </si>
  <si>
    <t>74.H1582.2.23</t>
  </si>
  <si>
    <t>74.H1582.2.28</t>
  </si>
  <si>
    <t>74.H1599.2.23</t>
  </si>
  <si>
    <t>74.H1599.2.31</t>
  </si>
  <si>
    <t>74.H1615.08.23</t>
  </si>
  <si>
    <t>74.H1615.2.23</t>
  </si>
  <si>
    <t>74.H1615.2.28</t>
  </si>
  <si>
    <t>74.H1636.08.23</t>
  </si>
  <si>
    <t>74.H1636.2.23</t>
  </si>
  <si>
    <t>74.H1636.2.43</t>
  </si>
  <si>
    <t>74.H1696.2.23</t>
  </si>
  <si>
    <t>74.H1710.08.23</t>
  </si>
  <si>
    <t>74.H1710.2.23</t>
  </si>
  <si>
    <t>74.H1714.08.23</t>
  </si>
  <si>
    <t>74.H1714.2.23</t>
  </si>
  <si>
    <t>74.H1714.2.43</t>
  </si>
  <si>
    <t>74.H1715.08.23</t>
  </si>
  <si>
    <t>74.H1715.08.28</t>
  </si>
  <si>
    <t>74.H1715.2.23</t>
  </si>
  <si>
    <t>74.H1715.2.28</t>
  </si>
  <si>
    <t>74.H1727.08.23</t>
  </si>
  <si>
    <t>H1727</t>
  </si>
  <si>
    <t>74.H1727.2.23</t>
  </si>
  <si>
    <t>74.H1732.08.23</t>
  </si>
  <si>
    <t>74.H1732.08.28</t>
  </si>
  <si>
    <t>74.H1732.2.23</t>
  </si>
  <si>
    <t>74.H1732.2.28</t>
  </si>
  <si>
    <t>74.H1732.2.43</t>
  </si>
  <si>
    <t>74.H1733.08.23</t>
  </si>
  <si>
    <t>74.H1733.2.23</t>
  </si>
  <si>
    <t>74.H1733.2.28</t>
  </si>
  <si>
    <t>74.H1733.2.43</t>
  </si>
  <si>
    <t>74.H1760.1.23</t>
  </si>
  <si>
    <t>74.H1887.08.23</t>
  </si>
  <si>
    <t>74.H1887.2.23</t>
  </si>
  <si>
    <t>74.H1887.2.42</t>
  </si>
  <si>
    <t>74.H1910.08.23</t>
  </si>
  <si>
    <t>74.H1910.08.28</t>
  </si>
  <si>
    <t>74.H1910.2.23</t>
  </si>
  <si>
    <t>74.H1910.2.28</t>
  </si>
  <si>
    <t>74.H1910.2.43</t>
  </si>
  <si>
    <t>74.H193.1.5.43</t>
  </si>
  <si>
    <t>74.H194.1.5.43</t>
  </si>
  <si>
    <t>74.H195.1.5.43</t>
  </si>
  <si>
    <t>74.H197.1.5.43</t>
  </si>
  <si>
    <t>74.H198.1.5.43</t>
  </si>
  <si>
    <t>74.H2031.1.5.43</t>
  </si>
  <si>
    <t>74.H2032.1.5.43</t>
  </si>
  <si>
    <t>74.H2033.08.23</t>
  </si>
  <si>
    <t>74.H2033.1.5.43</t>
  </si>
  <si>
    <t>74.H2033.2.23</t>
  </si>
  <si>
    <t>74.H2409.1.5.43</t>
  </si>
  <si>
    <t>74.H2415.1.5.43</t>
  </si>
  <si>
    <t>74.H3003.08.23</t>
  </si>
  <si>
    <t>74.H3003.2.23</t>
  </si>
  <si>
    <t>74.H3005.08.23</t>
  </si>
  <si>
    <t>74.H3006.08.23</t>
  </si>
  <si>
    <t>74.H3006.2.23</t>
  </si>
  <si>
    <t>74.H3006.2.28</t>
  </si>
  <si>
    <t>74.H3012.08.23</t>
  </si>
  <si>
    <t>74.H3012.2.23</t>
  </si>
  <si>
    <t>74.H3012.2.28</t>
  </si>
  <si>
    <t>74.H3012.2.43</t>
  </si>
  <si>
    <t>74.H3031.2.23</t>
  </si>
  <si>
    <t>74.H3041.1.23</t>
  </si>
  <si>
    <t>74.H3043.08.23</t>
  </si>
  <si>
    <t>74.H3043.2.23</t>
  </si>
  <si>
    <t>74.H3043.2.28</t>
  </si>
  <si>
    <t>74.H3043.2.43</t>
  </si>
  <si>
    <t>74.H3047.08.23</t>
  </si>
  <si>
    <t>74.H3047.2.23</t>
  </si>
  <si>
    <t>74.H3048.08.23</t>
  </si>
  <si>
    <t>74.H3048.2.23</t>
  </si>
  <si>
    <t>74.H305.08.23</t>
  </si>
  <si>
    <t>74.H305.08.28</t>
  </si>
  <si>
    <t>74.H305.1.5.43</t>
  </si>
  <si>
    <t>74.H305.2.23</t>
  </si>
  <si>
    <t>74.H305.2.28</t>
  </si>
  <si>
    <t>74.H3058.08.23</t>
  </si>
  <si>
    <t>74.H3058.2.23</t>
  </si>
  <si>
    <t>74.H3058.2.28</t>
  </si>
  <si>
    <t>74.H3058.2.31</t>
  </si>
  <si>
    <t>74.H3070.08.23</t>
  </si>
  <si>
    <t>74.H3078.2.23</t>
  </si>
  <si>
    <t>74.H3078.2.42</t>
  </si>
  <si>
    <t>74.H3080.08.23</t>
  </si>
  <si>
    <t>74.H3080.2.23</t>
  </si>
  <si>
    <t>74.H3080.2.43</t>
  </si>
  <si>
    <t>74.H3081.08.23</t>
  </si>
  <si>
    <t>74.H3081.2.23</t>
  </si>
  <si>
    <t>74.H3081.2.28</t>
  </si>
  <si>
    <t>74.H3090.08.23</t>
  </si>
  <si>
    <t>74.H3090.2.23</t>
  </si>
  <si>
    <t>74.H309.08.23</t>
  </si>
  <si>
    <t>74.H309.2.23</t>
  </si>
  <si>
    <t>74.H3113.08.23</t>
  </si>
  <si>
    <t>74.H3113.2.23</t>
  </si>
  <si>
    <t>74.H3114.08.23</t>
  </si>
  <si>
    <t>74.H3114.2.23</t>
  </si>
  <si>
    <t>74.H3128.2.23</t>
  </si>
  <si>
    <t>74.H3131.08.23</t>
  </si>
  <si>
    <t>74.H3131.2.23</t>
  </si>
  <si>
    <t>74.H3131.2.43</t>
  </si>
  <si>
    <t>74.H3133.08.23</t>
  </si>
  <si>
    <t>74.H3133.1.5.43</t>
  </si>
  <si>
    <t>74.H3133.2.23</t>
  </si>
  <si>
    <t>74.H3133.2.28</t>
  </si>
  <si>
    <t>74.H3146.08.23</t>
  </si>
  <si>
    <t>74.H3146.2.23</t>
  </si>
  <si>
    <t>74.H3146.2.43</t>
  </si>
  <si>
    <t>74.H3149.1.23</t>
  </si>
  <si>
    <t>74.H3152.08.23</t>
  </si>
  <si>
    <t>74.H3152.08.28</t>
  </si>
  <si>
    <t>74.H3152.2.23</t>
  </si>
  <si>
    <t>74.H3152.2.28</t>
  </si>
  <si>
    <t>74.H3152.2.43</t>
  </si>
  <si>
    <t>74.H3154.08.23</t>
  </si>
  <si>
    <t>74.H3154.08.28</t>
  </si>
  <si>
    <t>74.H3154.2.23</t>
  </si>
  <si>
    <t>74.H3154.2.28</t>
  </si>
  <si>
    <t>74.H3154.2.43</t>
  </si>
  <si>
    <t>74.H3156.08.23</t>
  </si>
  <si>
    <t>74.H3156.2.23</t>
  </si>
  <si>
    <t>74.H3156.2.28</t>
  </si>
  <si>
    <t>74.H3156.2.43</t>
  </si>
  <si>
    <t>74.H3157.08.23</t>
  </si>
  <si>
    <t>74.H3157.08.28</t>
  </si>
  <si>
    <t>74.H3157.1.5.43</t>
  </si>
  <si>
    <t>74.H3157.2.23</t>
  </si>
  <si>
    <t>74.H3157.2.28</t>
  </si>
  <si>
    <t>74.H3157.2.43</t>
  </si>
  <si>
    <t>74.H3170.08.23</t>
  </si>
  <si>
    <t>74.H3170.2.23</t>
  </si>
  <si>
    <t>74.H3170.2.28</t>
  </si>
  <si>
    <t>74.H3170.2.43</t>
  </si>
  <si>
    <t>74.H3176.08.23</t>
  </si>
  <si>
    <t>74.H3176.1.5.43</t>
  </si>
  <si>
    <t>74.H3176.2.23</t>
  </si>
  <si>
    <t>74.H3178.08.23</t>
  </si>
  <si>
    <t>74.H3178.2.23</t>
  </si>
  <si>
    <t>74.H3180.1.23</t>
  </si>
  <si>
    <t>74.H3190.08.23</t>
  </si>
  <si>
    <t>74.H3190.2.23</t>
  </si>
  <si>
    <t>74.H3192.08.23</t>
  </si>
  <si>
    <t>74.H3192.2.23</t>
  </si>
  <si>
    <t>74.H3192.2.28</t>
  </si>
  <si>
    <t>74.H3195.08.23</t>
  </si>
  <si>
    <t>74.H3195.2.23</t>
  </si>
  <si>
    <t>74.H3195.2.43</t>
  </si>
  <si>
    <t>74.H3197.08.23</t>
  </si>
  <si>
    <t>74.H3197.2.23</t>
  </si>
  <si>
    <t>74.H3198.08.23</t>
  </si>
  <si>
    <t>74.H3198.2.23</t>
  </si>
  <si>
    <t>74.H3198.2.43</t>
  </si>
  <si>
    <t>74.H3303.08.23</t>
  </si>
  <si>
    <t>74.H3303.08.28</t>
  </si>
  <si>
    <t>74.H3303.1.5.43</t>
  </si>
  <si>
    <t>74.H3303.2.23</t>
  </si>
  <si>
    <t>74.H3303.2.28</t>
  </si>
  <si>
    <t>74.H3303.2.43</t>
  </si>
  <si>
    <t>74.H3303.2.54</t>
  </si>
  <si>
    <t>74.H3304.08.23</t>
  </si>
  <si>
    <t>74.H3304.2.23</t>
  </si>
  <si>
    <t>74.H3306.2.23</t>
  </si>
  <si>
    <t>74.H3309.08.23</t>
  </si>
  <si>
    <t>74.H3309.2.23</t>
  </si>
  <si>
    <t>74.H3309.2.43</t>
  </si>
  <si>
    <t>74.H3311.1.23</t>
  </si>
  <si>
    <t>74.H3317.08.23</t>
  </si>
  <si>
    <t>74.H3317.2.23</t>
  </si>
  <si>
    <t>74.H3317.2.43</t>
  </si>
  <si>
    <t>74.H3325.08.23</t>
  </si>
  <si>
    <t>74.H3325.2.23</t>
  </si>
  <si>
    <t>74.H3325.2.43</t>
  </si>
  <si>
    <t>74.H3326.08.23</t>
  </si>
  <si>
    <t>74.H3326.2.23</t>
  </si>
  <si>
    <t>74.H3326.2.28</t>
  </si>
  <si>
    <t>74.H3330.08.23</t>
  </si>
  <si>
    <t>74.H3330.1.5.43</t>
  </si>
  <si>
    <t>74.H3330.2.23</t>
  </si>
  <si>
    <t>74.H3331.08.23</t>
  </si>
  <si>
    <t>74.H3331.08.28</t>
  </si>
  <si>
    <t>74.H3331.1.5.43</t>
  </si>
  <si>
    <t>74.H3331.2.23</t>
  </si>
  <si>
    <t>74.H3331.2.28</t>
  </si>
  <si>
    <t>74.H3342.08.23</t>
  </si>
  <si>
    <t>74.H3342.2.23</t>
  </si>
  <si>
    <t>74.H3342.2.28</t>
  </si>
  <si>
    <t>74.H3359.08.23</t>
  </si>
  <si>
    <t>74.H3359.1.5.43</t>
  </si>
  <si>
    <t>74.H3359.2.23</t>
  </si>
  <si>
    <t>74.H3370.08.23</t>
  </si>
  <si>
    <t>74.H3370.2.31</t>
  </si>
  <si>
    <t>74.H3387.1.5.43</t>
  </si>
  <si>
    <t>74.H3387.2.42</t>
  </si>
  <si>
    <t>74.H3389.08.23</t>
  </si>
  <si>
    <t>74.H3389.2.23</t>
  </si>
  <si>
    <t>74.H3389.2.31</t>
  </si>
  <si>
    <t>74.H3395.08.23</t>
  </si>
  <si>
    <t>74.H3395.08.28</t>
  </si>
  <si>
    <t>74.H3395.2.23</t>
  </si>
  <si>
    <t>74.H3395.2.28</t>
  </si>
  <si>
    <t>74.H3395.2.43</t>
  </si>
  <si>
    <t>74.H3395.2.54</t>
  </si>
  <si>
    <t>74.H3398.08.23</t>
  </si>
  <si>
    <t>74.H3398.2.23</t>
  </si>
  <si>
    <t>74.H3398.2.28</t>
  </si>
  <si>
    <t>74.H3398.2.43</t>
  </si>
  <si>
    <t>74.H3399.08.23</t>
  </si>
  <si>
    <t>74.H3399.2.42</t>
  </si>
  <si>
    <t>74.H3408.08.23</t>
  </si>
  <si>
    <t>74.H3408.2.23</t>
  </si>
  <si>
    <t>74.H3410.2.23</t>
  </si>
  <si>
    <t>74.H3411.2.23</t>
  </si>
  <si>
    <t>74.H3430.08.23</t>
  </si>
  <si>
    <t>74.H3430.2.23</t>
  </si>
  <si>
    <t>74.H3430.2.28</t>
  </si>
  <si>
    <t>74.H3430.2.43</t>
  </si>
  <si>
    <t>74.H3433.08.23</t>
  </si>
  <si>
    <t>74.H3433.2.23</t>
  </si>
  <si>
    <t>74.H3433.2.28</t>
  </si>
  <si>
    <t>74.H3433.2.43</t>
  </si>
  <si>
    <t>74.H3450.08.23</t>
  </si>
  <si>
    <t>74.H3450.2.23</t>
  </si>
  <si>
    <t>74.H3450.2.28</t>
  </si>
  <si>
    <t>74.H3450.2.43</t>
  </si>
  <si>
    <t>74.H3451.08.23</t>
  </si>
  <si>
    <t>74.H3451.2.23</t>
  </si>
  <si>
    <t>74.H3451.2.28</t>
  </si>
  <si>
    <t>74.H3453.08.23</t>
  </si>
  <si>
    <t>74.H3453.2.23</t>
  </si>
  <si>
    <t>74.H3453.2.28</t>
  </si>
  <si>
    <t>74.H3700.08.23</t>
  </si>
  <si>
    <t>74.H3700.2.23</t>
  </si>
  <si>
    <t>74.H3700.2.28</t>
  </si>
  <si>
    <t>74.H3702.08.23</t>
  </si>
  <si>
    <t>74.H3702.2.23</t>
  </si>
  <si>
    <t>74.H3702.2.28</t>
  </si>
  <si>
    <t>74.H3702.2.43</t>
  </si>
  <si>
    <t>74.H3704.08.23</t>
  </si>
  <si>
    <t>74.H3704.2.23</t>
  </si>
  <si>
    <t>74.H3704.2.28</t>
  </si>
  <si>
    <t>74.H3710.08.23</t>
  </si>
  <si>
    <t>74.H3710.2.23</t>
  </si>
  <si>
    <t>74.H3710.2.43</t>
  </si>
  <si>
    <t>74.H3711.08.23</t>
  </si>
  <si>
    <t>74.H3711.2.23</t>
  </si>
  <si>
    <t>74.H3730.08.23</t>
  </si>
  <si>
    <t>74.H3730.08.28</t>
  </si>
  <si>
    <t>74.H3730.08.43</t>
  </si>
  <si>
    <t>74.H3730.1.5.43</t>
  </si>
  <si>
    <t>74.H3730.2.23</t>
  </si>
  <si>
    <t>74.H3730.2.28</t>
  </si>
  <si>
    <t>74.H3730.2.43</t>
  </si>
  <si>
    <t>74.H3732.08.23</t>
  </si>
  <si>
    <t>74.H3732.2.23</t>
  </si>
  <si>
    <t>74.H3734.08.23</t>
  </si>
  <si>
    <t>74.H3734.08.28</t>
  </si>
  <si>
    <t>74.H3734.2.23</t>
  </si>
  <si>
    <t>74.H3734.2.28</t>
  </si>
  <si>
    <t>74.H3734.2.43</t>
  </si>
  <si>
    <t>74.H3760.2.23</t>
  </si>
  <si>
    <t>74.H3766.08.23</t>
  </si>
  <si>
    <t>74.H3773.2.23</t>
  </si>
  <si>
    <t>74.H3773.2.43</t>
  </si>
  <si>
    <t>74.H3778.2.23</t>
  </si>
  <si>
    <t>74.H3778.2.31</t>
  </si>
  <si>
    <t>74.H3778.2.42</t>
  </si>
  <si>
    <t>74.H3840.08.23</t>
  </si>
  <si>
    <t>74.H3840.2.23</t>
  </si>
  <si>
    <t>74.H3840.2.28</t>
  </si>
  <si>
    <t>74.H3840.2.43</t>
  </si>
  <si>
    <t>74.H3860.08.23</t>
  </si>
  <si>
    <t>74.H3860.1.5.43</t>
  </si>
  <si>
    <t>74.H3860.2.23</t>
  </si>
  <si>
    <t>74.H3991.08.23</t>
  </si>
  <si>
    <t>74.H3991.2.23</t>
  </si>
  <si>
    <t>74.H8906.1.23</t>
  </si>
  <si>
    <t>H8906</t>
  </si>
  <si>
    <t>74.H8955.1.3.23</t>
  </si>
  <si>
    <t>H8955</t>
  </si>
  <si>
    <t>74.H8956.1.3.23</t>
  </si>
  <si>
    <t>H8956</t>
  </si>
  <si>
    <t>74.H8957.1.3.23</t>
  </si>
  <si>
    <t>H8957</t>
  </si>
  <si>
    <t>74.H8958.1.3.23</t>
  </si>
  <si>
    <t>H8958</t>
  </si>
  <si>
    <t>74.H8959.1.3.23</t>
  </si>
  <si>
    <t>H8959</t>
  </si>
  <si>
    <t>74.H8960.1.3.23</t>
  </si>
  <si>
    <t>H8960</t>
  </si>
  <si>
    <t>74.H8961.1.3.23</t>
  </si>
  <si>
    <t>H8961</t>
  </si>
  <si>
    <t>74.HM00.PI.1.23</t>
  </si>
  <si>
    <t>74.HM01.PI.1.23</t>
  </si>
  <si>
    <t>74.HM02.PI.1.23</t>
  </si>
  <si>
    <t>74.HM03.PI.1.23</t>
  </si>
  <si>
    <t>74.HM04.PI.1.23</t>
  </si>
  <si>
    <t>74.HM05.PI.1.23</t>
  </si>
  <si>
    <t>74.HM06.PI.1.23</t>
  </si>
  <si>
    <t>74.HM07.PI.1.23</t>
  </si>
  <si>
    <t>74.HM08.PI.1.23</t>
  </si>
  <si>
    <t>74.K4890.1.45</t>
  </si>
  <si>
    <t>74.K4892.GL.1.45</t>
  </si>
  <si>
    <t>74.KLIENTA.08.23</t>
  </si>
  <si>
    <t>74.KLIENTA.1.23</t>
  </si>
  <si>
    <t>74.KLIENTA.2.23</t>
  </si>
  <si>
    <t>74.KLIENTA.2.28</t>
  </si>
  <si>
    <t>74.KLIENTA.2.43</t>
  </si>
  <si>
    <t>74.LR29.CH.1.23</t>
  </si>
  <si>
    <t>74.LS47.PN.1.23</t>
  </si>
  <si>
    <t>74.LS47.RI.1.23</t>
  </si>
  <si>
    <t>74.LS53.PN.1.23</t>
  </si>
  <si>
    <t>74.LS53.RI.1.23</t>
  </si>
  <si>
    <t>74.LS54.PN.1.23</t>
  </si>
  <si>
    <t>74.LS54.RI.1.23</t>
  </si>
  <si>
    <t>74P.0607.08.23</t>
  </si>
  <si>
    <t>0607</t>
  </si>
  <si>
    <t>74P.1106.08.23</t>
  </si>
  <si>
    <t>74P.1106.08.43</t>
  </si>
  <si>
    <t>74P.1106.GL.1.23</t>
  </si>
  <si>
    <t>74P.1106.GL.1.43</t>
  </si>
  <si>
    <t>74P.1AT.08.23</t>
  </si>
  <si>
    <t>74P.251B.08.23</t>
  </si>
  <si>
    <t>74P.267B.08.23</t>
  </si>
  <si>
    <t>74P.274B.08.23</t>
  </si>
  <si>
    <t>74P.32339.08.23</t>
  </si>
  <si>
    <t>74P.32339.08.43</t>
  </si>
  <si>
    <t>74P.32360.08.23</t>
  </si>
  <si>
    <t>74P.32360.08.43</t>
  </si>
  <si>
    <t>74P.34318.08.23</t>
  </si>
  <si>
    <t>74P.34318.08.43</t>
  </si>
  <si>
    <t>74P.34321.08.23</t>
  </si>
  <si>
    <t>74P.34321.08.43</t>
  </si>
  <si>
    <t>74P.3561W.08.23</t>
  </si>
  <si>
    <t>3561W</t>
  </si>
  <si>
    <t>74P.3561W.0.8.28</t>
  </si>
  <si>
    <t>74P.3561W.2.23</t>
  </si>
  <si>
    <t>74P.3561W.2.28</t>
  </si>
  <si>
    <t>74P.37905.2.23</t>
  </si>
  <si>
    <t>74P.37905.2.43</t>
  </si>
  <si>
    <t>74P.37978.08.23</t>
  </si>
  <si>
    <t>74P.37978.08.43</t>
  </si>
  <si>
    <t>74P.37979.08.23</t>
  </si>
  <si>
    <t>74P.37979.08.43</t>
  </si>
  <si>
    <t>74P.42207.08.23</t>
  </si>
  <si>
    <t>74P.42207.08.43</t>
  </si>
  <si>
    <t>74P.42238.08.23</t>
  </si>
  <si>
    <t>74P.42238.08.43</t>
  </si>
  <si>
    <t>74P.42364.08.23</t>
  </si>
  <si>
    <t>74P.42364.08.43</t>
  </si>
  <si>
    <t>74P.44374.08.23</t>
  </si>
  <si>
    <t>74P.44374.08.43</t>
  </si>
  <si>
    <t>74P.44375.08.23</t>
  </si>
  <si>
    <t>74P.44375.08.43</t>
  </si>
  <si>
    <t>74P.45273.2.23</t>
  </si>
  <si>
    <t>74P.45273.2.43</t>
  </si>
  <si>
    <t>74P.45274.08.23</t>
  </si>
  <si>
    <t>74P.45274.08.43</t>
  </si>
  <si>
    <t>74P.47980.08.23</t>
  </si>
  <si>
    <t>74P.47980.08.43</t>
  </si>
  <si>
    <t>74P.583B.08.23</t>
  </si>
  <si>
    <t>74P.6111.GH.1.23</t>
  </si>
  <si>
    <t>74P.6AS.08.23</t>
  </si>
  <si>
    <t>74P.72Y.08.23</t>
  </si>
  <si>
    <t>74P.73334.1.23</t>
  </si>
  <si>
    <t>74P.8685.08.23</t>
  </si>
  <si>
    <t>74P.8830.1.43</t>
  </si>
  <si>
    <t>74P.91470.04.22</t>
  </si>
  <si>
    <t>74P.91470.08.23</t>
  </si>
  <si>
    <t>74P.91470.08.28</t>
  </si>
  <si>
    <t>74P.91470.08.43</t>
  </si>
  <si>
    <t>74P.91470.2.23</t>
  </si>
  <si>
    <t>74P.91470.2.28</t>
  </si>
  <si>
    <t>74P.9AS.08.23</t>
  </si>
  <si>
    <t>74P.F095.2.64</t>
  </si>
  <si>
    <t>74P.F208.08.23</t>
  </si>
  <si>
    <t>74P.F221.2.43</t>
  </si>
  <si>
    <t>74P.F242.2.43</t>
  </si>
  <si>
    <t>74P.F323.2.43</t>
  </si>
  <si>
    <t>74P.F371.2.43</t>
  </si>
  <si>
    <t>74P.F484.2.43</t>
  </si>
  <si>
    <t>74P.F765.2.43</t>
  </si>
  <si>
    <t>74P.FB02.AR.08.23</t>
  </si>
  <si>
    <t>74P.FB11.AR.2.23</t>
  </si>
  <si>
    <t>74P.FX0032.1.28</t>
  </si>
  <si>
    <t>74P.FX0717.1.28</t>
  </si>
  <si>
    <t>74P.FX0718.1.28</t>
  </si>
  <si>
    <t>74P.FX0719.1.28</t>
  </si>
  <si>
    <t>0719</t>
  </si>
  <si>
    <t>74P.FX0720.1.28</t>
  </si>
  <si>
    <t>74P.FX0724.1.28</t>
  </si>
  <si>
    <t>74P.FX0725.1.28</t>
  </si>
  <si>
    <t>74P.H1115.2.43</t>
  </si>
  <si>
    <t>74P.H1142.2.43</t>
  </si>
  <si>
    <t>74P.H1145.08.54</t>
  </si>
  <si>
    <t>74P.H1227.1.43</t>
  </si>
  <si>
    <t>74P.H1312.2.43</t>
  </si>
  <si>
    <t>74P.H1330.2.43</t>
  </si>
  <si>
    <t>74P.H1330.2.54</t>
  </si>
  <si>
    <t>74P.H1344.2.54</t>
  </si>
  <si>
    <t>74P.H1346.2.43</t>
  </si>
  <si>
    <t>74P.H1385.08.43</t>
  </si>
  <si>
    <t>74P.H1385.2.43</t>
  </si>
  <si>
    <t>74P.H1386.08.43</t>
  </si>
  <si>
    <t>74P.H1555.2.43</t>
  </si>
  <si>
    <t>74P.H1714.2.28</t>
  </si>
  <si>
    <t>74P.H1714.2.43</t>
  </si>
  <si>
    <t>74P.H1715.2.43</t>
  </si>
  <si>
    <t>74P.H3003.2.43</t>
  </si>
  <si>
    <t>74P.H3041.1.43</t>
  </si>
  <si>
    <t>74P.H309.2.43</t>
  </si>
  <si>
    <t>74P.H3156.08.28</t>
  </si>
  <si>
    <t>74P.H3180.1.43</t>
  </si>
  <si>
    <t>74P.H3190.2.43</t>
  </si>
  <si>
    <t>74P.H3398.2.28</t>
  </si>
  <si>
    <t>74P.H3433.2.28</t>
  </si>
  <si>
    <t>74P.H3433.2.43</t>
  </si>
  <si>
    <t>74P.H3700.2.28</t>
  </si>
  <si>
    <t>74P.H3700.2.43</t>
  </si>
  <si>
    <t>74P.H3710.2.28</t>
  </si>
  <si>
    <t>74P.H3730.08.43</t>
  </si>
  <si>
    <t>74P.H3860.2.43</t>
  </si>
  <si>
    <t>74P.K2405.08.23</t>
  </si>
  <si>
    <t>74P.K2405.08.43</t>
  </si>
  <si>
    <t>74P.K4410.08.23</t>
  </si>
  <si>
    <t>74P.K4410.08.43</t>
  </si>
  <si>
    <t>74P.K4946.08.23</t>
  </si>
  <si>
    <t>74P.K4946.08.43</t>
  </si>
  <si>
    <t>74P.K5412.08.23</t>
  </si>
  <si>
    <t>74P.K5412.08.43</t>
  </si>
  <si>
    <t>74P.K5413.08.23</t>
  </si>
  <si>
    <t>74P.K5413.08.43</t>
  </si>
  <si>
    <t>74P.K5574.08.23</t>
  </si>
  <si>
    <t>74P.K5574.08.43</t>
  </si>
  <si>
    <t>74P.K5577.08.23</t>
  </si>
  <si>
    <t>74P.K5577.08.43</t>
  </si>
  <si>
    <t>74P.K5578.08.23</t>
  </si>
  <si>
    <t>74P.K5578.08.43</t>
  </si>
  <si>
    <t>74P.S01.08.23</t>
  </si>
  <si>
    <t>S1.08</t>
  </si>
  <si>
    <t>74P.S08.2.43</t>
  </si>
  <si>
    <t>S08</t>
  </si>
  <si>
    <t>74P.S15.08.23</t>
  </si>
  <si>
    <t>74P.S20.08.23</t>
  </si>
  <si>
    <t>74P.S23.08.23</t>
  </si>
  <si>
    <t>74P.S24.08.23</t>
  </si>
  <si>
    <t>74P.S24.08.43</t>
  </si>
  <si>
    <t>74P.U115.08.28</t>
  </si>
  <si>
    <t>74P.U216.2.28</t>
  </si>
  <si>
    <t>74P.U337.2.23</t>
  </si>
  <si>
    <t>74P.U540.08.28</t>
  </si>
  <si>
    <t>74P.U604.PM.08.23</t>
  </si>
  <si>
    <t>74P.U630.2.28</t>
  </si>
  <si>
    <t>74P.U665.2.43</t>
  </si>
  <si>
    <t>74P.U702.PM.1.43</t>
  </si>
  <si>
    <t>74P.U708.08.23</t>
  </si>
  <si>
    <t>74P.U708.2.23</t>
  </si>
  <si>
    <t>74P.U727.PM.1.23</t>
  </si>
  <si>
    <t>74P.U727.PM.1.43</t>
  </si>
  <si>
    <t>U727STPM</t>
  </si>
  <si>
    <t>74P.U763.2.28</t>
  </si>
  <si>
    <t>74P.U899.2.28</t>
  </si>
  <si>
    <t>74P.U961.08.23</t>
  </si>
  <si>
    <t>74P.U968.2.43</t>
  </si>
  <si>
    <t>74P.U998.ST38.2.43</t>
  </si>
  <si>
    <t>U998</t>
  </si>
  <si>
    <t>74P.U998.ST38.2.54</t>
  </si>
  <si>
    <t>74P.U999.PM.1.23</t>
  </si>
  <si>
    <t>74P.U999.PM.1.43</t>
  </si>
  <si>
    <t>U999 PM</t>
  </si>
  <si>
    <t>74P.W1000.08.28</t>
  </si>
  <si>
    <t>74P.W1000.2.43</t>
  </si>
  <si>
    <t>74P.W1200.2.28</t>
  </si>
  <si>
    <t>74P.W960.2.28</t>
  </si>
  <si>
    <t>74P.W960.SM.08.43</t>
  </si>
  <si>
    <t>74P.W980.04.22</t>
  </si>
  <si>
    <t>74P.W980.08.23</t>
  </si>
  <si>
    <t>74.Q1180.08.23</t>
  </si>
  <si>
    <t>Q1180</t>
  </si>
  <si>
    <t>74.Q1180.1.5.43</t>
  </si>
  <si>
    <t>74.Q1181.1.5.43</t>
  </si>
  <si>
    <t>74.Q1344.1.5.43</t>
  </si>
  <si>
    <t>74.Q1379.08.23</t>
  </si>
  <si>
    <t>74.Q3309.1.5.43</t>
  </si>
  <si>
    <t>74.Q3325.08.23</t>
  </si>
  <si>
    <t>74.Q3325.1.5.43</t>
  </si>
  <si>
    <t>74.Q3326.08.23</t>
  </si>
  <si>
    <t>74.Q3760.08.23</t>
  </si>
  <si>
    <t>74R.3617W.1.23</t>
  </si>
  <si>
    <t>3617W</t>
  </si>
  <si>
    <t>74R.F093.2.43</t>
  </si>
  <si>
    <t>74R.F104.2.43</t>
  </si>
  <si>
    <t>74R.F120.PM.1.23</t>
  </si>
  <si>
    <t>F120PM</t>
  </si>
  <si>
    <t>74R.F148.2.43</t>
  </si>
  <si>
    <t>74R.F160.2.43</t>
  </si>
  <si>
    <t>74R.F166.2.43</t>
  </si>
  <si>
    <t>74R.F186.1.23</t>
  </si>
  <si>
    <t>74R.F186.2.23</t>
  </si>
  <si>
    <t>74R.F186.2.28</t>
  </si>
  <si>
    <t>74R.F187.1.23</t>
  </si>
  <si>
    <t>74R.F187.2.23</t>
  </si>
  <si>
    <t>74R.F204.1.23</t>
  </si>
  <si>
    <t>74R.F204.2.23</t>
  </si>
  <si>
    <t>74R.F206.1.23</t>
  </si>
  <si>
    <t>74R.F206.2.23</t>
  </si>
  <si>
    <t>74R.F206.PG.1.2.23</t>
  </si>
  <si>
    <t>F206PG</t>
  </si>
  <si>
    <t>74R.F206.PM.1.23</t>
  </si>
  <si>
    <t>74R.F221.2.43</t>
  </si>
  <si>
    <t>74R.F243.2.23</t>
  </si>
  <si>
    <t>74R.F256.2.43</t>
  </si>
  <si>
    <t>74R.F274.2.43</t>
  </si>
  <si>
    <t>74R.F275.2.43</t>
  </si>
  <si>
    <t>74R.F292.2.43</t>
  </si>
  <si>
    <t>74R.F302.1.23</t>
  </si>
  <si>
    <t>74R.F302.2.23</t>
  </si>
  <si>
    <t>74R.F302.2.28</t>
  </si>
  <si>
    <t>74R.F311.2.43</t>
  </si>
  <si>
    <t>74R.F323.1.23</t>
  </si>
  <si>
    <t>74R.F323.2.23</t>
  </si>
  <si>
    <t>74R.F385.2.43</t>
  </si>
  <si>
    <t>74R.F416.1.23</t>
  </si>
  <si>
    <t>74R.F416.2.23</t>
  </si>
  <si>
    <t>74R.F416.2.28</t>
  </si>
  <si>
    <t>74R.F425.1.23</t>
  </si>
  <si>
    <t>74R.F425.2.23</t>
  </si>
  <si>
    <t>74R.F425.2.28</t>
  </si>
  <si>
    <t>74R.F433.1.23</t>
  </si>
  <si>
    <t>74R.F433.2.23</t>
  </si>
  <si>
    <t>74R.F501.1.23</t>
  </si>
  <si>
    <t>74R.F501.2.23</t>
  </si>
  <si>
    <t>74R.F501.2.28</t>
  </si>
  <si>
    <t>74R.F502.2.43</t>
  </si>
  <si>
    <t>74R.F509.1.23</t>
  </si>
  <si>
    <t>74R.F509.2.23</t>
  </si>
  <si>
    <t>74R.F509.2.28</t>
  </si>
  <si>
    <t>74R.F528.1.23</t>
  </si>
  <si>
    <t>74R.F528.2.23</t>
  </si>
  <si>
    <t>74R.F570.1.23</t>
  </si>
  <si>
    <t>74R.F570.2.23</t>
  </si>
  <si>
    <t>74R.F571.1.23</t>
  </si>
  <si>
    <t>74R.F571.2.23</t>
  </si>
  <si>
    <t>74R.F637.1.23</t>
  </si>
  <si>
    <t>74R.F637.2.23</t>
  </si>
  <si>
    <t>74R.F641.2.43</t>
  </si>
  <si>
    <t>74R.F642.1.23</t>
  </si>
  <si>
    <t>74R.F642.2.23</t>
  </si>
  <si>
    <t>74R.F649.1.23</t>
  </si>
  <si>
    <t>74R.F649.2.23</t>
  </si>
  <si>
    <t>74R.F651.1.23</t>
  </si>
  <si>
    <t>74R.F651.2.23</t>
  </si>
  <si>
    <t>74R.F765.1.23</t>
  </si>
  <si>
    <t>74R.F765.2.23</t>
  </si>
  <si>
    <t>74R.F800.1.23</t>
  </si>
  <si>
    <t>74R.F800.2.23</t>
  </si>
  <si>
    <t>74R.F812.1.23</t>
  </si>
  <si>
    <t>74R.F812.2.23</t>
  </si>
  <si>
    <t>74R.F812.PG.1.2.23</t>
  </si>
  <si>
    <t>74R.F812.PM.1.23</t>
  </si>
  <si>
    <t>74R.FX0032.1.2.28</t>
  </si>
  <si>
    <t>74R.FX0717.1.2.28</t>
  </si>
  <si>
    <t>74R.FX0718.1.2.28</t>
  </si>
  <si>
    <t>74R.FX0720.1.2.28</t>
  </si>
  <si>
    <t>74R.FX0724.1.2.28</t>
  </si>
  <si>
    <t>74R.FX0725.1.2.28</t>
  </si>
  <si>
    <t>74R.FX0748.1.2.28</t>
  </si>
  <si>
    <t>74R.FX0749.1.2.23</t>
  </si>
  <si>
    <t>0749</t>
  </si>
  <si>
    <t>74R.FX0752.1.2.28</t>
  </si>
  <si>
    <t>0752</t>
  </si>
  <si>
    <t>74R.FX0794.1.2.28</t>
  </si>
  <si>
    <t>74R.H1101.1.23</t>
  </si>
  <si>
    <t>74R.H1101.2.23</t>
  </si>
  <si>
    <t>74R.H1101.2.28</t>
  </si>
  <si>
    <t>74R.H1113.1.23</t>
  </si>
  <si>
    <t>74R.H1113.2.23</t>
  </si>
  <si>
    <t>74R.H1114.1.23</t>
  </si>
  <si>
    <t>74R.H1114.2.23</t>
  </si>
  <si>
    <t>74R.H1115.1.23</t>
  </si>
  <si>
    <t>74R.H1115.2.23</t>
  </si>
  <si>
    <t>74R.H1122.1.23</t>
  </si>
  <si>
    <t>74R.H1122.2.23</t>
  </si>
  <si>
    <t>74R.H1122.2.28</t>
  </si>
  <si>
    <t>74R.H1123.1.23</t>
  </si>
  <si>
    <t>74R.H1123.2.23</t>
  </si>
  <si>
    <t>74R.H1123.2.28</t>
  </si>
  <si>
    <t>74R.H1137.1.23</t>
  </si>
  <si>
    <t>74R.H1137.2.23</t>
  </si>
  <si>
    <t>74R.H1137.2.28</t>
  </si>
  <si>
    <t>74R.H1142.1.23</t>
  </si>
  <si>
    <t>74R.H1142.2.23</t>
  </si>
  <si>
    <t>74R.H1145.1.23</t>
  </si>
  <si>
    <t>74R.H1145.2.23</t>
  </si>
  <si>
    <t>74R.H1145.2.28</t>
  </si>
  <si>
    <t>74R.H1145.2.43</t>
  </si>
  <si>
    <t>74R.H1146.1.23</t>
  </si>
  <si>
    <t>74R.H1146.2.23</t>
  </si>
  <si>
    <t>74R.H1146.2.28</t>
  </si>
  <si>
    <t>74R.H1151.1.23</t>
  </si>
  <si>
    <t>74R.H1151.2.23</t>
  </si>
  <si>
    <t>74R.H1176.1.23</t>
  </si>
  <si>
    <t>74R.H1176.2.23</t>
  </si>
  <si>
    <t>74R.H1180.1.23</t>
  </si>
  <si>
    <t>74R.H1180.2.23</t>
  </si>
  <si>
    <t>74R.H1180.2.43</t>
  </si>
  <si>
    <t>74R.H1181.1.23</t>
  </si>
  <si>
    <t>74R.H1181.2.23</t>
  </si>
  <si>
    <t>74R.H1181.2.43</t>
  </si>
  <si>
    <t>74R.H1186.1.23</t>
  </si>
  <si>
    <t>74R.H1199.1.23</t>
  </si>
  <si>
    <t>74R.H1199.2.23</t>
  </si>
  <si>
    <t>74R.H1199.2.28</t>
  </si>
  <si>
    <t>74R.H1204.1.23</t>
  </si>
  <si>
    <t>74R.H1210.1.23</t>
  </si>
  <si>
    <t>74R.H1210.2.23</t>
  </si>
  <si>
    <t>74R.H1210.2.28</t>
  </si>
  <si>
    <t>74R.H1212.1.23</t>
  </si>
  <si>
    <t>74R.H1212.2.23</t>
  </si>
  <si>
    <t>74R.H1213.1.23</t>
  </si>
  <si>
    <t>74R.H1213.2.23</t>
  </si>
  <si>
    <t>74R.H1223.1.23</t>
  </si>
  <si>
    <t>74R.H1223.2.23</t>
  </si>
  <si>
    <t>74R.H1223.2.28</t>
  </si>
  <si>
    <t>74R.H1225.1.23</t>
  </si>
  <si>
    <t>74R.H1225.2.23</t>
  </si>
  <si>
    <t>74R.H1227.1.23</t>
  </si>
  <si>
    <t>74R.H1242.1.23</t>
  </si>
  <si>
    <t>74R.H1242.2.23</t>
  </si>
  <si>
    <t>74R.H1250.1.23</t>
  </si>
  <si>
    <t>74R.H1250.2.23</t>
  </si>
  <si>
    <t>74R.H1251.1.23</t>
  </si>
  <si>
    <t>74R.H1251.2.23</t>
  </si>
  <si>
    <t>74R.H1253.1.23</t>
  </si>
  <si>
    <t>74R.H1253.2.23</t>
  </si>
  <si>
    <t>74R.H1253.2.28</t>
  </si>
  <si>
    <t>74R.H1253.2.43</t>
  </si>
  <si>
    <t>74R.H1277.1.23</t>
  </si>
  <si>
    <t>74R.H1277.2.23</t>
  </si>
  <si>
    <t>74R.H1277.2.28</t>
  </si>
  <si>
    <t>74R.H1303.1.23</t>
  </si>
  <si>
    <t>74R.H1303.2.23</t>
  </si>
  <si>
    <t>74R.H1307.1.23</t>
  </si>
  <si>
    <t>74R.H1307.2.23</t>
  </si>
  <si>
    <t>74R.H1312.1.23</t>
  </si>
  <si>
    <t>74R.H1312.2.23</t>
  </si>
  <si>
    <t>74R.H1313.1.23</t>
  </si>
  <si>
    <t>74R.H1313.2.23</t>
  </si>
  <si>
    <t>74R.H1318.1.23</t>
  </si>
  <si>
    <t>74R.H1318.2.23</t>
  </si>
  <si>
    <t>74R.H1330.1.23</t>
  </si>
  <si>
    <t>74R.H1330.2.23</t>
  </si>
  <si>
    <t>74R.H1334.1.23</t>
  </si>
  <si>
    <t>74R.H1334.2.23</t>
  </si>
  <si>
    <t>74R.H1334.2.28</t>
  </si>
  <si>
    <t>74R.H1334.2.43</t>
  </si>
  <si>
    <t>74R.H1344.1.23</t>
  </si>
  <si>
    <t>74R.H1344.2.23</t>
  </si>
  <si>
    <t>74R.H1345.1.23</t>
  </si>
  <si>
    <t>74R.H1345.2.23</t>
  </si>
  <si>
    <t>74R.H1346.1.23</t>
  </si>
  <si>
    <t>74R.H1346.2.23</t>
  </si>
  <si>
    <t>74R.H1362.1.23</t>
  </si>
  <si>
    <t>74R.H1362.2.23</t>
  </si>
  <si>
    <t>74R.H1367.1.23</t>
  </si>
  <si>
    <t>74R.H1367.2.23</t>
  </si>
  <si>
    <t>74R.H1372.1.23</t>
  </si>
  <si>
    <t>74R.H1372.2.23</t>
  </si>
  <si>
    <t>74R.H1372.2.28</t>
  </si>
  <si>
    <t>74R.H1377.1.23</t>
  </si>
  <si>
    <t>74R.H1377.2.23</t>
  </si>
  <si>
    <t>74R.H1379.1.23</t>
  </si>
  <si>
    <t>74R.H1379.2.23</t>
  </si>
  <si>
    <t>74R.H1385.1.23</t>
  </si>
  <si>
    <t>74R.H1385.2.23</t>
  </si>
  <si>
    <t>74R.H1386.1.23</t>
  </si>
  <si>
    <t>74R.H1386.2.23</t>
  </si>
  <si>
    <t>74R.H1386.2.28</t>
  </si>
  <si>
    <t>74R.H1387.1.23</t>
  </si>
  <si>
    <t>74R.H1387.2.23</t>
  </si>
  <si>
    <t>74R.H1387.2.28</t>
  </si>
  <si>
    <t>74R.H1394.1.23</t>
  </si>
  <si>
    <t>74R.H1394.2.23</t>
  </si>
  <si>
    <t>74R.H1394.2.28</t>
  </si>
  <si>
    <t>74R.H1399.1.23</t>
  </si>
  <si>
    <t>74R.H1399.2.23</t>
  </si>
  <si>
    <t>74R.H1400.1.23</t>
  </si>
  <si>
    <t>74R.H1400.2.23</t>
  </si>
  <si>
    <t>74R.H1401.1.23</t>
  </si>
  <si>
    <t>74R.H1401.2.23</t>
  </si>
  <si>
    <t>74R.H1424.1.23</t>
  </si>
  <si>
    <t>74R.H1424.2.23</t>
  </si>
  <si>
    <t>74R.H1424.2.28</t>
  </si>
  <si>
    <t>74R.H1428.1.23</t>
  </si>
  <si>
    <t>74R.H1428.2.23</t>
  </si>
  <si>
    <t>74R.H1428.2.28</t>
  </si>
  <si>
    <t>74R.H1444.1.23</t>
  </si>
  <si>
    <t>74R.H1444.2.23</t>
  </si>
  <si>
    <t>74R.H1474.1.23</t>
  </si>
  <si>
    <t>74R.H1474.2.23</t>
  </si>
  <si>
    <t>74R.H1476.1.23</t>
  </si>
  <si>
    <t>74R.H1476.2.23</t>
  </si>
  <si>
    <t>74R.H1476.2.28</t>
  </si>
  <si>
    <t>74R.H1484.1.23</t>
  </si>
  <si>
    <t>74R.H1484.2.23</t>
  </si>
  <si>
    <t>74R.H1484.2.28</t>
  </si>
  <si>
    <t>74R.H1486.1.23</t>
  </si>
  <si>
    <t>74R.H1486.2.23</t>
  </si>
  <si>
    <t>74R.H1487.1.23</t>
  </si>
  <si>
    <t>74R.H1487.2.23</t>
  </si>
  <si>
    <t>74R.H1511.1.23</t>
  </si>
  <si>
    <t>74R.H1511.2.23</t>
  </si>
  <si>
    <t>74R.H1555.1.23</t>
  </si>
  <si>
    <t>74R.H1555.2.28</t>
  </si>
  <si>
    <t>74R.H1582.1.23</t>
  </si>
  <si>
    <t>74R.H1582.2.23</t>
  </si>
  <si>
    <t>74R.H1582.2.28</t>
  </si>
  <si>
    <t>74R.H1599.1.23</t>
  </si>
  <si>
    <t>74R.H1599.2.23</t>
  </si>
  <si>
    <t>74R.H1599.2.28</t>
  </si>
  <si>
    <t>74R.H1615.1.23</t>
  </si>
  <si>
    <t>74R.H1615.2.23</t>
  </si>
  <si>
    <t>74R.H1615.2.28</t>
  </si>
  <si>
    <t>74R.H1636.1.23</t>
  </si>
  <si>
    <t>74R.H1636.2.23</t>
  </si>
  <si>
    <t>74R.H1698.2.23</t>
  </si>
  <si>
    <t>74R.H1709.1.23</t>
  </si>
  <si>
    <t>74R.H1709.2.23</t>
  </si>
  <si>
    <t>74R.H1710.1.23</t>
  </si>
  <si>
    <t>74R.H1710.2.23</t>
  </si>
  <si>
    <t>74R.H1714.1.23</t>
  </si>
  <si>
    <t>74R.H1714.2.23</t>
  </si>
  <si>
    <t>74R.H1715.1.23</t>
  </si>
  <si>
    <t>74R.H1715.2.23</t>
  </si>
  <si>
    <t>74R.H1715.2.28</t>
  </si>
  <si>
    <t>74R.H1732.1.23</t>
  </si>
  <si>
    <t>74R.H1732.2.23</t>
  </si>
  <si>
    <t>74R.H1732.2.28</t>
  </si>
  <si>
    <t>74R.H1733.1.23</t>
  </si>
  <si>
    <t>74R.H1733.2.23</t>
  </si>
  <si>
    <t>74R.H1733.2.28</t>
  </si>
  <si>
    <t>74R.H1733.2.43</t>
  </si>
  <si>
    <t>74R.H1760.1.23</t>
  </si>
  <si>
    <t>74R.H1887.1.23</t>
  </si>
  <si>
    <t>74R.H1887.2.23</t>
  </si>
  <si>
    <t>74R.H1910.1.23</t>
  </si>
  <si>
    <t>74R.H1910.2.23</t>
  </si>
  <si>
    <t>74R.H1910.2.28</t>
  </si>
  <si>
    <t>74R.H2033.1.23</t>
  </si>
  <si>
    <t>74R.H2033.2.23</t>
  </si>
  <si>
    <t>74R.H3003.1.23</t>
  </si>
  <si>
    <t>74R.H3003.2.23</t>
  </si>
  <si>
    <t>74R.H3005.1.23</t>
  </si>
  <si>
    <t>74R.H3005.2.23</t>
  </si>
  <si>
    <t>74R.H3006.1.23</t>
  </si>
  <si>
    <t>74R.H3006.2.23</t>
  </si>
  <si>
    <t>74R.H3006.2.28</t>
  </si>
  <si>
    <t>74R.H3012.1.23</t>
  </si>
  <si>
    <t>74R.H3012.2.23</t>
  </si>
  <si>
    <t>74R.H3012.2.28</t>
  </si>
  <si>
    <t>74R.H3041.1.23</t>
  </si>
  <si>
    <t>74R.H3043.1.23</t>
  </si>
  <si>
    <t>74R.H3043.2.23</t>
  </si>
  <si>
    <t>74R.H3047.1.23</t>
  </si>
  <si>
    <t>74R.H3047.2.23</t>
  </si>
  <si>
    <t>74R.H3048.1.23</t>
  </si>
  <si>
    <t>74R.H3048.2.23</t>
  </si>
  <si>
    <t>74R.H305.1.23</t>
  </si>
  <si>
    <t>74R.H305.2.23</t>
  </si>
  <si>
    <t>74R.H3058.1.23</t>
  </si>
  <si>
    <t>74R.H3058.2.23</t>
  </si>
  <si>
    <t>74R.H3058.2.28</t>
  </si>
  <si>
    <t>74R.H3070.1.23</t>
  </si>
  <si>
    <t>74R.H3070.2.23</t>
  </si>
  <si>
    <t>74R.H3070.2.28</t>
  </si>
  <si>
    <t>74R.H3078.1.23</t>
  </si>
  <si>
    <t>74R.H3078.2.23</t>
  </si>
  <si>
    <t>74R.H3080.1.23</t>
  </si>
  <si>
    <t>74R.H3080.2.23</t>
  </si>
  <si>
    <t>74R.H3081.1.23</t>
  </si>
  <si>
    <t>74R.H3081.2.23</t>
  </si>
  <si>
    <t>74R.H3081.2.28</t>
  </si>
  <si>
    <t>74R.H3090.1.23</t>
  </si>
  <si>
    <t>74R.H3090.2.23</t>
  </si>
  <si>
    <t>74R.H309.1.23</t>
  </si>
  <si>
    <t>74R.H309.2.23</t>
  </si>
  <si>
    <t>74R.H3113.1.23</t>
  </si>
  <si>
    <t>74R.H3113.2.23</t>
  </si>
  <si>
    <t>74R.H3114.1.23</t>
  </si>
  <si>
    <t>74R.H3114.2.23</t>
  </si>
  <si>
    <t>74R.H3131.1.23</t>
  </si>
  <si>
    <t>74R.H3131.2.23</t>
  </si>
  <si>
    <t>74R.H3133.1.23</t>
  </si>
  <si>
    <t>74R.H3133.2.23</t>
  </si>
  <si>
    <t>74R.H3133.2.28</t>
  </si>
  <si>
    <t>74R.H3133.2.43</t>
  </si>
  <si>
    <t>74R.H3146.1.23</t>
  </si>
  <si>
    <t>74R.H3146.2.23</t>
  </si>
  <si>
    <t>74R.H3149.1.23</t>
  </si>
  <si>
    <t>74R.H3152.1.23</t>
  </si>
  <si>
    <t>74R.H3152.2.23</t>
  </si>
  <si>
    <t>74R.H3154.1.23</t>
  </si>
  <si>
    <t>74R.H3154.2.23</t>
  </si>
  <si>
    <t>74R.H3154.2.28</t>
  </si>
  <si>
    <t>74R.H3154.2.43</t>
  </si>
  <si>
    <t>74R.H3156.1.23</t>
  </si>
  <si>
    <t>74R.H3156.2.23</t>
  </si>
  <si>
    <t>74R.H3156.2.28</t>
  </si>
  <si>
    <t>74R.H3157.1.23</t>
  </si>
  <si>
    <t>74R.H3157.2.23</t>
  </si>
  <si>
    <t>74R.H3157.2.28</t>
  </si>
  <si>
    <t>74R.H3170.1.23</t>
  </si>
  <si>
    <t>74R.H3170.2.23</t>
  </si>
  <si>
    <t>74R.H3170.2.28</t>
  </si>
  <si>
    <t>74R.H3176.1.23</t>
  </si>
  <si>
    <t>74R.H3176.2.23</t>
  </si>
  <si>
    <t>74R.H3178.1.23</t>
  </si>
  <si>
    <t>74R.H3178.2.23</t>
  </si>
  <si>
    <t>74R.H3180.1.23</t>
  </si>
  <si>
    <t>74R.H3190.1.23</t>
  </si>
  <si>
    <t>74R.H3190.2.23</t>
  </si>
  <si>
    <t>74R.H3192.1.23</t>
  </si>
  <si>
    <t>74R.H3192.2.23</t>
  </si>
  <si>
    <t>74R.H3192.2.28</t>
  </si>
  <si>
    <t>74R.H3195.1.23</t>
  </si>
  <si>
    <t>74R.H3195.2.23</t>
  </si>
  <si>
    <t>74R.H3197.1.23</t>
  </si>
  <si>
    <t>74R.H3197.2.23</t>
  </si>
  <si>
    <t>74R.H3198.1.23</t>
  </si>
  <si>
    <t>74R.H3198.2.23</t>
  </si>
  <si>
    <t>74R.H3303.1.23</t>
  </si>
  <si>
    <t>74R.H3303.2.23</t>
  </si>
  <si>
    <t>74R.H3303.2.28</t>
  </si>
  <si>
    <t>74R.H3303.2.43</t>
  </si>
  <si>
    <t>74R.H3304.1.23</t>
  </si>
  <si>
    <t>74R.H3304.2.23</t>
  </si>
  <si>
    <t>74R.H3304.2.28</t>
  </si>
  <si>
    <t>74R.H3306.1.23</t>
  </si>
  <si>
    <t>74R.H3306.2.23</t>
  </si>
  <si>
    <t>74R.H3306.2.28</t>
  </si>
  <si>
    <t>74R.H3309.1.23</t>
  </si>
  <si>
    <t>74R.H3309.2.23</t>
  </si>
  <si>
    <t>74R.H3311.1.23</t>
  </si>
  <si>
    <t>74R.H3317.1.23</t>
  </si>
  <si>
    <t>74R.H3317.2.23</t>
  </si>
  <si>
    <t>74R.H3325.1.23</t>
  </si>
  <si>
    <t>74R.H3325.2.23</t>
  </si>
  <si>
    <t>74R.H3326.1.23</t>
  </si>
  <si>
    <t>74R.H3326.2.23</t>
  </si>
  <si>
    <t>74R.H3326.2.28</t>
  </si>
  <si>
    <t>74R.H3330.1.23</t>
  </si>
  <si>
    <t>74R.H3330.2.23</t>
  </si>
  <si>
    <t>74R.H3331.1.23</t>
  </si>
  <si>
    <t>74R.H3331.2.23</t>
  </si>
  <si>
    <t>74R.H3331.2.28</t>
  </si>
  <si>
    <t>74R.H3331.2.43</t>
  </si>
  <si>
    <t>74R.H3342.1.23</t>
  </si>
  <si>
    <t>74R.H3342.2.23</t>
  </si>
  <si>
    <t>74R.H3342.2.28</t>
  </si>
  <si>
    <t>74R.H3359.1.23</t>
  </si>
  <si>
    <t>74R.H3359.2.23</t>
  </si>
  <si>
    <t>74R.H3370.2.23</t>
  </si>
  <si>
    <t>74R.H3370.2.28</t>
  </si>
  <si>
    <t>74R.H3389.1.23</t>
  </si>
  <si>
    <t>74R.H3389.2.23</t>
  </si>
  <si>
    <t>74R.H3389.2.28</t>
  </si>
  <si>
    <t>74R.H3395.1.23</t>
  </si>
  <si>
    <t>74R.H3395.2.23</t>
  </si>
  <si>
    <t>74R.H3395.2.28</t>
  </si>
  <si>
    <t>74R.H3398.1.23</t>
  </si>
  <si>
    <t>74R.H3398.2.23</t>
  </si>
  <si>
    <t>74R.H3399.2.23</t>
  </si>
  <si>
    <t>74R.H3408.1.23</t>
  </si>
  <si>
    <t>74R.H3408.2.23</t>
  </si>
  <si>
    <t>74R.H3430.1.23</t>
  </si>
  <si>
    <t>74R.H3430.2.23</t>
  </si>
  <si>
    <t>74R.H3430.2.28</t>
  </si>
  <si>
    <t>74R.H3433.1.23</t>
  </si>
  <si>
    <t>74R.H3433.2.23</t>
  </si>
  <si>
    <t>74R.H3450.1.23</t>
  </si>
  <si>
    <t>74R.H3450.2.23</t>
  </si>
  <si>
    <t>74R.H3450.2.28</t>
  </si>
  <si>
    <t>74R.H3451.1.23</t>
  </si>
  <si>
    <t>74R.H3451.2.23</t>
  </si>
  <si>
    <t>74R.H3451.2.28</t>
  </si>
  <si>
    <t>74R.H3453.1.23</t>
  </si>
  <si>
    <t>74R.H3453.2.23</t>
  </si>
  <si>
    <t>74R.H3453.2.28</t>
  </si>
  <si>
    <t>74R.H3700.1.23</t>
  </si>
  <si>
    <t>74R.H3700.2.23</t>
  </si>
  <si>
    <t>74R.H3702.1.23</t>
  </si>
  <si>
    <t>74R.H3702.2.23</t>
  </si>
  <si>
    <t>74R.H3702.2.28</t>
  </si>
  <si>
    <t>74R.H3704.1.23</t>
  </si>
  <si>
    <t>74R.H3704.2.23</t>
  </si>
  <si>
    <t>74R.H3704.2.28</t>
  </si>
  <si>
    <t>74R.H3704.2.43</t>
  </si>
  <si>
    <t>74R.H3710.1.23</t>
  </si>
  <si>
    <t>74R.H3710.2.23</t>
  </si>
  <si>
    <t>74R.H3711.1.23</t>
  </si>
  <si>
    <t>74R.H3711.2.23</t>
  </si>
  <si>
    <t>74R.H3730.1.23</t>
  </si>
  <si>
    <t>74R.H3730.2.23</t>
  </si>
  <si>
    <t>74R.H3730.2.28</t>
  </si>
  <si>
    <t>74R.H3730.2.43</t>
  </si>
  <si>
    <t>74R.H3732.1.23</t>
  </si>
  <si>
    <t>74R.H3732.2.23</t>
  </si>
  <si>
    <t>74R.H3734.1.23</t>
  </si>
  <si>
    <t>74R.H3734.2.23</t>
  </si>
  <si>
    <t>74R.H3734.2.28</t>
  </si>
  <si>
    <t>74R.H3760.1.23</t>
  </si>
  <si>
    <t>74R.H3760.2.23</t>
  </si>
  <si>
    <t>74R.H3773.1.23</t>
  </si>
  <si>
    <t>74R.H3773.2.23</t>
  </si>
  <si>
    <t>74R.H3778.2.23</t>
  </si>
  <si>
    <t>74R.H3778.2.28</t>
  </si>
  <si>
    <t>74R.H3840.1.23</t>
  </si>
  <si>
    <t>74R.H3840.2.23</t>
  </si>
  <si>
    <t>74R.H3840.2.28</t>
  </si>
  <si>
    <t>74R.H3860.1.23</t>
  </si>
  <si>
    <t>74R.H3860.2.23</t>
  </si>
  <si>
    <t>74R.H3991.1.23</t>
  </si>
  <si>
    <t>74R.H3991.2.23</t>
  </si>
  <si>
    <t>74.RP.FX0030.1.28</t>
  </si>
  <si>
    <t>74R.U104.1.23</t>
  </si>
  <si>
    <t>74R.U104.2.23</t>
  </si>
  <si>
    <t>74R.U104.2.28</t>
  </si>
  <si>
    <t>74R.U104.ST15.1.23</t>
  </si>
  <si>
    <t>U104ST15</t>
  </si>
  <si>
    <t>74R.U104.ST15.2.23</t>
  </si>
  <si>
    <t>74R.U104.ST15.2.28</t>
  </si>
  <si>
    <t>74R.U108.1.23</t>
  </si>
  <si>
    <t>74R.U108.2.23</t>
  </si>
  <si>
    <t>74R.U113.1.23</t>
  </si>
  <si>
    <t>74R.U113.2.23</t>
  </si>
  <si>
    <t>74R.U113.2.28</t>
  </si>
  <si>
    <t>74R.U114.1.23</t>
  </si>
  <si>
    <t>74R.U114.ST15.2.23</t>
  </si>
  <si>
    <t>U114ST15</t>
  </si>
  <si>
    <t>74R.U115.1.23</t>
  </si>
  <si>
    <t>74R.U115.2.23</t>
  </si>
  <si>
    <t>74R.U115.2.28</t>
  </si>
  <si>
    <t>74R.U125.1.23</t>
  </si>
  <si>
    <t>74R.U125.2.23</t>
  </si>
  <si>
    <t>74R.U131.1.23</t>
  </si>
  <si>
    <t>74R.U131.2.23</t>
  </si>
  <si>
    <t>74R.U156.1.23</t>
  </si>
  <si>
    <t>74R.U156.2.23</t>
  </si>
  <si>
    <t>74R.U156.2.28</t>
  </si>
  <si>
    <t>74R.U163.1.23</t>
  </si>
  <si>
    <t>74R.U163.2.23</t>
  </si>
  <si>
    <t>74R.U200.1.23</t>
  </si>
  <si>
    <t>74R.U200.2.23</t>
  </si>
  <si>
    <t>74R.U201.1.23</t>
  </si>
  <si>
    <t>74R.U201.2.23</t>
  </si>
  <si>
    <t>74R.U201.PM.1.23</t>
  </si>
  <si>
    <t>74R.U201.ST19.1.23</t>
  </si>
  <si>
    <t>74R.U201.ST19.2.23</t>
  </si>
  <si>
    <t>74R.U204.2.23</t>
  </si>
  <si>
    <t>74R.U206.2.23</t>
  </si>
  <si>
    <t>74R.U206.2.28</t>
  </si>
  <si>
    <t>74R.U211.1.23</t>
  </si>
  <si>
    <t>74R.U211.2.23</t>
  </si>
  <si>
    <t>74R.U211.PM.1.23</t>
  </si>
  <si>
    <t>74R.U216.1.23</t>
  </si>
  <si>
    <t>74R.U216.2.23</t>
  </si>
  <si>
    <t>74R.U222.1.23</t>
  </si>
  <si>
    <t>74R.U222.2.23</t>
  </si>
  <si>
    <t>74R.U222.2.28</t>
  </si>
  <si>
    <t>74R.U222.PM.1.23</t>
  </si>
  <si>
    <t>U222PM</t>
  </si>
  <si>
    <t>74R.U311.1.23</t>
  </si>
  <si>
    <t>74R.U311.2.23</t>
  </si>
  <si>
    <t>74R.U311.ST15.2.23</t>
  </si>
  <si>
    <t>U311ST15</t>
  </si>
  <si>
    <t>74R.U317.2.23</t>
  </si>
  <si>
    <t>74R.U321.1.23</t>
  </si>
  <si>
    <t>74R.U321.2.23</t>
  </si>
  <si>
    <t>74R.U321.ST15.2.23</t>
  </si>
  <si>
    <t>U321ST15</t>
  </si>
  <si>
    <t>74R.U323.1.23</t>
  </si>
  <si>
    <t>74R.U323.2.23</t>
  </si>
  <si>
    <t>74R.U323.PG.1.5.23</t>
  </si>
  <si>
    <t>U323PG</t>
  </si>
  <si>
    <t>74R.U325.1.23</t>
  </si>
  <si>
    <t>74R.U325.2.23</t>
  </si>
  <si>
    <t>74R.U332.1.23</t>
  </si>
  <si>
    <t>74R.U332.2.23</t>
  </si>
  <si>
    <t>74R.U335.1.23</t>
  </si>
  <si>
    <t>74R.U335.2.23</t>
  </si>
  <si>
    <t>74R.U337.2.23</t>
  </si>
  <si>
    <t>74R.U343.2.23</t>
  </si>
  <si>
    <t>U343</t>
  </si>
  <si>
    <t>74R.U350.1.23</t>
  </si>
  <si>
    <t>74R.U350.2.23</t>
  </si>
  <si>
    <t>74R.U363.1.23</t>
  </si>
  <si>
    <t>74R.U363.2.23</t>
  </si>
  <si>
    <t>74R.U399.PM.1.23</t>
  </si>
  <si>
    <t>74R.U502.1.23</t>
  </si>
  <si>
    <t>74R.U502.2.23</t>
  </si>
  <si>
    <t>74R.U504.1.23</t>
  </si>
  <si>
    <t>74R.U504.2.23</t>
  </si>
  <si>
    <t>74R.U522.1.23</t>
  </si>
  <si>
    <t>74R.U522.2.23</t>
  </si>
  <si>
    <t>74R.U525.1.23</t>
  </si>
  <si>
    <t>74R.U525.2.23</t>
  </si>
  <si>
    <t>74R.U540.1.23</t>
  </si>
  <si>
    <t>74R.U540.2.23</t>
  </si>
  <si>
    <t>74R.U560.1.23</t>
  </si>
  <si>
    <t>74R.U560.2.23</t>
  </si>
  <si>
    <t>74R.U599.1.23</t>
  </si>
  <si>
    <t>74R.U599.2.23</t>
  </si>
  <si>
    <t>74R.U599.PM.1.23</t>
  </si>
  <si>
    <t>74R.U600.1.23</t>
  </si>
  <si>
    <t>74R.U600.2.23</t>
  </si>
  <si>
    <t>74R.U604.1.23</t>
  </si>
  <si>
    <t>74R.U604.2.23</t>
  </si>
  <si>
    <t>74R.U604.PM.1.23</t>
  </si>
  <si>
    <t>74R.U606.1.23</t>
  </si>
  <si>
    <t>74R.U608.1.23</t>
  </si>
  <si>
    <t>74R.U617.1.23</t>
  </si>
  <si>
    <t>74R.U617.2.23</t>
  </si>
  <si>
    <t>74R.U626.1.23</t>
  </si>
  <si>
    <t>74R.U626.2.23</t>
  </si>
  <si>
    <t>74R.U630.1.23</t>
  </si>
  <si>
    <t>U630ST9</t>
  </si>
  <si>
    <t>74R.U630.ST15.2.23</t>
  </si>
  <si>
    <t>74R.U636.1.23</t>
  </si>
  <si>
    <t>74R.U636.2.23</t>
  </si>
  <si>
    <t>74R.U636.PM.1.23</t>
  </si>
  <si>
    <t>74R.U638.1.23</t>
  </si>
  <si>
    <t>74R.U638.2.23</t>
  </si>
  <si>
    <t>74R.U638.PM.1.23</t>
  </si>
  <si>
    <t>74R.U655.1.23</t>
  </si>
  <si>
    <t>74R.U665.1.23</t>
  </si>
  <si>
    <t>74R.U665.2.23</t>
  </si>
  <si>
    <t>74R.U665.PM.1.23</t>
  </si>
  <si>
    <t>74R.U699.1.23</t>
  </si>
  <si>
    <t>74R.U699.2.23</t>
  </si>
  <si>
    <t>74R.U702.1.23</t>
  </si>
  <si>
    <t>74R.U702.2.23</t>
  </si>
  <si>
    <t>74R.U702.2.28</t>
  </si>
  <si>
    <t>74R.U702.PM.1.23</t>
  </si>
  <si>
    <t>74R.U702.ST16.1.23</t>
  </si>
  <si>
    <t>74R.U702.ST16.2.23</t>
  </si>
  <si>
    <t>74R.U705.1.23</t>
  </si>
  <si>
    <t>74R.U705.2.23</t>
  </si>
  <si>
    <t>74R.U705.PM.1.23</t>
  </si>
  <si>
    <t>74R.U707.1.23</t>
  </si>
  <si>
    <t>74R.U707.2.23</t>
  </si>
  <si>
    <t>74R.U708.1.23</t>
  </si>
  <si>
    <t>74R.U708.2.23</t>
  </si>
  <si>
    <t>74R.U708.2.28</t>
  </si>
  <si>
    <t>74R.U708.PM.1.23</t>
  </si>
  <si>
    <t>74R.U708.ST15.2.23</t>
  </si>
  <si>
    <t>74R.U727.1.23</t>
  </si>
  <si>
    <t>74R.U727.2.23</t>
  </si>
  <si>
    <t>74R.U727.2.28</t>
  </si>
  <si>
    <t>74R.U727.PM.1.23</t>
  </si>
  <si>
    <t>74R.U732.1.23</t>
  </si>
  <si>
    <t>74R.U732.1.28</t>
  </si>
  <si>
    <t>74R.U732.2.23</t>
  </si>
  <si>
    <t>74R.U732.2.28</t>
  </si>
  <si>
    <t>74R.U732.PM.1.23</t>
  </si>
  <si>
    <t>74R.U732.ST15.2.23</t>
  </si>
  <si>
    <t>74R.U732.ST30.1.23</t>
  </si>
  <si>
    <t>74R.U740.1.23</t>
  </si>
  <si>
    <t>74R.U740.2.23</t>
  </si>
  <si>
    <t>74R.U740.TM9.1.23</t>
  </si>
  <si>
    <t>74R.U741.1.23</t>
  </si>
  <si>
    <t>74R.U741.2.23</t>
  </si>
  <si>
    <t>74R.U748.1.23</t>
  </si>
  <si>
    <t>74R.U748.2.23</t>
  </si>
  <si>
    <t>74R.U748.2.28</t>
  </si>
  <si>
    <t>74R.U750.1.23</t>
  </si>
  <si>
    <t>74R.U750.2.23</t>
  </si>
  <si>
    <t>74R.U763.1.23</t>
  </si>
  <si>
    <t>74R.U763.2.23</t>
  </si>
  <si>
    <t>74R.U767.1.23</t>
  </si>
  <si>
    <t>74R.U767.2.23</t>
  </si>
  <si>
    <t>74R.U767.2.28</t>
  </si>
  <si>
    <t>74R.U767.2.43</t>
  </si>
  <si>
    <t>74R.U767.PM.1.23</t>
  </si>
  <si>
    <t>74R.U775.1.23</t>
  </si>
  <si>
    <t>74R.U775.2.23</t>
  </si>
  <si>
    <t>74R.U780.1.23</t>
  </si>
  <si>
    <t>74R.U780.2.23</t>
  </si>
  <si>
    <t>74R.U788.1.23</t>
  </si>
  <si>
    <t>74R.U788.2.23</t>
  </si>
  <si>
    <t>74R.U795.2.23</t>
  </si>
  <si>
    <t>74R.U808.2.23</t>
  </si>
  <si>
    <t>74R.U818.1.23</t>
  </si>
  <si>
    <t>74R.U818.2.23</t>
  </si>
  <si>
    <t>74R.U830.1.23</t>
  </si>
  <si>
    <t>74R.U830.2.23</t>
  </si>
  <si>
    <t>74R.U899.1.23</t>
  </si>
  <si>
    <t>74R.U899.2.23</t>
  </si>
  <si>
    <t>74R.U960.1.23</t>
  </si>
  <si>
    <t>74R.U960.2.23</t>
  </si>
  <si>
    <t>74R.U960.2.28</t>
  </si>
  <si>
    <t>74R.U960.PM.1.23</t>
  </si>
  <si>
    <t>74R.U960.ST76.2.43</t>
  </si>
  <si>
    <t>U960ST76</t>
  </si>
  <si>
    <t>74R.U960.TM9.1.23</t>
  </si>
  <si>
    <t>74R.U961.1.23</t>
  </si>
  <si>
    <t>74R.U961.2.23</t>
  </si>
  <si>
    <t>74R.U961.2.28</t>
  </si>
  <si>
    <t>74R.U961.PM.1.23</t>
  </si>
  <si>
    <t>74R.U961.ST19.1.23</t>
  </si>
  <si>
    <t>74R.U961.ST19.2.23</t>
  </si>
  <si>
    <t>74R.U961.ST7.1.23</t>
  </si>
  <si>
    <t>74R.U961.ST7.2.23</t>
  </si>
  <si>
    <t>74R.U961.ST7.2.28</t>
  </si>
  <si>
    <t>74R.U963.1.23</t>
  </si>
  <si>
    <t>74R.U963.2.23</t>
  </si>
  <si>
    <t>74R.U963.2.28</t>
  </si>
  <si>
    <t>74R.U968.1.23</t>
  </si>
  <si>
    <t>74R.U968.2.23</t>
  </si>
  <si>
    <t>74R.U998.ST38.1.23</t>
  </si>
  <si>
    <t>74R.U998.ST38.2.23</t>
  </si>
  <si>
    <t>74R.U998.ST38.2.28</t>
  </si>
  <si>
    <t>74R.U999.1.23</t>
  </si>
  <si>
    <t>74R.U999.2.23</t>
  </si>
  <si>
    <t>74R.U999.2.28</t>
  </si>
  <si>
    <t>74R.U999.PM.1.23</t>
  </si>
  <si>
    <t>74R.U999.ST19.1.23</t>
  </si>
  <si>
    <t>74R.U999.ST19.2.23</t>
  </si>
  <si>
    <t>74R.U999.ST38.1.23</t>
  </si>
  <si>
    <t>74R.U999.ST38.2.23</t>
  </si>
  <si>
    <t>74R.U999.ST38.2.28</t>
  </si>
  <si>
    <t>74R.U999.ST7.1.23</t>
  </si>
  <si>
    <t>74R.U999.ST7.2.23</t>
  </si>
  <si>
    <t>74R.U999.ST7.2.28</t>
  </si>
  <si>
    <t>74R.U999.ST89.2.43</t>
  </si>
  <si>
    <t>74R.U999.TM28.1.23</t>
  </si>
  <si>
    <t>U999TM28</t>
  </si>
  <si>
    <t>74R.W1000.1.23</t>
  </si>
  <si>
    <t>74R.W1000.2.23</t>
  </si>
  <si>
    <t>74R.W1000.2.28</t>
  </si>
  <si>
    <t>74R.W1000.2.43</t>
  </si>
  <si>
    <t>74R.W1000.PM.1.23</t>
  </si>
  <si>
    <t>74R.W1000.ST18.2.23</t>
  </si>
  <si>
    <t>74R.W1000.ST19.1.23</t>
  </si>
  <si>
    <t>74R.W1000.ST19.2.23</t>
  </si>
  <si>
    <t>74R.W1000.ST22.2.23</t>
  </si>
  <si>
    <t>74R.W1000.ST38.1.23</t>
  </si>
  <si>
    <t>74R.W1000.ST38.2.23</t>
  </si>
  <si>
    <t>74R.W1000.ST38.2.28</t>
  </si>
  <si>
    <t>74R.W1000.ST38.2.43</t>
  </si>
  <si>
    <t>74R.W1000.ST76.2.43</t>
  </si>
  <si>
    <t>74R.W1000.ST89.2.43</t>
  </si>
  <si>
    <t>W1000ST89</t>
  </si>
  <si>
    <t>74R.W1000.TM9.1.23</t>
  </si>
  <si>
    <t>74R.W1100.1.23</t>
  </si>
  <si>
    <t>74R.W1100.2.23</t>
  </si>
  <si>
    <t>74R.W1100.PG.1.2.23</t>
  </si>
  <si>
    <t>W1100PG</t>
  </si>
  <si>
    <t>74R.W1100.PM.1.23</t>
  </si>
  <si>
    <t>74R.W1100.ST30.1.23</t>
  </si>
  <si>
    <t>74R.W1200.1.23</t>
  </si>
  <si>
    <t>74R.W1200.2.23</t>
  </si>
  <si>
    <t>74R.W908.1.23</t>
  </si>
  <si>
    <t>74R.W908.2.23</t>
  </si>
  <si>
    <t>74R.W908.SM.1.23</t>
  </si>
  <si>
    <t>74R.W908.SM.2.23</t>
  </si>
  <si>
    <t>74R.W960.1.23</t>
  </si>
  <si>
    <t>74R.W960.2.23</t>
  </si>
  <si>
    <t>74R.W960.2.28</t>
  </si>
  <si>
    <t>74R.W960.STSM.1.23</t>
  </si>
  <si>
    <t>74R.W960.STSM.2.23</t>
  </si>
  <si>
    <t>74R.W960.STSM.2.28</t>
  </si>
  <si>
    <t>74R.W980.1.23</t>
  </si>
  <si>
    <t>74R.W980.2.23</t>
  </si>
  <si>
    <t>74R.W980.2.28</t>
  </si>
  <si>
    <t>74R.W980.STSM.1.23</t>
  </si>
  <si>
    <t>W980SM</t>
  </si>
  <si>
    <t>74R.W980.STSM.2.23</t>
  </si>
  <si>
    <t>74R.W980.STSM.2.28</t>
  </si>
  <si>
    <t>74.S01.1.24</t>
  </si>
  <si>
    <t>74.S013.YS.1.23</t>
  </si>
  <si>
    <t>74.S016.YS.1.23</t>
  </si>
  <si>
    <t>S016</t>
  </si>
  <si>
    <t>74.S02.1.24</t>
  </si>
  <si>
    <t>74.S03.1.24</t>
  </si>
  <si>
    <t>74.S04.1.24</t>
  </si>
  <si>
    <t>74.S05.1.24</t>
  </si>
  <si>
    <t>74.S06.1.24</t>
  </si>
  <si>
    <t>74.S063.EN.1.23</t>
  </si>
  <si>
    <t>74.S07.1.24</t>
  </si>
  <si>
    <t>74.S07.1.48</t>
  </si>
  <si>
    <t>74.S071.WO.1.23</t>
  </si>
  <si>
    <t>74.S08.1.24</t>
  </si>
  <si>
    <t>74.S083.ML.1.23</t>
  </si>
  <si>
    <t>74.S087.ML.1.23</t>
  </si>
  <si>
    <t>74.S09.1.24</t>
  </si>
  <si>
    <t>74.S10.1.24</t>
  </si>
  <si>
    <t>74.S11.1.24</t>
  </si>
  <si>
    <t>74.S12.1.24</t>
  </si>
  <si>
    <t>74.S13.1.24</t>
  </si>
  <si>
    <t>74.S133.ES.1.23</t>
  </si>
  <si>
    <t>S133</t>
  </si>
  <si>
    <t>74.S14.1.24</t>
  </si>
  <si>
    <t>74.S141.TV.1.23</t>
  </si>
  <si>
    <t>S141</t>
  </si>
  <si>
    <t>74.S15.1.24</t>
  </si>
  <si>
    <t>74.S160.GE.1.23</t>
  </si>
  <si>
    <t>S160</t>
  </si>
  <si>
    <t>74.S16.1.24</t>
  </si>
  <si>
    <t>74.S17.1.24</t>
  </si>
  <si>
    <t>74.S18.1.24</t>
  </si>
  <si>
    <t>74.S182.QE.1.23</t>
  </si>
  <si>
    <t>S182</t>
  </si>
  <si>
    <t>74.S192.JI.1.23</t>
  </si>
  <si>
    <t>74.U104.08.23</t>
  </si>
  <si>
    <t>74.U104.2.23</t>
  </si>
  <si>
    <t>74.U104.2.28</t>
  </si>
  <si>
    <t>74.U104.2.43</t>
  </si>
  <si>
    <t>74.U104.PG.1.23</t>
  </si>
  <si>
    <t>U104PG</t>
  </si>
  <si>
    <t>74.U104.ST15.2.23</t>
  </si>
  <si>
    <t>74.U104.ST15.2.31</t>
  </si>
  <si>
    <t>74.U108.08.23</t>
  </si>
  <si>
    <t>74.U108.2.23</t>
  </si>
  <si>
    <t>74.U113.04.23</t>
  </si>
  <si>
    <t>74.U113.08.23</t>
  </si>
  <si>
    <t>74.U113.2.23</t>
  </si>
  <si>
    <t>74.U113.2.28</t>
  </si>
  <si>
    <t>74.U114.08.23</t>
  </si>
  <si>
    <t>74.U114.2.23</t>
  </si>
  <si>
    <t>74.U114.2.43</t>
  </si>
  <si>
    <t>74.U114.ST15.2.23</t>
  </si>
  <si>
    <t>74.U115.08.23</t>
  </si>
  <si>
    <t>74.U115.08.28</t>
  </si>
  <si>
    <t>74.U115.2.23</t>
  </si>
  <si>
    <t>74.U115.2.28</t>
  </si>
  <si>
    <t>74.U115.2.43</t>
  </si>
  <si>
    <t>74.U125.08.23</t>
  </si>
  <si>
    <t>74.U125.08.28</t>
  </si>
  <si>
    <t>74.U125.2.23</t>
  </si>
  <si>
    <t>74.U125.2.28</t>
  </si>
  <si>
    <t>74.U129.BR.1.23</t>
  </si>
  <si>
    <t>74.U129.CH.1.23</t>
  </si>
  <si>
    <t>74.U129.ML.1.23</t>
  </si>
  <si>
    <t>74.U129.WO.1.23</t>
  </si>
  <si>
    <t>74.U131.08.23</t>
  </si>
  <si>
    <t>74.U131.2.23</t>
  </si>
  <si>
    <t>74.U140.2.23</t>
  </si>
  <si>
    <t>74.U156.08.23</t>
  </si>
  <si>
    <t>74.U156.08.28</t>
  </si>
  <si>
    <t>74.U156.2.23</t>
  </si>
  <si>
    <t>74.U156.2.28</t>
  </si>
  <si>
    <t>74.U156.2.43</t>
  </si>
  <si>
    <t>74.U163.08.23</t>
  </si>
  <si>
    <t>74.U163.2.23</t>
  </si>
  <si>
    <t>74.U200.08.23</t>
  </si>
  <si>
    <t>74.U200.2.23</t>
  </si>
  <si>
    <t>74.U201.08.23</t>
  </si>
  <si>
    <t>74.U201.2.23</t>
  </si>
  <si>
    <t>74.U201.2.43</t>
  </si>
  <si>
    <t>74.U201.PM.1.23</t>
  </si>
  <si>
    <t>74.U201.ST19.08.23</t>
  </si>
  <si>
    <t>74.U201.ST19.2.23</t>
  </si>
  <si>
    <t>74.U204.2.23</t>
  </si>
  <si>
    <t>74.U206.2.23</t>
  </si>
  <si>
    <t>74.U211.08.23</t>
  </si>
  <si>
    <t>74.U211.08.28</t>
  </si>
  <si>
    <t>74.U211.2.23</t>
  </si>
  <si>
    <t>74.U211.2.28</t>
  </si>
  <si>
    <t>74.U211.2.43</t>
  </si>
  <si>
    <t>74.U216.08.23</t>
  </si>
  <si>
    <t>74.U216.2.23</t>
  </si>
  <si>
    <t>74.U216.2.28</t>
  </si>
  <si>
    <t>74.U216.2.43</t>
  </si>
  <si>
    <t>74.U222.08.23</t>
  </si>
  <si>
    <t>74.U222.08.28</t>
  </si>
  <si>
    <t>74.U222.2.23</t>
  </si>
  <si>
    <t>74.U222.2.28</t>
  </si>
  <si>
    <t>74.U222.2.43</t>
  </si>
  <si>
    <t>74.U222.PM.1.23</t>
  </si>
  <si>
    <t>74.U232.08.23</t>
  </si>
  <si>
    <t>74.U232.2.23</t>
  </si>
  <si>
    <t>74.U311.08.23</t>
  </si>
  <si>
    <t>74.U311.2.23</t>
  </si>
  <si>
    <t>74.U311.2.28</t>
  </si>
  <si>
    <t>74.U317.2.23</t>
  </si>
  <si>
    <t>74.U321.08.23</t>
  </si>
  <si>
    <t>74.U321.2.23</t>
  </si>
  <si>
    <t>74.U321.2.28</t>
  </si>
  <si>
    <t>74.U323.08.23</t>
  </si>
  <si>
    <t>74.U323.2.23</t>
  </si>
  <si>
    <t>74.U323.2.43</t>
  </si>
  <si>
    <t>74.U323.PG.1.23</t>
  </si>
  <si>
    <t>74.U325.08.23</t>
  </si>
  <si>
    <t>74.U325.2.23</t>
  </si>
  <si>
    <t>74.U325.2.43</t>
  </si>
  <si>
    <t>74.U330.2.23</t>
  </si>
  <si>
    <t>U330</t>
  </si>
  <si>
    <t>74.U332.08.23</t>
  </si>
  <si>
    <t>74.U332.2.23</t>
  </si>
  <si>
    <t>74.U332.2.31</t>
  </si>
  <si>
    <t>74.U335.08.23</t>
  </si>
  <si>
    <t>74.U335.08.28</t>
  </si>
  <si>
    <t>74.U335.2.23</t>
  </si>
  <si>
    <t>74.U335.2.28</t>
  </si>
  <si>
    <t>74.U337.2.23</t>
  </si>
  <si>
    <t>74.U337.2.42</t>
  </si>
  <si>
    <t>74.U343.08.23</t>
  </si>
  <si>
    <t>74.U350.08.23</t>
  </si>
  <si>
    <t>74.U350.2.23</t>
  </si>
  <si>
    <t>74.U363.08.23</t>
  </si>
  <si>
    <t>74.U363.2.23</t>
  </si>
  <si>
    <t>74.U399.PM.1.23</t>
  </si>
  <si>
    <t>74.U502.08.23</t>
  </si>
  <si>
    <t>74.U502.08.28</t>
  </si>
  <si>
    <t>74.U502.2.23</t>
  </si>
  <si>
    <t>74.U502.2.28</t>
  </si>
  <si>
    <t>74.U502.2.43</t>
  </si>
  <si>
    <t>74.U504.08.23</t>
  </si>
  <si>
    <t>74.U504.2.23</t>
  </si>
  <si>
    <t>74.U504.2.43</t>
  </si>
  <si>
    <t>74.U522.08.23</t>
  </si>
  <si>
    <t>74.U522.2.23</t>
  </si>
  <si>
    <t>74.U522.2.28</t>
  </si>
  <si>
    <t>74.U525.08.23</t>
  </si>
  <si>
    <t>74.U525.2.23</t>
  </si>
  <si>
    <t>74.U540.08.23</t>
  </si>
  <si>
    <t>74.U540.2.23</t>
  </si>
  <si>
    <t>74.U560.08.23</t>
  </si>
  <si>
    <t>74.U560.2.23</t>
  </si>
  <si>
    <t>74.U560.2.43</t>
  </si>
  <si>
    <t>74.U599.08.23</t>
  </si>
  <si>
    <t>74.U599.08.43</t>
  </si>
  <si>
    <t>74.U599.2.23</t>
  </si>
  <si>
    <t>74.U599.PM.1.23</t>
  </si>
  <si>
    <t>74.U600.08.23</t>
  </si>
  <si>
    <t>74.U600.2.23</t>
  </si>
  <si>
    <t>74.U604.08.23</t>
  </si>
  <si>
    <t>74.U604.08.28</t>
  </si>
  <si>
    <t>74.U604.2.23</t>
  </si>
  <si>
    <t>74.U604.2.28</t>
  </si>
  <si>
    <t>74.U604.2.43</t>
  </si>
  <si>
    <t>74.U606.08.23</t>
  </si>
  <si>
    <t>74.U606.2.23</t>
  </si>
  <si>
    <t>74.U608.08.23</t>
  </si>
  <si>
    <t>74.U608.2.23</t>
  </si>
  <si>
    <t>74.U617.2.23</t>
  </si>
  <si>
    <t>74.U625.08.23</t>
  </si>
  <si>
    <t>74.U625.2.23</t>
  </si>
  <si>
    <t>74.U626.08.23</t>
  </si>
  <si>
    <t>74.U626.2.23</t>
  </si>
  <si>
    <t>74.U630.08.23</t>
  </si>
  <si>
    <t>74.U630.2.23</t>
  </si>
  <si>
    <t>74.U630.2.43</t>
  </si>
  <si>
    <t>74.U630.ST15.08.23</t>
  </si>
  <si>
    <t>74.U633.2.31</t>
  </si>
  <si>
    <t>U633</t>
  </si>
  <si>
    <t>74.U636.08.23</t>
  </si>
  <si>
    <t>74.U636.2.23</t>
  </si>
  <si>
    <t>74.U636.2.43</t>
  </si>
  <si>
    <t>74.U638.08.23</t>
  </si>
  <si>
    <t>74.U638.2.23</t>
  </si>
  <si>
    <t>74.U638.2.43</t>
  </si>
  <si>
    <t>74.U655.08.23</t>
  </si>
  <si>
    <t>74.U655.2.23</t>
  </si>
  <si>
    <t>74.U655.2.43</t>
  </si>
  <si>
    <t>74.U665.08.23</t>
  </si>
  <si>
    <t>74.U665.08.28</t>
  </si>
  <si>
    <t>74.U665.2.23</t>
  </si>
  <si>
    <t>74.U665.2.28</t>
  </si>
  <si>
    <t>74.U665.2.43</t>
  </si>
  <si>
    <t>74.U665.PM.1.23</t>
  </si>
  <si>
    <t>74.U699.08.23</t>
  </si>
  <si>
    <t>74.U699.2.23</t>
  </si>
  <si>
    <t>74.U699.2.43</t>
  </si>
  <si>
    <t>74.U702.08.23</t>
  </si>
  <si>
    <t>74.U702.08.28</t>
  </si>
  <si>
    <t>74.U702.2.23</t>
  </si>
  <si>
    <t>74.U702.2.28</t>
  </si>
  <si>
    <t>74.U702.2.43</t>
  </si>
  <si>
    <t>74.U702.PM.1.23</t>
  </si>
  <si>
    <t>74.U702.ST16.08.23</t>
  </si>
  <si>
    <t>74.U702.ST16.2.23</t>
  </si>
  <si>
    <t>74.U702.ST78.1.5.43</t>
  </si>
  <si>
    <t>74.U702.ST89.1.5.43</t>
  </si>
  <si>
    <t>74.U705.08.23</t>
  </si>
  <si>
    <t>74.U705.2.23</t>
  </si>
  <si>
    <t>74.U705.2.43</t>
  </si>
  <si>
    <t>74.U705.PM.1.23</t>
  </si>
  <si>
    <t>74.U707.08.23</t>
  </si>
  <si>
    <t>74.U707.2.23</t>
  </si>
  <si>
    <t>74.U707.2.43</t>
  </si>
  <si>
    <t>74.U708.08.23</t>
  </si>
  <si>
    <t>74.U708.08.28</t>
  </si>
  <si>
    <t>74.U708.2.23</t>
  </si>
  <si>
    <t>74.U708.2.28</t>
  </si>
  <si>
    <t>74.U708.2.43</t>
  </si>
  <si>
    <t>74.U708.PM.1.23</t>
  </si>
  <si>
    <t>74.U708.PM.1.43</t>
  </si>
  <si>
    <t>74.U727.08.23</t>
  </si>
  <si>
    <t>74.U727.08.28</t>
  </si>
  <si>
    <t>74.U727.2.23</t>
  </si>
  <si>
    <t>74.U727.2.28</t>
  </si>
  <si>
    <t>74.U727.2.43</t>
  </si>
  <si>
    <t>74.U727.PM.1.23</t>
  </si>
  <si>
    <t>74.U732.08.23</t>
  </si>
  <si>
    <t>74.U732.08.28</t>
  </si>
  <si>
    <t>74.U732.2.23</t>
  </si>
  <si>
    <t>74.U732.2.28</t>
  </si>
  <si>
    <t>74.U732.2.43</t>
  </si>
  <si>
    <t>74.U732.PM.1.23</t>
  </si>
  <si>
    <t>74.U732.ST15.2.23</t>
  </si>
  <si>
    <t>74.U732.ST30.08.23</t>
  </si>
  <si>
    <t>74.U732.ST30.2.23</t>
  </si>
  <si>
    <t>74.U740.08.23</t>
  </si>
  <si>
    <t>74.U740.08.28</t>
  </si>
  <si>
    <t>74.U740.2.23</t>
  </si>
  <si>
    <t>74.U740.2.28</t>
  </si>
  <si>
    <t>74.U740.2.43</t>
  </si>
  <si>
    <t>74.U740.TM9.1.23</t>
  </si>
  <si>
    <t>74.U741.08.23</t>
  </si>
  <si>
    <t>74.U741.2.23</t>
  </si>
  <si>
    <t>74.U741.2.28</t>
  </si>
  <si>
    <t>74.U741.2.43</t>
  </si>
  <si>
    <t>74.U748.08.23</t>
  </si>
  <si>
    <t>74.U748.2.23</t>
  </si>
  <si>
    <t>74.U748.2.28</t>
  </si>
  <si>
    <t>74.U748.2.43</t>
  </si>
  <si>
    <t>74.U750.08.23</t>
  </si>
  <si>
    <t>74.U750.08.28</t>
  </si>
  <si>
    <t>74.U750.2.23</t>
  </si>
  <si>
    <t>74.U750.2.28</t>
  </si>
  <si>
    <t>74.U750.2.43</t>
  </si>
  <si>
    <t>74.U763.04.23</t>
  </si>
  <si>
    <t>74.U763.08.23</t>
  </si>
  <si>
    <t>74.U763.08.28</t>
  </si>
  <si>
    <t>74.U763.2.23</t>
  </si>
  <si>
    <t>74.U763.2.28</t>
  </si>
  <si>
    <t>74.U763.2.43</t>
  </si>
  <si>
    <t>74.U763.PG.1.23</t>
  </si>
  <si>
    <t>74.U763.ST76.1.5.43</t>
  </si>
  <si>
    <t>74.U767.08.23</t>
  </si>
  <si>
    <t>74.U767.08.28</t>
  </si>
  <si>
    <t>74.U767.2.23</t>
  </si>
  <si>
    <t>74.U767.2.28</t>
  </si>
  <si>
    <t>74.U767.2.43</t>
  </si>
  <si>
    <t>74.U767.PM.1.23</t>
  </si>
  <si>
    <t>74.U775.08.23</t>
  </si>
  <si>
    <t>74.U775.2.23</t>
  </si>
  <si>
    <t>74.U775.2.43</t>
  </si>
  <si>
    <t>74.U780.08.23</t>
  </si>
  <si>
    <t>74.U780.2.23</t>
  </si>
  <si>
    <t>74.U780.2.43</t>
  </si>
  <si>
    <t>74.U788.08.23</t>
  </si>
  <si>
    <t>74.U788.2.23</t>
  </si>
  <si>
    <t>74.U788.2.43</t>
  </si>
  <si>
    <t>74.U788.ST16.08.23</t>
  </si>
  <si>
    <t>74.U788.ST16.2.23</t>
  </si>
  <si>
    <t>74.U788.ST16.2.43</t>
  </si>
  <si>
    <t>74.U795.2.23</t>
  </si>
  <si>
    <t>74.U808.2.23</t>
  </si>
  <si>
    <t>74.U808.2.42</t>
  </si>
  <si>
    <t>74.U818.08.23</t>
  </si>
  <si>
    <t>74.U818.2.23</t>
  </si>
  <si>
    <t>74.U818.2.43</t>
  </si>
  <si>
    <t>74.U830.08.23</t>
  </si>
  <si>
    <t>74.U830.2.23</t>
  </si>
  <si>
    <t>74.U830.2.43</t>
  </si>
  <si>
    <t>74.U8980.1.3.23</t>
  </si>
  <si>
    <t>U8980</t>
  </si>
  <si>
    <t>74.U8981.1.3.23</t>
  </si>
  <si>
    <t>U8981</t>
  </si>
  <si>
    <t>74.U8982.1.3.23</t>
  </si>
  <si>
    <t>U8982</t>
  </si>
  <si>
    <t>74.U899.08.23</t>
  </si>
  <si>
    <t>74.U899.2.23</t>
  </si>
  <si>
    <t>74.U899.2.28</t>
  </si>
  <si>
    <t>74.U899.2.43</t>
  </si>
  <si>
    <t>74.U960.08.23</t>
  </si>
  <si>
    <t>74.U960.08.28</t>
  </si>
  <si>
    <t>74.U960.2.23</t>
  </si>
  <si>
    <t>74.U960.2.28</t>
  </si>
  <si>
    <t>74.U960.2.43</t>
  </si>
  <si>
    <t>74.U960.PM.1.23</t>
  </si>
  <si>
    <t>74.U960.ST76.1.5.43</t>
  </si>
  <si>
    <t>74.U960.TM9.1.23</t>
  </si>
  <si>
    <t>74.U961.08.23</t>
  </si>
  <si>
    <t>74.U961.2.23</t>
  </si>
  <si>
    <t>74.U961.2.28</t>
  </si>
  <si>
    <t>74.U961.2.43</t>
  </si>
  <si>
    <t>74.U961.PM.1.23</t>
  </si>
  <si>
    <t>74.U961.ST19.08.23</t>
  </si>
  <si>
    <t>74.U961.ST19.2.23</t>
  </si>
  <si>
    <t>74.U961.ST7.08.23</t>
  </si>
  <si>
    <t>74.U961.ST7.08.28</t>
  </si>
  <si>
    <t>74.U961.ST7.2.23</t>
  </si>
  <si>
    <t>74.U961.ST7.2.28</t>
  </si>
  <si>
    <t>74.U961.ST7.2.43</t>
  </si>
  <si>
    <t>74.U963.08.23</t>
  </si>
  <si>
    <t>74.U963.08.28</t>
  </si>
  <si>
    <t>74.U963.2.23</t>
  </si>
  <si>
    <t>74.U963.2.28</t>
  </si>
  <si>
    <t>74.U963.2.43</t>
  </si>
  <si>
    <t>74.U963.2.54</t>
  </si>
  <si>
    <t>74.U968.08.23</t>
  </si>
  <si>
    <t>74.U968.2.23</t>
  </si>
  <si>
    <t>74.U968.2.43</t>
  </si>
  <si>
    <t>74.U998.ST38.08.23</t>
  </si>
  <si>
    <t>74.U998.ST38.08.28</t>
  </si>
  <si>
    <t>74.U998.ST38.2.23</t>
  </si>
  <si>
    <t>74.U998.ST38.2.28</t>
  </si>
  <si>
    <t>74.U998.ST38.2.43</t>
  </si>
  <si>
    <t>74.U999.08.23</t>
  </si>
  <si>
    <t>74.U999.2.23</t>
  </si>
  <si>
    <t>74.U999.2.28</t>
  </si>
  <si>
    <t>74.U999.PG.1.23</t>
  </si>
  <si>
    <t>74.U999.PM.1.23</t>
  </si>
  <si>
    <t>74.U999.PM.1.5.43</t>
  </si>
  <si>
    <t>74.U999.ST19.08.23</t>
  </si>
  <si>
    <t>74.U999.ST19.2.23</t>
  </si>
  <si>
    <t>74.U999.ST19.2.43</t>
  </si>
  <si>
    <t>74.U999.ST2.2.43</t>
  </si>
  <si>
    <t>74.U999.ST30.08.23</t>
  </si>
  <si>
    <t>74.U999.ST30.2.23</t>
  </si>
  <si>
    <t>74.U999.ST38.2.28</t>
  </si>
  <si>
    <t>74.U999.ST7.08.23</t>
  </si>
  <si>
    <t>74.U999.ST7.08.28</t>
  </si>
  <si>
    <t>74.U999.ST7.2.23</t>
  </si>
  <si>
    <t>74.U999.ST7.2.28</t>
  </si>
  <si>
    <t>74.U999.ST7.2.43</t>
  </si>
  <si>
    <t>74.U999.ST78.1.5.43</t>
  </si>
  <si>
    <t>74.U999.ST89.1.5.43</t>
  </si>
  <si>
    <t>74.U999.TM28.1.23</t>
  </si>
  <si>
    <t>74.U999.TM9.1.23</t>
  </si>
  <si>
    <t>74.UA80.PF.1.23</t>
  </si>
  <si>
    <t>74.UB07.PF.1.23</t>
  </si>
  <si>
    <t>74.UB19.PF.1.23</t>
  </si>
  <si>
    <t>74.V.W960.08.23</t>
  </si>
  <si>
    <t>74.V.W960.2.23</t>
  </si>
  <si>
    <t>74.W1000.08.23</t>
  </si>
  <si>
    <t>74.W1000.08.28</t>
  </si>
  <si>
    <t>74.W1000.2.23</t>
  </si>
  <si>
    <t>74.W1000.2.28</t>
  </si>
  <si>
    <t>74.W1000.2.43</t>
  </si>
  <si>
    <t>74.W1000.2.54</t>
  </si>
  <si>
    <t>74.W1000.PG.1.23</t>
  </si>
  <si>
    <t>74.W1000.PM.1.23</t>
  </si>
  <si>
    <t>74.W1000.ST18.2.23</t>
  </si>
  <si>
    <t>74.W1000.ST19.08.23</t>
  </si>
  <si>
    <t>74.W1000.ST19.2.23</t>
  </si>
  <si>
    <t>74.W1000.ST19.2.28</t>
  </si>
  <si>
    <t>74.W1000.ST19.2.43</t>
  </si>
  <si>
    <t>74.W1000.ST22.08.23</t>
  </si>
  <si>
    <t>74.W1000.ST22.2.23</t>
  </si>
  <si>
    <t>74.W1000.ST22.2.43</t>
  </si>
  <si>
    <t>74.W1000.ST30.08.23</t>
  </si>
  <si>
    <t>74.W1000.ST38.08.23</t>
  </si>
  <si>
    <t>74.W1000.ST38.2.23</t>
  </si>
  <si>
    <t>74.W1000.ST38.2.28</t>
  </si>
  <si>
    <t>74.W1000.ST38.2.43</t>
  </si>
  <si>
    <t>74.W1000.ST76.1.5.43</t>
  </si>
  <si>
    <t>74.W1000.TM9.1.23</t>
  </si>
  <si>
    <t>74.W1100.08.23</t>
  </si>
  <si>
    <t>74.W1100.2.23</t>
  </si>
  <si>
    <t>74.W1100.2.28</t>
  </si>
  <si>
    <t>74.W1100.2.43</t>
  </si>
  <si>
    <t>74.W1100.PG.1.23</t>
  </si>
  <si>
    <t>74.W1100.PM.1.23</t>
  </si>
  <si>
    <t>74.W1100.PM.1.5.43</t>
  </si>
  <si>
    <t>74.W1100.ST30.08.23</t>
  </si>
  <si>
    <t>74.W1100.ST30.2.23</t>
  </si>
  <si>
    <t>74.W1200.08.23</t>
  </si>
  <si>
    <t>74.W1200.2.23</t>
  </si>
  <si>
    <t>74.W1200.2.28</t>
  </si>
  <si>
    <t>74.W1200.2.43</t>
  </si>
  <si>
    <t>74.W908.08.23</t>
  </si>
  <si>
    <t>74.W908.2.23</t>
  </si>
  <si>
    <t>74.W908.2.43</t>
  </si>
  <si>
    <t>74.W908.SM.08.23</t>
  </si>
  <si>
    <t>74.W908.SM.2.23</t>
  </si>
  <si>
    <t>74.W908.SM.2.43</t>
  </si>
  <si>
    <t>74.W960.04.22</t>
  </si>
  <si>
    <t>74.W960.08.23</t>
  </si>
  <si>
    <t>74.W960.08.28</t>
  </si>
  <si>
    <t>74.W960.2.23</t>
  </si>
  <si>
    <t>74.W960.2.28</t>
  </si>
  <si>
    <t>74.W960.2.43</t>
  </si>
  <si>
    <t>74.W960.SM.08.23</t>
  </si>
  <si>
    <t>74.W960.SM.08.28</t>
  </si>
  <si>
    <t>74.W960.SM.2.23</t>
  </si>
  <si>
    <t>74.W960.SM.2.28</t>
  </si>
  <si>
    <t>74.W960.SM.2.43</t>
  </si>
  <si>
    <t>74.W980.04.22</t>
  </si>
  <si>
    <t>74.W980.08.23</t>
  </si>
  <si>
    <t>74.W980.08.28</t>
  </si>
  <si>
    <t>W980 ST2</t>
  </si>
  <si>
    <t>74.W980.2.23</t>
  </si>
  <si>
    <t>74.W980.2.28</t>
  </si>
  <si>
    <t>74.W980.2.43</t>
  </si>
  <si>
    <t>74.W980.ST7.2.43</t>
  </si>
  <si>
    <t>74.W980.STSM.04.23</t>
  </si>
  <si>
    <t>74.W980.STSM.08.23</t>
  </si>
  <si>
    <t>74.W980.STSM.08.28</t>
  </si>
  <si>
    <t>W980 SM</t>
  </si>
  <si>
    <t>74.W980.STSM.2.23</t>
  </si>
  <si>
    <t>74.W980.STSM.2.28</t>
  </si>
  <si>
    <t>74.W980.STSM.2.43</t>
  </si>
  <si>
    <t>88.000.1.5.23</t>
  </si>
  <si>
    <t>88.000.1.5.42</t>
  </si>
  <si>
    <t>88.000.2.24</t>
  </si>
  <si>
    <t>88.107.2.42</t>
  </si>
  <si>
    <t>88.200.1.20</t>
  </si>
  <si>
    <t>88.200.1.22</t>
  </si>
  <si>
    <t>88.200.1.23</t>
  </si>
  <si>
    <t>88.200.1.27</t>
  </si>
  <si>
    <t>88.200.1.30</t>
  </si>
  <si>
    <t>88.200.1.43</t>
  </si>
  <si>
    <t>88.200.1.5.23</t>
  </si>
  <si>
    <t>88.200.1.5.30</t>
  </si>
  <si>
    <t>88.200.1.5.43</t>
  </si>
  <si>
    <t>88.200.2.23</t>
  </si>
  <si>
    <t>88.200.2.31</t>
  </si>
  <si>
    <t>88.200.2.43</t>
  </si>
  <si>
    <t>88.201.1.24</t>
  </si>
  <si>
    <t>88.201.1.34</t>
  </si>
  <si>
    <t>88.201.2.24</t>
  </si>
  <si>
    <t>88.204.2.34</t>
  </si>
  <si>
    <t>88.230.1.5.24</t>
  </si>
  <si>
    <t>BĒRZS</t>
  </si>
  <si>
    <t>88.230.1.5.31</t>
  </si>
  <si>
    <t>88.240.1.43</t>
  </si>
  <si>
    <t>SAPLĀKSNIS</t>
  </si>
  <si>
    <t>88.300.1.23</t>
  </si>
  <si>
    <t>88.300.1.43</t>
  </si>
  <si>
    <t>88.S01.06.24</t>
  </si>
  <si>
    <t>88.S01.06.24.V</t>
  </si>
  <si>
    <t>88.S06.06.24</t>
  </si>
  <si>
    <t>S06</t>
  </si>
  <si>
    <t>88.S10.06.24</t>
  </si>
  <si>
    <t>S10</t>
  </si>
  <si>
    <t>88.S12.06.24</t>
  </si>
  <si>
    <t>88.S15.06.48</t>
  </si>
  <si>
    <t>88.S19.1.24</t>
  </si>
  <si>
    <t>88.S21.1.24</t>
  </si>
  <si>
    <t>S21</t>
  </si>
  <si>
    <t>88.S21.1.48</t>
  </si>
  <si>
    <t>88.S22.1.24</t>
  </si>
  <si>
    <t>S22</t>
  </si>
  <si>
    <t>88.S23.1.24</t>
  </si>
  <si>
    <t>88.S24.1.24</t>
  </si>
  <si>
    <t>94.010S.1.23</t>
  </si>
  <si>
    <t>010</t>
  </si>
  <si>
    <t>94.1644.1.23</t>
  </si>
  <si>
    <t>94.1678.1.23</t>
  </si>
  <si>
    <t>94.1703.1.43</t>
  </si>
  <si>
    <t>94.1744.1.23</t>
  </si>
  <si>
    <t>94.1895.1.23</t>
  </si>
  <si>
    <t>94.1896.1.23</t>
  </si>
  <si>
    <t>94.1897.1.23</t>
  </si>
  <si>
    <t>94.1898.1.23</t>
  </si>
  <si>
    <t>94.1899.1.23</t>
  </si>
  <si>
    <t>94.1900.1.23</t>
  </si>
  <si>
    <t>94.1901.1.23</t>
  </si>
  <si>
    <t>94.1902.1.23</t>
  </si>
  <si>
    <t>94.1903.1.23</t>
  </si>
  <si>
    <t>94.1904.1.23</t>
  </si>
  <si>
    <t>94.1917.1.23</t>
  </si>
  <si>
    <t>94.1918.1.23</t>
  </si>
  <si>
    <t>94.1919.1.23</t>
  </si>
  <si>
    <t>94.1920.1.23</t>
  </si>
  <si>
    <t>94.1920.1.28</t>
  </si>
  <si>
    <t>94.2100.1.23</t>
  </si>
  <si>
    <t>94.2101.1.23</t>
  </si>
  <si>
    <t>94.2102.1.23</t>
  </si>
  <si>
    <t>94.2103.1.23</t>
  </si>
  <si>
    <t>94.2104.1.23</t>
  </si>
  <si>
    <t>94.2105.1.23</t>
  </si>
  <si>
    <t>94.2262.1.23</t>
  </si>
  <si>
    <t>94.2411.1.23</t>
  </si>
  <si>
    <t>94.2412.1.23</t>
  </si>
  <si>
    <t>94.2453.1.23</t>
  </si>
  <si>
    <t>94.2454.1.23</t>
  </si>
  <si>
    <t>94.2455.1.23</t>
  </si>
  <si>
    <t>94.2455.1.28</t>
  </si>
  <si>
    <t>94.2456.1.23</t>
  </si>
  <si>
    <t>94.2457.1.23</t>
  </si>
  <si>
    <t>94.2458.1.23</t>
  </si>
  <si>
    <t>94.2459.1.23</t>
  </si>
  <si>
    <t>94.2460.1.23</t>
  </si>
  <si>
    <t>94.2461.1.23</t>
  </si>
  <si>
    <t>94.2461.1.43</t>
  </si>
  <si>
    <t>94.2462.1.23</t>
  </si>
  <si>
    <t>94.2463.1.23</t>
  </si>
  <si>
    <t>94.2464.1.23</t>
  </si>
  <si>
    <t>94.2464.1.28</t>
  </si>
  <si>
    <t>94.2735.1.23</t>
  </si>
  <si>
    <t>94.2736.1.23</t>
  </si>
  <si>
    <t>94.2737.1.23</t>
  </si>
  <si>
    <t>94.2738.1.23</t>
  </si>
  <si>
    <t>94.2739.1.23</t>
  </si>
  <si>
    <t>94.2740.1.23</t>
  </si>
  <si>
    <t>94.2741.1.23</t>
  </si>
  <si>
    <t>94.2742.1.23</t>
  </si>
  <si>
    <t>94.5000.1.23</t>
  </si>
  <si>
    <t>94.5000.1.43</t>
  </si>
  <si>
    <t>94.5026.1.23</t>
  </si>
  <si>
    <t>94.5112.1.23</t>
  </si>
  <si>
    <t>94.5335.1.23</t>
  </si>
  <si>
    <t>94.5338.1.23</t>
  </si>
  <si>
    <t>94.5641.1.23</t>
  </si>
  <si>
    <t>94.5642.1.23</t>
  </si>
  <si>
    <t>94.6339.1.23</t>
  </si>
  <si>
    <t>94.6340.1.23</t>
  </si>
  <si>
    <t>94.M001.HG.1.23</t>
  </si>
  <si>
    <t>94.M032.HG.1.23</t>
  </si>
  <si>
    <t>94R.1644.1.2.23</t>
  </si>
  <si>
    <t>94R.1678.1.2.23</t>
  </si>
  <si>
    <t>94R.1684L.1.2.23</t>
  </si>
  <si>
    <t>94R.1686L.1.2.23</t>
  </si>
  <si>
    <t>94R.1686L.1.5.23</t>
  </si>
  <si>
    <t>94R.1687.1.2.23</t>
  </si>
  <si>
    <t>94R.1696.1.2.23</t>
  </si>
  <si>
    <t>94R.1697.1.2.23</t>
  </si>
  <si>
    <t>94R.1698.1.2.23</t>
  </si>
  <si>
    <t>94R.1700.1.2.23</t>
  </si>
  <si>
    <t>94R.1702.1.2.23</t>
  </si>
  <si>
    <t>94R.1703.1.2.23</t>
  </si>
  <si>
    <t>94R.1744.1.2.23</t>
  </si>
  <si>
    <t>94R.1745.1.2.23</t>
  </si>
  <si>
    <t>94R.1746.1.23</t>
  </si>
  <si>
    <t>94R.1895.1.2.23</t>
  </si>
  <si>
    <t>94R.1896.1.2.23</t>
  </si>
  <si>
    <t>94R.1897.1.2.23</t>
  </si>
  <si>
    <t>94R.1898.1.2.23</t>
  </si>
  <si>
    <t>94R.1899.1.2.23</t>
  </si>
  <si>
    <t>94R.1900.1.2.23</t>
  </si>
  <si>
    <t>94R.1901.1.2.23</t>
  </si>
  <si>
    <t>94R.1902.1.2.23</t>
  </si>
  <si>
    <t>94R.1903.1.2.23</t>
  </si>
  <si>
    <t>94R.1904.1.2.23</t>
  </si>
  <si>
    <t>94R.1907.1.2.23</t>
  </si>
  <si>
    <t>94R.1910.1.2.23</t>
  </si>
  <si>
    <t>94R.1910.1.5.23</t>
  </si>
  <si>
    <t>94R.1911.1.2.23</t>
  </si>
  <si>
    <t>94R.1917.1.2.23</t>
  </si>
  <si>
    <t>94R.1917.1.5.23</t>
  </si>
  <si>
    <t>94R.1918.1.2.23</t>
  </si>
  <si>
    <t>94R.1919.1.2.23</t>
  </si>
  <si>
    <t>94R.1920.1.2.23</t>
  </si>
  <si>
    <t>94R.1923.1.2.23</t>
  </si>
  <si>
    <t>94R.1974.1.2.23</t>
  </si>
  <si>
    <t>94R.1977.1.2.23</t>
  </si>
  <si>
    <t>94R.2015L.1.2.23</t>
  </si>
  <si>
    <t>94R.2016.1.2.23</t>
  </si>
  <si>
    <t>94R.2063.1.2.23</t>
  </si>
  <si>
    <t>94R.2100.1.2.23</t>
  </si>
  <si>
    <t>94R.2101.1.2.23</t>
  </si>
  <si>
    <t>94R.2102.1.2.23</t>
  </si>
  <si>
    <t>94R.2103.1.2.23</t>
  </si>
  <si>
    <t>94R.2104.1.2.23</t>
  </si>
  <si>
    <t>94R.2105.1.2.23</t>
  </si>
  <si>
    <t>94R.2106.1.2.23</t>
  </si>
  <si>
    <t>94R.2107.1.2.23</t>
  </si>
  <si>
    <t>94R.2108.1.2.23</t>
  </si>
  <si>
    <t>94R.2109.1.2.23</t>
  </si>
  <si>
    <t>94R.2262.1.2.23</t>
  </si>
  <si>
    <t>94R.2405.1.2.23</t>
  </si>
  <si>
    <t>94R.2406.1.2.23</t>
  </si>
  <si>
    <t>94R.2407.1.2.23</t>
  </si>
  <si>
    <t>94R.2408.1.2.23</t>
  </si>
  <si>
    <t>94R.2409.1.2.23</t>
  </si>
  <si>
    <t>94R.2410.1.2.23</t>
  </si>
  <si>
    <t>94R.2411.1.2.23</t>
  </si>
  <si>
    <t>94R.2412.1.2.23</t>
  </si>
  <si>
    <t>94R.2453.1.2.23</t>
  </si>
  <si>
    <t>94R.2454.1.2.23</t>
  </si>
  <si>
    <t>94R.2455.1.2.23</t>
  </si>
  <si>
    <t>94R.2456.1.2.23</t>
  </si>
  <si>
    <t>94R.2457.1.2.23</t>
  </si>
  <si>
    <t>94R.2458.1.2.23</t>
  </si>
  <si>
    <t>94R.2459.1.2.23</t>
  </si>
  <si>
    <t>94R.2460.1.2.23</t>
  </si>
  <si>
    <t>94R.2461.1.2.23</t>
  </si>
  <si>
    <t>94R.2462.1.2.23</t>
  </si>
  <si>
    <t>94R.2463.1.2.23</t>
  </si>
  <si>
    <t>94R.2464.1.2.23</t>
  </si>
  <si>
    <t>94R.2473.1.2.23</t>
  </si>
  <si>
    <t>94R.2474.1.2.23</t>
  </si>
  <si>
    <t>94R.2578.1.2.23</t>
  </si>
  <si>
    <t>94R.2584.1.2.23</t>
  </si>
  <si>
    <t>94R.2585.1.2.23</t>
  </si>
  <si>
    <t>94R.2586.1.2.23</t>
  </si>
  <si>
    <t>94R.2587.1.2.23</t>
  </si>
  <si>
    <t>94R.2588.1.2.23</t>
  </si>
  <si>
    <t>94R.2724.1.2.23</t>
  </si>
  <si>
    <t>94R.2725.1.2.23</t>
  </si>
  <si>
    <t>94R.2726.1.2.23</t>
  </si>
  <si>
    <t>94R.2727.1.2.23</t>
  </si>
  <si>
    <t>94R.2728.1.2.23</t>
  </si>
  <si>
    <t>94R.2729.1.2.23</t>
  </si>
  <si>
    <t>94R.2735.1.2.23</t>
  </si>
  <si>
    <t>94R.2736.1.2.23</t>
  </si>
  <si>
    <t>94R.2737.1.2.23</t>
  </si>
  <si>
    <t>94R.2738.1.2.23</t>
  </si>
  <si>
    <t>94R.2739.1.2.23</t>
  </si>
  <si>
    <t>94R.2740.1.2.23</t>
  </si>
  <si>
    <t>94R.2741.1.2.23</t>
  </si>
  <si>
    <t>94R.2742.1.2.23</t>
  </si>
  <si>
    <t>94R.3140.1.2.23</t>
  </si>
  <si>
    <t>94R.3141.1.2.23</t>
  </si>
  <si>
    <t>94R.3145.1.2.23</t>
  </si>
  <si>
    <t>94R.3146.1.2.23</t>
  </si>
  <si>
    <t>94R.3147.1.2.23</t>
  </si>
  <si>
    <t>94R.3199L.1.2.23</t>
  </si>
  <si>
    <t>94R.3200L.1.2.23</t>
  </si>
  <si>
    <t>94R.3201L.1.2.23</t>
  </si>
  <si>
    <t>94R.3202L.1.2.23</t>
  </si>
  <si>
    <t>94R.3203L.1.2.23</t>
  </si>
  <si>
    <t>94R.3204L.1.2.23</t>
  </si>
  <si>
    <t>94R.3205L.1.2.23</t>
  </si>
  <si>
    <t>94R.3206L.1.2.23</t>
  </si>
  <si>
    <t>94R.3207L.1.2.23</t>
  </si>
  <si>
    <t>94R.3208L.1.2.23</t>
  </si>
  <si>
    <t>94R.3228.1.2.23</t>
  </si>
  <si>
    <t>94R.5000.1.2.23</t>
  </si>
  <si>
    <t>94R.5000.1.2.43</t>
  </si>
  <si>
    <t>94R.5026.1.2.23</t>
  </si>
  <si>
    <t>94R.5087.1.5.23</t>
  </si>
  <si>
    <t>94R.5112.1.2.23</t>
  </si>
  <si>
    <t>94R.5335.1.2.23</t>
  </si>
  <si>
    <t>94R.5338.1.2.23</t>
  </si>
  <si>
    <t>94R.5641.1.2.23</t>
  </si>
  <si>
    <t>94R.5642.1.2.23</t>
  </si>
  <si>
    <t>94R.6339.1.2.23</t>
  </si>
  <si>
    <t>94R.6340.1.2.23</t>
  </si>
  <si>
    <t>94R.73703.1.2.23</t>
  </si>
  <si>
    <t>94R.M001.G.1.28</t>
  </si>
  <si>
    <t>94R.M001.HG.1.2.23</t>
  </si>
  <si>
    <t>94R.M001.M.1.28</t>
  </si>
  <si>
    <t>94R.M001.MAT.1.2.23</t>
  </si>
  <si>
    <t>94R.M021.G.1.28</t>
  </si>
  <si>
    <t>94R.M021.M.1.28</t>
  </si>
  <si>
    <t>94R.M032.HG.1.2.23</t>
  </si>
  <si>
    <t>94R.M032.MAT.1.2.23</t>
  </si>
  <si>
    <t>94R.M060.G.1.28</t>
  </si>
  <si>
    <t>94R.M060.M.1.28</t>
  </si>
  <si>
    <t>94R.M067.M.1.28</t>
  </si>
  <si>
    <t>94R.M115.M.1.28</t>
  </si>
  <si>
    <t>94R.M179.M.1.28</t>
  </si>
  <si>
    <t>94R.V2778.1.2.23</t>
  </si>
  <si>
    <t>94R.V2892.1.2.23</t>
  </si>
  <si>
    <t>A10.APAKSA</t>
  </si>
  <si>
    <t>A10.AUGSA</t>
  </si>
  <si>
    <t>A10.ROKTURIS</t>
  </si>
  <si>
    <t>A18.APAKSA</t>
  </si>
  <si>
    <t>A18.AUGSA</t>
  </si>
  <si>
    <t>A18.ROKTURIS</t>
  </si>
  <si>
    <t>COMP45</t>
  </si>
  <si>
    <t>M2208.17164PE</t>
  </si>
  <si>
    <t>M2208.240006PR</t>
  </si>
  <si>
    <t>M2210.10113PE</t>
  </si>
  <si>
    <t>M2210.17035PE</t>
  </si>
  <si>
    <t>M2210.17164PE</t>
  </si>
  <si>
    <t>M2210.172162PE</t>
  </si>
  <si>
    <t>M2210.19015PE</t>
  </si>
  <si>
    <t>M2210.210381PR</t>
  </si>
  <si>
    <t>M2210.261521PE</t>
  </si>
  <si>
    <t>M2220.10113PE</t>
  </si>
  <si>
    <t>M2220.17035PE</t>
  </si>
  <si>
    <t>M2220.17164PE</t>
  </si>
  <si>
    <t>M2220.172162PE</t>
  </si>
  <si>
    <t>M2220.19015PE</t>
  </si>
  <si>
    <t>M2220.210381PR</t>
  </si>
  <si>
    <t>M2220.240006PR</t>
  </si>
  <si>
    <t>M2220.261521PE</t>
  </si>
  <si>
    <t>M2220.28009PE</t>
  </si>
  <si>
    <t>M2245.261521PE</t>
  </si>
  <si>
    <t>M2320.3561W</t>
  </si>
  <si>
    <t>M2808.240006PR</t>
  </si>
  <si>
    <t>M2810.10113PE</t>
  </si>
  <si>
    <t>M2810.17035PE</t>
  </si>
  <si>
    <t>M2810.172162PE</t>
  </si>
  <si>
    <t>M2810.210381PR</t>
  </si>
  <si>
    <t>M2810.261521PE</t>
  </si>
  <si>
    <t>M2820.10113PE</t>
  </si>
  <si>
    <t>M2820.17035PE</t>
  </si>
  <si>
    <t>M2820.17164PE</t>
  </si>
  <si>
    <t>M2820.172162PE</t>
  </si>
  <si>
    <t>M2820.19015PE</t>
  </si>
  <si>
    <t>M2820.210381PR</t>
  </si>
  <si>
    <t>M2820.240006PR</t>
  </si>
  <si>
    <t>M2820.261521PE</t>
  </si>
  <si>
    <t>M2820.28009PR</t>
  </si>
  <si>
    <t>M3210.10113PE</t>
  </si>
  <si>
    <t>M3220.10113PE</t>
  </si>
  <si>
    <t>M3220.17035PE</t>
  </si>
  <si>
    <t>M3220.17164PE</t>
  </si>
  <si>
    <t>M3220.172162PE</t>
  </si>
  <si>
    <t>M3220.19015PE</t>
  </si>
  <si>
    <t>M3220.210381PR</t>
  </si>
  <si>
    <t>M3220.240006PR</t>
  </si>
  <si>
    <t>M3220.261521PE</t>
  </si>
  <si>
    <t>M3220.28009PR</t>
  </si>
  <si>
    <t>M3520.172162PE</t>
  </si>
  <si>
    <t>M3520.19015PE</t>
  </si>
  <si>
    <t>M3620.10113PE</t>
  </si>
  <si>
    <t>M3620.17035PE</t>
  </si>
  <si>
    <t>M3620.17164PE</t>
  </si>
  <si>
    <t>M3620.210381PR</t>
  </si>
  <si>
    <t>M3620.261521PE</t>
  </si>
  <si>
    <t>M4208.240006PR</t>
  </si>
  <si>
    <t>M4210.10113PE</t>
  </si>
  <si>
    <t>M4210.17035P</t>
  </si>
  <si>
    <t>M4220.240006PR</t>
  </si>
  <si>
    <t>M4220.28009PE</t>
  </si>
  <si>
    <t>NEAPSTR</t>
  </si>
  <si>
    <t>RADIUSS.2</t>
  </si>
  <si>
    <t>U10.AUGSA.APAKSA</t>
  </si>
  <si>
    <t>U10.ROKTURIS</t>
  </si>
  <si>
    <t>U10.SKERSLIS</t>
  </si>
  <si>
    <t>U16.AUGSA.APAKSA</t>
  </si>
  <si>
    <t>U16.ROKTURIS</t>
  </si>
  <si>
    <t>U16.SKERSLIS</t>
  </si>
  <si>
    <t>U18.AUGSA.APAKSA</t>
  </si>
  <si>
    <t>U18.ROKTURIS</t>
  </si>
  <si>
    <t>U18.SKERSLIS</t>
  </si>
  <si>
    <t>ver.2.3.</t>
  </si>
  <si>
    <t>73.F128.PA.19</t>
  </si>
  <si>
    <t>F128PA</t>
  </si>
  <si>
    <t>73.F129.PA.19</t>
  </si>
  <si>
    <t>F129PA</t>
  </si>
  <si>
    <t>73.H1316.18</t>
  </si>
  <si>
    <t>H1316</t>
  </si>
  <si>
    <t>73.H1708.18</t>
  </si>
  <si>
    <t>H1708</t>
  </si>
  <si>
    <t>73.H3322.18</t>
  </si>
  <si>
    <t>H3322</t>
  </si>
  <si>
    <t>73.H3786.18</t>
  </si>
  <si>
    <t>H3786</t>
  </si>
  <si>
    <t>73.H3787.18</t>
  </si>
  <si>
    <t>H3787</t>
  </si>
  <si>
    <t>73.H7586.18</t>
  </si>
  <si>
    <t>H7586</t>
  </si>
  <si>
    <t>73.U220.18</t>
  </si>
  <si>
    <t>U220</t>
  </si>
  <si>
    <t>73.U250.18</t>
  </si>
  <si>
    <t>U250</t>
  </si>
  <si>
    <t>73.U250.PM.10</t>
  </si>
  <si>
    <t>U250PM</t>
  </si>
  <si>
    <t>73.U250.PM.19</t>
  </si>
  <si>
    <t>73.U335.PM.10</t>
  </si>
  <si>
    <t>U335PM</t>
  </si>
  <si>
    <t>73.U335.PM.19</t>
  </si>
  <si>
    <t>73.U398.PM.10</t>
  </si>
  <si>
    <t>U398PM</t>
  </si>
  <si>
    <t>73.U398.PM.19</t>
  </si>
  <si>
    <t>73.U590.PM.10</t>
  </si>
  <si>
    <t>U590PM</t>
  </si>
  <si>
    <t>73.U590.PM.19</t>
  </si>
  <si>
    <t>73.U669.18</t>
  </si>
  <si>
    <t>U669</t>
  </si>
  <si>
    <t>73.U669.PM.10</t>
  </si>
  <si>
    <t>U669PM</t>
  </si>
  <si>
    <t>73.U669.PM.19</t>
  </si>
  <si>
    <t>73.U708.PM.19</t>
  </si>
  <si>
    <t>73.U732.PM.19</t>
  </si>
  <si>
    <t>73.U740.PM.10</t>
  </si>
  <si>
    <t>U740PM</t>
  </si>
  <si>
    <t>73.U740.PM.19</t>
  </si>
  <si>
    <t>73.U750.PM.10</t>
  </si>
  <si>
    <t>U750PM</t>
  </si>
  <si>
    <t>73.U750.PM.19</t>
  </si>
  <si>
    <t>73.U755.18</t>
  </si>
  <si>
    <t>U755</t>
  </si>
  <si>
    <t>73.U755.PM.10</t>
  </si>
  <si>
    <t>U755PM</t>
  </si>
  <si>
    <t>73.U755.PM.19</t>
  </si>
  <si>
    <t>73.U780.PM.10</t>
  </si>
  <si>
    <t>U780PM</t>
  </si>
  <si>
    <t>73.U780.PM.19</t>
  </si>
  <si>
    <t>73.U803.PM.10</t>
  </si>
  <si>
    <t>U803PM</t>
  </si>
  <si>
    <t>73.U803.PM.19</t>
  </si>
  <si>
    <t>73.U961.PM.19</t>
  </si>
  <si>
    <t>73.U968.PM.10</t>
  </si>
  <si>
    <t>U968PM</t>
  </si>
  <si>
    <t>73.U968.PM.19</t>
  </si>
  <si>
    <t>73.U999.PM.19</t>
  </si>
  <si>
    <t>73.U999.TM28.19</t>
  </si>
  <si>
    <t>73.W1000.PM.19</t>
  </si>
  <si>
    <t>73.W1100.PG.19</t>
  </si>
  <si>
    <t>76.F128.PA.65.20</t>
  </si>
  <si>
    <t>F128</t>
  </si>
  <si>
    <t>76.F128.PA.92.20</t>
  </si>
  <si>
    <t>76.F129.PA.65.20</t>
  </si>
  <si>
    <t>F129</t>
  </si>
  <si>
    <t>76.F129.PA.92.20</t>
  </si>
  <si>
    <t>76.F199.PA.65.20</t>
  </si>
  <si>
    <t>F199</t>
  </si>
  <si>
    <t>76.F199.PA.92.20</t>
  </si>
  <si>
    <t>76.F267.65.12</t>
  </si>
  <si>
    <t>76.F267.92.12</t>
  </si>
  <si>
    <t>76.F661.65.20</t>
  </si>
  <si>
    <t>F661</t>
  </si>
  <si>
    <t>76.F661.92.20</t>
  </si>
  <si>
    <t>76.F662.65.20</t>
  </si>
  <si>
    <t>F662</t>
  </si>
  <si>
    <t>76.F662.92.20</t>
  </si>
  <si>
    <t>76.F8001.65.12</t>
  </si>
  <si>
    <t>76.F8001.92.12</t>
  </si>
  <si>
    <t>76.F836.65.20</t>
  </si>
  <si>
    <t>F836</t>
  </si>
  <si>
    <t>76.F836.92.20</t>
  </si>
  <si>
    <t>76.H3730.65.12</t>
  </si>
  <si>
    <t>76.H3730.92.12</t>
  </si>
  <si>
    <t>77.539.D.08</t>
  </si>
  <si>
    <t>77.820.19</t>
  </si>
  <si>
    <t>77.822.19</t>
  </si>
  <si>
    <t>77.901.06</t>
  </si>
  <si>
    <t>MDF 6MM MITR</t>
  </si>
  <si>
    <t>KSP12MM</t>
  </si>
  <si>
    <t>79.F128.8</t>
  </si>
  <si>
    <t>79.F129.8</t>
  </si>
  <si>
    <t>79.F199.8</t>
  </si>
  <si>
    <t>79.F661.F662.8</t>
  </si>
  <si>
    <t>F661 F662</t>
  </si>
  <si>
    <t>79.F836.F267.8</t>
  </si>
  <si>
    <t>F836 F267</t>
  </si>
  <si>
    <t>80.3.BB.BB.15</t>
  </si>
  <si>
    <t>80.3.BB.BB.18</t>
  </si>
  <si>
    <t>80.3.BB.WG.12</t>
  </si>
  <si>
    <t>80.3.BB.WG.15</t>
  </si>
  <si>
    <t>80.3.BB.WG.18</t>
  </si>
  <si>
    <t>80.3.BB.WG.21</t>
  </si>
  <si>
    <t>74.F128.1.23</t>
  </si>
  <si>
    <t>74.F129.1.23</t>
  </si>
  <si>
    <t>74.F199.1.5.24</t>
  </si>
  <si>
    <t>74.F661.1.5.24</t>
  </si>
  <si>
    <t>74.F662.1.5.24</t>
  </si>
  <si>
    <t>74.F836.1.5.24</t>
  </si>
  <si>
    <t>74.FC91.CT.1.23</t>
  </si>
  <si>
    <t>74.H1316.08.23</t>
  </si>
  <si>
    <t>74.H1316.2.23</t>
  </si>
  <si>
    <t>74.H1708.08.23</t>
  </si>
  <si>
    <t>74.H1708.2.23</t>
  </si>
  <si>
    <t>74.H3322.08.23</t>
  </si>
  <si>
    <t>74.H3322.2.23</t>
  </si>
  <si>
    <t>74.H3786.08.23</t>
  </si>
  <si>
    <t>74.H3786.2.23</t>
  </si>
  <si>
    <t>74.H3787.08.23</t>
  </si>
  <si>
    <t>74.H3787.2.23</t>
  </si>
  <si>
    <t>74.H7586.08.23</t>
  </si>
  <si>
    <t>74.H7586.2.23</t>
  </si>
  <si>
    <t>74P.0164.MM.1.23</t>
  </si>
  <si>
    <t>74P.0180.AR.08.23</t>
  </si>
  <si>
    <t>74P.0218.GL.1.23</t>
  </si>
  <si>
    <t>74P.0983.GL.1.23</t>
  </si>
  <si>
    <t>74P.1167W.08.43</t>
  </si>
  <si>
    <t>1167W</t>
  </si>
  <si>
    <t>74P.2409.MMG.1.23</t>
  </si>
  <si>
    <t>74P.2423.MMG.1.23</t>
  </si>
  <si>
    <t>74P.3505.AR.1.23</t>
  </si>
  <si>
    <t>74P.5530.AK.1.23</t>
  </si>
  <si>
    <t>74P.5540.AK.1.23</t>
  </si>
  <si>
    <t>74P.5560.AR.1.23</t>
  </si>
  <si>
    <t>74P.6014.08.23</t>
  </si>
  <si>
    <t>74P.6019.MMG.08.23</t>
  </si>
  <si>
    <t>74P.6026.SN.1.23</t>
  </si>
  <si>
    <t>74P.6120.GH.1.23</t>
  </si>
  <si>
    <t>74P.6131.NK.08.23</t>
  </si>
  <si>
    <t>74P.6133.MMG.08.23</t>
  </si>
  <si>
    <t>74P.6140.1.23</t>
  </si>
  <si>
    <t>74P.6151.GH.1.23</t>
  </si>
  <si>
    <t>74P.6152.GH.08.23</t>
  </si>
  <si>
    <t>74P.6230.SN.1.23</t>
  </si>
  <si>
    <t>74P.6240.MN.08.23</t>
  </si>
  <si>
    <t>74P.6241.MN.1.23</t>
  </si>
  <si>
    <t>74P.6242.MN.08.23</t>
  </si>
  <si>
    <t>74P.6281.MN.1.23</t>
  </si>
  <si>
    <t>74P.F244.08.23</t>
  </si>
  <si>
    <t>F244</t>
  </si>
  <si>
    <t>74P.FX0720.1.43</t>
  </si>
  <si>
    <t>74P.FX0725.1.54</t>
  </si>
  <si>
    <t>74.S136.ES.1.23</t>
  </si>
  <si>
    <t>S136</t>
  </si>
  <si>
    <t>74.S138.ES.1.23</t>
  </si>
  <si>
    <t>S138</t>
  </si>
  <si>
    <t>74.U220.08.23</t>
  </si>
  <si>
    <t>74.U220.2.23</t>
  </si>
  <si>
    <t>74.U250.08.23</t>
  </si>
  <si>
    <t>74.U250.2.23</t>
  </si>
  <si>
    <t>74.U250.PM.1.23</t>
  </si>
  <si>
    <t>74.U250.PM.1.43</t>
  </si>
  <si>
    <t>74.U398.PM.1.23</t>
  </si>
  <si>
    <t>74.U398.PM.1.43</t>
  </si>
  <si>
    <t>74.U525.08.43</t>
  </si>
  <si>
    <t>74.U590.PM.1.23</t>
  </si>
  <si>
    <t>74.U590.PM.1.43</t>
  </si>
  <si>
    <t>74.U669.08.23</t>
  </si>
  <si>
    <t>74.U669.2.23</t>
  </si>
  <si>
    <t>74.U669.PM.1.23</t>
  </si>
  <si>
    <t>74.U669.PM.1.43</t>
  </si>
  <si>
    <t>74.U740.PM.1.23</t>
  </si>
  <si>
    <t>74.U740.PM.1.43</t>
  </si>
  <si>
    <t>74.U750.PM.1.23</t>
  </si>
  <si>
    <t>74.U750.PM.1.43</t>
  </si>
  <si>
    <t>74.U755.08.23</t>
  </si>
  <si>
    <t>74.U755.2.23</t>
  </si>
  <si>
    <t>74.U755.PM.1.23</t>
  </si>
  <si>
    <t>74.U755.PM.1.43</t>
  </si>
  <si>
    <t>74.U780.PM.1.23</t>
  </si>
  <si>
    <t>74.U780.PM.1.43</t>
  </si>
  <si>
    <t>74.U803.PM.1.23</t>
  </si>
  <si>
    <t>74.U803.PM.1.43</t>
  </si>
  <si>
    <t>74.U968.PM.1.23</t>
  </si>
  <si>
    <t>74.U968.PM.1.43</t>
  </si>
  <si>
    <t>15.05.2026</t>
  </si>
  <si>
    <t>LPA161890</t>
  </si>
  <si>
    <t>2026-05-15T00:00:00Z</t>
  </si>
  <si>
    <t>PAKKUMINE</t>
  </si>
  <si>
    <t/>
  </si>
  <si>
    <r>
      <t>Detaļas nosaukums</t>
    </r>
    <r>
      <rPr>
        <b/>
        <sz val="11"/>
        <color theme="1"/>
        <rFont val="Calibri"/>
        <family val="2"/>
      </rPr>
      <t>*</t>
    </r>
  </si>
  <si>
    <r>
      <t>Papildus CNC apstrāde   (urbšana, frēzēšana) - atzīmēt ar</t>
    </r>
    <r>
      <rPr>
        <b/>
        <sz val="11"/>
        <color theme="1"/>
        <rFont val="Calibri"/>
        <family val="2"/>
      </rPr>
      <t xml:space="preserve"> X</t>
    </r>
  </si>
  <si>
    <t>73.2.FX0720.P.20</t>
  </si>
  <si>
    <t>73.B073.CH.18</t>
  </si>
  <si>
    <t>73.FB073.CR.18</t>
  </si>
  <si>
    <t>FB073</t>
  </si>
  <si>
    <t>73.FD10.TN.18</t>
  </si>
  <si>
    <t>FD10</t>
  </si>
  <si>
    <t>73.FD16.TN.18</t>
  </si>
  <si>
    <t>FD16</t>
  </si>
  <si>
    <t>73.FD28.TN.18</t>
  </si>
  <si>
    <t>FD28</t>
  </si>
  <si>
    <t>73.FD29.TN.18</t>
  </si>
  <si>
    <t>FD29</t>
  </si>
  <si>
    <t>73.FD30.AP.18</t>
  </si>
  <si>
    <t>FD30</t>
  </si>
  <si>
    <t>73.FD32.AP.18</t>
  </si>
  <si>
    <t>FD32</t>
  </si>
  <si>
    <t>73.FD36.0E.18</t>
  </si>
  <si>
    <t>FD36</t>
  </si>
  <si>
    <t>73.FD36.CH.18</t>
  </si>
  <si>
    <t>73.FD37.0E.18</t>
  </si>
  <si>
    <t>FD37</t>
  </si>
  <si>
    <t>73.FD38.0E.18</t>
  </si>
  <si>
    <t>FD38</t>
  </si>
  <si>
    <t>73.FD47.AP.18</t>
  </si>
  <si>
    <t>FD47</t>
  </si>
  <si>
    <t>73.FD48.AP.18</t>
  </si>
  <si>
    <t>FD48</t>
  </si>
  <si>
    <t>73.FD49.0E.18</t>
  </si>
  <si>
    <t>FD49</t>
  </si>
  <si>
    <t>73.H1227.TM12.19</t>
  </si>
  <si>
    <t>73.H3041.TM12.19</t>
  </si>
  <si>
    <t>73.HM10.PI.19</t>
  </si>
  <si>
    <t>HM10</t>
  </si>
  <si>
    <t>73.HM11.PI.19</t>
  </si>
  <si>
    <t>HM11</t>
  </si>
  <si>
    <t>73.HM12.PI.19</t>
  </si>
  <si>
    <t>HM12</t>
  </si>
  <si>
    <t>73.HM13.PI.19</t>
  </si>
  <si>
    <t>HM13</t>
  </si>
  <si>
    <t>73.LS69.SZ.18</t>
  </si>
  <si>
    <t>LS69</t>
  </si>
  <si>
    <t>73.LS70.SZ.18</t>
  </si>
  <si>
    <t>LS70</t>
  </si>
  <si>
    <t>73.S173.CR.18</t>
  </si>
  <si>
    <t>S173</t>
  </si>
  <si>
    <t>73.S176.CR.18</t>
  </si>
  <si>
    <t>S176</t>
  </si>
  <si>
    <t>73.S215.CR.18</t>
  </si>
  <si>
    <t>S215</t>
  </si>
  <si>
    <t>73.U201.PM.19</t>
  </si>
  <si>
    <t>73.U211.PM.19</t>
  </si>
  <si>
    <t>73.U604.PM.19</t>
  </si>
  <si>
    <t>73.U665.PM.19</t>
  </si>
  <si>
    <t>73.U705.PM.19</t>
  </si>
  <si>
    <t>73.U727.PM.19</t>
  </si>
  <si>
    <t>73.U767.PM.19</t>
  </si>
  <si>
    <t>73.U960.PM.19</t>
  </si>
  <si>
    <t>73.U963.MR.16</t>
  </si>
  <si>
    <t>73.U999.TM.19</t>
  </si>
  <si>
    <t>U999TM</t>
  </si>
  <si>
    <t>73.W1000.MR.16</t>
  </si>
  <si>
    <t>73.W1000.MR.18</t>
  </si>
  <si>
    <t>73.W1000.TM9.19</t>
  </si>
  <si>
    <t>W1000TM</t>
  </si>
  <si>
    <t>73.W1100.PM.19</t>
  </si>
  <si>
    <t>75.121.U1094.01.03</t>
  </si>
  <si>
    <t>U1094</t>
  </si>
  <si>
    <t>75.H1318.2.8</t>
  </si>
  <si>
    <t>75.H1401.2.8</t>
  </si>
  <si>
    <t>75.H1732.2.8</t>
  </si>
  <si>
    <t>75.H3043.2.8</t>
  </si>
  <si>
    <t>75.H3157.2.8</t>
  </si>
  <si>
    <t>75.U961.2.8</t>
  </si>
  <si>
    <t>76.0941.12</t>
  </si>
  <si>
    <t>76.0942.12</t>
  </si>
  <si>
    <t>76.0953.12</t>
  </si>
  <si>
    <t>76.0956.12</t>
  </si>
  <si>
    <t>76.0962.12</t>
  </si>
  <si>
    <t>76.0963.12</t>
  </si>
  <si>
    <t>76.0964.12</t>
  </si>
  <si>
    <t>76.0965.12</t>
  </si>
  <si>
    <t>76.0966.12</t>
  </si>
  <si>
    <t>76.0967.12</t>
  </si>
  <si>
    <t>76.0969.12</t>
  </si>
  <si>
    <t>76.0970.12</t>
  </si>
  <si>
    <t>76.0984.12</t>
  </si>
  <si>
    <t>76.0985.12</t>
  </si>
  <si>
    <t>76.0986.12</t>
  </si>
  <si>
    <t>76.0987.12</t>
  </si>
  <si>
    <t>76.0988.12</t>
  </si>
  <si>
    <t>76.0989.12</t>
  </si>
  <si>
    <t>76.0990.12</t>
  </si>
  <si>
    <t>76.Y102.AA.12</t>
  </si>
  <si>
    <t>76.Y102.AS.12</t>
  </si>
  <si>
    <t>76.Y111.12</t>
  </si>
  <si>
    <t>76.Y112.12</t>
  </si>
  <si>
    <t>77.111.01.03</t>
  </si>
  <si>
    <t>77.111.01.04</t>
  </si>
  <si>
    <t>77.211.02.04</t>
  </si>
  <si>
    <t>77.213.M30.08</t>
  </si>
  <si>
    <t>77.213.M30.10</t>
  </si>
  <si>
    <t>77.213.M30.12</t>
  </si>
  <si>
    <t>77.213.M30.16</t>
  </si>
  <si>
    <t>77.213.M30.18</t>
  </si>
  <si>
    <t>77.213.M30.19</t>
  </si>
  <si>
    <t>77.213.M30.3.08</t>
  </si>
  <si>
    <t>77.213.M30.31.08</t>
  </si>
  <si>
    <t>77.213.M50.06</t>
  </si>
  <si>
    <t>77.213.M50.08</t>
  </si>
  <si>
    <t>77.213.M50.10</t>
  </si>
  <si>
    <t>77.213.M50.16</t>
  </si>
  <si>
    <t>77.213.M50.19</t>
  </si>
  <si>
    <t>77.539.D.25</t>
  </si>
  <si>
    <t>77.539.D.28</t>
  </si>
  <si>
    <t>77.901.10</t>
  </si>
  <si>
    <t>MDF 10MM MITR</t>
  </si>
  <si>
    <t>77.913.30.25.FSCMIX</t>
  </si>
  <si>
    <t>77.983.P2.18</t>
  </si>
  <si>
    <t>77.983.P2.MR.16</t>
  </si>
  <si>
    <t>SAP</t>
  </si>
  <si>
    <t>87.73.899.19</t>
  </si>
  <si>
    <t>87.73.899.23</t>
  </si>
  <si>
    <t>87.73.899.39</t>
  </si>
  <si>
    <t>93.6248.16</t>
  </si>
  <si>
    <t>6248 GRIP</t>
  </si>
  <si>
    <t>93.6249.16</t>
  </si>
  <si>
    <t>F8980</t>
  </si>
  <si>
    <t>74.FA46.0J.1.23</t>
  </si>
  <si>
    <t>FA46</t>
  </si>
  <si>
    <t>74.FB073.CR.1.23</t>
  </si>
  <si>
    <t>74.FD10.TN.1.23</t>
  </si>
  <si>
    <t>74.FD16.TN.1.23</t>
  </si>
  <si>
    <t>74.FD28.TN.1.23</t>
  </si>
  <si>
    <t>74.FD29.TN.1.23</t>
  </si>
  <si>
    <t>74.FD30.AP.1.23</t>
  </si>
  <si>
    <t>74.FD32.AP.1.23</t>
  </si>
  <si>
    <t>74.FD36.0E.1.23</t>
  </si>
  <si>
    <t>74.FD36.CH.1.23</t>
  </si>
  <si>
    <t>74.FD37.0E.1.23</t>
  </si>
  <si>
    <t>74.FD38.0E.1.23</t>
  </si>
  <si>
    <t>74.FD47.AP.1.23</t>
  </si>
  <si>
    <t>74.FD48.AP.1.23</t>
  </si>
  <si>
    <t>74.FD49.0E.1.23</t>
  </si>
  <si>
    <t>74.H1142.2.43</t>
  </si>
  <si>
    <t>74.H1385.2.43</t>
  </si>
  <si>
    <t>74.H3165.08.23</t>
  </si>
  <si>
    <t>H3165</t>
  </si>
  <si>
    <t>74.H3710.08.43</t>
  </si>
  <si>
    <t>74.H3860.2.43</t>
  </si>
  <si>
    <t>74.HM10.PI.1.23</t>
  </si>
  <si>
    <t>74.HM11.PI.1.23</t>
  </si>
  <si>
    <t>74.HM12.PI.1.23</t>
  </si>
  <si>
    <t>74.HM13.PI.1.23</t>
  </si>
  <si>
    <t>74.LS54.RI.1.43</t>
  </si>
  <si>
    <t>74.LS69.SZ.1.23</t>
  </si>
  <si>
    <t>74.LS70.SZ.1.23</t>
  </si>
  <si>
    <t>74P.B073.CH.08.23</t>
  </si>
  <si>
    <t>74P.F311.08.23</t>
  </si>
  <si>
    <t>74P.F352.2.54</t>
  </si>
  <si>
    <t>74P.FX0748.1.28</t>
  </si>
  <si>
    <t>0748</t>
  </si>
  <si>
    <t>74P.H3311.1.43</t>
  </si>
  <si>
    <t>74P.H3433.08.43</t>
  </si>
  <si>
    <t>74P.H3730.2.43</t>
  </si>
  <si>
    <t>74P.S01.08.43</t>
  </si>
  <si>
    <t>74P.U311.2.43</t>
  </si>
  <si>
    <t>74P.U636.PM.1.23</t>
  </si>
  <si>
    <t>Q1181</t>
  </si>
  <si>
    <t>Q1344</t>
  </si>
  <si>
    <t>74R.H1316.1.23</t>
  </si>
  <si>
    <t>74R.H1316.2.23</t>
  </si>
  <si>
    <t>74R.H1708.1.23</t>
  </si>
  <si>
    <t>74R.H1708.2.23</t>
  </si>
  <si>
    <t>74R.H3322.1.23</t>
  </si>
  <si>
    <t>74R.H3322.2.23</t>
  </si>
  <si>
    <t>74R.H3786.1.23</t>
  </si>
  <si>
    <t>74R.H3786.2.23</t>
  </si>
  <si>
    <t>74R.H3787.1.23</t>
  </si>
  <si>
    <t>74R.H3787.2.23</t>
  </si>
  <si>
    <t>74R.H7586.1.23</t>
  </si>
  <si>
    <t>74R.H7586.2.23</t>
  </si>
  <si>
    <t>74R.U220.1.23</t>
  </si>
  <si>
    <t>74R.U220.2.23</t>
  </si>
  <si>
    <t>74R.U250.1.23</t>
  </si>
  <si>
    <t>74R.U250.2.23</t>
  </si>
  <si>
    <t>74R.U250.PM.1.23</t>
  </si>
  <si>
    <t>74R.U335.PM.1.23</t>
  </si>
  <si>
    <t>74R.U398.PM.1.23</t>
  </si>
  <si>
    <t>74R.U590.PM.1.23</t>
  </si>
  <si>
    <t>74R.U669.1.23</t>
  </si>
  <si>
    <t>74R.U669.2.23</t>
  </si>
  <si>
    <t>74R.U669.PM.1.23</t>
  </si>
  <si>
    <t>74R.U740.PM.1.23</t>
  </si>
  <si>
    <t>74R.U750.PM.1.23</t>
  </si>
  <si>
    <t>74R.U755.PM.1.23</t>
  </si>
  <si>
    <t>74R.U780.PM.1.23</t>
  </si>
  <si>
    <t>74R.U803.PM.1.23</t>
  </si>
  <si>
    <t>74R.U968.PM.1.23</t>
  </si>
  <si>
    <t>74.S173.CR.1.23</t>
  </si>
  <si>
    <t>74.S176.CR.1.23</t>
  </si>
  <si>
    <t>74.S181.QE.1.23</t>
  </si>
  <si>
    <t>S181</t>
  </si>
  <si>
    <t>74.S215.CR.1.23</t>
  </si>
  <si>
    <t>74.U113.08.28</t>
  </si>
  <si>
    <t>74.U113.2.43</t>
  </si>
  <si>
    <t>U398</t>
  </si>
  <si>
    <t>U399</t>
  </si>
  <si>
    <t>U590</t>
  </si>
  <si>
    <t>74.U604.PM.1.23</t>
  </si>
  <si>
    <t>U803</t>
  </si>
  <si>
    <t>74.U899.08.28</t>
  </si>
  <si>
    <t>74.W1000.ST38.08.28</t>
  </si>
  <si>
    <t>W960</t>
  </si>
  <si>
    <t>88.000.1.24</t>
  </si>
  <si>
    <t>88.000.2.35</t>
  </si>
  <si>
    <t>88.200.1.35</t>
  </si>
  <si>
    <t>88.400.2.23</t>
  </si>
  <si>
    <t>PRIEDE</t>
  </si>
  <si>
    <t>88.400.2.33</t>
  </si>
  <si>
    <t>88.S01.A.06.24</t>
  </si>
  <si>
    <t>88.S02.A.06.24</t>
  </si>
  <si>
    <t>S02</t>
  </si>
  <si>
    <t>88.S03.A.06.24</t>
  </si>
  <si>
    <t>S03</t>
  </si>
  <si>
    <t>88.S04.A.06.24</t>
  </si>
  <si>
    <t>88.S05.A.06.24</t>
  </si>
  <si>
    <t>88.S06.A.06.24</t>
  </si>
  <si>
    <t>88.S07.A.06.24</t>
  </si>
  <si>
    <t>S07</t>
  </si>
  <si>
    <t>88.S08.A.06.24</t>
  </si>
  <si>
    <t>88.S09.A.06.24</t>
  </si>
  <si>
    <t>S09</t>
  </si>
  <si>
    <t>88.S10.A.06.24</t>
  </si>
  <si>
    <t>88.S11.A.06.24</t>
  </si>
  <si>
    <t>S11</t>
  </si>
  <si>
    <t>88.S12.A.06.24</t>
  </si>
  <si>
    <t>S12</t>
  </si>
  <si>
    <t>88.S13.A.06.24</t>
  </si>
  <si>
    <t>S13</t>
  </si>
  <si>
    <t>88.S14.A.06.24</t>
  </si>
  <si>
    <t>S14</t>
  </si>
  <si>
    <t>88.S15.A.06.24</t>
  </si>
  <si>
    <t>88.S16.A.06.24</t>
  </si>
  <si>
    <t>S16</t>
  </si>
  <si>
    <t>88.S17.A.06.24</t>
  </si>
  <si>
    <t>S17</t>
  </si>
  <si>
    <t>88.S18.A.06.24</t>
  </si>
  <si>
    <t>94R.M021.G.1.23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</si>
</sst>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sz val="11"/>
      <color rgb="FF555555"/>
      <name val="Arial"/>
      <family val="2"/>
    </font>
    <font>
      <sz val="11"/>
      <color rgb="FF212121"/>
      <name val="Inherit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5E696E"/>
      <name val="Calibri"/>
      <family val="2"/>
      <scheme val="major"/>
    </font>
    <font>
      <sz val="11"/>
      <color rgb="FF555555"/>
      <name val="Calibri"/>
      <family val="2"/>
      <scheme val="major"/>
    </font>
    <font>
      <sz val="11"/>
      <color theme="1"/>
      <name val="Calibri"/>
      <family val="2"/>
      <scheme val="maj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E36C09"/>
        <bgColor rgb="FFE36C0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</borders>
  <cellStyleXfs count="2">
    <xf numFmtId="0" fontId="0" fillId="0" borderId="0"/>
    <xf numFmtId="0" fontId="9" fillId="0" borderId="1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quotePrefix="1" applyFont="1" applyAlignment="1">
      <alignment vertical="top" wrapText="1"/>
    </xf>
    <xf numFmtId="0" fontId="8" fillId="0" borderId="0" xfId="0" applyFont="1" applyAlignment="1">
      <alignment vertical="top" wrapText="1"/>
    </xf>
    <xf numFmtId="49" fontId="1" fillId="0" borderId="0" xfId="0" applyNumberFormat="1" applyFont="1"/>
    <xf numFmtId="0" fontId="1" fillId="6" borderId="2" xfId="0" applyFont="1" applyFill="1" applyBorder="1"/>
    <xf numFmtId="49" fontId="1" fillId="6" borderId="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" fillId="0" borderId="0" xfId="0" applyFont="1"/>
    <xf numFmtId="0" fontId="14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5" fillId="0" borderId="34" xfId="0" applyFont="1" applyBorder="1" applyAlignment="1">
      <alignment horizontal="center" vertical="center"/>
    </xf>
    <xf numFmtId="0" fontId="3" fillId="0" borderId="6" xfId="0" applyFont="1" applyBorder="1"/>
    <xf numFmtId="0" fontId="2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2" fillId="0" borderId="3" xfId="0" applyFont="1" applyBorder="1" applyAlignment="1">
      <alignment horizontal="center" vertical="center"/>
    </xf>
    <xf numFmtId="0" fontId="3" fillId="0" borderId="5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23" xfId="0" applyFont="1" applyBorder="1" applyAlignment="1">
      <alignment horizontal="center" vertical="center"/>
    </xf>
    <xf numFmtId="0" fontId="3" fillId="0" borderId="23" xfId="0" applyFont="1" applyBorder="1"/>
    <xf numFmtId="0" fontId="1" fillId="0" borderId="22" xfId="0" applyFont="1" applyBorder="1" applyAlignment="1">
      <alignment horizontal="center" vertical="center"/>
    </xf>
    <xf numFmtId="0" fontId="3" fillId="0" borderId="24" xfId="0" applyFont="1" applyBorder="1"/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9"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D6E3BC"/>
          <bgColor rgb="FFD6E3BC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D6E3BC"/>
          <bgColor rgb="FFD6E3BC"/>
        </patternFill>
      </fill>
    </dxf>
    <dxf>
      <font>
        <color theme="0"/>
      </font>
      <fill>
        <patternFill patternType="solid">
          <fgColor rgb="FFFF5050"/>
          <bgColor rgb="FFFF5050"/>
        </patternFill>
      </fill>
    </dxf>
    <dxf>
      <fill>
        <patternFill patternType="solid">
          <fgColor rgb="FFD6E3BC"/>
          <bgColor rgb="FFD6E3BC"/>
        </patternFill>
      </fill>
    </dxf>
    <dxf>
      <font>
        <color theme="0"/>
      </font>
      <fill>
        <patternFill patternType="solid">
          <fgColor rgb="FFFF5050"/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006100"/>
      </font>
      <fill>
        <patternFill>
          <bgColor rgb="FFD6E3BC"/>
        </patternFill>
      </fill>
    </dxf>
  </dxfs>
  <tableStyles count="0" defaultTableStyle="TableStyleMedium2" defaultPivotStyle="PivotStyleLight16"/>
  <colors>
    <mruColors>
      <color rgb="FFD6E3B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7</xdr:row>
      <xdr:rowOff>47625</xdr:rowOff>
    </xdr:from>
    <xdr:ext cx="190500" cy="457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60275" y="3560925"/>
          <a:ext cx="171450" cy="4381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581025</xdr:colOff>
      <xdr:row>87</xdr:row>
      <xdr:rowOff>0</xdr:rowOff>
    </xdr:from>
    <xdr:ext cx="190500" cy="266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504825</xdr:colOff>
      <xdr:row>87</xdr:row>
      <xdr:rowOff>0</xdr:rowOff>
    </xdr:from>
    <xdr:ext cx="190500" cy="2667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87</xdr:row>
      <xdr:rowOff>0</xdr:rowOff>
    </xdr:from>
    <xdr:ext cx="333375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81468" y="3630450"/>
          <a:ext cx="329064" cy="299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1009650</xdr:colOff>
      <xdr:row>87</xdr:row>
      <xdr:rowOff>0</xdr:rowOff>
    </xdr:from>
    <xdr:ext cx="1171575" cy="266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764624" y="3647720"/>
          <a:ext cx="1162752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390525</xdr:colOff>
      <xdr:row>87</xdr:row>
      <xdr:rowOff>0</xdr:rowOff>
    </xdr:from>
    <xdr:ext cx="190500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53635" y="3671220"/>
          <a:ext cx="184731" cy="217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/>
        </a:p>
      </xdr:txBody>
    </xdr:sp>
    <xdr:clientData fLocksWithSheet="0"/>
  </xdr:oneCellAnchor>
  <xdr:oneCellAnchor>
    <xdr:from>
      <xdr:col>0</xdr:col>
      <xdr:colOff>142875</xdr:colOff>
      <xdr:row>87</xdr:row>
      <xdr:rowOff>0</xdr:rowOff>
    </xdr:from>
    <xdr:ext cx="190500" cy="2190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53635" y="3671220"/>
          <a:ext cx="184731" cy="217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/>
        </a:p>
      </xdr:txBody>
    </xdr:sp>
    <xdr:clientData fLocksWithSheet="0"/>
  </xdr:oneCellAnchor>
  <xdr:oneCellAnchor>
    <xdr:from>
      <xdr:col>8</xdr:col>
      <xdr:colOff>1219200</xdr:colOff>
      <xdr:row>0</xdr:row>
      <xdr:rowOff>171450</xdr:rowOff>
    </xdr:from>
    <xdr:ext cx="1400175" cy="74295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416378</xdr:colOff>
      <xdr:row>0</xdr:row>
      <xdr:rowOff>109227</xdr:rowOff>
    </xdr:from>
    <xdr:to>
      <xdr:col>8</xdr:col>
      <xdr:colOff>664028</xdr:colOff>
      <xdr:row>6</xdr:row>
      <xdr:rowOff>94216</xdr:rowOff>
    </xdr:to>
    <xdr:pic>
      <xdr:nvPicPr>
        <xdr:cNvPr id="27" name="Attēls 26">
          <a:extLst>
            <a:ext uri="{FF2B5EF4-FFF2-40B4-BE49-F238E27FC236}">
              <a16:creationId xmlns:a16="http://schemas.microsoft.com/office/drawing/2014/main" id="{C813DC6C-D066-4B20-A1A3-DC71D563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4342" y="109227"/>
          <a:ext cx="2152650" cy="1127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zoomScaleNormal="100" workbookViewId="0">
      <selection activeCell="C8" sqref="C8"/>
    </sheetView>
  </sheetViews>
  <sheetFormatPr defaultColWidth="12.625" defaultRowHeight="15" customHeight="1"/>
  <cols>
    <col min="1" max="1" width="18.5" customWidth="1"/>
    <col min="2" max="2" width="22.625" customWidth="1"/>
    <col min="3" max="3" width="16.5" customWidth="1"/>
    <col min="4" max="4" width="7.625" customWidth="1"/>
    <col min="5" max="5" width="8" customWidth="1"/>
    <col min="6" max="6" width="5.875" customWidth="1"/>
    <col min="7" max="7" width="8.375" customWidth="1"/>
    <col min="8" max="11" width="16.625" customWidth="1"/>
    <col min="12" max="12" width="2.5" customWidth="1"/>
    <col min="13" max="13" width="9.625" customWidth="1"/>
    <col min="14" max="14" width="12.625" customWidth="1"/>
    <col min="15" max="15" width="11.875" customWidth="1"/>
    <col min="16" max="19" width="12.625" customWidth="1"/>
    <col min="20" max="20" width="13.125" customWidth="1"/>
    <col min="21" max="26" width="8" customWidth="1"/>
  </cols>
  <sheetData>
    <row r="1" spans="1:26">
      <c r="A1" s="1" t="s">
        <v>3</v>
      </c>
      <c r="B1" s="33"/>
      <c r="C1" s="78" t="str">
        <f>tulkojums!A41</f>
        <v>Materjaliandmeid on uuendatud</v>
      </c>
      <c r="D1" s="79"/>
      <c r="E1" s="79"/>
      <c r="F1" s="79"/>
      <c r="G1" s="79"/>
      <c r="H1" t="s">
        <v>5541</v>
      </c>
      <c r="I1" s="36"/>
      <c r="J1" s="63" t="s">
        <v>5351</v>
      </c>
      <c r="K1" s="3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4" t="str">
        <f>tulkojums!A6</f>
        <v>Tellimuse number</v>
      </c>
      <c r="B2" s="80" t="s">
        <v>5542</v>
      </c>
      <c r="C2" s="81"/>
      <c r="D2" s="45"/>
      <c r="E2" s="46"/>
      <c r="F2" s="46"/>
      <c r="G2" s="47"/>
      <c r="H2" s="39"/>
      <c r="I2" s="35"/>
      <c r="J2" s="33"/>
      <c r="K2" s="33"/>
      <c r="N2" s="4"/>
      <c r="O2" s="5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4" t="str">
        <f>tulkojums!A25</f>
        <v>Tellimuse kuupäev</v>
      </c>
      <c r="B3" s="80" t="s">
        <v>5543</v>
      </c>
      <c r="C3" s="81"/>
      <c r="D3" s="33"/>
      <c r="E3" s="48"/>
      <c r="F3" s="48"/>
      <c r="G3" s="42"/>
      <c r="H3" s="40"/>
      <c r="I3" s="38"/>
      <c r="J3" s="33"/>
      <c r="K3" s="33"/>
      <c r="N3" s="6"/>
      <c r="O3" s="5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 t="str">
        <f>tulkojums!A26</f>
        <v>Klient</v>
      </c>
      <c r="B4" s="82" t="s">
        <v>5544</v>
      </c>
      <c r="C4" s="83"/>
      <c r="D4" s="72"/>
      <c r="E4" s="72"/>
      <c r="F4" s="65"/>
      <c r="G4" s="2"/>
      <c r="H4" s="42"/>
      <c r="I4" s="41"/>
      <c r="J4" s="2"/>
      <c r="K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tr">
        <f>tulkojums!A27</f>
        <v>E-mail</v>
      </c>
      <c r="B5" s="84"/>
      <c r="C5" s="65"/>
      <c r="D5" s="9" t="str">
        <f>tulkojums!A28</f>
        <v>Mob.</v>
      </c>
      <c r="E5" s="64" t="s">
        <v>5545</v>
      </c>
      <c r="F5" s="65"/>
      <c r="G5" s="43"/>
      <c r="H5" s="38"/>
      <c r="I5" s="38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tr">
        <f>tulkojums!A7</f>
        <v>Kliendiprojekt nr.</v>
      </c>
      <c r="B6" s="64" t="s">
        <v>5545</v>
      </c>
      <c r="C6" s="65"/>
      <c r="D6" s="8"/>
      <c r="E6" s="51"/>
      <c r="F6" s="49"/>
      <c r="G6" s="42"/>
      <c r="H6" s="38"/>
      <c r="I6" s="38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>
      <c r="A7" s="3" t="str">
        <f>tulkojums!A8</f>
        <v>Kliendi nr.</v>
      </c>
      <c r="B7" s="64" t="s">
        <v>5545</v>
      </c>
      <c r="C7" s="65"/>
      <c r="D7" s="50"/>
      <c r="E7" s="44"/>
      <c r="F7" s="42"/>
      <c r="G7" s="37"/>
      <c r="H7" s="66"/>
      <c r="I7" s="67"/>
      <c r="J7" s="67"/>
      <c r="K7" s="6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>
      <c r="A8" s="2"/>
      <c r="B8" s="53"/>
      <c r="C8" s="53"/>
      <c r="D8" s="52"/>
      <c r="E8" s="54"/>
      <c r="F8" s="2"/>
      <c r="G8" s="68" t="str">
        <f>tulkojums!A21&amp;tulkojums!A22&amp;tulkojums!A23</f>
        <v xml:space="preserve">   N-ühetooniline dekoor; Y-paralleelne pikkusega;X-paralleelne laiusega</v>
      </c>
      <c r="H8" s="69"/>
      <c r="I8" s="69"/>
      <c r="J8" s="69"/>
      <c r="K8" s="70"/>
      <c r="M8" s="71" t="str">
        <f>tulkojums!A33</f>
        <v>Viga kontrollimisel</v>
      </c>
      <c r="N8" s="72"/>
      <c r="O8" s="72"/>
      <c r="P8" s="72"/>
      <c r="Q8" s="72"/>
      <c r="R8" s="72"/>
      <c r="S8" s="65"/>
      <c r="T8" s="2"/>
      <c r="U8" s="2"/>
      <c r="V8" s="2"/>
      <c r="W8" s="2"/>
      <c r="X8" s="2"/>
      <c r="Y8" s="2"/>
      <c r="Z8" s="2"/>
    </row>
    <row r="9" spans="1:26">
      <c r="A9" s="73" t="str">
        <f>tulkojums!A9</f>
        <v>Detaili nimetus</v>
      </c>
      <c r="B9" s="73" t="str">
        <f>tulkojums!A31</f>
        <v>Joonise nr *</v>
      </c>
      <c r="C9" s="73" t="str">
        <f>tulkojums!A10</f>
        <v>Tootekood</v>
      </c>
      <c r="D9" s="75" t="str">
        <f>tulkojums!A11</f>
        <v>Detaili mõõdud</v>
      </c>
      <c r="E9" s="76"/>
      <c r="F9" s="76"/>
      <c r="G9" s="77"/>
      <c r="H9" s="75" t="str">
        <f>tulkojums!A16</f>
        <v>ABS servakantide paigaldamine</v>
      </c>
      <c r="I9" s="76"/>
      <c r="J9" s="76"/>
      <c r="K9" s="77"/>
      <c r="M9" s="71"/>
      <c r="N9" s="72"/>
      <c r="O9" s="65"/>
      <c r="P9" s="71" t="str">
        <f>tulkojums!A40</f>
        <v>Äärekontroll</v>
      </c>
      <c r="Q9" s="72"/>
      <c r="R9" s="72"/>
      <c r="S9" s="65"/>
      <c r="T9" s="2"/>
      <c r="U9" s="2"/>
      <c r="V9" s="2"/>
      <c r="W9" s="2"/>
      <c r="X9" s="2"/>
      <c r="Y9" s="2"/>
      <c r="Z9" s="2"/>
    </row>
    <row r="10" spans="1:26" ht="29.25" customHeight="1" thickBot="1">
      <c r="A10" s="74"/>
      <c r="B10" s="74"/>
      <c r="C10" s="74"/>
      <c r="D10" s="12" t="str">
        <f>tulkojums!A12</f>
        <v>Pikkus Y</v>
      </c>
      <c r="E10" s="10" t="str">
        <f>tulkojums!A13</f>
        <v>Laius X</v>
      </c>
      <c r="F10" s="10" t="str">
        <f>tulkojums!A14</f>
        <v>Kogus</v>
      </c>
      <c r="G10" s="11" t="str">
        <f>tulkojums!A15</f>
        <v>Puidusüü asetsemine</v>
      </c>
      <c r="H10" s="12" t="str">
        <f>tulkojums!A17</f>
        <v>Pikkus Y1</v>
      </c>
      <c r="I10" s="10" t="str">
        <f>tulkojums!A18</f>
        <v>Pikkus Y2</v>
      </c>
      <c r="J10" s="10" t="str">
        <f>tulkojums!A19</f>
        <v>Laius X1</v>
      </c>
      <c r="K10" s="11" t="str">
        <f>tulkojums!A20</f>
        <v>Laius X2</v>
      </c>
      <c r="M10" s="13" t="str">
        <f>tulkojums!A34</f>
        <v>Materjali kontroll</v>
      </c>
      <c r="N10" s="13" t="str">
        <f>tulkojums!A35</f>
        <v>Koguse kontrollimine</v>
      </c>
      <c r="O10" s="13" t="str">
        <f>tulkojums!A36</f>
        <v>Kiudsuuna test</v>
      </c>
      <c r="P10" s="13" t="str">
        <f>tulkojums!A37</f>
        <v>Kaunistus ja laius</v>
      </c>
      <c r="Q10" s="13" t="str">
        <f>tulkojums!A37</f>
        <v>Kaunistus ja laius</v>
      </c>
      <c r="R10" s="13" t="str">
        <f>tulkojums!A37</f>
        <v>Kaunistus ja laius</v>
      </c>
      <c r="S10" s="13" t="str">
        <f>tulkojums!A37</f>
        <v>Kaunistus ja laius</v>
      </c>
      <c r="T10" s="2"/>
      <c r="U10" s="2"/>
      <c r="V10" s="2"/>
      <c r="W10" s="2"/>
      <c r="X10" s="2"/>
      <c r="Y10" s="2"/>
      <c r="Z10" s="2"/>
    </row>
    <row r="11" spans="1:26">
      <c r="A11" s="14" t="s">
        <v>14</v>
      </c>
      <c r="B11" s="14"/>
      <c r="C11" s="15" t="s">
        <v>243</v>
      </c>
      <c r="D11" s="55">
        <v>2770</v>
      </c>
      <c r="E11" s="55">
        <v>1100</v>
      </c>
      <c r="F11" s="56">
        <v>2</v>
      </c>
      <c r="G11" s="57" t="s">
        <v>118</v>
      </c>
      <c r="H11" s="59" t="s">
        <v>3949</v>
      </c>
      <c r="I11" s="16" t="s">
        <v>3949</v>
      </c>
      <c r="J11" s="16" t="s">
        <v>3949</v>
      </c>
      <c r="K11" s="16" t="s">
        <v>3949</v>
      </c>
      <c r="M11" s="2" t="str">
        <f>IF(ISBLANK(C11),"",IF(IFERROR(VLOOKUP(C11,DB_materiali!$A$2:$A$5000,1,FALSE),"Kļūda artikulā")=C11,"✔",tulkojums!A$42))</f>
        <v>✔</v>
      </c>
      <c r="N11" s="2" t="str">
        <f>IF(ISBLANK(C11),"",IF(ISNUMBER(F11)=TRUE,"✔",tulkojums!A$43))</f>
        <v>✔</v>
      </c>
      <c r="O11" s="2" t="str">
        <f>IF(ISBLANK(C11),"",IF(G11="Y","✔",IF(G11="X","✔",IF(G11="N","✔",tulkojums!A$44))))</f>
        <v>✔</v>
      </c>
      <c r="P11" s="2" t="str">
        <f>IF(ISBLANK(H11),"",IF(INDEX(DB_materiali!$E$2:$E$5000,MATCH($C11,DB_materiali!$A$2:$A$5000,0))&gt;=INDEX(DB_malas!$C$2:$C$5000,MATCH(H11,DB_malas!$A$2:$A$5000,0)),IF(INDEX(DB_materiali!$E$2:$E$5000,MATCH($C11,DB_materiali!$A$2:$A$5000,0))&lt;=INDEX(DB_malas!$D$2:$D$5000,MATCH(H11,DB_malas!$A$2:$A$5000,0)),IF(OR(INDEX(DB_materiali!$B$2:$B$5000,MATCH($C11,DB_materiali!$A$2:$A$5000,0))=INDEX(DB_malas!$B$2:$B$5000,MATCH(H11,DB_malas!$A$2:$A$5000,0)),$H11="ORG"),"✔",tulkojums!$A$38),tulkojums!$A$39),tulkojums!$A$39))</f>
        <v>✔</v>
      </c>
      <c r="Q11" s="2" t="str">
        <f>IF(ISBLANK(I11),"",IF(INDEX(DB_materiali!$E$2:$E$5000,MATCH($C11,DB_materiali!$A$2:$A$5000,0))&gt;=INDEX(DB_malas!$C$2:$C$5000,MATCH(I11,DB_malas!$A$2:$A$5000,0)),IF(INDEX(DB_materiali!$E$2:$E$5000,MATCH($C11,DB_materiali!$A$2:$A$5000,0))&lt;=INDEX(DB_malas!$D$2:$D$5000,MATCH(I11,DB_malas!$A$2:$A$5000,0)),IF(OR(INDEX(DB_materiali!$B$2:$B$5000,MATCH($C11,DB_materiali!$A$2:$A$5000,0))=INDEX(DB_malas!$B$2:$B$5000,MATCH(I11,DB_malas!$A$2:$A$5000,0)),$H11="ORG"),"✔",tulkojums!$A$38),tulkojums!$A$39),tulkojums!$A$39))</f>
        <v>✔</v>
      </c>
      <c r="R11" s="2" t="str">
        <f>IF(ISBLANK(J11),"",IF(INDEX(DB_materiali!$E$2:$E$5000,MATCH($C11,DB_materiali!$A$2:$A$5000,0))&gt;=INDEX(DB_malas!$C$2:$C$5000,MATCH(J11,DB_malas!$A$2:$A$5000,0)),IF(INDEX(DB_materiali!$E$2:$E$5000,MATCH($C11,DB_materiali!$A$2:$A$5000,0))&lt;=INDEX(DB_malas!$D$2:$D$5000,MATCH(J11,DB_malas!$A$2:$A$5000,0)),IF(INDEX(DB_materiali!$B$2:$B$5000,MATCH($C11,DB_materiali!$A$2:$A$5000,0))=INDEX(DB_malas!$B$2:$B$5000,MATCH(J11,DB_malas!$A$2:$A$5000,0)),"✔",tulkojums!$A$38),tulkojums!$A$39),tulkojums!$A$39))</f>
        <v>✔</v>
      </c>
      <c r="S11" s="2" t="str">
        <f>IF(ISBLANK(K11),"",IF(INDEX(DB_materiali!$E$2:$E$5000,MATCH($C11,DB_materiali!$A$2:$A$5000,0))&gt;=INDEX(DB_malas!$C$2:$C$5000,MATCH(K11,DB_malas!$A$2:$A$5000,0)),IF(INDEX(DB_materiali!$E$2:$E$5000,MATCH($C11,DB_materiali!$A$2:$A$5000,0))&lt;=INDEX(DB_malas!$D$2:$D$5000,MATCH(K11,DB_malas!$A$2:$A$5000,0)),IF(INDEX(DB_materiali!$B$2:$B$5000,MATCH($C11,DB_materiali!$A$2:$A$5000,0))=INDEX(DB_malas!$B$2:$B$5000,MATCH(K11,DB_malas!$A$2:$A$5000,0)),"✔",tulkojums!$A$38),tulkojums!$A$39),tulkojums!$A$39))</f>
        <v>✔</v>
      </c>
      <c r="T11" s="2"/>
      <c r="U11" s="2"/>
      <c r="V11" s="2"/>
      <c r="W11" s="2"/>
      <c r="X11" s="2"/>
      <c r="Y11" s="2"/>
      <c r="Z11" s="2"/>
    </row>
    <row r="12" spans="1:26">
      <c r="A12" s="14" t="s">
        <v>14</v>
      </c>
      <c r="B12" s="14"/>
      <c r="C12" s="15" t="s">
        <v>577</v>
      </c>
      <c r="D12" s="55">
        <v>2770</v>
      </c>
      <c r="E12" s="55">
        <v>1100</v>
      </c>
      <c r="F12" s="56">
        <v>18</v>
      </c>
      <c r="G12" s="57" t="s">
        <v>118</v>
      </c>
      <c r="H12" s="59" t="s">
        <v>4111</v>
      </c>
      <c r="I12" s="16" t="s">
        <v>4111</v>
      </c>
      <c r="J12" s="16" t="s">
        <v>4111</v>
      </c>
      <c r="K12" s="16" t="s">
        <v>4111</v>
      </c>
      <c r="M12" s="2" t="str">
        <f>IF(ISBLANK(C12),"",IF(IFERROR(VLOOKUP(C12,DB_materiali!$A$2:$A$5000,1,FALSE),"Kļūda artikulā")=C12,"✔",tulkojums!A$42))</f>
        <v>✔</v>
      </c>
      <c r="N12" s="2" t="str">
        <f>IF(ISBLANK(C12),"",IF(ISNUMBER(F12)=TRUE,"✔",tulkojums!A$43))</f>
        <v>✔</v>
      </c>
      <c r="O12" s="2" t="str">
        <f>IF(ISBLANK(C12),"",IF(G12="Y","✔",IF(G12="X","✔",IF(G12="N","✔",tulkojums!A$44))))</f>
        <v>✔</v>
      </c>
      <c r="P12" s="2" t="str">
        <f>IF(ISBLANK(H12),"",IF(INDEX(DB_materiali!$E$2:$E$5000,MATCH($C12,DB_materiali!$A$2:$A$5000,0))&gt;=INDEX(DB_malas!$C$2:$C$5000,MATCH(H12,DB_malas!$A$2:$A$5000,0)),IF(INDEX(DB_materiali!$E$2:$E$5000,MATCH($C12,DB_materiali!$A$2:$A$5000,0))&lt;=INDEX(DB_malas!$D$2:$D$5000,MATCH(H12,DB_malas!$A$2:$A$5000,0)),IF(OR(INDEX(DB_materiali!$B$2:$B$5000,MATCH($C12,DB_materiali!$A$2:$A$5000,0))=INDEX(DB_malas!$B$2:$B$5000,MATCH(H12,DB_malas!$A$2:$A$5000,0)),$H12="ORG"),"✔",tulkojums!$A$38),tulkojums!$A$39),tulkojums!$A$39))</f>
        <v>✔</v>
      </c>
      <c r="Q12" s="2" t="str">
        <f>IF(ISBLANK(I12),"",IF(INDEX(DB_materiali!$E$2:$E$5000,MATCH($C12,DB_materiali!$A$2:$A$5000,0))&gt;=INDEX(DB_malas!$C$2:$C$5000,MATCH(I12,DB_malas!$A$2:$A$5000,0)),IF(INDEX(DB_materiali!$E$2:$E$5000,MATCH($C12,DB_materiali!$A$2:$A$5000,0))&lt;=INDEX(DB_malas!$D$2:$D$5000,MATCH(I12,DB_malas!$A$2:$A$5000,0)),IF(OR(INDEX(DB_materiali!$B$2:$B$5000,MATCH($C12,DB_materiali!$A$2:$A$5000,0))=INDEX(DB_malas!$B$2:$B$5000,MATCH(I12,DB_malas!$A$2:$A$5000,0)),$H12="ORG"),"✔",tulkojums!$A$38),tulkojums!$A$39),tulkojums!$A$39))</f>
        <v>✔</v>
      </c>
      <c r="R12" s="2" t="str">
        <f>IF(ISBLANK(J12),"",IF(INDEX(DB_materiali!$E$2:$E$5000,MATCH($C12,DB_materiali!$A$2:$A$5000,0))&gt;=INDEX(DB_malas!$C$2:$C$5000,MATCH(J12,DB_malas!$A$2:$A$5000,0)),IF(INDEX(DB_materiali!$E$2:$E$5000,MATCH($C12,DB_materiali!$A$2:$A$5000,0))&lt;=INDEX(DB_malas!$D$2:$D$5000,MATCH(J12,DB_malas!$A$2:$A$5000,0)),IF(INDEX(DB_materiali!$B$2:$B$5000,MATCH($C12,DB_materiali!$A$2:$A$5000,0))=INDEX(DB_malas!$B$2:$B$5000,MATCH(J12,DB_malas!$A$2:$A$5000,0)),"✔",tulkojums!$A$38),tulkojums!$A$39),tulkojums!$A$39))</f>
        <v>✔</v>
      </c>
      <c r="S12" s="2" t="str">
        <f>IF(ISBLANK(K12),"",IF(INDEX(DB_materiali!$E$2:$E$5000,MATCH($C12,DB_materiali!$A$2:$A$5000,0))&gt;=INDEX(DB_malas!$C$2:$C$5000,MATCH(K12,DB_malas!$A$2:$A$5000,0)),IF(INDEX(DB_materiali!$E$2:$E$5000,MATCH($C12,DB_materiali!$A$2:$A$5000,0))&lt;=INDEX(DB_malas!$D$2:$D$5000,MATCH(K12,DB_malas!$A$2:$A$5000,0)),IF(INDEX(DB_materiali!$B$2:$B$5000,MATCH($C12,DB_materiali!$A$2:$A$5000,0))=INDEX(DB_malas!$B$2:$B$5000,MATCH(K12,DB_malas!$A$2:$A$5000,0)),"✔",tulkojums!$A$38),tulkojums!$A$39),tulkojums!$A$39))</f>
        <v>✔</v>
      </c>
      <c r="T12" s="2"/>
      <c r="U12" s="2"/>
      <c r="V12" s="2"/>
      <c r="W12" s="2"/>
      <c r="X12" s="2"/>
      <c r="Y12" s="2"/>
      <c r="Z12" s="2"/>
    </row>
    <row r="13" spans="1:26">
      <c r="A13" s="14"/>
      <c r="B13" s="14"/>
      <c r="C13" s="15"/>
      <c r="D13" s="55"/>
      <c r="E13" s="55"/>
      <c r="F13" s="56"/>
      <c r="G13" s="57" t="str">
        <f>IF(ISBLANK(C13),"",
   IFERROR(
      IF(
         INDEX(DB_materiali!C$2:C$5000,
               MATCH(C13, DB_materiali!A$2:A$5000, 0)
         )="FALSE",
         "N",
         "Y"
      ),
   "")
)</f>
        <v/>
      </c>
      <c r="H13" s="59"/>
      <c r="I13" s="16"/>
      <c r="J13" s="59"/>
      <c r="K13" s="16"/>
      <c r="M13" s="2" t="str">
        <f>IF(ISBLANK(C13),"",IF(IFERROR(VLOOKUP(C13,DB_materiali!$A$2:$A$5000,1,FALSE),"Kļūda artikulā")=C13,"✔",tulkojums!A$42))</f>
        <v/>
      </c>
      <c r="N13" s="2" t="str">
        <f>IF(ISBLANK(C13),"",IF(ISNUMBER(F13)=TRUE,"✔",tulkojums!A$43))</f>
        <v/>
      </c>
      <c r="O13" s="2" t="str">
        <f>IF(ISBLANK(C13),"",IF(G13="Y","✔",IF(G13="X","✔",IF(G13="N","✔",tulkojums!A$44))))</f>
        <v/>
      </c>
      <c r="P13" s="2" t="str">
        <f>IF(ISBLANK(H13),"",IF(INDEX(DB_materiali!$E$2:$E$5000,MATCH($C13,DB_materiali!$A$2:$A$5000,0))&gt;=INDEX(DB_malas!$C$2:$C$5000,MATCH(H13,DB_malas!$A$2:$A$5000,0)),IF(INDEX(DB_materiali!$E$2:$E$5000,MATCH($C13,DB_materiali!$A$2:$A$5000,0))&lt;=INDEX(DB_malas!$D$2:$D$5000,MATCH(H13,DB_malas!$A$2:$A$5000,0)),IF(OR(INDEX(DB_materiali!$B$2:$B$5000,MATCH($C13,DB_materiali!$A$2:$A$5000,0))=INDEX(DB_malas!$B$2:$B$5000,MATCH(H13,DB_malas!$A$2:$A$5000,0)),$H13="ORG"),"✔",tulkojums!$A$38),tulkojums!$A$39),tulkojums!$A$39))</f>
        <v/>
      </c>
      <c r="Q13" s="2" t="str">
        <f>IF(ISBLANK(I13),"",IF(INDEX(DB_materiali!$E$2:$E$5000,MATCH($C13,DB_materiali!$A$2:$A$5000,0))&gt;=INDEX(DB_malas!$C$2:$C$5000,MATCH(I13,DB_malas!$A$2:$A$5000,0)),IF(INDEX(DB_materiali!$E$2:$E$5000,MATCH($C13,DB_materiali!$A$2:$A$5000,0))&lt;=INDEX(DB_malas!$D$2:$D$5000,MATCH(I13,DB_malas!$A$2:$A$5000,0)),IF(OR(INDEX(DB_materiali!$B$2:$B$5000,MATCH($C13,DB_materiali!$A$2:$A$5000,0))=INDEX(DB_malas!$B$2:$B$5000,MATCH(I13,DB_malas!$A$2:$A$5000,0)),$H13="ORG"),"✔",tulkojums!$A$38),tulkojums!$A$39),tulkojums!$A$39))</f>
        <v/>
      </c>
      <c r="R13" s="2" t="str">
        <f>IF(ISBLANK(J13),"",IF(INDEX(DB_materiali!$E$2:$E$5000,MATCH($C13,DB_materiali!$A$2:$A$5000,0))&gt;=INDEX(DB_malas!$C$2:$C$5000,MATCH(J13,DB_malas!$A$2:$A$5000,0)),IF(INDEX(DB_materiali!$E$2:$E$5000,MATCH($C13,DB_materiali!$A$2:$A$5000,0))&lt;=INDEX(DB_malas!$D$2:$D$5000,MATCH(J13,DB_malas!$A$2:$A$5000,0)),IF(INDEX(DB_materiali!$B$2:$B$5000,MATCH($C13,DB_materiali!$A$2:$A$5000,0))=INDEX(DB_malas!$B$2:$B$5000,MATCH(J13,DB_malas!$A$2:$A$5000,0)),"✔",tulkojums!$A$38),tulkojums!$A$39),tulkojums!$A$39))</f>
        <v/>
      </c>
      <c r="S13" s="2" t="str">
        <f>IF(ISBLANK(K13),"",IF(INDEX(DB_materiali!$E$2:$E$5000,MATCH($C13,DB_materiali!$A$2:$A$5000,0))&gt;=INDEX(DB_malas!$C$2:$C$5000,MATCH(K13,DB_malas!$A$2:$A$5000,0)),IF(INDEX(DB_materiali!$E$2:$E$5000,MATCH($C13,DB_materiali!$A$2:$A$5000,0))&lt;=INDEX(DB_malas!$D$2:$D$5000,MATCH(K13,DB_malas!$A$2:$A$5000,0)),IF(INDEX(DB_materiali!$B$2:$B$5000,MATCH($C13,DB_materiali!$A$2:$A$5000,0))=INDEX(DB_malas!$B$2:$B$5000,MATCH(K13,DB_malas!$A$2:$A$5000,0)),"✔",tulkojums!$A$38),tulkojums!$A$39),tulkojums!$A$39))</f>
        <v/>
      </c>
      <c r="T13" s="2"/>
      <c r="U13" s="2"/>
      <c r="V13" s="2"/>
      <c r="W13" s="2"/>
      <c r="X13" s="2"/>
      <c r="Y13" s="2"/>
      <c r="Z13" s="2"/>
    </row>
    <row r="14" spans="1:26">
      <c r="A14" s="14"/>
      <c r="B14" s="14"/>
      <c r="C14" s="15"/>
      <c r="D14" s="55"/>
      <c r="E14" s="55"/>
      <c r="F14" s="56"/>
      <c r="G14" s="57" t="str">
        <f>IF(ISBLANK(C14),"",
   IFERROR(
      IF(
         INDEX(DB_materiali!C$2:C$5000,
               MATCH(C14, DB_materiali!A$2:A$5000, 0)
         )="FALSE",
         "N",
         "Y"
      ),
   "")
)</f>
        <v/>
      </c>
      <c r="H14" s="59"/>
      <c r="I14" s="16"/>
      <c r="J14" s="16"/>
      <c r="K14" s="16"/>
      <c r="M14" s="2" t="str">
        <f>IF(ISBLANK(C14),"",IF(IFERROR(VLOOKUP(C14,DB_materiali!$A$2:$A$5000,1,FALSE),"Kļūda artikulā")=C14,"✔",tulkojums!A$42))</f>
        <v/>
      </c>
      <c r="N14" s="2" t="str">
        <f>IF(ISBLANK(C14),"",IF(ISNUMBER(F14)=TRUE,"✔",tulkojums!A$43))</f>
        <v/>
      </c>
      <c r="O14" s="2" t="str">
        <f>IF(ISBLANK(C14),"",IF(G14="Y","✔",IF(G14="X","✔",IF(G14="N","✔",tulkojums!A$44))))</f>
        <v/>
      </c>
      <c r="P14" s="2" t="str">
        <f>IF(ISBLANK(H14),"",IF(INDEX(DB_materiali!$E$2:$E$5000,MATCH($C14,DB_materiali!$A$2:$A$5000,0))&gt;=INDEX(DB_malas!$C$2:$C$5000,MATCH(H14,DB_malas!$A$2:$A$5000,0)),IF(INDEX(DB_materiali!$E$2:$E$5000,MATCH($C14,DB_materiali!$A$2:$A$5000,0))&lt;=INDEX(DB_malas!$D$2:$D$5000,MATCH(H14,DB_malas!$A$2:$A$5000,0)),IF(OR(INDEX(DB_materiali!$B$2:$B$5000,MATCH($C14,DB_materiali!$A$2:$A$5000,0))=INDEX(DB_malas!$B$2:$B$5000,MATCH(H14,DB_malas!$A$2:$A$5000,0)),$H14="ORG"),"✔",tulkojums!$A$38),tulkojums!$A$39),tulkojums!$A$39))</f>
        <v/>
      </c>
      <c r="Q14" s="2" t="str">
        <f>IF(ISBLANK(I14),"",IF(INDEX(DB_materiali!$E$2:$E$5000,MATCH($C14,DB_materiali!$A$2:$A$5000,0))&gt;=INDEX(DB_malas!$C$2:$C$5000,MATCH(I14,DB_malas!$A$2:$A$5000,0)),IF(INDEX(DB_materiali!$E$2:$E$5000,MATCH($C14,DB_materiali!$A$2:$A$5000,0))&lt;=INDEX(DB_malas!$D$2:$D$5000,MATCH(I14,DB_malas!$A$2:$A$5000,0)),IF(OR(INDEX(DB_materiali!$B$2:$B$5000,MATCH($C14,DB_materiali!$A$2:$A$5000,0))=INDEX(DB_malas!$B$2:$B$5000,MATCH(I14,DB_malas!$A$2:$A$5000,0)),$H14="ORG"),"✔",tulkojums!$A$38),tulkojums!$A$39),tulkojums!$A$39))</f>
        <v/>
      </c>
      <c r="R14" s="2" t="str">
        <f>IF(ISBLANK(J14),"",IF(INDEX(DB_materiali!$E$2:$E$5000,MATCH($C14,DB_materiali!$A$2:$A$5000,0))&gt;=INDEX(DB_malas!$C$2:$C$5000,MATCH(J14,DB_malas!$A$2:$A$5000,0)),IF(INDEX(DB_materiali!$E$2:$E$5000,MATCH($C14,DB_materiali!$A$2:$A$5000,0))&lt;=INDEX(DB_malas!$D$2:$D$5000,MATCH(J14,DB_malas!$A$2:$A$5000,0)),IF(INDEX(DB_materiali!$B$2:$B$5000,MATCH($C14,DB_materiali!$A$2:$A$5000,0))=INDEX(DB_malas!$B$2:$B$5000,MATCH(J14,DB_malas!$A$2:$A$5000,0)),"✔",tulkojums!$A$38),tulkojums!$A$39),tulkojums!$A$39))</f>
        <v/>
      </c>
      <c r="S14" s="2" t="str">
        <f>IF(ISBLANK(K14),"",IF(INDEX(DB_materiali!$E$2:$E$5000,MATCH($C14,DB_materiali!$A$2:$A$5000,0))&gt;=INDEX(DB_malas!$C$2:$C$5000,MATCH(K14,DB_malas!$A$2:$A$5000,0)),IF(INDEX(DB_materiali!$E$2:$E$5000,MATCH($C14,DB_materiali!$A$2:$A$5000,0))&lt;=INDEX(DB_malas!$D$2:$D$5000,MATCH(K14,DB_malas!$A$2:$A$5000,0)),IF(INDEX(DB_materiali!$B$2:$B$5000,MATCH($C14,DB_materiali!$A$2:$A$5000,0))=INDEX(DB_malas!$B$2:$B$5000,MATCH(K14,DB_malas!$A$2:$A$5000,0)),"✔",tulkojums!$A$38),tulkojums!$A$39),tulkojums!$A$39))</f>
        <v/>
      </c>
      <c r="T14" s="2"/>
      <c r="U14" s="2"/>
      <c r="V14" s="2"/>
      <c r="W14" s="2"/>
      <c r="X14" s="2"/>
      <c r="Y14" s="2"/>
      <c r="Z14" s="2"/>
    </row>
    <row r="15" spans="1:26">
      <c r="A15" s="14"/>
      <c r="B15" s="14"/>
      <c r="C15" s="15"/>
      <c r="D15" s="55"/>
      <c r="E15" s="55"/>
      <c r="F15" s="56"/>
      <c r="G15" s="57" t="str">
        <f>IF(ISBLANK(C15),"",
   IFERROR(
      IF(
         INDEX(DB_materiali!C$2:C$5000,
               MATCH(C15, DB_materiali!A$2:A$5000, 0)
         )="FALSE",
         "N",
         "Y"
      ),
   "")
)</f>
        <v/>
      </c>
      <c r="H15" s="59"/>
      <c r="I15" s="16"/>
      <c r="J15" s="59"/>
      <c r="K15" s="59"/>
      <c r="M15" s="2" t="str">
        <f>IF(ISBLANK(C15),"",IF(IFERROR(VLOOKUP(C15,DB_materiali!$A$2:$A$5000,1,FALSE),"Kļūda artikulā")=C15,"✔",tulkojums!A$42))</f>
        <v/>
      </c>
      <c r="N15" s="2" t="str">
        <f>IF(ISBLANK(C15),"",IF(ISNUMBER(F15)=TRUE,"✔",tulkojums!A$43))</f>
        <v/>
      </c>
      <c r="O15" s="2" t="str">
        <f>IF(ISBLANK(C15),"",IF(G15="Y","✔",IF(G15="X","✔",IF(G15="N","✔",tulkojums!A$44))))</f>
        <v/>
      </c>
      <c r="P15" s="2" t="str">
        <f>IF(ISBLANK(H15),"",IF(INDEX(DB_materiali!$E$2:$E$5000,MATCH($C15,DB_materiali!$A$2:$A$5000,0))&gt;=INDEX(DB_malas!$C$2:$C$5000,MATCH(H15,DB_malas!$A$2:$A$5000,0)),IF(INDEX(DB_materiali!$E$2:$E$5000,MATCH($C15,DB_materiali!$A$2:$A$5000,0))&lt;=INDEX(DB_malas!$D$2:$D$5000,MATCH(H15,DB_malas!$A$2:$A$5000,0)),IF(OR(INDEX(DB_materiali!$B$2:$B$5000,MATCH($C15,DB_materiali!$A$2:$A$5000,0))=INDEX(DB_malas!$B$2:$B$5000,MATCH(H15,DB_malas!$A$2:$A$5000,0)),$H15="ORG"),"✔",tulkojums!$A$38),tulkojums!$A$39),tulkojums!$A$39))</f>
        <v/>
      </c>
      <c r="Q15" s="2" t="str">
        <f>IF(ISBLANK(I15),"",IF(INDEX(DB_materiali!$E$2:$E$5000,MATCH($C15,DB_materiali!$A$2:$A$5000,0))&gt;=INDEX(DB_malas!$C$2:$C$5000,MATCH(I15,DB_malas!$A$2:$A$5000,0)),IF(INDEX(DB_materiali!$E$2:$E$5000,MATCH($C15,DB_materiali!$A$2:$A$5000,0))&lt;=INDEX(DB_malas!$D$2:$D$5000,MATCH(I15,DB_malas!$A$2:$A$5000,0)),IF(OR(INDEX(DB_materiali!$B$2:$B$5000,MATCH($C15,DB_materiali!$A$2:$A$5000,0))=INDEX(DB_malas!$B$2:$B$5000,MATCH(I15,DB_malas!$A$2:$A$5000,0)),$H15="ORG"),"✔",tulkojums!$A$38),tulkojums!$A$39),tulkojums!$A$39))</f>
        <v/>
      </c>
      <c r="R15" s="2" t="str">
        <f>IF(ISBLANK(J15),"",IF(INDEX(DB_materiali!$E$2:$E$5000,MATCH($C15,DB_materiali!$A$2:$A$5000,0))&gt;=INDEX(DB_malas!$C$2:$C$5000,MATCH(J15,DB_malas!$A$2:$A$5000,0)),IF(INDEX(DB_materiali!$E$2:$E$5000,MATCH($C15,DB_materiali!$A$2:$A$5000,0))&lt;=INDEX(DB_malas!$D$2:$D$5000,MATCH(J15,DB_malas!$A$2:$A$5000,0)),IF(INDEX(DB_materiali!$B$2:$B$5000,MATCH($C15,DB_materiali!$A$2:$A$5000,0))=INDEX(DB_malas!$B$2:$B$5000,MATCH(J15,DB_malas!$A$2:$A$5000,0)),"✔",tulkojums!$A$38),tulkojums!$A$39),tulkojums!$A$39))</f>
        <v/>
      </c>
      <c r="S15" s="2" t="str">
        <f>IF(ISBLANK(K15),"",IF(INDEX(DB_materiali!$E$2:$E$5000,MATCH($C15,DB_materiali!$A$2:$A$5000,0))&gt;=INDEX(DB_malas!$C$2:$C$5000,MATCH(K15,DB_malas!$A$2:$A$5000,0)),IF(INDEX(DB_materiali!$E$2:$E$5000,MATCH($C15,DB_materiali!$A$2:$A$5000,0))&lt;=INDEX(DB_malas!$D$2:$D$5000,MATCH(K15,DB_malas!$A$2:$A$5000,0)),IF(INDEX(DB_materiali!$B$2:$B$5000,MATCH($C15,DB_materiali!$A$2:$A$5000,0))=INDEX(DB_malas!$B$2:$B$5000,MATCH(K15,DB_malas!$A$2:$A$5000,0)),"✔",tulkojums!$A$38),tulkojums!$A$39),tulkojums!$A$39))</f>
        <v/>
      </c>
      <c r="T15" s="2"/>
      <c r="U15" s="2"/>
      <c r="V15" s="2"/>
      <c r="W15" s="2"/>
      <c r="X15" s="2"/>
      <c r="Y15" s="2"/>
      <c r="Z15" s="2"/>
    </row>
    <row r="16" spans="1:26">
      <c r="A16" s="14"/>
      <c r="B16" s="14"/>
      <c r="C16" s="15"/>
      <c r="D16" s="55"/>
      <c r="E16" s="55"/>
      <c r="F16" s="56"/>
      <c r="G16" s="57" t="str">
        <f>IF(ISBLANK(C16),"",
   IFERROR(
      IF(
         INDEX(DB_materiali!C$2:C$5000,
               MATCH(C16, DB_materiali!A$2:A$5000, 0)
         )="FALSE",
         "N",
         "Y"
      ),
   "")
)</f>
        <v/>
      </c>
      <c r="H16" s="59"/>
      <c r="I16" s="16"/>
      <c r="J16" s="16"/>
      <c r="K16" s="16"/>
      <c r="M16" s="2" t="str">
        <f>IF(ISBLANK(C16),"",IF(IFERROR(VLOOKUP(C16,DB_materiali!$A$2:$A$5000,1,FALSE),"Kļūda artikulā")=C16,"✔",tulkojums!A$42))</f>
        <v/>
      </c>
      <c r="N16" s="2" t="str">
        <f>IF(ISBLANK(C16),"",IF(ISNUMBER(F16)=TRUE,"✔",tulkojums!A$43))</f>
        <v/>
      </c>
      <c r="O16" s="2" t="str">
        <f>IF(ISBLANK(C16),"",IF(G16="Y","✔",IF(G16="X","✔",IF(G16="N","✔",tulkojums!A$44))))</f>
        <v/>
      </c>
      <c r="P16" s="2" t="str">
        <f>IF(ISBLANK(H16),"",IF(INDEX(DB_materiali!$E$2:$E$5000,MATCH($C16,DB_materiali!$A$2:$A$5000,0))&gt;=INDEX(DB_malas!$C$2:$C$5000,MATCH(H16,DB_malas!$A$2:$A$5000,0)),IF(INDEX(DB_materiali!$E$2:$E$5000,MATCH($C16,DB_materiali!$A$2:$A$5000,0))&lt;=INDEX(DB_malas!$D$2:$D$5000,MATCH(H16,DB_malas!$A$2:$A$5000,0)),IF(OR(INDEX(DB_materiali!$B$2:$B$5000,MATCH($C16,DB_materiali!$A$2:$A$5000,0))=INDEX(DB_malas!$B$2:$B$5000,MATCH(H16,DB_malas!$A$2:$A$5000,0)),$H16="ORG"),"✔",tulkojums!$A$38),tulkojums!$A$39),tulkojums!$A$39))</f>
        <v/>
      </c>
      <c r="Q16" s="2" t="str">
        <f>IF(ISBLANK(I16),"",IF(INDEX(DB_materiali!$E$2:$E$5000,MATCH($C16,DB_materiali!$A$2:$A$5000,0))&gt;=INDEX(DB_malas!$C$2:$C$5000,MATCH(I16,DB_malas!$A$2:$A$5000,0)),IF(INDEX(DB_materiali!$E$2:$E$5000,MATCH($C16,DB_materiali!$A$2:$A$5000,0))&lt;=INDEX(DB_malas!$D$2:$D$5000,MATCH(I16,DB_malas!$A$2:$A$5000,0)),IF(OR(INDEX(DB_materiali!$B$2:$B$5000,MATCH($C16,DB_materiali!$A$2:$A$5000,0))=INDEX(DB_malas!$B$2:$B$5000,MATCH(I16,DB_malas!$A$2:$A$5000,0)),$H16="ORG"),"✔",tulkojums!$A$38),tulkojums!$A$39),tulkojums!$A$39))</f>
        <v/>
      </c>
      <c r="R16" s="2" t="str">
        <f>IF(ISBLANK(J16),"",IF(INDEX(DB_materiali!$E$2:$E$5000,MATCH($C16,DB_materiali!$A$2:$A$5000,0))&gt;=INDEX(DB_malas!$C$2:$C$5000,MATCH(J16,DB_malas!$A$2:$A$5000,0)),IF(INDEX(DB_materiali!$E$2:$E$5000,MATCH($C16,DB_materiali!$A$2:$A$5000,0))&lt;=INDEX(DB_malas!$D$2:$D$5000,MATCH(J16,DB_malas!$A$2:$A$5000,0)),IF(INDEX(DB_materiali!$B$2:$B$5000,MATCH($C16,DB_materiali!$A$2:$A$5000,0))=INDEX(DB_malas!$B$2:$B$5000,MATCH(J16,DB_malas!$A$2:$A$5000,0)),"✔",tulkojums!$A$38),tulkojums!$A$39),tulkojums!$A$39))</f>
        <v/>
      </c>
      <c r="S16" s="2" t="str">
        <f>IF(ISBLANK(K16),"",IF(INDEX(DB_materiali!$E$2:$E$5000,MATCH($C16,DB_materiali!$A$2:$A$5000,0))&gt;=INDEX(DB_malas!$C$2:$C$5000,MATCH(K16,DB_malas!$A$2:$A$5000,0)),IF(INDEX(DB_materiali!$E$2:$E$5000,MATCH($C16,DB_materiali!$A$2:$A$5000,0))&lt;=INDEX(DB_malas!$D$2:$D$5000,MATCH(K16,DB_malas!$A$2:$A$5000,0)),IF(INDEX(DB_materiali!$B$2:$B$5000,MATCH($C16,DB_materiali!$A$2:$A$5000,0))=INDEX(DB_malas!$B$2:$B$5000,MATCH(K16,DB_malas!$A$2:$A$5000,0)),"✔",tulkojums!$A$38),tulkojums!$A$39),tulkojums!$A$39))</f>
        <v/>
      </c>
      <c r="T16" s="2"/>
      <c r="U16" s="2"/>
      <c r="V16" s="2"/>
      <c r="W16" s="2"/>
      <c r="X16" s="2"/>
      <c r="Y16" s="2"/>
      <c r="Z16" s="2"/>
    </row>
    <row r="17" spans="1:26">
      <c r="A17" s="14"/>
      <c r="B17" s="14"/>
      <c r="C17" s="15"/>
      <c r="D17" s="55"/>
      <c r="E17" s="55"/>
      <c r="F17" s="56"/>
      <c r="G17" s="57" t="str">
        <f>IF(ISBLANK(C17),"",
   IFERROR(
      IF(
         INDEX(DB_materiali!C$2:C$5000,
               MATCH(C17, DB_materiali!A$2:A$5000, 0)
         )="FALSE",
         "N",
         "Y"
      ),
   "")
)</f>
        <v/>
      </c>
      <c r="H17" s="59"/>
      <c r="I17" s="16"/>
      <c r="J17" s="59"/>
      <c r="K17" s="16"/>
      <c r="M17" s="2" t="str">
        <f>IF(ISBLANK(C17),"",IF(IFERROR(VLOOKUP(C17,DB_materiali!$A$2:$A$5000,1,FALSE),"Kļūda artikulā")=C17,"✔",tulkojums!A$42))</f>
        <v/>
      </c>
      <c r="N17" s="2" t="str">
        <f>IF(ISBLANK(C17),"",IF(ISNUMBER(F17)=TRUE,"✔",tulkojums!A$43))</f>
        <v/>
      </c>
      <c r="O17" s="2" t="str">
        <f>IF(ISBLANK(C17),"",IF(G17="Y","✔",IF(G17="X","✔",IF(G17="N","✔",tulkojums!A$44))))</f>
        <v/>
      </c>
      <c r="P17" s="2" t="str">
        <f>IF(ISBLANK(H17),"",IF(INDEX(DB_materiali!$E$2:$E$5000,MATCH($C17,DB_materiali!$A$2:$A$5000,0))&gt;=INDEX(DB_malas!$C$2:$C$5000,MATCH(H17,DB_malas!$A$2:$A$5000,0)),IF(INDEX(DB_materiali!$E$2:$E$5000,MATCH($C17,DB_materiali!$A$2:$A$5000,0))&lt;=INDEX(DB_malas!$D$2:$D$5000,MATCH(H17,DB_malas!$A$2:$A$5000,0)),IF(OR(INDEX(DB_materiali!$B$2:$B$5000,MATCH($C17,DB_materiali!$A$2:$A$5000,0))=INDEX(DB_malas!$B$2:$B$5000,MATCH(H17,DB_malas!$A$2:$A$5000,0)),$H17="ORG"),"✔",tulkojums!$A$38),tulkojums!$A$39),tulkojums!$A$39))</f>
        <v/>
      </c>
      <c r="Q17" s="2" t="str">
        <f>IF(ISBLANK(I17),"",IF(INDEX(DB_materiali!$E$2:$E$5000,MATCH($C17,DB_materiali!$A$2:$A$5000,0))&gt;=INDEX(DB_malas!$C$2:$C$5000,MATCH(I17,DB_malas!$A$2:$A$5000,0)),IF(INDEX(DB_materiali!$E$2:$E$5000,MATCH($C17,DB_materiali!$A$2:$A$5000,0))&lt;=INDEX(DB_malas!$D$2:$D$5000,MATCH(I17,DB_malas!$A$2:$A$5000,0)),IF(OR(INDEX(DB_materiali!$B$2:$B$5000,MATCH($C17,DB_materiali!$A$2:$A$5000,0))=INDEX(DB_malas!$B$2:$B$5000,MATCH(I17,DB_malas!$A$2:$A$5000,0)),$H17="ORG"),"✔",tulkojums!$A$38),tulkojums!$A$39),tulkojums!$A$39))</f>
        <v/>
      </c>
      <c r="R17" s="2" t="str">
        <f>IF(ISBLANK(J17),"",IF(INDEX(DB_materiali!$E$2:$E$5000,MATCH($C17,DB_materiali!$A$2:$A$5000,0))&gt;=INDEX(DB_malas!$C$2:$C$5000,MATCH(J17,DB_malas!$A$2:$A$5000,0)),IF(INDEX(DB_materiali!$E$2:$E$5000,MATCH($C17,DB_materiali!$A$2:$A$5000,0))&lt;=INDEX(DB_malas!$D$2:$D$5000,MATCH(J17,DB_malas!$A$2:$A$5000,0)),IF(INDEX(DB_materiali!$B$2:$B$5000,MATCH($C17,DB_materiali!$A$2:$A$5000,0))=INDEX(DB_malas!$B$2:$B$5000,MATCH(J17,DB_malas!$A$2:$A$5000,0)),"✔",tulkojums!$A$38),tulkojums!$A$39),tulkojums!$A$39))</f>
        <v/>
      </c>
      <c r="S17" s="2" t="str">
        <f>IF(ISBLANK(K17),"",IF(INDEX(DB_materiali!$E$2:$E$5000,MATCH($C17,DB_materiali!$A$2:$A$5000,0))&gt;=INDEX(DB_malas!$C$2:$C$5000,MATCH(K17,DB_malas!$A$2:$A$5000,0)),IF(INDEX(DB_materiali!$E$2:$E$5000,MATCH($C17,DB_materiali!$A$2:$A$5000,0))&lt;=INDEX(DB_malas!$D$2:$D$5000,MATCH(K17,DB_malas!$A$2:$A$5000,0)),IF(INDEX(DB_materiali!$B$2:$B$5000,MATCH($C17,DB_materiali!$A$2:$A$5000,0))=INDEX(DB_malas!$B$2:$B$5000,MATCH(K17,DB_malas!$A$2:$A$5000,0)),"✔",tulkojums!$A$38),tulkojums!$A$39),tulkojums!$A$39))</f>
        <v/>
      </c>
      <c r="T17" s="2"/>
      <c r="U17" s="2"/>
      <c r="V17" s="2"/>
      <c r="W17" s="2"/>
      <c r="X17" s="2"/>
      <c r="Y17" s="2"/>
      <c r="Z17" s="2"/>
    </row>
    <row r="18" spans="1:26">
      <c r="A18" s="14"/>
      <c r="B18" s="14"/>
      <c r="C18" s="15"/>
      <c r="D18" s="55"/>
      <c r="E18" s="55"/>
      <c r="F18" s="56"/>
      <c r="G18" s="57" t="str">
        <f>IF(ISBLANK(C18),"",
   IFERROR(
      IF(
         INDEX(DB_materiali!C$2:C$5000,
               MATCH(C18, DB_materiali!A$2:A$5000, 0)
         )="FALSE",
         "N",
         "Y"
      ),
   "")
)</f>
        <v/>
      </c>
      <c r="H18" s="59"/>
      <c r="I18" s="16"/>
      <c r="J18" s="16"/>
      <c r="K18" s="16"/>
      <c r="M18" s="2" t="str">
        <f>IF(ISBLANK(C18),"",IF(IFERROR(VLOOKUP(C18,DB_materiali!$A$2:$A$5000,1,FALSE),"Kļūda artikulā")=C18,"✔",tulkojums!A$42))</f>
        <v/>
      </c>
      <c r="N18" s="2" t="str">
        <f>IF(ISBLANK(C18),"",IF(ISNUMBER(F18)=TRUE,"✔",tulkojums!A$43))</f>
        <v/>
      </c>
      <c r="O18" s="2" t="str">
        <f>IF(ISBLANK(C18),"",IF(G18="Y","✔",IF(G18="X","✔",IF(G18="N","✔",tulkojums!A$44))))</f>
        <v/>
      </c>
      <c r="P18" s="2" t="str">
        <f>IF(ISBLANK(H18),"",IF(INDEX(DB_materiali!$E$2:$E$5000,MATCH($C18,DB_materiali!$A$2:$A$5000,0))&gt;=INDEX(DB_malas!$C$2:$C$5000,MATCH(H18,DB_malas!$A$2:$A$5000,0)),IF(INDEX(DB_materiali!$E$2:$E$5000,MATCH($C18,DB_materiali!$A$2:$A$5000,0))&lt;=INDEX(DB_malas!$D$2:$D$5000,MATCH(H18,DB_malas!$A$2:$A$5000,0)),IF(OR(INDEX(DB_materiali!$B$2:$B$5000,MATCH($C18,DB_materiali!$A$2:$A$5000,0))=INDEX(DB_malas!$B$2:$B$5000,MATCH(H18,DB_malas!$A$2:$A$5000,0)),$H18="ORG"),"✔",tulkojums!$A$38),tulkojums!$A$39),tulkojums!$A$39))</f>
        <v/>
      </c>
      <c r="Q18" s="2" t="str">
        <f>IF(ISBLANK(I18),"",IF(INDEX(DB_materiali!$E$2:$E$5000,MATCH($C18,DB_materiali!$A$2:$A$5000,0))&gt;=INDEX(DB_malas!$C$2:$C$5000,MATCH(I18,DB_malas!$A$2:$A$5000,0)),IF(INDEX(DB_materiali!$E$2:$E$5000,MATCH($C18,DB_materiali!$A$2:$A$5000,0))&lt;=INDEX(DB_malas!$D$2:$D$5000,MATCH(I18,DB_malas!$A$2:$A$5000,0)),IF(OR(INDEX(DB_materiali!$B$2:$B$5000,MATCH($C18,DB_materiali!$A$2:$A$5000,0))=INDEX(DB_malas!$B$2:$B$5000,MATCH(I18,DB_malas!$A$2:$A$5000,0)),$H18="ORG"),"✔",tulkojums!$A$38),tulkojums!$A$39),tulkojums!$A$39))</f>
        <v/>
      </c>
      <c r="R18" s="2" t="str">
        <f>IF(ISBLANK(J18),"",IF(INDEX(DB_materiali!$E$2:$E$5000,MATCH($C18,DB_materiali!$A$2:$A$5000,0))&gt;=INDEX(DB_malas!$C$2:$C$5000,MATCH(J18,DB_malas!$A$2:$A$5000,0)),IF(INDEX(DB_materiali!$E$2:$E$5000,MATCH($C18,DB_materiali!$A$2:$A$5000,0))&lt;=INDEX(DB_malas!$D$2:$D$5000,MATCH(J18,DB_malas!$A$2:$A$5000,0)),IF(INDEX(DB_materiali!$B$2:$B$5000,MATCH($C18,DB_materiali!$A$2:$A$5000,0))=INDEX(DB_malas!$B$2:$B$5000,MATCH(J18,DB_malas!$A$2:$A$5000,0)),"✔",tulkojums!$A$38),tulkojums!$A$39),tulkojums!$A$39))</f>
        <v/>
      </c>
      <c r="S18" s="2" t="str">
        <f>IF(ISBLANK(K18),"",IF(INDEX(DB_materiali!$E$2:$E$5000,MATCH($C18,DB_materiali!$A$2:$A$5000,0))&gt;=INDEX(DB_malas!$C$2:$C$5000,MATCH(K18,DB_malas!$A$2:$A$5000,0)),IF(INDEX(DB_materiali!$E$2:$E$5000,MATCH($C18,DB_materiali!$A$2:$A$5000,0))&lt;=INDEX(DB_malas!$D$2:$D$5000,MATCH(K18,DB_malas!$A$2:$A$5000,0)),IF(INDEX(DB_materiali!$B$2:$B$5000,MATCH($C18,DB_materiali!$A$2:$A$5000,0))=INDEX(DB_malas!$B$2:$B$5000,MATCH(K18,DB_malas!$A$2:$A$5000,0)),"✔",tulkojums!$A$38),tulkojums!$A$39),tulkojums!$A$39))</f>
        <v/>
      </c>
      <c r="T18" s="2"/>
      <c r="U18" s="2"/>
      <c r="V18" s="2"/>
      <c r="W18" s="2"/>
      <c r="X18" s="2"/>
      <c r="Y18" s="2"/>
      <c r="Z18" s="2"/>
    </row>
    <row r="19" spans="1:26">
      <c r="A19" s="14"/>
      <c r="B19" s="14"/>
      <c r="C19" s="58"/>
      <c r="D19" s="55"/>
      <c r="E19" s="55"/>
      <c r="F19" s="56"/>
      <c r="G19" s="57" t="str">
        <f>IF(ISBLANK(C19),"",
   IFERROR(
      IF(
         INDEX(DB_materiali!C$2:C$5000,
               MATCH(C19, DB_materiali!A$2:A$5000, 0)
         )="FALSE",
         "N",
         "Y"
      ),
   "")
)</f>
        <v/>
      </c>
      <c r="H19" s="59"/>
      <c r="I19" s="16"/>
      <c r="J19" s="16"/>
      <c r="K19" s="16"/>
      <c r="M19" s="2" t="str">
        <f>IF(ISBLANK(C19),"",IF(IFERROR(VLOOKUP(C19,DB_materiali!$A$2:$A$5000,1,FALSE),"Kļūda artikulā")=C19,"✔",tulkojums!A$42))</f>
        <v/>
      </c>
      <c r="N19" s="2" t="str">
        <f>IF(ISBLANK(C19),"",IF(ISNUMBER(F19)=TRUE,"✔",tulkojums!A$43))</f>
        <v/>
      </c>
      <c r="O19" s="2" t="str">
        <f>IF(ISBLANK(C19),"",IF(G19="Y","✔",IF(G19="X","✔",IF(G19="N","✔",tulkojums!A$44))))</f>
        <v/>
      </c>
      <c r="P19" s="2" t="str">
        <f>IF(ISBLANK(H19),"",IF(INDEX(DB_materiali!$E$2:$E$5000,MATCH($C19,DB_materiali!$A$2:$A$5000,0))&gt;=INDEX(DB_malas!$C$2:$C$5000,MATCH(H19,DB_malas!$A$2:$A$5000,0)),IF(INDEX(DB_materiali!$E$2:$E$5000,MATCH($C19,DB_materiali!$A$2:$A$5000,0))&lt;=INDEX(DB_malas!$D$2:$D$5000,MATCH(H19,DB_malas!$A$2:$A$5000,0)),IF(OR(INDEX(DB_materiali!$B$2:$B$5000,MATCH($C19,DB_materiali!$A$2:$A$5000,0))=INDEX(DB_malas!$B$2:$B$5000,MATCH(H19,DB_malas!$A$2:$A$5000,0)),$H19="ORG"),"✔",tulkojums!$A$38),tulkojums!$A$39),tulkojums!$A$39))</f>
        <v/>
      </c>
      <c r="Q19" s="2" t="str">
        <f>IF(ISBLANK(I19),"",IF(INDEX(DB_materiali!$E$2:$E$5000,MATCH($C19,DB_materiali!$A$2:$A$5000,0))&gt;=INDEX(DB_malas!$C$2:$C$5000,MATCH(I19,DB_malas!$A$2:$A$5000,0)),IF(INDEX(DB_materiali!$E$2:$E$5000,MATCH($C19,DB_materiali!$A$2:$A$5000,0))&lt;=INDEX(DB_malas!$D$2:$D$5000,MATCH(I19,DB_malas!$A$2:$A$5000,0)),IF(OR(INDEX(DB_materiali!$B$2:$B$5000,MATCH($C19,DB_materiali!$A$2:$A$5000,0))=INDEX(DB_malas!$B$2:$B$5000,MATCH(I19,DB_malas!$A$2:$A$5000,0)),$H19="ORG"),"✔",tulkojums!$A$38),tulkojums!$A$39),tulkojums!$A$39))</f>
        <v/>
      </c>
      <c r="R19" s="2" t="str">
        <f>IF(ISBLANK(J19),"",IF(INDEX(DB_materiali!$E$2:$E$5000,MATCH($C19,DB_materiali!$A$2:$A$5000,0))&gt;=INDEX(DB_malas!$C$2:$C$5000,MATCH(J19,DB_malas!$A$2:$A$5000,0)),IF(INDEX(DB_materiali!$E$2:$E$5000,MATCH($C19,DB_materiali!$A$2:$A$5000,0))&lt;=INDEX(DB_malas!$D$2:$D$5000,MATCH(J19,DB_malas!$A$2:$A$5000,0)),IF(INDEX(DB_materiali!$B$2:$B$5000,MATCH($C19,DB_materiali!$A$2:$A$5000,0))=INDEX(DB_malas!$B$2:$B$5000,MATCH(J19,DB_malas!$A$2:$A$5000,0)),"✔",tulkojums!$A$38),tulkojums!$A$39),tulkojums!$A$39))</f>
        <v/>
      </c>
      <c r="S19" s="2" t="str">
        <f>IF(ISBLANK(K19),"",IF(INDEX(DB_materiali!$E$2:$E$5000,MATCH($C19,DB_materiali!$A$2:$A$5000,0))&gt;=INDEX(DB_malas!$C$2:$C$5000,MATCH(K19,DB_malas!$A$2:$A$5000,0)),IF(INDEX(DB_materiali!$E$2:$E$5000,MATCH($C19,DB_materiali!$A$2:$A$5000,0))&lt;=INDEX(DB_malas!$D$2:$D$5000,MATCH(K19,DB_malas!$A$2:$A$5000,0)),IF(INDEX(DB_materiali!$B$2:$B$5000,MATCH($C19,DB_materiali!$A$2:$A$5000,0))=INDEX(DB_malas!$B$2:$B$5000,MATCH(K19,DB_malas!$A$2:$A$5000,0)),"✔",tulkojums!$A$38),tulkojums!$A$39),tulkojums!$A$39))</f>
        <v/>
      </c>
      <c r="T19" s="2"/>
      <c r="U19" s="2"/>
      <c r="V19" s="2"/>
      <c r="W19" s="2"/>
      <c r="X19" s="2"/>
      <c r="Y19" s="2"/>
      <c r="Z19" s="2"/>
    </row>
    <row r="20" spans="1:26">
      <c r="A20" s="14"/>
      <c r="B20" s="14"/>
      <c r="C20" s="58"/>
      <c r="D20" s="55"/>
      <c r="E20" s="55"/>
      <c r="F20" s="56"/>
      <c r="G20" s="57" t="str">
        <f>IF(ISBLANK(C20),"",
   IFERROR(
      IF(
         INDEX(DB_materiali!C$2:C$5000,
               MATCH(C20, DB_materiali!A$2:A$5000, 0)
         )="FALSE",
         "N",
         "Y"
      ),
   "")
)</f>
        <v/>
      </c>
      <c r="H20" s="59"/>
      <c r="I20" s="16"/>
      <c r="J20" s="16"/>
      <c r="K20" s="16"/>
      <c r="M20" s="2" t="str">
        <f>IF(ISBLANK(C20),"",IF(IFERROR(VLOOKUP(C20,DB_materiali!$A$2:$A$5000,1,FALSE),"Kļūda artikulā")=C20,"✔",tulkojums!A$42))</f>
        <v/>
      </c>
      <c r="N20" s="2" t="str">
        <f>IF(ISBLANK(C20),"",IF(ISNUMBER(F20)=TRUE,"✔",tulkojums!A$43))</f>
        <v/>
      </c>
      <c r="O20" s="2" t="str">
        <f>IF(ISBLANK(C20),"",IF(G20="Y","✔",IF(G20="X","✔",IF(G20="N","✔",tulkojums!A$44))))</f>
        <v/>
      </c>
      <c r="P20" s="2" t="str">
        <f>IF(ISBLANK(H20),"",IF(INDEX(DB_materiali!$E$2:$E$5000,MATCH($C20,DB_materiali!$A$2:$A$5000,0))&gt;=INDEX(DB_malas!$C$2:$C$5000,MATCH(H20,DB_malas!$A$2:$A$5000,0)),IF(INDEX(DB_materiali!$E$2:$E$5000,MATCH($C20,DB_materiali!$A$2:$A$5000,0))&lt;=INDEX(DB_malas!$D$2:$D$5000,MATCH(H20,DB_malas!$A$2:$A$5000,0)),IF(OR(INDEX(DB_materiali!$B$2:$B$5000,MATCH($C20,DB_materiali!$A$2:$A$5000,0))=INDEX(DB_malas!$B$2:$B$5000,MATCH(H20,DB_malas!$A$2:$A$5000,0)),$H20="ORG"),"✔",tulkojums!$A$38),tulkojums!$A$39),tulkojums!$A$39))</f>
        <v/>
      </c>
      <c r="Q20" s="2" t="str">
        <f>IF(ISBLANK(I20),"",IF(INDEX(DB_materiali!$E$2:$E$5000,MATCH($C20,DB_materiali!$A$2:$A$5000,0))&gt;=INDEX(DB_malas!$C$2:$C$5000,MATCH(I20,DB_malas!$A$2:$A$5000,0)),IF(INDEX(DB_materiali!$E$2:$E$5000,MATCH($C20,DB_materiali!$A$2:$A$5000,0))&lt;=INDEX(DB_malas!$D$2:$D$5000,MATCH(I20,DB_malas!$A$2:$A$5000,0)),IF(OR(INDEX(DB_materiali!$B$2:$B$5000,MATCH($C20,DB_materiali!$A$2:$A$5000,0))=INDEX(DB_malas!$B$2:$B$5000,MATCH(I20,DB_malas!$A$2:$A$5000,0)),$H20="ORG"),"✔",tulkojums!$A$38),tulkojums!$A$39),tulkojums!$A$39))</f>
        <v/>
      </c>
      <c r="R20" s="2" t="str">
        <f>IF(ISBLANK(J20),"",IF(INDEX(DB_materiali!$E$2:$E$5000,MATCH($C20,DB_materiali!$A$2:$A$5000,0))&gt;=INDEX(DB_malas!$C$2:$C$5000,MATCH(J20,DB_malas!$A$2:$A$5000,0)),IF(INDEX(DB_materiali!$E$2:$E$5000,MATCH($C20,DB_materiali!$A$2:$A$5000,0))&lt;=INDEX(DB_malas!$D$2:$D$5000,MATCH(J20,DB_malas!$A$2:$A$5000,0)),IF(INDEX(DB_materiali!$B$2:$B$5000,MATCH($C20,DB_materiali!$A$2:$A$5000,0))=INDEX(DB_malas!$B$2:$B$5000,MATCH(J20,DB_malas!$A$2:$A$5000,0)),"✔",tulkojums!$A$38),tulkojums!$A$39),tulkojums!$A$39))</f>
        <v/>
      </c>
      <c r="S20" s="2" t="str">
        <f>IF(ISBLANK(K20),"",IF(INDEX(DB_materiali!$E$2:$E$5000,MATCH($C20,DB_materiali!$A$2:$A$5000,0))&gt;=INDEX(DB_malas!$C$2:$C$5000,MATCH(K20,DB_malas!$A$2:$A$5000,0)),IF(INDEX(DB_materiali!$E$2:$E$5000,MATCH($C20,DB_materiali!$A$2:$A$5000,0))&lt;=INDEX(DB_malas!$D$2:$D$5000,MATCH(K20,DB_malas!$A$2:$A$5000,0)),IF(INDEX(DB_materiali!$B$2:$B$5000,MATCH($C20,DB_materiali!$A$2:$A$5000,0))=INDEX(DB_malas!$B$2:$B$5000,MATCH(K20,DB_malas!$A$2:$A$5000,0)),"✔",tulkojums!$A$38),tulkojums!$A$39),tulkojums!$A$39))</f>
        <v/>
      </c>
      <c r="T20" s="2"/>
      <c r="U20" s="2"/>
      <c r="V20" s="2"/>
      <c r="W20" s="2"/>
      <c r="X20" s="2"/>
      <c r="Y20" s="2"/>
      <c r="Z20" s="2"/>
    </row>
    <row r="21" spans="1:26" ht="15.75" customHeight="1">
      <c r="A21" s="14"/>
      <c r="B21" s="14"/>
      <c r="C21" s="58"/>
      <c r="D21" s="55"/>
      <c r="E21" s="55"/>
      <c r="F21" s="56"/>
      <c r="G21" s="57" t="str">
        <f>IF(ISBLANK(C21),"",
   IFERROR(
      IF(
         INDEX(DB_materiali!C$2:C$5000,
               MATCH(C21, DB_materiali!A$2:A$5000, 0)
         )="FALSE",
         "N",
         "Y"
      ),
   "")
)</f>
        <v/>
      </c>
      <c r="H21" s="59"/>
      <c r="I21" s="16"/>
      <c r="J21" s="16"/>
      <c r="K21" s="16"/>
      <c r="M21" s="2" t="str">
        <f>IF(ISBLANK(C21),"",IF(IFERROR(VLOOKUP(C21,DB_materiali!$A$2:$A$5000,1,FALSE),"Kļūda artikulā")=C21,"✔",tulkojums!A$42))</f>
        <v/>
      </c>
      <c r="N21" s="2" t="str">
        <f>IF(ISBLANK(C21),"",IF(ISNUMBER(F21)=TRUE,"✔",tulkojums!A$43))</f>
        <v/>
      </c>
      <c r="O21" s="2" t="str">
        <f>IF(ISBLANK(C21),"",IF(G21="Y","✔",IF(G21="X","✔",IF(G21="N","✔",tulkojums!A$44))))</f>
        <v/>
      </c>
      <c r="P21" s="2" t="str">
        <f>IF(ISBLANK(H21),"",IF(INDEX(DB_materiali!$E$2:$E$5000,MATCH($C21,DB_materiali!$A$2:$A$5000,0))&gt;=INDEX(DB_malas!$C$2:$C$5000,MATCH(H21,DB_malas!$A$2:$A$5000,0)),IF(INDEX(DB_materiali!$E$2:$E$5000,MATCH($C21,DB_materiali!$A$2:$A$5000,0))&lt;=INDEX(DB_malas!$D$2:$D$5000,MATCH(H21,DB_malas!$A$2:$A$5000,0)),IF(OR(INDEX(DB_materiali!$B$2:$B$5000,MATCH($C21,DB_materiali!$A$2:$A$5000,0))=INDEX(DB_malas!$B$2:$B$5000,MATCH(H21,DB_malas!$A$2:$A$5000,0)),$H21="ORG"),"✔",tulkojums!$A$38),tulkojums!$A$39),tulkojums!$A$39))</f>
        <v/>
      </c>
      <c r="Q21" s="2" t="str">
        <f>IF(ISBLANK(I21),"",IF(INDEX(DB_materiali!$E$2:$E$5000,MATCH($C21,DB_materiali!$A$2:$A$5000,0))&gt;=INDEX(DB_malas!$C$2:$C$5000,MATCH(I21,DB_malas!$A$2:$A$5000,0)),IF(INDEX(DB_materiali!$E$2:$E$5000,MATCH($C21,DB_materiali!$A$2:$A$5000,0))&lt;=INDEX(DB_malas!$D$2:$D$5000,MATCH(I21,DB_malas!$A$2:$A$5000,0)),IF(OR(INDEX(DB_materiali!$B$2:$B$5000,MATCH($C21,DB_materiali!$A$2:$A$5000,0))=INDEX(DB_malas!$B$2:$B$5000,MATCH(I21,DB_malas!$A$2:$A$5000,0)),$H21="ORG"),"✔",tulkojums!$A$38),tulkojums!$A$39),tulkojums!$A$39))</f>
        <v/>
      </c>
      <c r="R21" s="2" t="str">
        <f>IF(ISBLANK(J21),"",IF(INDEX(DB_materiali!$E$2:$E$5000,MATCH($C21,DB_materiali!$A$2:$A$5000,0))&gt;=INDEX(DB_malas!$C$2:$C$5000,MATCH(J21,DB_malas!$A$2:$A$5000,0)),IF(INDEX(DB_materiali!$E$2:$E$5000,MATCH($C21,DB_materiali!$A$2:$A$5000,0))&lt;=INDEX(DB_malas!$D$2:$D$5000,MATCH(J21,DB_malas!$A$2:$A$5000,0)),IF(INDEX(DB_materiali!$B$2:$B$5000,MATCH($C21,DB_materiali!$A$2:$A$5000,0))=INDEX(DB_malas!$B$2:$B$5000,MATCH(J21,DB_malas!$A$2:$A$5000,0)),"✔",tulkojums!$A$38),tulkojums!$A$39),tulkojums!$A$39))</f>
        <v/>
      </c>
      <c r="S21" s="2" t="str">
        <f>IF(ISBLANK(K21),"",IF(INDEX(DB_materiali!$E$2:$E$5000,MATCH($C21,DB_materiali!$A$2:$A$5000,0))&gt;=INDEX(DB_malas!$C$2:$C$5000,MATCH(K21,DB_malas!$A$2:$A$5000,0)),IF(INDEX(DB_materiali!$E$2:$E$5000,MATCH($C21,DB_materiali!$A$2:$A$5000,0))&lt;=INDEX(DB_malas!$D$2:$D$5000,MATCH(K21,DB_malas!$A$2:$A$5000,0)),IF(INDEX(DB_materiali!$B$2:$B$5000,MATCH($C21,DB_materiali!$A$2:$A$5000,0))=INDEX(DB_malas!$B$2:$B$5000,MATCH(K21,DB_malas!$A$2:$A$5000,0)),"✔",tulkojums!$A$38),tulkojums!$A$39),tulkojums!$A$39))</f>
        <v/>
      </c>
      <c r="T21" s="2"/>
      <c r="U21" s="2"/>
      <c r="V21" s="2"/>
      <c r="W21" s="2"/>
      <c r="X21" s="2"/>
      <c r="Y21" s="2"/>
      <c r="Z21" s="2"/>
    </row>
    <row r="22" spans="1:26" ht="15.75" customHeight="1">
      <c r="A22" s="14"/>
      <c r="B22" s="14"/>
      <c r="C22" s="58"/>
      <c r="D22" s="55"/>
      <c r="E22" s="55"/>
      <c r="F22" s="56"/>
      <c r="G22" s="57" t="str">
        <f>IF(ISBLANK(C22),"",
   IFERROR(
      IF(
         INDEX(DB_materiali!C$2:C$5000,
               MATCH(C22, DB_materiali!A$2:A$5000, 0)
         )="FALSE",
         "N",
         "Y"
      ),
   "")
)</f>
        <v/>
      </c>
      <c r="H22" s="59"/>
      <c r="I22" s="59"/>
      <c r="J22" s="59"/>
      <c r="K22" s="59"/>
      <c r="M22" s="2" t="str">
        <f>IF(ISBLANK(C22),"",IF(IFERROR(VLOOKUP(C22,DB_materiali!$A$2:$A$5000,1,FALSE),"Kļūda artikulā")=C22,"✔",tulkojums!A$42))</f>
        <v/>
      </c>
      <c r="N22" s="2" t="str">
        <f>IF(ISBLANK(C22),"",IF(ISNUMBER(F22)=TRUE,"✔",tulkojums!A$43))</f>
        <v/>
      </c>
      <c r="O22" s="2" t="str">
        <f>IF(ISBLANK(C22),"",IF(G22="Y","✔",IF(G22="X","✔",IF(G22="N","✔",tulkojums!A$44))))</f>
        <v/>
      </c>
      <c r="P22" s="2" t="str">
        <f>IF(ISBLANK(H22),"",IF(INDEX(DB_materiali!$E$2:$E$5000,MATCH($C22,DB_materiali!$A$2:$A$5000,0))&gt;=INDEX(DB_malas!$C$2:$C$5000,MATCH(H22,DB_malas!$A$2:$A$5000,0)),IF(INDEX(DB_materiali!$E$2:$E$5000,MATCH($C22,DB_materiali!$A$2:$A$5000,0))&lt;=INDEX(DB_malas!$D$2:$D$5000,MATCH(H22,DB_malas!$A$2:$A$5000,0)),IF(OR(INDEX(DB_materiali!$B$2:$B$5000,MATCH($C22,DB_materiali!$A$2:$A$5000,0))=INDEX(DB_malas!$B$2:$B$5000,MATCH(H22,DB_malas!$A$2:$A$5000,0)),$H22="ORG"),"✔",tulkojums!$A$38),tulkojums!$A$39),tulkojums!$A$39))</f>
        <v/>
      </c>
      <c r="Q22" s="2" t="str">
        <f>IF(ISBLANK(I22),"",IF(INDEX(DB_materiali!$E$2:$E$5000,MATCH($C22,DB_materiali!$A$2:$A$5000,0))&gt;=INDEX(DB_malas!$C$2:$C$5000,MATCH(I22,DB_malas!$A$2:$A$5000,0)),IF(INDEX(DB_materiali!$E$2:$E$5000,MATCH($C22,DB_materiali!$A$2:$A$5000,0))&lt;=INDEX(DB_malas!$D$2:$D$5000,MATCH(I22,DB_malas!$A$2:$A$5000,0)),IF(OR(INDEX(DB_materiali!$B$2:$B$5000,MATCH($C22,DB_materiali!$A$2:$A$5000,0))=INDEX(DB_malas!$B$2:$B$5000,MATCH(I22,DB_malas!$A$2:$A$5000,0)),$H22="ORG"),"✔",tulkojums!$A$38),tulkojums!$A$39),tulkojums!$A$39))</f>
        <v/>
      </c>
      <c r="R22" s="2" t="str">
        <f>IF(ISBLANK(J22),"",IF(INDEX(DB_materiali!$E$2:$E$5000,MATCH($C22,DB_materiali!$A$2:$A$5000,0))&gt;=INDEX(DB_malas!$C$2:$C$5000,MATCH(J22,DB_malas!$A$2:$A$5000,0)),IF(INDEX(DB_materiali!$E$2:$E$5000,MATCH($C22,DB_materiali!$A$2:$A$5000,0))&lt;=INDEX(DB_malas!$D$2:$D$5000,MATCH(J22,DB_malas!$A$2:$A$5000,0)),IF(INDEX(DB_materiali!$B$2:$B$5000,MATCH($C22,DB_materiali!$A$2:$A$5000,0))=INDEX(DB_malas!$B$2:$B$5000,MATCH(J22,DB_malas!$A$2:$A$5000,0)),"✔",tulkojums!$A$38),tulkojums!$A$39),tulkojums!$A$39))</f>
        <v/>
      </c>
      <c r="S22" s="2" t="str">
        <f>IF(ISBLANK(K22),"",IF(INDEX(DB_materiali!$E$2:$E$5000,MATCH($C22,DB_materiali!$A$2:$A$5000,0))&gt;=INDEX(DB_malas!$C$2:$C$5000,MATCH(K22,DB_malas!$A$2:$A$5000,0)),IF(INDEX(DB_materiali!$E$2:$E$5000,MATCH($C22,DB_materiali!$A$2:$A$5000,0))&lt;=INDEX(DB_malas!$D$2:$D$5000,MATCH(K22,DB_malas!$A$2:$A$5000,0)),IF(INDEX(DB_materiali!$B$2:$B$5000,MATCH($C22,DB_materiali!$A$2:$A$5000,0))=INDEX(DB_malas!$B$2:$B$5000,MATCH(K22,DB_malas!$A$2:$A$5000,0)),"✔",tulkojums!$A$38),tulkojums!$A$39),tulkojums!$A$39))</f>
        <v/>
      </c>
      <c r="T22" s="2"/>
      <c r="U22" s="2"/>
      <c r="V22" s="2"/>
      <c r="W22" s="2"/>
      <c r="X22" s="2"/>
      <c r="Y22" s="2"/>
      <c r="Z22" s="2"/>
    </row>
    <row r="23" spans="1:26" ht="15.75" customHeight="1">
      <c r="A23" s="14"/>
      <c r="B23" s="14"/>
      <c r="C23" s="58"/>
      <c r="D23" s="55"/>
      <c r="E23" s="55"/>
      <c r="F23" s="56"/>
      <c r="G23" s="57" t="str">
        <f>IF(ISBLANK(C23),"",
   IFERROR(
      IF(
         INDEX(DB_materiali!C$2:C$5000,
               MATCH(C23, DB_materiali!A$2:A$5000, 0)
         )="FALSE",
         "N",
         "Y"
      ),
   "")
)</f>
        <v/>
      </c>
      <c r="H23" s="59"/>
      <c r="I23" s="16"/>
      <c r="J23" s="16"/>
      <c r="K23" s="16"/>
      <c r="M23" s="2" t="str">
        <f>IF(ISBLANK(C23),"",IF(IFERROR(VLOOKUP(C23,DB_materiali!$A$2:$A$5000,1,FALSE),"Kļūda artikulā")=C23,"✔",tulkojums!A$42))</f>
        <v/>
      </c>
      <c r="N23" s="2" t="str">
        <f>IF(ISBLANK(C23),"",IF(ISNUMBER(F23)=TRUE,"✔",tulkojums!A$43))</f>
        <v/>
      </c>
      <c r="O23" s="2" t="str">
        <f>IF(ISBLANK(C23),"",IF(G23="Y","✔",IF(G23="X","✔",IF(G23="N","✔",tulkojums!A$44))))</f>
        <v/>
      </c>
      <c r="P23" s="2" t="str">
        <f>IF(ISBLANK(H23),"",IF(INDEX(DB_materiali!$E$2:$E$5000,MATCH($C23,DB_materiali!$A$2:$A$5000,0))&gt;=INDEX(DB_malas!$C$2:$C$5000,MATCH(H23,DB_malas!$A$2:$A$5000,0)),IF(INDEX(DB_materiali!$E$2:$E$5000,MATCH($C23,DB_materiali!$A$2:$A$5000,0))&lt;=INDEX(DB_malas!$D$2:$D$5000,MATCH(H23,DB_malas!$A$2:$A$5000,0)),IF(OR(INDEX(DB_materiali!$B$2:$B$5000,MATCH($C23,DB_materiali!$A$2:$A$5000,0))=INDEX(DB_malas!$B$2:$B$5000,MATCH(H23,DB_malas!$A$2:$A$5000,0)),$H23="ORG"),"✔",tulkojums!$A$38),tulkojums!$A$39),tulkojums!$A$39))</f>
        <v/>
      </c>
      <c r="Q23" s="2" t="str">
        <f>IF(ISBLANK(I23),"",IF(INDEX(DB_materiali!$E$2:$E$5000,MATCH($C23,DB_materiali!$A$2:$A$5000,0))&gt;=INDEX(DB_malas!$C$2:$C$5000,MATCH(I23,DB_malas!$A$2:$A$5000,0)),IF(INDEX(DB_materiali!$E$2:$E$5000,MATCH($C23,DB_materiali!$A$2:$A$5000,0))&lt;=INDEX(DB_malas!$D$2:$D$5000,MATCH(I23,DB_malas!$A$2:$A$5000,0)),IF(OR(INDEX(DB_materiali!$B$2:$B$5000,MATCH($C23,DB_materiali!$A$2:$A$5000,0))=INDEX(DB_malas!$B$2:$B$5000,MATCH(I23,DB_malas!$A$2:$A$5000,0)),$H23="ORG"),"✔",tulkojums!$A$38),tulkojums!$A$39),tulkojums!$A$39))</f>
        <v/>
      </c>
      <c r="R23" s="2" t="str">
        <f>IF(ISBLANK(J23),"",IF(INDEX(DB_materiali!$E$2:$E$5000,MATCH($C23,DB_materiali!$A$2:$A$5000,0))&gt;=INDEX(DB_malas!$C$2:$C$5000,MATCH(J23,DB_malas!$A$2:$A$5000,0)),IF(INDEX(DB_materiali!$E$2:$E$5000,MATCH($C23,DB_materiali!$A$2:$A$5000,0))&lt;=INDEX(DB_malas!$D$2:$D$5000,MATCH(J23,DB_malas!$A$2:$A$5000,0)),IF(INDEX(DB_materiali!$B$2:$B$5000,MATCH($C23,DB_materiali!$A$2:$A$5000,0))=INDEX(DB_malas!$B$2:$B$5000,MATCH(J23,DB_malas!$A$2:$A$5000,0)),"✔",tulkojums!$A$38),tulkojums!$A$39),tulkojums!$A$39))</f>
        <v/>
      </c>
      <c r="S23" s="2" t="str">
        <f>IF(ISBLANK(K23),"",IF(INDEX(DB_materiali!$E$2:$E$5000,MATCH($C23,DB_materiali!$A$2:$A$5000,0))&gt;=INDEX(DB_malas!$C$2:$C$5000,MATCH(K23,DB_malas!$A$2:$A$5000,0)),IF(INDEX(DB_materiali!$E$2:$E$5000,MATCH($C23,DB_materiali!$A$2:$A$5000,0))&lt;=INDEX(DB_malas!$D$2:$D$5000,MATCH(K23,DB_malas!$A$2:$A$5000,0)),IF(INDEX(DB_materiali!$B$2:$B$5000,MATCH($C23,DB_materiali!$A$2:$A$5000,0))=INDEX(DB_malas!$B$2:$B$5000,MATCH(K23,DB_malas!$A$2:$A$5000,0)),"✔",tulkojums!$A$38),tulkojums!$A$39),tulkojums!$A$39))</f>
        <v/>
      </c>
      <c r="T23" s="2"/>
      <c r="U23" s="2"/>
      <c r="V23" s="2"/>
      <c r="W23" s="2"/>
      <c r="X23" s="2"/>
      <c r="Y23" s="2"/>
      <c r="Z23" s="2"/>
    </row>
    <row r="24" spans="1:26" ht="15.75" customHeight="1">
      <c r="A24" s="14"/>
      <c r="B24" s="14"/>
      <c r="C24" s="58"/>
      <c r="D24" s="55"/>
      <c r="E24" s="55"/>
      <c r="F24" s="56"/>
      <c r="G24" s="57" t="str">
        <f>IF(ISBLANK(C24),"",
   IFERROR(
      IF(
         INDEX(DB_materiali!C$2:C$5000,
               MATCH(C24, DB_materiali!A$2:A$5000, 0)
         )="FALSE",
         "N",
         "Y"
      ),
   "")
)</f>
        <v/>
      </c>
      <c r="H24" s="16"/>
      <c r="I24" s="16"/>
      <c r="J24" s="16"/>
      <c r="K24" s="16"/>
      <c r="M24" s="2" t="str">
        <f>IF(ISBLANK(C24),"",IF(IFERROR(VLOOKUP(C24,DB_materiali!$A$2:$A$5000,1,FALSE),"Kļūda artikulā")=C24,"✔",tulkojums!A$42))</f>
        <v/>
      </c>
      <c r="N24" s="2" t="str">
        <f>IF(ISBLANK(C24),"",IF(ISNUMBER(F24)=TRUE,"✔",tulkojums!A$43))</f>
        <v/>
      </c>
      <c r="O24" s="2" t="str">
        <f>IF(ISBLANK(C24),"",IF(G24="Y","✔",IF(G24="X","✔",IF(G24="N","✔",tulkojums!A$44))))</f>
        <v/>
      </c>
      <c r="P24" s="2" t="str">
        <f>IF(ISBLANK(H24),"",IF(INDEX(DB_materiali!$E$2:$E$5000,MATCH($C24,DB_materiali!$A$2:$A$5000,0))&gt;=INDEX(DB_malas!$C$2:$C$5000,MATCH(H24,DB_malas!$A$2:$A$5000,0)),IF(INDEX(DB_materiali!$E$2:$E$5000,MATCH($C24,DB_materiali!$A$2:$A$5000,0))&lt;=INDEX(DB_malas!$D$2:$D$5000,MATCH(H24,DB_malas!$A$2:$A$5000,0)),IF(OR(INDEX(DB_materiali!$B$2:$B$5000,MATCH($C24,DB_materiali!$A$2:$A$5000,0))=INDEX(DB_malas!$B$2:$B$5000,MATCH(H24,DB_malas!$A$2:$A$5000,0)),$H24="ORG"),"✔",tulkojums!$A$38),tulkojums!$A$39),tulkojums!$A$39))</f>
        <v/>
      </c>
      <c r="Q24" s="2" t="str">
        <f>IF(ISBLANK(I24),"",IF(INDEX(DB_materiali!$E$2:$E$5000,MATCH($C24,DB_materiali!$A$2:$A$5000,0))&gt;=INDEX(DB_malas!$C$2:$C$5000,MATCH(I24,DB_malas!$A$2:$A$5000,0)),IF(INDEX(DB_materiali!$E$2:$E$5000,MATCH($C24,DB_materiali!$A$2:$A$5000,0))&lt;=INDEX(DB_malas!$D$2:$D$5000,MATCH(I24,DB_malas!$A$2:$A$5000,0)),IF(OR(INDEX(DB_materiali!$B$2:$B$5000,MATCH($C24,DB_materiali!$A$2:$A$5000,0))=INDEX(DB_malas!$B$2:$B$5000,MATCH(I24,DB_malas!$A$2:$A$5000,0)),$H24="ORG"),"✔",tulkojums!$A$38),tulkojums!$A$39),tulkojums!$A$39))</f>
        <v/>
      </c>
      <c r="R24" s="2" t="str">
        <f>IF(ISBLANK(J24),"",IF(INDEX(DB_materiali!$E$2:$E$5000,MATCH($C24,DB_materiali!$A$2:$A$5000,0))&gt;=INDEX(DB_malas!$C$2:$C$5000,MATCH(J24,DB_malas!$A$2:$A$5000,0)),IF(INDEX(DB_materiali!$E$2:$E$5000,MATCH($C24,DB_materiali!$A$2:$A$5000,0))&lt;=INDEX(DB_malas!$D$2:$D$5000,MATCH(J24,DB_malas!$A$2:$A$5000,0)),IF(INDEX(DB_materiali!$B$2:$B$5000,MATCH($C24,DB_materiali!$A$2:$A$5000,0))=INDEX(DB_malas!$B$2:$B$5000,MATCH(J24,DB_malas!$A$2:$A$5000,0)),"✔",tulkojums!$A$38),tulkojums!$A$39),tulkojums!$A$39))</f>
        <v/>
      </c>
      <c r="S24" s="2" t="str">
        <f>IF(ISBLANK(K24),"",IF(INDEX(DB_materiali!$E$2:$E$5000,MATCH($C24,DB_materiali!$A$2:$A$5000,0))&gt;=INDEX(DB_malas!$C$2:$C$5000,MATCH(K24,DB_malas!$A$2:$A$5000,0)),IF(INDEX(DB_materiali!$E$2:$E$5000,MATCH($C24,DB_materiali!$A$2:$A$5000,0))&lt;=INDEX(DB_malas!$D$2:$D$5000,MATCH(K24,DB_malas!$A$2:$A$5000,0)),IF(INDEX(DB_materiali!$B$2:$B$5000,MATCH($C24,DB_materiali!$A$2:$A$5000,0))=INDEX(DB_malas!$B$2:$B$5000,MATCH(K24,DB_malas!$A$2:$A$5000,0)),"✔",tulkojums!$A$38),tulkojums!$A$39),tulkojums!$A$39))</f>
        <v/>
      </c>
      <c r="T24" s="2"/>
      <c r="U24" s="2"/>
      <c r="V24" s="2"/>
      <c r="W24" s="2"/>
      <c r="X24" s="2"/>
      <c r="Y24" s="2"/>
      <c r="Z24" s="2"/>
    </row>
    <row r="25" spans="1:26" ht="15.75" customHeight="1">
      <c r="A25" s="14"/>
      <c r="B25" s="14"/>
      <c r="C25" s="58"/>
      <c r="D25" s="55"/>
      <c r="E25" s="55"/>
      <c r="F25" s="56"/>
      <c r="G25" s="57" t="str">
        <f>IF(ISBLANK(C25),"",
   IFERROR(
      IF(
         INDEX(DB_materiali!C$2:C$5000,
               MATCH(C25, DB_materiali!A$2:A$5000, 0)
         )="FALSE",
         "N",
         "Y"
      ),
   "")
)</f>
        <v/>
      </c>
      <c r="H25" s="16"/>
      <c r="I25" s="16"/>
      <c r="J25" s="16"/>
      <c r="K25" s="16"/>
      <c r="M25" s="2" t="str">
        <f>IF(ISBLANK(C25),"",IF(IFERROR(VLOOKUP(C25,DB_materiali!$A$2:$A$5000,1,FALSE),"Kļūda artikulā")=C25,"✔",tulkojums!A$42))</f>
        <v/>
      </c>
      <c r="N25" s="2" t="str">
        <f>IF(ISBLANK(C25),"",IF(ISNUMBER(F25)=TRUE,"✔",tulkojums!A$43))</f>
        <v/>
      </c>
      <c r="O25" s="2" t="str">
        <f>IF(ISBLANK(C25),"",IF(G25="Y","✔",IF(G25="X","✔",IF(G25="N","✔",tulkojums!A$44))))</f>
        <v/>
      </c>
      <c r="P25" s="2" t="str">
        <f>IF(ISBLANK(H25),"",IF(INDEX(DB_materiali!$E$2:$E$5000,MATCH($C25,DB_materiali!$A$2:$A$5000,0))&gt;=INDEX(DB_malas!$C$2:$C$5000,MATCH(H25,DB_malas!$A$2:$A$5000,0)),IF(INDEX(DB_materiali!$E$2:$E$5000,MATCH($C25,DB_materiali!$A$2:$A$5000,0))&lt;=INDEX(DB_malas!$D$2:$D$5000,MATCH(H25,DB_malas!$A$2:$A$5000,0)),IF(OR(INDEX(DB_materiali!$B$2:$B$5000,MATCH($C25,DB_materiali!$A$2:$A$5000,0))=INDEX(DB_malas!$B$2:$B$5000,MATCH(H25,DB_malas!$A$2:$A$5000,0)),$H25="ORG"),"✔",tulkojums!$A$38),tulkojums!$A$39),tulkojums!$A$39))</f>
        <v/>
      </c>
      <c r="Q25" s="2" t="str">
        <f>IF(ISBLANK(I25),"",IF(INDEX(DB_materiali!$E$2:$E$5000,MATCH($C25,DB_materiali!$A$2:$A$5000,0))&gt;=INDEX(DB_malas!$C$2:$C$5000,MATCH(I25,DB_malas!$A$2:$A$5000,0)),IF(INDEX(DB_materiali!$E$2:$E$5000,MATCH($C25,DB_materiali!$A$2:$A$5000,0))&lt;=INDEX(DB_malas!$D$2:$D$5000,MATCH(I25,DB_malas!$A$2:$A$5000,0)),IF(OR(INDEX(DB_materiali!$B$2:$B$5000,MATCH($C25,DB_materiali!$A$2:$A$5000,0))=INDEX(DB_malas!$B$2:$B$5000,MATCH(I25,DB_malas!$A$2:$A$5000,0)),$H25="ORG"),"✔",tulkojums!$A$38),tulkojums!$A$39),tulkojums!$A$39))</f>
        <v/>
      </c>
      <c r="R25" s="2" t="str">
        <f>IF(ISBLANK(J25),"",IF(INDEX(DB_materiali!$E$2:$E$5000,MATCH($C25,DB_materiali!$A$2:$A$5000,0))&gt;=INDEX(DB_malas!$C$2:$C$5000,MATCH(J25,DB_malas!$A$2:$A$5000,0)),IF(INDEX(DB_materiali!$E$2:$E$5000,MATCH($C25,DB_materiali!$A$2:$A$5000,0))&lt;=INDEX(DB_malas!$D$2:$D$5000,MATCH(J25,DB_malas!$A$2:$A$5000,0)),IF(INDEX(DB_materiali!$B$2:$B$5000,MATCH($C25,DB_materiali!$A$2:$A$5000,0))=INDEX(DB_malas!$B$2:$B$5000,MATCH(J25,DB_malas!$A$2:$A$5000,0)),"✔",tulkojums!$A$38),tulkojums!$A$39),tulkojums!$A$39))</f>
        <v/>
      </c>
      <c r="S25" s="2" t="str">
        <f>IF(ISBLANK(K25),"",IF(INDEX(DB_materiali!$E$2:$E$5000,MATCH($C25,DB_materiali!$A$2:$A$5000,0))&gt;=INDEX(DB_malas!$C$2:$C$5000,MATCH(K25,DB_malas!$A$2:$A$5000,0)),IF(INDEX(DB_materiali!$E$2:$E$5000,MATCH($C25,DB_materiali!$A$2:$A$5000,0))&lt;=INDEX(DB_malas!$D$2:$D$5000,MATCH(K25,DB_malas!$A$2:$A$5000,0)),IF(INDEX(DB_materiali!$B$2:$B$5000,MATCH($C25,DB_materiali!$A$2:$A$5000,0))=INDEX(DB_malas!$B$2:$B$5000,MATCH(K25,DB_malas!$A$2:$A$5000,0)),"✔",tulkojums!$A$38),tulkojums!$A$39),tulkojums!$A$39))</f>
        <v/>
      </c>
      <c r="T25" s="2"/>
      <c r="U25" s="2"/>
      <c r="V25" s="2"/>
      <c r="W25" s="2"/>
      <c r="X25" s="2"/>
      <c r="Y25" s="2"/>
      <c r="Z25" s="2"/>
    </row>
    <row r="26" spans="1:26" ht="15.75" customHeight="1">
      <c r="A26" s="14"/>
      <c r="B26" s="14"/>
      <c r="C26" s="58"/>
      <c r="D26" s="55"/>
      <c r="E26" s="55"/>
      <c r="F26" s="56"/>
      <c r="G26" s="57" t="str">
        <f>IF(ISBLANK(C26),"",
   IFERROR(
      IF(
         INDEX(DB_materiali!C$2:C$5000,
               MATCH(C26, DB_materiali!A$2:A$5000, 0)
         )="FALSE",
         "N",
         "Y"
      ),
   "")
)</f>
        <v/>
      </c>
      <c r="H26" s="16"/>
      <c r="I26" s="16"/>
      <c r="J26" s="16"/>
      <c r="K26" s="16"/>
      <c r="M26" s="2" t="str">
        <f>IF(ISBLANK(C26),"",IF(IFERROR(VLOOKUP(C26,DB_materiali!$A$2:$A$5000,1,FALSE),"Kļūda artikulā")=C26,"✔",tulkojums!A$42))</f>
        <v/>
      </c>
      <c r="N26" s="2" t="str">
        <f>IF(ISBLANK(C26),"",IF(ISNUMBER(F26)=TRUE,"✔",tulkojums!A$43))</f>
        <v/>
      </c>
      <c r="O26" s="2" t="str">
        <f>IF(ISBLANK(C26),"",IF(G26="Y","✔",IF(G26="X","✔",IF(G26="N","✔",tulkojums!A$44))))</f>
        <v/>
      </c>
      <c r="P26" s="2" t="str">
        <f>IF(ISBLANK(H26),"",IF(INDEX(DB_materiali!$E$2:$E$5000,MATCH($C26,DB_materiali!$A$2:$A$5000,0))&gt;=INDEX(DB_malas!$C$2:$C$5000,MATCH(H26,DB_malas!$A$2:$A$5000,0)),IF(INDEX(DB_materiali!$E$2:$E$5000,MATCH($C26,DB_materiali!$A$2:$A$5000,0))&lt;=INDEX(DB_malas!$D$2:$D$5000,MATCH(H26,DB_malas!$A$2:$A$5000,0)),IF(OR(INDEX(DB_materiali!$B$2:$B$5000,MATCH($C26,DB_materiali!$A$2:$A$5000,0))=INDEX(DB_malas!$B$2:$B$5000,MATCH(H26,DB_malas!$A$2:$A$5000,0)),$H26="ORG"),"✔",tulkojums!$A$38),tulkojums!$A$39),tulkojums!$A$39))</f>
        <v/>
      </c>
      <c r="Q26" s="2" t="str">
        <f>IF(ISBLANK(I26),"",IF(INDEX(DB_materiali!$E$2:$E$5000,MATCH($C26,DB_materiali!$A$2:$A$5000,0))&gt;=INDEX(DB_malas!$C$2:$C$5000,MATCH(I26,DB_malas!$A$2:$A$5000,0)),IF(INDEX(DB_materiali!$E$2:$E$5000,MATCH($C26,DB_materiali!$A$2:$A$5000,0))&lt;=INDEX(DB_malas!$D$2:$D$5000,MATCH(I26,DB_malas!$A$2:$A$5000,0)),IF(OR(INDEX(DB_materiali!$B$2:$B$5000,MATCH($C26,DB_materiali!$A$2:$A$5000,0))=INDEX(DB_malas!$B$2:$B$5000,MATCH(I26,DB_malas!$A$2:$A$5000,0)),$H26="ORG"),"✔",tulkojums!$A$38),tulkojums!$A$39),tulkojums!$A$39))</f>
        <v/>
      </c>
      <c r="R26" s="2" t="str">
        <f>IF(ISBLANK(J26),"",IF(INDEX(DB_materiali!$E$2:$E$5000,MATCH($C26,DB_materiali!$A$2:$A$5000,0))&gt;=INDEX(DB_malas!$C$2:$C$5000,MATCH(J26,DB_malas!$A$2:$A$5000,0)),IF(INDEX(DB_materiali!$E$2:$E$5000,MATCH($C26,DB_materiali!$A$2:$A$5000,0))&lt;=INDEX(DB_malas!$D$2:$D$5000,MATCH(J26,DB_malas!$A$2:$A$5000,0)),IF(INDEX(DB_materiali!$B$2:$B$5000,MATCH($C26,DB_materiali!$A$2:$A$5000,0))=INDEX(DB_malas!$B$2:$B$5000,MATCH(J26,DB_malas!$A$2:$A$5000,0)),"✔",tulkojums!$A$38),tulkojums!$A$39),tulkojums!$A$39))</f>
        <v/>
      </c>
      <c r="S26" s="2" t="str">
        <f>IF(ISBLANK(K26),"",IF(INDEX(DB_materiali!$E$2:$E$5000,MATCH($C26,DB_materiali!$A$2:$A$5000,0))&gt;=INDEX(DB_malas!$C$2:$C$5000,MATCH(K26,DB_malas!$A$2:$A$5000,0)),IF(INDEX(DB_materiali!$E$2:$E$5000,MATCH($C26,DB_materiali!$A$2:$A$5000,0))&lt;=INDEX(DB_malas!$D$2:$D$5000,MATCH(K26,DB_malas!$A$2:$A$5000,0)),IF(INDEX(DB_materiali!$B$2:$B$5000,MATCH($C26,DB_materiali!$A$2:$A$5000,0))=INDEX(DB_malas!$B$2:$B$5000,MATCH(K26,DB_malas!$A$2:$A$5000,0)),"✔",tulkojums!$A$38),tulkojums!$A$39),tulkojums!$A$39))</f>
        <v/>
      </c>
      <c r="T26" s="2"/>
      <c r="U26" s="2"/>
      <c r="V26" s="2"/>
      <c r="W26" s="2"/>
      <c r="X26" s="2"/>
      <c r="Y26" s="2"/>
      <c r="Z26" s="2"/>
    </row>
    <row r="27" spans="1:26" ht="15.75" customHeight="1">
      <c r="A27" s="14"/>
      <c r="B27" s="14"/>
      <c r="C27" s="58"/>
      <c r="D27" s="55"/>
      <c r="E27" s="55"/>
      <c r="F27" s="56"/>
      <c r="G27" s="57" t="str">
        <f>IF(ISBLANK(C27),"",
   IFERROR(
      IF(
         INDEX(DB_materiali!C$2:C$5000,
               MATCH(C27, DB_materiali!A$2:A$5000, 0)
         )="FALSE",
         "N",
         "Y"
      ),
   "")
)</f>
        <v/>
      </c>
      <c r="H27" s="16"/>
      <c r="I27" s="16"/>
      <c r="J27" s="16"/>
      <c r="K27" s="16"/>
      <c r="M27" s="2" t="str">
        <f>IF(ISBLANK(C27),"",IF(IFERROR(VLOOKUP(C27,DB_materiali!$A$2:$A$5000,1,FALSE),"Kļūda artikulā")=C27,"✔",tulkojums!A$42))</f>
        <v/>
      </c>
      <c r="N27" s="2" t="str">
        <f>IF(ISBLANK(C27),"",IF(ISNUMBER(F27)=TRUE,"✔",tulkojums!A$43))</f>
        <v/>
      </c>
      <c r="O27" s="2" t="str">
        <f>IF(ISBLANK(C27),"",IF(G27="Y","✔",IF(G27="X","✔",IF(G27="N","✔",tulkojums!A$44))))</f>
        <v/>
      </c>
      <c r="P27" s="2" t="str">
        <f>IF(ISBLANK(H27),"",IF(INDEX(DB_materiali!$E$2:$E$5000,MATCH($C27,DB_materiali!$A$2:$A$5000,0))&gt;=INDEX(DB_malas!$C$2:$C$5000,MATCH(H27,DB_malas!$A$2:$A$5000,0)),IF(INDEX(DB_materiali!$E$2:$E$5000,MATCH($C27,DB_materiali!$A$2:$A$5000,0))&lt;=INDEX(DB_malas!$D$2:$D$5000,MATCH(H27,DB_malas!$A$2:$A$5000,0)),IF(OR(INDEX(DB_materiali!$B$2:$B$5000,MATCH($C27,DB_materiali!$A$2:$A$5000,0))=INDEX(DB_malas!$B$2:$B$5000,MATCH(H27,DB_malas!$A$2:$A$5000,0)),$H27="ORG"),"✔",tulkojums!$A$38),tulkojums!$A$39),tulkojums!$A$39))</f>
        <v/>
      </c>
      <c r="Q27" s="2" t="str">
        <f>IF(ISBLANK(I27),"",IF(INDEX(DB_materiali!$E$2:$E$5000,MATCH($C27,DB_materiali!$A$2:$A$5000,0))&gt;=INDEX(DB_malas!$C$2:$C$5000,MATCH(I27,DB_malas!$A$2:$A$5000,0)),IF(INDEX(DB_materiali!$E$2:$E$5000,MATCH($C27,DB_materiali!$A$2:$A$5000,0))&lt;=INDEX(DB_malas!$D$2:$D$5000,MATCH(I27,DB_malas!$A$2:$A$5000,0)),IF(OR(INDEX(DB_materiali!$B$2:$B$5000,MATCH($C27,DB_materiali!$A$2:$A$5000,0))=INDEX(DB_malas!$B$2:$B$5000,MATCH(I27,DB_malas!$A$2:$A$5000,0)),$H27="ORG"),"✔",tulkojums!$A$38),tulkojums!$A$39),tulkojums!$A$39))</f>
        <v/>
      </c>
      <c r="R27" s="2" t="str">
        <f>IF(ISBLANK(J27),"",IF(INDEX(DB_materiali!$E$2:$E$5000,MATCH($C27,DB_materiali!$A$2:$A$5000,0))&gt;=INDEX(DB_malas!$C$2:$C$5000,MATCH(J27,DB_malas!$A$2:$A$5000,0)),IF(INDEX(DB_materiali!$E$2:$E$5000,MATCH($C27,DB_materiali!$A$2:$A$5000,0))&lt;=INDEX(DB_malas!$D$2:$D$5000,MATCH(J27,DB_malas!$A$2:$A$5000,0)),IF(INDEX(DB_materiali!$B$2:$B$5000,MATCH($C27,DB_materiali!$A$2:$A$5000,0))=INDEX(DB_malas!$B$2:$B$5000,MATCH(J27,DB_malas!$A$2:$A$5000,0)),"✔",tulkojums!$A$38),tulkojums!$A$39),tulkojums!$A$39))</f>
        <v/>
      </c>
      <c r="S27" s="2" t="str">
        <f>IF(ISBLANK(K27),"",IF(INDEX(DB_materiali!$E$2:$E$5000,MATCH($C27,DB_materiali!$A$2:$A$5000,0))&gt;=INDEX(DB_malas!$C$2:$C$5000,MATCH(K27,DB_malas!$A$2:$A$5000,0)),IF(INDEX(DB_materiali!$E$2:$E$5000,MATCH($C27,DB_materiali!$A$2:$A$5000,0))&lt;=INDEX(DB_malas!$D$2:$D$5000,MATCH(K27,DB_malas!$A$2:$A$5000,0)),IF(INDEX(DB_materiali!$B$2:$B$5000,MATCH($C27,DB_materiali!$A$2:$A$5000,0))=INDEX(DB_malas!$B$2:$B$5000,MATCH(K27,DB_malas!$A$2:$A$5000,0)),"✔",tulkojums!$A$38),tulkojums!$A$39),tulkojums!$A$39))</f>
        <v/>
      </c>
      <c r="T27" s="2"/>
      <c r="U27" s="2"/>
      <c r="V27" s="2"/>
      <c r="W27" s="2"/>
      <c r="X27" s="2"/>
      <c r="Y27" s="2"/>
      <c r="Z27" s="2"/>
    </row>
    <row r="28" spans="1:26" ht="15.75" customHeight="1">
      <c r="A28" s="14"/>
      <c r="B28" s="14"/>
      <c r="C28" s="15"/>
      <c r="D28" s="55"/>
      <c r="E28" s="55"/>
      <c r="F28" s="56"/>
      <c r="G28" s="57" t="str">
        <f>IF(ISBLANK(C28),"",
   IFERROR(
      IF(
         INDEX(DB_materiali!C$2:C$5000,
               MATCH(C28, DB_materiali!A$2:A$5000, 0)
         )="FALSE",
         "N",
         "Y"
      ),
   "")
)</f>
        <v/>
      </c>
      <c r="H28" s="16"/>
      <c r="I28" s="16"/>
      <c r="J28" s="16"/>
      <c r="K28" s="16"/>
      <c r="M28" s="2" t="str">
        <f>IF(ISBLANK(C28),"",IF(IFERROR(VLOOKUP(C28,DB_materiali!$A$2:$A$5000,1,FALSE),"Kļūda artikulā")=C28,"✔",tulkojums!A$42))</f>
        <v/>
      </c>
      <c r="N28" s="2" t="str">
        <f>IF(ISBLANK(C28),"",IF(ISNUMBER(F28)=TRUE,"✔",tulkojums!A$43))</f>
        <v/>
      </c>
      <c r="O28" s="2" t="str">
        <f>IF(ISBLANK(C28),"",IF(G28="Y","✔",IF(G28="X","✔",IF(G28="N","✔",tulkojums!A$44))))</f>
        <v/>
      </c>
      <c r="P28" s="2" t="str">
        <f>IF(ISBLANK(H28),"",IF(INDEX(DB_materiali!$E$2:$E$5000,MATCH($C28,DB_materiali!$A$2:$A$5000,0))&gt;=INDEX(DB_malas!$C$2:$C$5000,MATCH(H28,DB_malas!$A$2:$A$5000,0)),IF(INDEX(DB_materiali!$E$2:$E$5000,MATCH($C28,DB_materiali!$A$2:$A$5000,0))&lt;=INDEX(DB_malas!$D$2:$D$5000,MATCH(H28,DB_malas!$A$2:$A$5000,0)),IF(OR(INDEX(DB_materiali!$B$2:$B$5000,MATCH($C28,DB_materiali!$A$2:$A$5000,0))=INDEX(DB_malas!$B$2:$B$5000,MATCH(H28,DB_malas!$A$2:$A$5000,0)),$H28="ORG"),"✔",tulkojums!$A$38),tulkojums!$A$39),tulkojums!$A$39))</f>
        <v/>
      </c>
      <c r="Q28" s="2" t="str">
        <f>IF(ISBLANK(I28),"",IF(INDEX(DB_materiali!$E$2:$E$5000,MATCH($C28,DB_materiali!$A$2:$A$5000,0))&gt;=INDEX(DB_malas!$C$2:$C$5000,MATCH(I28,DB_malas!$A$2:$A$5000,0)),IF(INDEX(DB_materiali!$E$2:$E$5000,MATCH($C28,DB_materiali!$A$2:$A$5000,0))&lt;=INDEX(DB_malas!$D$2:$D$5000,MATCH(I28,DB_malas!$A$2:$A$5000,0)),IF(OR(INDEX(DB_materiali!$B$2:$B$5000,MATCH($C28,DB_materiali!$A$2:$A$5000,0))=INDEX(DB_malas!$B$2:$B$5000,MATCH(I28,DB_malas!$A$2:$A$5000,0)),$H28="ORG"),"✔",tulkojums!$A$38),tulkojums!$A$39),tulkojums!$A$39))</f>
        <v/>
      </c>
      <c r="R28" s="2" t="str">
        <f>IF(ISBLANK(J28),"",IF(INDEX(DB_materiali!$E$2:$E$5000,MATCH($C28,DB_materiali!$A$2:$A$5000,0))&gt;=INDEX(DB_malas!$C$2:$C$5000,MATCH(J28,DB_malas!$A$2:$A$5000,0)),IF(INDEX(DB_materiali!$E$2:$E$5000,MATCH($C28,DB_materiali!$A$2:$A$5000,0))&lt;=INDEX(DB_malas!$D$2:$D$5000,MATCH(J28,DB_malas!$A$2:$A$5000,0)),IF(INDEX(DB_materiali!$B$2:$B$5000,MATCH($C28,DB_materiali!$A$2:$A$5000,0))=INDEX(DB_malas!$B$2:$B$5000,MATCH(J28,DB_malas!$A$2:$A$5000,0)),"✔",tulkojums!$A$38),tulkojums!$A$39),tulkojums!$A$39))</f>
        <v/>
      </c>
      <c r="S28" s="2" t="str">
        <f>IF(ISBLANK(K28),"",IF(INDEX(DB_materiali!$E$2:$E$5000,MATCH($C28,DB_materiali!$A$2:$A$5000,0))&gt;=INDEX(DB_malas!$C$2:$C$5000,MATCH(K28,DB_malas!$A$2:$A$5000,0)),IF(INDEX(DB_materiali!$E$2:$E$5000,MATCH($C28,DB_materiali!$A$2:$A$5000,0))&lt;=INDEX(DB_malas!$D$2:$D$5000,MATCH(K28,DB_malas!$A$2:$A$5000,0)),IF(INDEX(DB_materiali!$B$2:$B$5000,MATCH($C28,DB_materiali!$A$2:$A$5000,0))=INDEX(DB_malas!$B$2:$B$5000,MATCH(K28,DB_malas!$A$2:$A$5000,0)),"✔",tulkojums!$A$38),tulkojums!$A$39),tulkojums!$A$39))</f>
        <v/>
      </c>
      <c r="T28" s="2"/>
      <c r="U28" s="2"/>
      <c r="V28" s="2"/>
      <c r="W28" s="2"/>
      <c r="X28" s="2"/>
      <c r="Y28" s="2"/>
      <c r="Z28" s="2"/>
    </row>
    <row r="29" spans="1:26" ht="15.75" customHeight="1">
      <c r="A29" s="14"/>
      <c r="B29" s="14"/>
      <c r="C29" s="15"/>
      <c r="D29" s="55"/>
      <c r="E29" s="55"/>
      <c r="F29" s="56"/>
      <c r="G29" s="57" t="str">
        <f>IF(ISBLANK(C29),"",
   IFERROR(
      IF(
         INDEX(DB_materiali!C$2:C$5000,
               MATCH(C29, DB_materiali!A$2:A$5000, 0)
         )="FALSE",
         "N",
         "Y"
      ),
   "")
)</f>
        <v/>
      </c>
      <c r="H29" s="16"/>
      <c r="I29" s="16"/>
      <c r="J29" s="16"/>
      <c r="K29" s="16"/>
      <c r="M29" s="2" t="str">
        <f>IF(ISBLANK(C29),"",IF(IFERROR(VLOOKUP(C29,DB_materiali!$A$2:$A$5000,1,FALSE),"Kļūda artikulā")=C29,"✔",tulkojums!A$42))</f>
        <v/>
      </c>
      <c r="N29" s="2" t="str">
        <f>IF(ISBLANK(C29),"",IF(ISNUMBER(F29)=TRUE,"✔",tulkojums!A$43))</f>
        <v/>
      </c>
      <c r="O29" s="2" t="str">
        <f>IF(ISBLANK(C29),"",IF(G29="Y","✔",IF(G29="X","✔",IF(G29="N","✔",tulkojums!A$44))))</f>
        <v/>
      </c>
      <c r="P29" s="2" t="str">
        <f>IF(ISBLANK(H29),"",IF(INDEX(DB_materiali!$E$2:$E$5000,MATCH($C29,DB_materiali!$A$2:$A$5000,0))&gt;=INDEX(DB_malas!$C$2:$C$5000,MATCH(H29,DB_malas!$A$2:$A$5000,0)),IF(INDEX(DB_materiali!$E$2:$E$5000,MATCH($C29,DB_materiali!$A$2:$A$5000,0))&lt;=INDEX(DB_malas!$D$2:$D$5000,MATCH(H29,DB_malas!$A$2:$A$5000,0)),IF(OR(INDEX(DB_materiali!$B$2:$B$5000,MATCH($C29,DB_materiali!$A$2:$A$5000,0))=INDEX(DB_malas!$B$2:$B$5000,MATCH(H29,DB_malas!$A$2:$A$5000,0)),$H29="ORG"),"✔",tulkojums!$A$38),tulkojums!$A$39),tulkojums!$A$39))</f>
        <v/>
      </c>
      <c r="Q29" s="2" t="str">
        <f>IF(ISBLANK(I29),"",IF(INDEX(DB_materiali!$E$2:$E$5000,MATCH($C29,DB_materiali!$A$2:$A$5000,0))&gt;=INDEX(DB_malas!$C$2:$C$5000,MATCH(I29,DB_malas!$A$2:$A$5000,0)),IF(INDEX(DB_materiali!$E$2:$E$5000,MATCH($C29,DB_materiali!$A$2:$A$5000,0))&lt;=INDEX(DB_malas!$D$2:$D$5000,MATCH(I29,DB_malas!$A$2:$A$5000,0)),IF(OR(INDEX(DB_materiali!$B$2:$B$5000,MATCH($C29,DB_materiali!$A$2:$A$5000,0))=INDEX(DB_malas!$B$2:$B$5000,MATCH(I29,DB_malas!$A$2:$A$5000,0)),$H29="ORG"),"✔",tulkojums!$A$38),tulkojums!$A$39),tulkojums!$A$39))</f>
        <v/>
      </c>
      <c r="R29" s="2" t="str">
        <f>IF(ISBLANK(J29),"",IF(INDEX(DB_materiali!$E$2:$E$5000,MATCH($C29,DB_materiali!$A$2:$A$5000,0))&gt;=INDEX(DB_malas!$C$2:$C$5000,MATCH(J29,DB_malas!$A$2:$A$5000,0)),IF(INDEX(DB_materiali!$E$2:$E$5000,MATCH($C29,DB_materiali!$A$2:$A$5000,0))&lt;=INDEX(DB_malas!$D$2:$D$5000,MATCH(J29,DB_malas!$A$2:$A$5000,0)),IF(INDEX(DB_materiali!$B$2:$B$5000,MATCH($C29,DB_materiali!$A$2:$A$5000,0))=INDEX(DB_malas!$B$2:$B$5000,MATCH(J29,DB_malas!$A$2:$A$5000,0)),"✔",tulkojums!$A$38),tulkojums!$A$39),tulkojums!$A$39))</f>
        <v/>
      </c>
      <c r="S29" s="2" t="str">
        <f>IF(ISBLANK(K29),"",IF(INDEX(DB_materiali!$E$2:$E$5000,MATCH($C29,DB_materiali!$A$2:$A$5000,0))&gt;=INDEX(DB_malas!$C$2:$C$5000,MATCH(K29,DB_malas!$A$2:$A$5000,0)),IF(INDEX(DB_materiali!$E$2:$E$5000,MATCH($C29,DB_materiali!$A$2:$A$5000,0))&lt;=INDEX(DB_malas!$D$2:$D$5000,MATCH(K29,DB_malas!$A$2:$A$5000,0)),IF(INDEX(DB_materiali!$B$2:$B$5000,MATCH($C29,DB_materiali!$A$2:$A$5000,0))=INDEX(DB_malas!$B$2:$B$5000,MATCH(K29,DB_malas!$A$2:$A$5000,0)),"✔",tulkojums!$A$38),tulkojums!$A$39),tulkojums!$A$39))</f>
        <v/>
      </c>
      <c r="T29" s="2"/>
      <c r="U29" s="2"/>
      <c r="V29" s="2"/>
      <c r="W29" s="2"/>
      <c r="X29" s="2"/>
      <c r="Y29" s="2"/>
      <c r="Z29" s="2"/>
    </row>
    <row r="30" spans="1:26" ht="15.75" customHeight="1">
      <c r="A30" s="14"/>
      <c r="B30" s="14"/>
      <c r="C30" s="15"/>
      <c r="D30" s="55"/>
      <c r="E30" s="55"/>
      <c r="F30" s="56"/>
      <c r="G30" s="57" t="str">
        <f>IF(ISBLANK(C30),"",
   IFERROR(
      IF(
         INDEX(DB_materiali!C$2:C$5000,
               MATCH(C30, DB_materiali!A$2:A$5000, 0)
         )="FALSE",
         "N",
         "Y"
      ),
   "")
)</f>
        <v/>
      </c>
      <c r="H30" s="16"/>
      <c r="I30" s="16"/>
      <c r="J30" s="16"/>
      <c r="K30" s="16"/>
      <c r="M30" s="2" t="str">
        <f>IF(ISBLANK(C30),"",IF(IFERROR(VLOOKUP(C30,DB_materiali!$A$2:$A$5000,1,FALSE),"Kļūda artikulā")=C30,"✔",tulkojums!A$42))</f>
        <v/>
      </c>
      <c r="N30" s="2" t="str">
        <f>IF(ISBLANK(C30),"",IF(ISNUMBER(F30)=TRUE,"✔",tulkojums!A$43))</f>
        <v/>
      </c>
      <c r="O30" s="2" t="str">
        <f>IF(ISBLANK(C30),"",IF(G30="Y","✔",IF(G30="X","✔",IF(G30="N","✔",tulkojums!A$44))))</f>
        <v/>
      </c>
      <c r="P30" s="2" t="str">
        <f>IF(ISBLANK(H30),"",IF(INDEX(DB_materiali!$E$2:$E$5000,MATCH($C30,DB_materiali!$A$2:$A$5000,0))&gt;=INDEX(DB_malas!$C$2:$C$5000,MATCH(H30,DB_malas!$A$2:$A$5000,0)),IF(INDEX(DB_materiali!$E$2:$E$5000,MATCH($C30,DB_materiali!$A$2:$A$5000,0))&lt;=INDEX(DB_malas!$D$2:$D$5000,MATCH(H30,DB_malas!$A$2:$A$5000,0)),IF(OR(INDEX(DB_materiali!$B$2:$B$5000,MATCH($C30,DB_materiali!$A$2:$A$5000,0))=INDEX(DB_malas!$B$2:$B$5000,MATCH(H30,DB_malas!$A$2:$A$5000,0)),$H30="ORG"),"✔",tulkojums!$A$38),tulkojums!$A$39),tulkojums!$A$39))</f>
        <v/>
      </c>
      <c r="Q30" s="2" t="str">
        <f>IF(ISBLANK(I30),"",IF(INDEX(DB_materiali!$E$2:$E$5000,MATCH($C30,DB_materiali!$A$2:$A$5000,0))&gt;=INDEX(DB_malas!$C$2:$C$5000,MATCH(I30,DB_malas!$A$2:$A$5000,0)),IF(INDEX(DB_materiali!$E$2:$E$5000,MATCH($C30,DB_materiali!$A$2:$A$5000,0))&lt;=INDEX(DB_malas!$D$2:$D$5000,MATCH(I30,DB_malas!$A$2:$A$5000,0)),IF(OR(INDEX(DB_materiali!$B$2:$B$5000,MATCH($C30,DB_materiali!$A$2:$A$5000,0))=INDEX(DB_malas!$B$2:$B$5000,MATCH(I30,DB_malas!$A$2:$A$5000,0)),$H30="ORG"),"✔",tulkojums!$A$38),tulkojums!$A$39),tulkojums!$A$39))</f>
        <v/>
      </c>
      <c r="R30" s="2" t="str">
        <f>IF(ISBLANK(J30),"",IF(INDEX(DB_materiali!$E$2:$E$5000,MATCH($C30,DB_materiali!$A$2:$A$5000,0))&gt;=INDEX(DB_malas!$C$2:$C$5000,MATCH(J30,DB_malas!$A$2:$A$5000,0)),IF(INDEX(DB_materiali!$E$2:$E$5000,MATCH($C30,DB_materiali!$A$2:$A$5000,0))&lt;=INDEX(DB_malas!$D$2:$D$5000,MATCH(J30,DB_malas!$A$2:$A$5000,0)),IF(INDEX(DB_materiali!$B$2:$B$5000,MATCH($C30,DB_materiali!$A$2:$A$5000,0))=INDEX(DB_malas!$B$2:$B$5000,MATCH(J30,DB_malas!$A$2:$A$5000,0)),"✔",tulkojums!$A$38),tulkojums!$A$39),tulkojums!$A$39))</f>
        <v/>
      </c>
      <c r="S30" s="2" t="str">
        <f>IF(ISBLANK(K30),"",IF(INDEX(DB_materiali!$E$2:$E$5000,MATCH($C30,DB_materiali!$A$2:$A$5000,0))&gt;=INDEX(DB_malas!$C$2:$C$5000,MATCH(K30,DB_malas!$A$2:$A$5000,0)),IF(INDEX(DB_materiali!$E$2:$E$5000,MATCH($C30,DB_materiali!$A$2:$A$5000,0))&lt;=INDEX(DB_malas!$D$2:$D$5000,MATCH(K30,DB_malas!$A$2:$A$5000,0)),IF(INDEX(DB_materiali!$B$2:$B$5000,MATCH($C30,DB_materiali!$A$2:$A$5000,0))=INDEX(DB_malas!$B$2:$B$5000,MATCH(K30,DB_malas!$A$2:$A$5000,0)),"✔",tulkojums!$A$38),tulkojums!$A$39),tulkojums!$A$39))</f>
        <v/>
      </c>
      <c r="T30" s="2"/>
      <c r="U30" s="2"/>
      <c r="V30" s="2"/>
      <c r="W30" s="2"/>
      <c r="X30" s="2"/>
      <c r="Y30" s="2"/>
      <c r="Z30" s="2"/>
    </row>
    <row r="31" spans="1:26" ht="15.75" customHeight="1">
      <c r="A31" s="14"/>
      <c r="B31" s="14"/>
      <c r="C31" s="15"/>
      <c r="D31" s="55"/>
      <c r="E31" s="55"/>
      <c r="F31" s="56"/>
      <c r="G31" s="57" t="str">
        <f>IF(ISBLANK(C31),"",
   IFERROR(
      IF(
         INDEX(DB_materiali!C$2:C$5000,
               MATCH(C31, DB_materiali!A$2:A$5000, 0)
         )="FALSE",
         "N",
         "Y"
      ),
   "")
)</f>
        <v/>
      </c>
      <c r="H31" s="16"/>
      <c r="I31" s="16"/>
      <c r="J31" s="16"/>
      <c r="K31" s="16"/>
      <c r="M31" s="2" t="str">
        <f>IF(ISBLANK(C31),"",IF(IFERROR(VLOOKUP(C31,DB_materiali!$A$2:$A$5000,1,FALSE),"Kļūda artikulā")=C31,"✔",tulkojums!A$42))</f>
        <v/>
      </c>
      <c r="N31" s="2" t="str">
        <f>IF(ISBLANK(C31),"",IF(ISNUMBER(F31)=TRUE,"✔",tulkojums!A$43))</f>
        <v/>
      </c>
      <c r="O31" s="2" t="str">
        <f>IF(ISBLANK(C31),"",IF(G31="Y","✔",IF(G31="X","✔",IF(G31="N","✔",tulkojums!A$44))))</f>
        <v/>
      </c>
      <c r="P31" s="2" t="str">
        <f>IF(ISBLANK(H31),"",IF(INDEX(DB_materiali!$E$2:$E$5000,MATCH($C31,DB_materiali!$A$2:$A$5000,0))&gt;=INDEX(DB_malas!$C$2:$C$5000,MATCH(H31,DB_malas!$A$2:$A$5000,0)),IF(INDEX(DB_materiali!$E$2:$E$5000,MATCH($C31,DB_materiali!$A$2:$A$5000,0))&lt;=INDEX(DB_malas!$D$2:$D$5000,MATCH(H31,DB_malas!$A$2:$A$5000,0)),IF(OR(INDEX(DB_materiali!$B$2:$B$5000,MATCH($C31,DB_materiali!$A$2:$A$5000,0))=INDEX(DB_malas!$B$2:$B$5000,MATCH(H31,DB_malas!$A$2:$A$5000,0)),$H31="ORG"),"✔",tulkojums!$A$38),tulkojums!$A$39),tulkojums!$A$39))</f>
        <v/>
      </c>
      <c r="Q31" s="2" t="str">
        <f>IF(ISBLANK(I31),"",IF(INDEX(DB_materiali!$E$2:$E$5000,MATCH($C31,DB_materiali!$A$2:$A$5000,0))&gt;=INDEX(DB_malas!$C$2:$C$5000,MATCH(I31,DB_malas!$A$2:$A$5000,0)),IF(INDEX(DB_materiali!$E$2:$E$5000,MATCH($C31,DB_materiali!$A$2:$A$5000,0))&lt;=INDEX(DB_malas!$D$2:$D$5000,MATCH(I31,DB_malas!$A$2:$A$5000,0)),IF(OR(INDEX(DB_materiali!$B$2:$B$5000,MATCH($C31,DB_materiali!$A$2:$A$5000,0))=INDEX(DB_malas!$B$2:$B$5000,MATCH(I31,DB_malas!$A$2:$A$5000,0)),$H31="ORG"),"✔",tulkojums!$A$38),tulkojums!$A$39),tulkojums!$A$39))</f>
        <v/>
      </c>
      <c r="R31" s="2" t="str">
        <f>IF(ISBLANK(J31),"",IF(INDEX(DB_materiali!$E$2:$E$5000,MATCH($C31,DB_materiali!$A$2:$A$5000,0))&gt;=INDEX(DB_malas!$C$2:$C$5000,MATCH(J31,DB_malas!$A$2:$A$5000,0)),IF(INDEX(DB_materiali!$E$2:$E$5000,MATCH($C31,DB_materiali!$A$2:$A$5000,0))&lt;=INDEX(DB_malas!$D$2:$D$5000,MATCH(J31,DB_malas!$A$2:$A$5000,0)),IF(INDEX(DB_materiali!$B$2:$B$5000,MATCH($C31,DB_materiali!$A$2:$A$5000,0))=INDEX(DB_malas!$B$2:$B$5000,MATCH(J31,DB_malas!$A$2:$A$5000,0)),"✔",tulkojums!$A$38),tulkojums!$A$39),tulkojums!$A$39))</f>
        <v/>
      </c>
      <c r="S31" s="2" t="str">
        <f>IF(ISBLANK(K31),"",IF(INDEX(DB_materiali!$E$2:$E$5000,MATCH($C31,DB_materiali!$A$2:$A$5000,0))&gt;=INDEX(DB_malas!$C$2:$C$5000,MATCH(K31,DB_malas!$A$2:$A$5000,0)),IF(INDEX(DB_materiali!$E$2:$E$5000,MATCH($C31,DB_materiali!$A$2:$A$5000,0))&lt;=INDEX(DB_malas!$D$2:$D$5000,MATCH(K31,DB_malas!$A$2:$A$5000,0)),IF(INDEX(DB_materiali!$B$2:$B$5000,MATCH($C31,DB_materiali!$A$2:$A$5000,0))=INDEX(DB_malas!$B$2:$B$5000,MATCH(K31,DB_malas!$A$2:$A$5000,0)),"✔",tulkojums!$A$38),tulkojums!$A$39),tulkojums!$A$39))</f>
        <v/>
      </c>
      <c r="T31" s="2"/>
      <c r="U31" s="2"/>
      <c r="V31" s="2"/>
      <c r="W31" s="2"/>
      <c r="X31" s="2"/>
      <c r="Y31" s="2"/>
      <c r="Z31" s="2"/>
    </row>
    <row r="32" spans="1:26" ht="15.75" customHeight="1">
      <c r="A32" s="14"/>
      <c r="B32" s="14"/>
      <c r="C32" s="15"/>
      <c r="D32" s="55"/>
      <c r="E32" s="55"/>
      <c r="F32" s="56"/>
      <c r="G32" s="57" t="str">
        <f>IF(ISBLANK(C32),"",
   IFERROR(
      IF(
         INDEX(DB_materiali!C$2:C$5000,
               MATCH(C32, DB_materiali!A$2:A$5000, 0)
         )="FALSE",
         "N",
         "Y"
      ),
   "")
)</f>
        <v/>
      </c>
      <c r="H32" s="16"/>
      <c r="I32" s="16"/>
      <c r="J32" s="16"/>
      <c r="K32" s="16"/>
      <c r="M32" s="2" t="str">
        <f>IF(ISBLANK(C32),"",IF(IFERROR(VLOOKUP(C32,DB_materiali!$A$2:$A$5000,1,FALSE),"Kļūda artikulā")=C32,"✔",tulkojums!A$42))</f>
        <v/>
      </c>
      <c r="N32" s="2" t="str">
        <f>IF(ISBLANK(C32),"",IF(ISNUMBER(F32)=TRUE,"✔",tulkojums!A$43))</f>
        <v/>
      </c>
      <c r="O32" s="2" t="str">
        <f>IF(ISBLANK(C32),"",IF(G32="Y","✔",IF(G32="X","✔",IF(G32="N","✔",tulkojums!A$44))))</f>
        <v/>
      </c>
      <c r="P32" s="2" t="str">
        <f>IF(ISBLANK(H32),"",IF(INDEX(DB_materiali!$E$2:$E$5000,MATCH($C32,DB_materiali!$A$2:$A$5000,0))&gt;=INDEX(DB_malas!$C$2:$C$5000,MATCH(H32,DB_malas!$A$2:$A$5000,0)),IF(INDEX(DB_materiali!$E$2:$E$5000,MATCH($C32,DB_materiali!$A$2:$A$5000,0))&lt;=INDEX(DB_malas!$D$2:$D$5000,MATCH(H32,DB_malas!$A$2:$A$5000,0)),IF(OR(INDEX(DB_materiali!$B$2:$B$5000,MATCH($C32,DB_materiali!$A$2:$A$5000,0))=INDEX(DB_malas!$B$2:$B$5000,MATCH(H32,DB_malas!$A$2:$A$5000,0)),$H32="ORG"),"✔",tulkojums!$A$38),tulkojums!$A$39),tulkojums!$A$39))</f>
        <v/>
      </c>
      <c r="Q32" s="2" t="str">
        <f>IF(ISBLANK(I32),"",IF(INDEX(DB_materiali!$E$2:$E$5000,MATCH($C32,DB_materiali!$A$2:$A$5000,0))&gt;=INDEX(DB_malas!$C$2:$C$5000,MATCH(I32,DB_malas!$A$2:$A$5000,0)),IF(INDEX(DB_materiali!$E$2:$E$5000,MATCH($C32,DB_materiali!$A$2:$A$5000,0))&lt;=INDEX(DB_malas!$D$2:$D$5000,MATCH(I32,DB_malas!$A$2:$A$5000,0)),IF(OR(INDEX(DB_materiali!$B$2:$B$5000,MATCH($C32,DB_materiali!$A$2:$A$5000,0))=INDEX(DB_malas!$B$2:$B$5000,MATCH(I32,DB_malas!$A$2:$A$5000,0)),$H32="ORG"),"✔",tulkojums!$A$38),tulkojums!$A$39),tulkojums!$A$39))</f>
        <v/>
      </c>
      <c r="R32" s="2" t="str">
        <f>IF(ISBLANK(J32),"",IF(INDEX(DB_materiali!$E$2:$E$5000,MATCH($C32,DB_materiali!$A$2:$A$5000,0))&gt;=INDEX(DB_malas!$C$2:$C$5000,MATCH(J32,DB_malas!$A$2:$A$5000,0)),IF(INDEX(DB_materiali!$E$2:$E$5000,MATCH($C32,DB_materiali!$A$2:$A$5000,0))&lt;=INDEX(DB_malas!$D$2:$D$5000,MATCH(J32,DB_malas!$A$2:$A$5000,0)),IF(INDEX(DB_materiali!$B$2:$B$5000,MATCH($C32,DB_materiali!$A$2:$A$5000,0))=INDEX(DB_malas!$B$2:$B$5000,MATCH(J32,DB_malas!$A$2:$A$5000,0)),"✔",tulkojums!$A$38),tulkojums!$A$39),tulkojums!$A$39))</f>
        <v/>
      </c>
      <c r="S32" s="2" t="str">
        <f>IF(ISBLANK(K32),"",IF(INDEX(DB_materiali!$E$2:$E$5000,MATCH($C32,DB_materiali!$A$2:$A$5000,0))&gt;=INDEX(DB_malas!$C$2:$C$5000,MATCH(K32,DB_malas!$A$2:$A$5000,0)),IF(INDEX(DB_materiali!$E$2:$E$5000,MATCH($C32,DB_materiali!$A$2:$A$5000,0))&lt;=INDEX(DB_malas!$D$2:$D$5000,MATCH(K32,DB_malas!$A$2:$A$5000,0)),IF(INDEX(DB_materiali!$B$2:$B$5000,MATCH($C32,DB_materiali!$A$2:$A$5000,0))=INDEX(DB_malas!$B$2:$B$5000,MATCH(K32,DB_malas!$A$2:$A$5000,0)),"✔",tulkojums!$A$38),tulkojums!$A$39),tulkojums!$A$39))</f>
        <v/>
      </c>
      <c r="T32" s="2"/>
      <c r="U32" s="2"/>
      <c r="V32" s="2"/>
      <c r="W32" s="2"/>
      <c r="X32" s="2"/>
      <c r="Y32" s="2"/>
      <c r="Z32" s="2"/>
    </row>
    <row r="33" spans="1:26" ht="15.75" customHeight="1">
      <c r="A33" s="14"/>
      <c r="B33" s="14"/>
      <c r="C33" s="15"/>
      <c r="D33" s="55"/>
      <c r="E33" s="55"/>
      <c r="F33" s="56"/>
      <c r="G33" s="57" t="str">
        <f>IF(ISBLANK(C33),"",
   IFERROR(
      IF(
         INDEX(DB_materiali!C$2:C$5000,
               MATCH(C33, DB_materiali!A$2:A$5000, 0)
         )="FALSE",
         "N",
         "Y"
      ),
   "")
)</f>
        <v/>
      </c>
      <c r="H33" s="16"/>
      <c r="I33" s="16"/>
      <c r="J33" s="16"/>
      <c r="K33" s="16"/>
      <c r="M33" s="2" t="str">
        <f>IF(ISBLANK(C33),"",IF(IFERROR(VLOOKUP(C33,DB_materiali!$A$2:$A$5000,1,FALSE),"Kļūda artikulā")=C33,"✔",tulkojums!A$42))</f>
        <v/>
      </c>
      <c r="N33" s="2" t="str">
        <f>IF(ISBLANK(C33),"",IF(ISNUMBER(F33)=TRUE,"✔",tulkojums!A$43))</f>
        <v/>
      </c>
      <c r="O33" s="2" t="str">
        <f>IF(ISBLANK(C33),"",IF(G33="Y","✔",IF(G33="X","✔",IF(G33="N","✔",tulkojums!A$44))))</f>
        <v/>
      </c>
      <c r="P33" s="2" t="str">
        <f>IF(ISBLANK(H33),"",IF(INDEX(DB_materiali!$E$2:$E$5000,MATCH($C33,DB_materiali!$A$2:$A$5000,0))&gt;=INDEX(DB_malas!$C$2:$C$5000,MATCH(H33,DB_malas!$A$2:$A$5000,0)),IF(INDEX(DB_materiali!$E$2:$E$5000,MATCH($C33,DB_materiali!$A$2:$A$5000,0))&lt;=INDEX(DB_malas!$D$2:$D$5000,MATCH(H33,DB_malas!$A$2:$A$5000,0)),IF(OR(INDEX(DB_materiali!$B$2:$B$5000,MATCH($C33,DB_materiali!$A$2:$A$5000,0))=INDEX(DB_malas!$B$2:$B$5000,MATCH(H33,DB_malas!$A$2:$A$5000,0)),$H33="ORG"),"✔",tulkojums!$A$38),tulkojums!$A$39),tulkojums!$A$39))</f>
        <v/>
      </c>
      <c r="Q33" s="2" t="str">
        <f>IF(ISBLANK(I33),"",IF(INDEX(DB_materiali!$E$2:$E$5000,MATCH($C33,DB_materiali!$A$2:$A$5000,0))&gt;=INDEX(DB_malas!$C$2:$C$5000,MATCH(I33,DB_malas!$A$2:$A$5000,0)),IF(INDEX(DB_materiali!$E$2:$E$5000,MATCH($C33,DB_materiali!$A$2:$A$5000,0))&lt;=INDEX(DB_malas!$D$2:$D$5000,MATCH(I33,DB_malas!$A$2:$A$5000,0)),IF(OR(INDEX(DB_materiali!$B$2:$B$5000,MATCH($C33,DB_materiali!$A$2:$A$5000,0))=INDEX(DB_malas!$B$2:$B$5000,MATCH(I33,DB_malas!$A$2:$A$5000,0)),$H33="ORG"),"✔",tulkojums!$A$38),tulkojums!$A$39),tulkojums!$A$39))</f>
        <v/>
      </c>
      <c r="R33" s="2" t="str">
        <f>IF(ISBLANK(J33),"",IF(INDEX(DB_materiali!$E$2:$E$5000,MATCH($C33,DB_materiali!$A$2:$A$5000,0))&gt;=INDEX(DB_malas!$C$2:$C$5000,MATCH(J33,DB_malas!$A$2:$A$5000,0)),IF(INDEX(DB_materiali!$E$2:$E$5000,MATCH($C33,DB_materiali!$A$2:$A$5000,0))&lt;=INDEX(DB_malas!$D$2:$D$5000,MATCH(J33,DB_malas!$A$2:$A$5000,0)),IF(INDEX(DB_materiali!$B$2:$B$5000,MATCH($C33,DB_materiali!$A$2:$A$5000,0))=INDEX(DB_malas!$B$2:$B$5000,MATCH(J33,DB_malas!$A$2:$A$5000,0)),"✔",tulkojums!$A$38),tulkojums!$A$39),tulkojums!$A$39))</f>
        <v/>
      </c>
      <c r="S33" s="2" t="str">
        <f>IF(ISBLANK(K33),"",IF(INDEX(DB_materiali!$E$2:$E$5000,MATCH($C33,DB_materiali!$A$2:$A$5000,0))&gt;=INDEX(DB_malas!$C$2:$C$5000,MATCH(K33,DB_malas!$A$2:$A$5000,0)),IF(INDEX(DB_materiali!$E$2:$E$5000,MATCH($C33,DB_materiali!$A$2:$A$5000,0))&lt;=INDEX(DB_malas!$D$2:$D$5000,MATCH(K33,DB_malas!$A$2:$A$5000,0)),IF(INDEX(DB_materiali!$B$2:$B$5000,MATCH($C33,DB_materiali!$A$2:$A$5000,0))=INDEX(DB_malas!$B$2:$B$5000,MATCH(K33,DB_malas!$A$2:$A$5000,0)),"✔",tulkojums!$A$38),tulkojums!$A$39),tulkojums!$A$39))</f>
        <v/>
      </c>
      <c r="T33" s="2"/>
      <c r="U33" s="2"/>
      <c r="V33" s="2"/>
      <c r="W33" s="2"/>
      <c r="X33" s="2"/>
      <c r="Y33" s="2"/>
      <c r="Z33" s="2"/>
    </row>
    <row r="34" spans="1:26" ht="15.75" customHeight="1">
      <c r="A34" s="14"/>
      <c r="B34" s="14"/>
      <c r="C34" s="15"/>
      <c r="D34" s="55"/>
      <c r="E34" s="55"/>
      <c r="F34" s="56"/>
      <c r="G34" s="57" t="str">
        <f>IF(ISBLANK(C34),"",
   IFERROR(
      IF(
         INDEX(DB_materiali!C$2:C$5000,
               MATCH(C34, DB_materiali!A$2:A$5000, 0)
         )="FALSE",
         "N",
         "Y"
      ),
   "")
)</f>
        <v/>
      </c>
      <c r="H34" s="16"/>
      <c r="I34" s="16"/>
      <c r="J34" s="16"/>
      <c r="K34" s="16"/>
      <c r="M34" s="2" t="str">
        <f>IF(ISBLANK(C34),"",IF(IFERROR(VLOOKUP(C34,DB_materiali!$A$2:$A$5000,1,FALSE),"Kļūda artikulā")=C34,"✔",tulkojums!A$42))</f>
        <v/>
      </c>
      <c r="N34" s="2" t="str">
        <f>IF(ISBLANK(C34),"",IF(ISNUMBER(F34)=TRUE,"✔",tulkojums!A$43))</f>
        <v/>
      </c>
      <c r="O34" s="2" t="str">
        <f>IF(ISBLANK(C34),"",IF(G34="Y","✔",IF(G34="X","✔",IF(G34="N","✔",tulkojums!A$44))))</f>
        <v/>
      </c>
      <c r="P34" s="2" t="str">
        <f>IF(ISBLANK(H34),"",IF(INDEX(DB_materiali!$E$2:$E$5000,MATCH($C34,DB_materiali!$A$2:$A$5000,0))&gt;=INDEX(DB_malas!$C$2:$C$5000,MATCH(H34,DB_malas!$A$2:$A$5000,0)),IF(INDEX(DB_materiali!$E$2:$E$5000,MATCH($C34,DB_materiali!$A$2:$A$5000,0))&lt;=INDEX(DB_malas!$D$2:$D$5000,MATCH(H34,DB_malas!$A$2:$A$5000,0)),IF(OR(INDEX(DB_materiali!$B$2:$B$5000,MATCH($C34,DB_materiali!$A$2:$A$5000,0))=INDEX(DB_malas!$B$2:$B$5000,MATCH(H34,DB_malas!$A$2:$A$5000,0)),$H34="ORG"),"✔",tulkojums!$A$38),tulkojums!$A$39),tulkojums!$A$39))</f>
        <v/>
      </c>
      <c r="Q34" s="2" t="str">
        <f>IF(ISBLANK(I34),"",IF(INDEX(DB_materiali!$E$2:$E$5000,MATCH($C34,DB_materiali!$A$2:$A$5000,0))&gt;=INDEX(DB_malas!$C$2:$C$5000,MATCH(I34,DB_malas!$A$2:$A$5000,0)),IF(INDEX(DB_materiali!$E$2:$E$5000,MATCH($C34,DB_materiali!$A$2:$A$5000,0))&lt;=INDEX(DB_malas!$D$2:$D$5000,MATCH(I34,DB_malas!$A$2:$A$5000,0)),IF(OR(INDEX(DB_materiali!$B$2:$B$5000,MATCH($C34,DB_materiali!$A$2:$A$5000,0))=INDEX(DB_malas!$B$2:$B$5000,MATCH(I34,DB_malas!$A$2:$A$5000,0)),$H34="ORG"),"✔",tulkojums!$A$38),tulkojums!$A$39),tulkojums!$A$39))</f>
        <v/>
      </c>
      <c r="R34" s="2" t="str">
        <f>IF(ISBLANK(J34),"",IF(INDEX(DB_materiali!$E$2:$E$5000,MATCH($C34,DB_materiali!$A$2:$A$5000,0))&gt;=INDEX(DB_malas!$C$2:$C$5000,MATCH(J34,DB_malas!$A$2:$A$5000,0)),IF(INDEX(DB_materiali!$E$2:$E$5000,MATCH($C34,DB_materiali!$A$2:$A$5000,0))&lt;=INDEX(DB_malas!$D$2:$D$5000,MATCH(J34,DB_malas!$A$2:$A$5000,0)),IF(INDEX(DB_materiali!$B$2:$B$5000,MATCH($C34,DB_materiali!$A$2:$A$5000,0))=INDEX(DB_malas!$B$2:$B$5000,MATCH(J34,DB_malas!$A$2:$A$5000,0)),"✔",tulkojums!$A$38),tulkojums!$A$39),tulkojums!$A$39))</f>
        <v/>
      </c>
      <c r="S34" s="2" t="str">
        <f>IF(ISBLANK(K34),"",IF(INDEX(DB_materiali!$E$2:$E$5000,MATCH($C34,DB_materiali!$A$2:$A$5000,0))&gt;=INDEX(DB_malas!$C$2:$C$5000,MATCH(K34,DB_malas!$A$2:$A$5000,0)),IF(INDEX(DB_materiali!$E$2:$E$5000,MATCH($C34,DB_materiali!$A$2:$A$5000,0))&lt;=INDEX(DB_malas!$D$2:$D$5000,MATCH(K34,DB_malas!$A$2:$A$5000,0)),IF(INDEX(DB_materiali!$B$2:$B$5000,MATCH($C34,DB_materiali!$A$2:$A$5000,0))=INDEX(DB_malas!$B$2:$B$5000,MATCH(K34,DB_malas!$A$2:$A$5000,0)),"✔",tulkojums!$A$38),tulkojums!$A$39),tulkojums!$A$39))</f>
        <v/>
      </c>
      <c r="T34" s="2"/>
      <c r="U34" s="2"/>
      <c r="V34" s="2"/>
      <c r="W34" s="2"/>
      <c r="X34" s="2"/>
      <c r="Y34" s="2"/>
      <c r="Z34" s="2"/>
    </row>
    <row r="35" spans="1:26" ht="15.75" customHeight="1">
      <c r="A35" s="14"/>
      <c r="B35" s="14"/>
      <c r="C35" s="15"/>
      <c r="D35" s="55"/>
      <c r="E35" s="55"/>
      <c r="F35" s="56"/>
      <c r="G35" s="57" t="str">
        <f>IF(ISBLANK(C35),"",
   IFERROR(
      IF(
         INDEX(DB_materiali!C$2:C$5000,
               MATCH(C35, DB_materiali!A$2:A$5000, 0)
         )="FALSE",
         "N",
         "Y"
      ),
   "")
)</f>
        <v/>
      </c>
      <c r="H35" s="16"/>
      <c r="I35" s="16"/>
      <c r="J35" s="16"/>
      <c r="K35" s="16"/>
      <c r="M35" s="2" t="str">
        <f>IF(ISBLANK(C35),"",IF(IFERROR(VLOOKUP(C35,DB_materiali!$A$2:$A$5000,1,FALSE),"Kļūda artikulā")=C35,"✔",tulkojums!A$42))</f>
        <v/>
      </c>
      <c r="N35" s="2" t="str">
        <f>IF(ISBLANK(C35),"",IF(ISNUMBER(F35)=TRUE,"✔",tulkojums!A$43))</f>
        <v/>
      </c>
      <c r="O35" s="2" t="str">
        <f>IF(ISBLANK(C35),"",IF(G35="Y","✔",IF(G35="X","✔",IF(G35="N","✔",tulkojums!A$44))))</f>
        <v/>
      </c>
      <c r="P35" s="2" t="str">
        <f>IF(ISBLANK(H35),"",IF(INDEX(DB_materiali!$E$2:$E$5000,MATCH($C35,DB_materiali!$A$2:$A$5000,0))&gt;=INDEX(DB_malas!$C$2:$C$5000,MATCH(H35,DB_malas!$A$2:$A$5000,0)),IF(INDEX(DB_materiali!$E$2:$E$5000,MATCH($C35,DB_materiali!$A$2:$A$5000,0))&lt;=INDEX(DB_malas!$D$2:$D$5000,MATCH(H35,DB_malas!$A$2:$A$5000,0)),IF(OR(INDEX(DB_materiali!$B$2:$B$5000,MATCH($C35,DB_materiali!$A$2:$A$5000,0))=INDEX(DB_malas!$B$2:$B$5000,MATCH(H35,DB_malas!$A$2:$A$5000,0)),$H35="ORG"),"✔",tulkojums!$A$38),tulkojums!$A$39),tulkojums!$A$39))</f>
        <v/>
      </c>
      <c r="Q35" s="2" t="str">
        <f>IF(ISBLANK(I35),"",IF(INDEX(DB_materiali!$E$2:$E$5000,MATCH($C35,DB_materiali!$A$2:$A$5000,0))&gt;=INDEX(DB_malas!$C$2:$C$5000,MATCH(I35,DB_malas!$A$2:$A$5000,0)),IF(INDEX(DB_materiali!$E$2:$E$5000,MATCH($C35,DB_materiali!$A$2:$A$5000,0))&lt;=INDEX(DB_malas!$D$2:$D$5000,MATCH(I35,DB_malas!$A$2:$A$5000,0)),IF(OR(INDEX(DB_materiali!$B$2:$B$5000,MATCH($C35,DB_materiali!$A$2:$A$5000,0))=INDEX(DB_malas!$B$2:$B$5000,MATCH(I35,DB_malas!$A$2:$A$5000,0)),$H35="ORG"),"✔",tulkojums!$A$38),tulkojums!$A$39),tulkojums!$A$39))</f>
        <v/>
      </c>
      <c r="R35" s="2" t="str">
        <f>IF(ISBLANK(J35),"",IF(INDEX(DB_materiali!$E$2:$E$5000,MATCH($C35,DB_materiali!$A$2:$A$5000,0))&gt;=INDEX(DB_malas!$C$2:$C$5000,MATCH(J35,DB_malas!$A$2:$A$5000,0)),IF(INDEX(DB_materiali!$E$2:$E$5000,MATCH($C35,DB_materiali!$A$2:$A$5000,0))&lt;=INDEX(DB_malas!$D$2:$D$5000,MATCH(J35,DB_malas!$A$2:$A$5000,0)),IF(INDEX(DB_materiali!$B$2:$B$5000,MATCH($C35,DB_materiali!$A$2:$A$5000,0))=INDEX(DB_malas!$B$2:$B$5000,MATCH(J35,DB_malas!$A$2:$A$5000,0)),"✔",tulkojums!$A$38),tulkojums!$A$39),tulkojums!$A$39))</f>
        <v/>
      </c>
      <c r="S35" s="2" t="str">
        <f>IF(ISBLANK(K35),"",IF(INDEX(DB_materiali!$E$2:$E$5000,MATCH($C35,DB_materiali!$A$2:$A$5000,0))&gt;=INDEX(DB_malas!$C$2:$C$5000,MATCH(K35,DB_malas!$A$2:$A$5000,0)),IF(INDEX(DB_materiali!$E$2:$E$5000,MATCH($C35,DB_materiali!$A$2:$A$5000,0))&lt;=INDEX(DB_malas!$D$2:$D$5000,MATCH(K35,DB_malas!$A$2:$A$5000,0)),IF(INDEX(DB_materiali!$B$2:$B$5000,MATCH($C35,DB_materiali!$A$2:$A$5000,0))=INDEX(DB_malas!$B$2:$B$5000,MATCH(K35,DB_malas!$A$2:$A$5000,0)),"✔",tulkojums!$A$38),tulkojums!$A$39),tulkojums!$A$39))</f>
        <v/>
      </c>
      <c r="T35" s="2"/>
      <c r="U35" s="2"/>
      <c r="V35" s="2"/>
      <c r="W35" s="2"/>
      <c r="X35" s="2"/>
      <c r="Y35" s="2"/>
      <c r="Z35" s="2"/>
    </row>
    <row r="36" spans="1:26" ht="15.75" customHeight="1">
      <c r="A36" s="14"/>
      <c r="B36" s="14"/>
      <c r="C36" s="15"/>
      <c r="D36" s="55"/>
      <c r="E36" s="55"/>
      <c r="F36" s="56"/>
      <c r="G36" s="57" t="str">
        <f>IF(ISBLANK(C36),"",
   IFERROR(
      IF(
         INDEX(DB_materiali!C$2:C$5000,
               MATCH(C36, DB_materiali!A$2:A$5000, 0)
         )="FALSE",
         "N",
         "Y"
      ),
   "")
)</f>
        <v/>
      </c>
      <c r="H36" s="16"/>
      <c r="I36" s="16"/>
      <c r="J36" s="16"/>
      <c r="K36" s="16"/>
      <c r="M36" s="2" t="str">
        <f>IF(ISBLANK(C36),"",IF(IFERROR(VLOOKUP(C36,DB_materiali!$A$2:$A$5000,1,FALSE),"Kļūda artikulā")=C36,"✔",tulkojums!A$42))</f>
        <v/>
      </c>
      <c r="N36" s="2" t="str">
        <f>IF(ISBLANK(C36),"",IF(ISNUMBER(F36)=TRUE,"✔",tulkojums!A$43))</f>
        <v/>
      </c>
      <c r="O36" s="2" t="str">
        <f>IF(ISBLANK(C36),"",IF(G36="Y","✔",IF(G36="X","✔",IF(G36="N","✔",tulkojums!A$44))))</f>
        <v/>
      </c>
      <c r="P36" s="2" t="str">
        <f>IF(ISBLANK(H36),"",IF(INDEX(DB_materiali!$E$2:$E$5000,MATCH($C36,DB_materiali!$A$2:$A$5000,0))&gt;=INDEX(DB_malas!$C$2:$C$5000,MATCH(H36,DB_malas!$A$2:$A$5000,0)),IF(INDEX(DB_materiali!$E$2:$E$5000,MATCH($C36,DB_materiali!$A$2:$A$5000,0))&lt;=INDEX(DB_malas!$D$2:$D$5000,MATCH(H36,DB_malas!$A$2:$A$5000,0)),IF(OR(INDEX(DB_materiali!$B$2:$B$5000,MATCH($C36,DB_materiali!$A$2:$A$5000,0))=INDEX(DB_malas!$B$2:$B$5000,MATCH(H36,DB_malas!$A$2:$A$5000,0)),$H36="ORG"),"✔",tulkojums!$A$38),tulkojums!$A$39),tulkojums!$A$39))</f>
        <v/>
      </c>
      <c r="Q36" s="2" t="str">
        <f>IF(ISBLANK(I36),"",IF(INDEX(DB_materiali!$E$2:$E$5000,MATCH($C36,DB_materiali!$A$2:$A$5000,0))&gt;=INDEX(DB_malas!$C$2:$C$5000,MATCH(I36,DB_malas!$A$2:$A$5000,0)),IF(INDEX(DB_materiali!$E$2:$E$5000,MATCH($C36,DB_materiali!$A$2:$A$5000,0))&lt;=INDEX(DB_malas!$D$2:$D$5000,MATCH(I36,DB_malas!$A$2:$A$5000,0)),IF(OR(INDEX(DB_materiali!$B$2:$B$5000,MATCH($C36,DB_materiali!$A$2:$A$5000,0))=INDEX(DB_malas!$B$2:$B$5000,MATCH(I36,DB_malas!$A$2:$A$5000,0)),$H36="ORG"),"✔",tulkojums!$A$38),tulkojums!$A$39),tulkojums!$A$39))</f>
        <v/>
      </c>
      <c r="R36" s="2" t="str">
        <f>IF(ISBLANK(J36),"",IF(INDEX(DB_materiali!$E$2:$E$5000,MATCH($C36,DB_materiali!$A$2:$A$5000,0))&gt;=INDEX(DB_malas!$C$2:$C$5000,MATCH(J36,DB_malas!$A$2:$A$5000,0)),IF(INDEX(DB_materiali!$E$2:$E$5000,MATCH($C36,DB_materiali!$A$2:$A$5000,0))&lt;=INDEX(DB_malas!$D$2:$D$5000,MATCH(J36,DB_malas!$A$2:$A$5000,0)),IF(INDEX(DB_materiali!$B$2:$B$5000,MATCH($C36,DB_materiali!$A$2:$A$5000,0))=INDEX(DB_malas!$B$2:$B$5000,MATCH(J36,DB_malas!$A$2:$A$5000,0)),"✔",tulkojums!$A$38),tulkojums!$A$39),tulkojums!$A$39))</f>
        <v/>
      </c>
      <c r="S36" s="2" t="str">
        <f>IF(ISBLANK(K36),"",IF(INDEX(DB_materiali!$E$2:$E$5000,MATCH($C36,DB_materiali!$A$2:$A$5000,0))&gt;=INDEX(DB_malas!$C$2:$C$5000,MATCH(K36,DB_malas!$A$2:$A$5000,0)),IF(INDEX(DB_materiali!$E$2:$E$5000,MATCH($C36,DB_materiali!$A$2:$A$5000,0))&lt;=INDEX(DB_malas!$D$2:$D$5000,MATCH(K36,DB_malas!$A$2:$A$5000,0)),IF(INDEX(DB_materiali!$B$2:$B$5000,MATCH($C36,DB_materiali!$A$2:$A$5000,0))=INDEX(DB_malas!$B$2:$B$5000,MATCH(K36,DB_malas!$A$2:$A$5000,0)),"✔",tulkojums!$A$38),tulkojums!$A$39),tulkojums!$A$39))</f>
        <v/>
      </c>
      <c r="T36" s="2"/>
      <c r="U36" s="2"/>
      <c r="V36" s="2"/>
      <c r="W36" s="2"/>
      <c r="X36" s="2"/>
      <c r="Y36" s="2"/>
      <c r="Z36" s="2"/>
    </row>
    <row r="37" spans="1:26" ht="15.75" customHeight="1">
      <c r="A37" s="14"/>
      <c r="B37" s="14"/>
      <c r="C37" s="15"/>
      <c r="D37" s="55"/>
      <c r="E37" s="55"/>
      <c r="F37" s="56"/>
      <c r="G37" s="57" t="str">
        <f>IF(ISBLANK(C37),"",
   IFERROR(
      IF(
         INDEX(DB_materiali!C$2:C$5000,
               MATCH(C37, DB_materiali!A$2:A$5000, 0)
         )="FALSE",
         "N",
         "Y"
      ),
   "")
)</f>
        <v/>
      </c>
      <c r="H37" s="16"/>
      <c r="I37" s="16"/>
      <c r="J37" s="16"/>
      <c r="K37" s="16"/>
      <c r="M37" s="2" t="str">
        <f>IF(ISBLANK(C37),"",IF(IFERROR(VLOOKUP(C37,DB_materiali!$A$2:$A$5000,1,FALSE),"Kļūda artikulā")=C37,"✔",tulkojums!A$42))</f>
        <v/>
      </c>
      <c r="N37" s="2" t="str">
        <f>IF(ISBLANK(C37),"",IF(ISNUMBER(F37)=TRUE,"✔",tulkojums!A$43))</f>
        <v/>
      </c>
      <c r="O37" s="2" t="str">
        <f>IF(ISBLANK(C37),"",IF(G37="Y","✔",IF(G37="X","✔",IF(G37="N","✔",tulkojums!A$44))))</f>
        <v/>
      </c>
      <c r="P37" s="2" t="str">
        <f>IF(ISBLANK(H37),"",IF(INDEX(DB_materiali!$E$2:$E$5000,MATCH($C37,DB_materiali!$A$2:$A$5000,0))&gt;=INDEX(DB_malas!$C$2:$C$5000,MATCH(H37,DB_malas!$A$2:$A$5000,0)),IF(INDEX(DB_materiali!$E$2:$E$5000,MATCH($C37,DB_materiali!$A$2:$A$5000,0))&lt;=INDEX(DB_malas!$D$2:$D$5000,MATCH(H37,DB_malas!$A$2:$A$5000,0)),IF(OR(INDEX(DB_materiali!$B$2:$B$5000,MATCH($C37,DB_materiali!$A$2:$A$5000,0))=INDEX(DB_malas!$B$2:$B$5000,MATCH(H37,DB_malas!$A$2:$A$5000,0)),$H37="ORG"),"✔",tulkojums!$A$38),tulkojums!$A$39),tulkojums!$A$39))</f>
        <v/>
      </c>
      <c r="Q37" s="2" t="str">
        <f>IF(ISBLANK(I37),"",IF(INDEX(DB_materiali!$E$2:$E$5000,MATCH($C37,DB_materiali!$A$2:$A$5000,0))&gt;=INDEX(DB_malas!$C$2:$C$5000,MATCH(I37,DB_malas!$A$2:$A$5000,0)),IF(INDEX(DB_materiali!$E$2:$E$5000,MATCH($C37,DB_materiali!$A$2:$A$5000,0))&lt;=INDEX(DB_malas!$D$2:$D$5000,MATCH(I37,DB_malas!$A$2:$A$5000,0)),IF(OR(INDEX(DB_materiali!$B$2:$B$5000,MATCH($C37,DB_materiali!$A$2:$A$5000,0))=INDEX(DB_malas!$B$2:$B$5000,MATCH(I37,DB_malas!$A$2:$A$5000,0)),$H37="ORG"),"✔",tulkojums!$A$38),tulkojums!$A$39),tulkojums!$A$39))</f>
        <v/>
      </c>
      <c r="R37" s="2" t="str">
        <f>IF(ISBLANK(J37),"",IF(INDEX(DB_materiali!$E$2:$E$5000,MATCH($C37,DB_materiali!$A$2:$A$5000,0))&gt;=INDEX(DB_malas!$C$2:$C$5000,MATCH(J37,DB_malas!$A$2:$A$5000,0)),IF(INDEX(DB_materiali!$E$2:$E$5000,MATCH($C37,DB_materiali!$A$2:$A$5000,0))&lt;=INDEX(DB_malas!$D$2:$D$5000,MATCH(J37,DB_malas!$A$2:$A$5000,0)),IF(INDEX(DB_materiali!$B$2:$B$5000,MATCH($C37,DB_materiali!$A$2:$A$5000,0))=INDEX(DB_malas!$B$2:$B$5000,MATCH(J37,DB_malas!$A$2:$A$5000,0)),"✔",tulkojums!$A$38),tulkojums!$A$39),tulkojums!$A$39))</f>
        <v/>
      </c>
      <c r="S37" s="2" t="str">
        <f>IF(ISBLANK(K37),"",IF(INDEX(DB_materiali!$E$2:$E$5000,MATCH($C37,DB_materiali!$A$2:$A$5000,0))&gt;=INDEX(DB_malas!$C$2:$C$5000,MATCH(K37,DB_malas!$A$2:$A$5000,0)),IF(INDEX(DB_materiali!$E$2:$E$5000,MATCH($C37,DB_materiali!$A$2:$A$5000,0))&lt;=INDEX(DB_malas!$D$2:$D$5000,MATCH(K37,DB_malas!$A$2:$A$5000,0)),IF(INDEX(DB_materiali!$B$2:$B$5000,MATCH($C37,DB_materiali!$A$2:$A$5000,0))=INDEX(DB_malas!$B$2:$B$5000,MATCH(K37,DB_malas!$A$2:$A$5000,0)),"✔",tulkojums!$A$38),tulkojums!$A$39),tulkojums!$A$39))</f>
        <v/>
      </c>
      <c r="T37" s="2"/>
      <c r="U37" s="2"/>
      <c r="V37" s="2"/>
      <c r="W37" s="2"/>
      <c r="X37" s="2"/>
      <c r="Y37" s="2"/>
      <c r="Z37" s="2"/>
    </row>
    <row r="38" spans="1:26" ht="15.75" customHeight="1">
      <c r="A38" s="14"/>
      <c r="B38" s="14"/>
      <c r="C38" s="15"/>
      <c r="D38" s="55"/>
      <c r="E38" s="55"/>
      <c r="F38" s="56"/>
      <c r="G38" s="57" t="str">
        <f>IF(ISBLANK(C38),"",
   IFERROR(
      IF(
         INDEX(DB_materiali!C$2:C$5000,
               MATCH(C38, DB_materiali!A$2:A$5000, 0)
         )="FALSE",
         "N",
         "Y"
      ),
   "")
)</f>
        <v/>
      </c>
      <c r="H38" s="16"/>
      <c r="I38" s="16"/>
      <c r="J38" s="16"/>
      <c r="K38" s="16"/>
      <c r="M38" s="2" t="str">
        <f>IF(ISBLANK(C38),"",IF(IFERROR(VLOOKUP(C38,DB_materiali!$A$2:$A$5000,1,FALSE),"Kļūda artikulā")=C38,"✔",tulkojums!A$42))</f>
        <v/>
      </c>
      <c r="N38" s="2" t="str">
        <f>IF(ISBLANK(C38),"",IF(ISNUMBER(F38)=TRUE,"✔",tulkojums!A$43))</f>
        <v/>
      </c>
      <c r="O38" s="2" t="str">
        <f>IF(ISBLANK(C38),"",IF(G38="Y","✔",IF(G38="X","✔",IF(G38="N","✔",tulkojums!A$44))))</f>
        <v/>
      </c>
      <c r="P38" s="2" t="str">
        <f>IF(ISBLANK(H38),"",IF(INDEX(DB_materiali!$E$2:$E$5000,MATCH($C38,DB_materiali!$A$2:$A$5000,0))&gt;=INDEX(DB_malas!$C$2:$C$5000,MATCH(H38,DB_malas!$A$2:$A$5000,0)),IF(INDEX(DB_materiali!$E$2:$E$5000,MATCH($C38,DB_materiali!$A$2:$A$5000,0))&lt;=INDEX(DB_malas!$D$2:$D$5000,MATCH(H38,DB_malas!$A$2:$A$5000,0)),IF(OR(INDEX(DB_materiali!$B$2:$B$5000,MATCH($C38,DB_materiali!$A$2:$A$5000,0))=INDEX(DB_malas!$B$2:$B$5000,MATCH(H38,DB_malas!$A$2:$A$5000,0)),$H38="ORG"),"✔",tulkojums!$A$38),tulkojums!$A$39),tulkojums!$A$39))</f>
        <v/>
      </c>
      <c r="Q38" s="2" t="str">
        <f>IF(ISBLANK(I38),"",IF(INDEX(DB_materiali!$E$2:$E$5000,MATCH($C38,DB_materiali!$A$2:$A$5000,0))&gt;=INDEX(DB_malas!$C$2:$C$5000,MATCH(I38,DB_malas!$A$2:$A$5000,0)),IF(INDEX(DB_materiali!$E$2:$E$5000,MATCH($C38,DB_materiali!$A$2:$A$5000,0))&lt;=INDEX(DB_malas!$D$2:$D$5000,MATCH(I38,DB_malas!$A$2:$A$5000,0)),IF(OR(INDEX(DB_materiali!$B$2:$B$5000,MATCH($C38,DB_materiali!$A$2:$A$5000,0))=INDEX(DB_malas!$B$2:$B$5000,MATCH(I38,DB_malas!$A$2:$A$5000,0)),$H38="ORG"),"✔",tulkojums!$A$38),tulkojums!$A$39),tulkojums!$A$39))</f>
        <v/>
      </c>
      <c r="R38" s="2" t="str">
        <f>IF(ISBLANK(J38),"",IF(INDEX(DB_materiali!$E$2:$E$5000,MATCH($C38,DB_materiali!$A$2:$A$5000,0))&gt;=INDEX(DB_malas!$C$2:$C$5000,MATCH(J38,DB_malas!$A$2:$A$5000,0)),IF(INDEX(DB_materiali!$E$2:$E$5000,MATCH($C38,DB_materiali!$A$2:$A$5000,0))&lt;=INDEX(DB_malas!$D$2:$D$5000,MATCH(J38,DB_malas!$A$2:$A$5000,0)),IF(INDEX(DB_materiali!$B$2:$B$5000,MATCH($C38,DB_materiali!$A$2:$A$5000,0))=INDEX(DB_malas!$B$2:$B$5000,MATCH(J38,DB_malas!$A$2:$A$5000,0)),"✔",tulkojums!$A$38),tulkojums!$A$39),tulkojums!$A$39))</f>
        <v/>
      </c>
      <c r="S38" s="2" t="str">
        <f>IF(ISBLANK(K38),"",IF(INDEX(DB_materiali!$E$2:$E$5000,MATCH($C38,DB_materiali!$A$2:$A$5000,0))&gt;=INDEX(DB_malas!$C$2:$C$5000,MATCH(K38,DB_malas!$A$2:$A$5000,0)),IF(INDEX(DB_materiali!$E$2:$E$5000,MATCH($C38,DB_materiali!$A$2:$A$5000,0))&lt;=INDEX(DB_malas!$D$2:$D$5000,MATCH(K38,DB_malas!$A$2:$A$5000,0)),IF(INDEX(DB_materiali!$B$2:$B$5000,MATCH($C38,DB_materiali!$A$2:$A$5000,0))=INDEX(DB_malas!$B$2:$B$5000,MATCH(K38,DB_malas!$A$2:$A$5000,0)),"✔",tulkojums!$A$38),tulkojums!$A$39),tulkojums!$A$39))</f>
        <v/>
      </c>
      <c r="T38" s="2"/>
      <c r="U38" s="2"/>
      <c r="V38" s="2"/>
      <c r="W38" s="2"/>
      <c r="X38" s="2"/>
      <c r="Y38" s="2"/>
      <c r="Z38" s="2"/>
    </row>
    <row r="39" spans="1:26" ht="15.75" customHeight="1">
      <c r="A39" s="14"/>
      <c r="B39" s="14"/>
      <c r="C39" s="15"/>
      <c r="D39" s="55"/>
      <c r="E39" s="55"/>
      <c r="F39" s="56"/>
      <c r="G39" s="57" t="str">
        <f>IF(ISBLANK(C39),"",
   IFERROR(
      IF(
         INDEX(DB_materiali!C$2:C$5000,
               MATCH(C39, DB_materiali!A$2:A$5000, 0)
         )="FALSE",
         "N",
         "Y"
      ),
   "")
)</f>
        <v/>
      </c>
      <c r="H39" s="16"/>
      <c r="I39" s="16"/>
      <c r="J39" s="16"/>
      <c r="K39" s="16"/>
      <c r="M39" s="2" t="str">
        <f>IF(ISBLANK(C39),"",IF(IFERROR(VLOOKUP(C39,DB_materiali!$A$2:$A$5000,1,FALSE),"Kļūda artikulā")=C39,"✔",tulkojums!A$42))</f>
        <v/>
      </c>
      <c r="N39" s="2" t="str">
        <f>IF(ISBLANK(C39),"",IF(ISNUMBER(F39)=TRUE,"✔",tulkojums!A$43))</f>
        <v/>
      </c>
      <c r="O39" s="2" t="str">
        <f>IF(ISBLANK(C39),"",IF(G39="Y","✔",IF(G39="X","✔",IF(G39="N","✔",tulkojums!A$44))))</f>
        <v/>
      </c>
      <c r="P39" s="2" t="str">
        <f>IF(ISBLANK(H39),"",IF(INDEX(DB_materiali!$E$2:$E$5000,MATCH($C39,DB_materiali!$A$2:$A$5000,0))&gt;=INDEX(DB_malas!$C$2:$C$5000,MATCH(H39,DB_malas!$A$2:$A$5000,0)),IF(INDEX(DB_materiali!$E$2:$E$5000,MATCH($C39,DB_materiali!$A$2:$A$5000,0))&lt;=INDEX(DB_malas!$D$2:$D$5000,MATCH(H39,DB_malas!$A$2:$A$5000,0)),IF(OR(INDEX(DB_materiali!$B$2:$B$5000,MATCH($C39,DB_materiali!$A$2:$A$5000,0))=INDEX(DB_malas!$B$2:$B$5000,MATCH(H39,DB_malas!$A$2:$A$5000,0)),$H39="ORG"),"✔",tulkojums!$A$38),tulkojums!$A$39),tulkojums!$A$39))</f>
        <v/>
      </c>
      <c r="Q39" s="2" t="str">
        <f>IF(ISBLANK(I39),"",IF(INDEX(DB_materiali!$E$2:$E$5000,MATCH($C39,DB_materiali!$A$2:$A$5000,0))&gt;=INDEX(DB_malas!$C$2:$C$5000,MATCH(I39,DB_malas!$A$2:$A$5000,0)),IF(INDEX(DB_materiali!$E$2:$E$5000,MATCH($C39,DB_materiali!$A$2:$A$5000,0))&lt;=INDEX(DB_malas!$D$2:$D$5000,MATCH(I39,DB_malas!$A$2:$A$5000,0)),IF(OR(INDEX(DB_materiali!$B$2:$B$5000,MATCH($C39,DB_materiali!$A$2:$A$5000,0))=INDEX(DB_malas!$B$2:$B$5000,MATCH(I39,DB_malas!$A$2:$A$5000,0)),$H39="ORG"),"✔",tulkojums!$A$38),tulkojums!$A$39),tulkojums!$A$39))</f>
        <v/>
      </c>
      <c r="R39" s="2" t="str">
        <f>IF(ISBLANK(J39),"",IF(INDEX(DB_materiali!$E$2:$E$5000,MATCH($C39,DB_materiali!$A$2:$A$5000,0))&gt;=INDEX(DB_malas!$C$2:$C$5000,MATCH(J39,DB_malas!$A$2:$A$5000,0)),IF(INDEX(DB_materiali!$E$2:$E$5000,MATCH($C39,DB_materiali!$A$2:$A$5000,0))&lt;=INDEX(DB_malas!$D$2:$D$5000,MATCH(J39,DB_malas!$A$2:$A$5000,0)),IF(INDEX(DB_materiali!$B$2:$B$5000,MATCH($C39,DB_materiali!$A$2:$A$5000,0))=INDEX(DB_malas!$B$2:$B$5000,MATCH(J39,DB_malas!$A$2:$A$5000,0)),"✔",tulkojums!$A$38),tulkojums!$A$39),tulkojums!$A$39))</f>
        <v/>
      </c>
      <c r="S39" s="2" t="str">
        <f>IF(ISBLANK(K39),"",IF(INDEX(DB_materiali!$E$2:$E$5000,MATCH($C39,DB_materiali!$A$2:$A$5000,0))&gt;=INDEX(DB_malas!$C$2:$C$5000,MATCH(K39,DB_malas!$A$2:$A$5000,0)),IF(INDEX(DB_materiali!$E$2:$E$5000,MATCH($C39,DB_materiali!$A$2:$A$5000,0))&lt;=INDEX(DB_malas!$D$2:$D$5000,MATCH(K39,DB_malas!$A$2:$A$5000,0)),IF(INDEX(DB_materiali!$B$2:$B$5000,MATCH($C39,DB_materiali!$A$2:$A$5000,0))=INDEX(DB_malas!$B$2:$B$5000,MATCH(K39,DB_malas!$A$2:$A$5000,0)),"✔",tulkojums!$A$38),tulkojums!$A$39),tulkojums!$A$39))</f>
        <v/>
      </c>
      <c r="T39" s="2"/>
      <c r="U39" s="2"/>
      <c r="V39" s="2"/>
      <c r="W39" s="2"/>
      <c r="X39" s="2"/>
      <c r="Y39" s="2"/>
      <c r="Z39" s="2"/>
    </row>
    <row r="40" spans="1:26" ht="15.75" customHeight="1">
      <c r="A40" s="14"/>
      <c r="B40" s="14"/>
      <c r="C40" s="15"/>
      <c r="D40" s="55"/>
      <c r="E40" s="55"/>
      <c r="F40" s="56"/>
      <c r="G40" s="57" t="str">
        <f>IF(ISBLANK(C40),"",
   IFERROR(
      IF(
         INDEX(DB_materiali!C$2:C$5000,
               MATCH(C40, DB_materiali!A$2:A$5000, 0)
         )="FALSE",
         "N",
         "Y"
      ),
   "")
)</f>
        <v/>
      </c>
      <c r="H40" s="16"/>
      <c r="I40" s="16"/>
      <c r="J40" s="16"/>
      <c r="K40" s="16"/>
      <c r="M40" s="2" t="str">
        <f>IF(ISBLANK(C40),"",IF(IFERROR(VLOOKUP(C40,DB_materiali!$A$2:$A$5000,1,FALSE),"Kļūda artikulā")=C40,"✔",tulkojums!A$42))</f>
        <v/>
      </c>
      <c r="N40" s="2" t="str">
        <f>IF(ISBLANK(C40),"",IF(ISNUMBER(F40)=TRUE,"✔",tulkojums!A$43))</f>
        <v/>
      </c>
      <c r="O40" s="2" t="str">
        <f>IF(ISBLANK(C40),"",IF(G40="Y","✔",IF(G40="X","✔",IF(G40="N","✔",tulkojums!A$44))))</f>
        <v/>
      </c>
      <c r="P40" s="2" t="str">
        <f>IF(ISBLANK(H40),"",IF(INDEX(DB_materiali!$E$2:$E$5000,MATCH($C40,DB_materiali!$A$2:$A$5000,0))&gt;=INDEX(DB_malas!$C$2:$C$5000,MATCH(H40,DB_malas!$A$2:$A$5000,0)),IF(INDEX(DB_materiali!$E$2:$E$5000,MATCH($C40,DB_materiali!$A$2:$A$5000,0))&lt;=INDEX(DB_malas!$D$2:$D$5000,MATCH(H40,DB_malas!$A$2:$A$5000,0)),IF(OR(INDEX(DB_materiali!$B$2:$B$5000,MATCH($C40,DB_materiali!$A$2:$A$5000,0))=INDEX(DB_malas!$B$2:$B$5000,MATCH(H40,DB_malas!$A$2:$A$5000,0)),$H40="ORG"),"✔",tulkojums!$A$38),tulkojums!$A$39),tulkojums!$A$39))</f>
        <v/>
      </c>
      <c r="Q40" s="2" t="str">
        <f>IF(ISBLANK(I40),"",IF(INDEX(DB_materiali!$E$2:$E$5000,MATCH($C40,DB_materiali!$A$2:$A$5000,0))&gt;=INDEX(DB_malas!$C$2:$C$5000,MATCH(I40,DB_malas!$A$2:$A$5000,0)),IF(INDEX(DB_materiali!$E$2:$E$5000,MATCH($C40,DB_materiali!$A$2:$A$5000,0))&lt;=INDEX(DB_malas!$D$2:$D$5000,MATCH(I40,DB_malas!$A$2:$A$5000,0)),IF(OR(INDEX(DB_materiali!$B$2:$B$5000,MATCH($C40,DB_materiali!$A$2:$A$5000,0))=INDEX(DB_malas!$B$2:$B$5000,MATCH(I40,DB_malas!$A$2:$A$5000,0)),$H40="ORG"),"✔",tulkojums!$A$38),tulkojums!$A$39),tulkojums!$A$39))</f>
        <v/>
      </c>
      <c r="R40" s="2" t="str">
        <f>IF(ISBLANK(J40),"",IF(INDEX(DB_materiali!$E$2:$E$5000,MATCH($C40,DB_materiali!$A$2:$A$5000,0))&gt;=INDEX(DB_malas!$C$2:$C$5000,MATCH(J40,DB_malas!$A$2:$A$5000,0)),IF(INDEX(DB_materiali!$E$2:$E$5000,MATCH($C40,DB_materiali!$A$2:$A$5000,0))&lt;=INDEX(DB_malas!$D$2:$D$5000,MATCH(J40,DB_malas!$A$2:$A$5000,0)),IF(INDEX(DB_materiali!$B$2:$B$5000,MATCH($C40,DB_materiali!$A$2:$A$5000,0))=INDEX(DB_malas!$B$2:$B$5000,MATCH(J40,DB_malas!$A$2:$A$5000,0)),"✔",tulkojums!$A$38),tulkojums!$A$39),tulkojums!$A$39))</f>
        <v/>
      </c>
      <c r="S40" s="2" t="str">
        <f>IF(ISBLANK(K40),"",IF(INDEX(DB_materiali!$E$2:$E$5000,MATCH($C40,DB_materiali!$A$2:$A$5000,0))&gt;=INDEX(DB_malas!$C$2:$C$5000,MATCH(K40,DB_malas!$A$2:$A$5000,0)),IF(INDEX(DB_materiali!$E$2:$E$5000,MATCH($C40,DB_materiali!$A$2:$A$5000,0))&lt;=INDEX(DB_malas!$D$2:$D$5000,MATCH(K40,DB_malas!$A$2:$A$5000,0)),IF(INDEX(DB_materiali!$B$2:$B$5000,MATCH($C40,DB_materiali!$A$2:$A$5000,0))=INDEX(DB_malas!$B$2:$B$5000,MATCH(K40,DB_malas!$A$2:$A$5000,0)),"✔",tulkojums!$A$38),tulkojums!$A$39),tulkojums!$A$39))</f>
        <v/>
      </c>
      <c r="T40" s="2"/>
      <c r="U40" s="2"/>
      <c r="V40" s="2"/>
      <c r="W40" s="2"/>
      <c r="X40" s="2"/>
      <c r="Y40" s="2"/>
      <c r="Z40" s="2"/>
    </row>
    <row r="41" spans="1:26" ht="15.75" customHeight="1">
      <c r="A41" s="14"/>
      <c r="B41" s="14"/>
      <c r="C41" s="15"/>
      <c r="D41" s="55"/>
      <c r="E41" s="55"/>
      <c r="F41" s="56"/>
      <c r="G41" s="57" t="str">
        <f>IF(ISBLANK(C41),"",
   IFERROR(
      IF(
         INDEX(DB_materiali!C$2:C$5000,
               MATCH(C41, DB_materiali!A$2:A$5000, 0)
         )="FALSE",
         "N",
         "Y"
      ),
   "")
)</f>
        <v/>
      </c>
      <c r="H41" s="16"/>
      <c r="I41" s="16"/>
      <c r="J41" s="16"/>
      <c r="K41" s="16"/>
      <c r="M41" s="2" t="str">
        <f>IF(ISBLANK(C41),"",IF(IFERROR(VLOOKUP(C41,DB_materiali!$A$2:$A$5000,1,FALSE),"Kļūda artikulā")=C41,"✔",tulkojums!A$42))</f>
        <v/>
      </c>
      <c r="N41" s="2" t="str">
        <f>IF(ISBLANK(C41),"",IF(ISNUMBER(F41)=TRUE,"✔",tulkojums!A$43))</f>
        <v/>
      </c>
      <c r="O41" s="2" t="str">
        <f>IF(ISBLANK(C41),"",IF(G41="Y","✔",IF(G41="X","✔",IF(G41="N","✔",tulkojums!A$44))))</f>
        <v/>
      </c>
      <c r="P41" s="2" t="str">
        <f>IF(ISBLANK(H41),"",IF(INDEX(DB_materiali!$E$2:$E$5000,MATCH($C41,DB_materiali!$A$2:$A$5000,0))&gt;=INDEX(DB_malas!$C$2:$C$5000,MATCH(H41,DB_malas!$A$2:$A$5000,0)),IF(INDEX(DB_materiali!$E$2:$E$5000,MATCH($C41,DB_materiali!$A$2:$A$5000,0))&lt;=INDEX(DB_malas!$D$2:$D$5000,MATCH(H41,DB_malas!$A$2:$A$5000,0)),IF(OR(INDEX(DB_materiali!$B$2:$B$5000,MATCH($C41,DB_materiali!$A$2:$A$5000,0))=INDEX(DB_malas!$B$2:$B$5000,MATCH(H41,DB_malas!$A$2:$A$5000,0)),$H41="ORG"),"✔",tulkojums!$A$38),tulkojums!$A$39),tulkojums!$A$39))</f>
        <v/>
      </c>
      <c r="Q41" s="2" t="str">
        <f>IF(ISBLANK(I41),"",IF(INDEX(DB_materiali!$E$2:$E$5000,MATCH($C41,DB_materiali!$A$2:$A$5000,0))&gt;=INDEX(DB_malas!$C$2:$C$5000,MATCH(I41,DB_malas!$A$2:$A$5000,0)),IF(INDEX(DB_materiali!$E$2:$E$5000,MATCH($C41,DB_materiali!$A$2:$A$5000,0))&lt;=INDEX(DB_malas!$D$2:$D$5000,MATCH(I41,DB_malas!$A$2:$A$5000,0)),IF(OR(INDEX(DB_materiali!$B$2:$B$5000,MATCH($C41,DB_materiali!$A$2:$A$5000,0))=INDEX(DB_malas!$B$2:$B$5000,MATCH(I41,DB_malas!$A$2:$A$5000,0)),$H41="ORG"),"✔",tulkojums!$A$38),tulkojums!$A$39),tulkojums!$A$39))</f>
        <v/>
      </c>
      <c r="R41" s="2" t="str">
        <f>IF(ISBLANK(J41),"",IF(INDEX(DB_materiali!$E$2:$E$5000,MATCH($C41,DB_materiali!$A$2:$A$5000,0))&gt;=INDEX(DB_malas!$C$2:$C$5000,MATCH(J41,DB_malas!$A$2:$A$5000,0)),IF(INDEX(DB_materiali!$E$2:$E$5000,MATCH($C41,DB_materiali!$A$2:$A$5000,0))&lt;=INDEX(DB_malas!$D$2:$D$5000,MATCH(J41,DB_malas!$A$2:$A$5000,0)),IF(INDEX(DB_materiali!$B$2:$B$5000,MATCH($C41,DB_materiali!$A$2:$A$5000,0))=INDEX(DB_malas!$B$2:$B$5000,MATCH(J41,DB_malas!$A$2:$A$5000,0)),"✔",tulkojums!$A$38),tulkojums!$A$39),tulkojums!$A$39))</f>
        <v/>
      </c>
      <c r="S41" s="2" t="str">
        <f>IF(ISBLANK(K41),"",IF(INDEX(DB_materiali!$E$2:$E$5000,MATCH($C41,DB_materiali!$A$2:$A$5000,0))&gt;=INDEX(DB_malas!$C$2:$C$5000,MATCH(K41,DB_malas!$A$2:$A$5000,0)),IF(INDEX(DB_materiali!$E$2:$E$5000,MATCH($C41,DB_materiali!$A$2:$A$5000,0))&lt;=INDEX(DB_malas!$D$2:$D$5000,MATCH(K41,DB_malas!$A$2:$A$5000,0)),IF(INDEX(DB_materiali!$B$2:$B$5000,MATCH($C41,DB_materiali!$A$2:$A$5000,0))=INDEX(DB_malas!$B$2:$B$5000,MATCH(K41,DB_malas!$A$2:$A$5000,0)),"✔",tulkojums!$A$38),tulkojums!$A$39),tulkojums!$A$39))</f>
        <v/>
      </c>
      <c r="T41" s="2"/>
      <c r="U41" s="2"/>
      <c r="V41" s="2"/>
      <c r="W41" s="2"/>
      <c r="X41" s="2"/>
      <c r="Y41" s="2"/>
      <c r="Z41" s="2"/>
    </row>
    <row r="42" spans="1:26" ht="15.75" customHeight="1">
      <c r="A42" s="14"/>
      <c r="B42" s="14"/>
      <c r="C42" s="15"/>
      <c r="D42" s="55"/>
      <c r="E42" s="55"/>
      <c r="F42" s="56"/>
      <c r="G42" s="57" t="str">
        <f>IF(ISBLANK(C42),"",
   IFERROR(
      IF(
         INDEX(DB_materiali!C$2:C$5000,
               MATCH(C42, DB_materiali!A$2:A$5000, 0)
         )="FALSE",
         "N",
         "Y"
      ),
   "")
)</f>
        <v/>
      </c>
      <c r="H42" s="16"/>
      <c r="I42" s="16"/>
      <c r="J42" s="16"/>
      <c r="K42" s="16"/>
      <c r="M42" s="2" t="str">
        <f>IF(ISBLANK(C42),"",IF(IFERROR(VLOOKUP(C42,DB_materiali!$A$2:$A$5000,1,FALSE),"Kļūda artikulā")=C42,"✔",tulkojums!A$42))</f>
        <v/>
      </c>
      <c r="N42" s="2" t="str">
        <f>IF(ISBLANK(C42),"",IF(ISNUMBER(F42)=TRUE,"✔",tulkojums!A$43))</f>
        <v/>
      </c>
      <c r="O42" s="2" t="str">
        <f>IF(ISBLANK(C42),"",IF(G42="Y","✔",IF(G42="X","✔",IF(G42="N","✔",tulkojums!A$44))))</f>
        <v/>
      </c>
      <c r="P42" s="2" t="str">
        <f>IF(ISBLANK(H42),"",IF(INDEX(DB_materiali!$E$2:$E$5000,MATCH($C42,DB_materiali!$A$2:$A$5000,0))&gt;=INDEX(DB_malas!$C$2:$C$5000,MATCH(H42,DB_malas!$A$2:$A$5000,0)),IF(INDEX(DB_materiali!$E$2:$E$5000,MATCH($C42,DB_materiali!$A$2:$A$5000,0))&lt;=INDEX(DB_malas!$D$2:$D$5000,MATCH(H42,DB_malas!$A$2:$A$5000,0)),IF(OR(INDEX(DB_materiali!$B$2:$B$5000,MATCH($C42,DB_materiali!$A$2:$A$5000,0))=INDEX(DB_malas!$B$2:$B$5000,MATCH(H42,DB_malas!$A$2:$A$5000,0)),$H42="ORG"),"✔",tulkojums!$A$38),tulkojums!$A$39),tulkojums!$A$39))</f>
        <v/>
      </c>
      <c r="Q42" s="2" t="str">
        <f>IF(ISBLANK(I42),"",IF(INDEX(DB_materiali!$E$2:$E$5000,MATCH($C42,DB_materiali!$A$2:$A$5000,0))&gt;=INDEX(DB_malas!$C$2:$C$5000,MATCH(I42,DB_malas!$A$2:$A$5000,0)),IF(INDEX(DB_materiali!$E$2:$E$5000,MATCH($C42,DB_materiali!$A$2:$A$5000,0))&lt;=INDEX(DB_malas!$D$2:$D$5000,MATCH(I42,DB_malas!$A$2:$A$5000,0)),IF(OR(INDEX(DB_materiali!$B$2:$B$5000,MATCH($C42,DB_materiali!$A$2:$A$5000,0))=INDEX(DB_malas!$B$2:$B$5000,MATCH(I42,DB_malas!$A$2:$A$5000,0)),$H42="ORG"),"✔",tulkojums!$A$38),tulkojums!$A$39),tulkojums!$A$39))</f>
        <v/>
      </c>
      <c r="R42" s="2" t="str">
        <f>IF(ISBLANK(J42),"",IF(INDEX(DB_materiali!$E$2:$E$5000,MATCH($C42,DB_materiali!$A$2:$A$5000,0))&gt;=INDEX(DB_malas!$C$2:$C$5000,MATCH(J42,DB_malas!$A$2:$A$5000,0)),IF(INDEX(DB_materiali!$E$2:$E$5000,MATCH($C42,DB_materiali!$A$2:$A$5000,0))&lt;=INDEX(DB_malas!$D$2:$D$5000,MATCH(J42,DB_malas!$A$2:$A$5000,0)),IF(INDEX(DB_materiali!$B$2:$B$5000,MATCH($C42,DB_materiali!$A$2:$A$5000,0))=INDEX(DB_malas!$B$2:$B$5000,MATCH(J42,DB_malas!$A$2:$A$5000,0)),"✔",tulkojums!$A$38),tulkojums!$A$39),tulkojums!$A$39))</f>
        <v/>
      </c>
      <c r="S42" s="2" t="str">
        <f>IF(ISBLANK(K42),"",IF(INDEX(DB_materiali!$E$2:$E$5000,MATCH($C42,DB_materiali!$A$2:$A$5000,0))&gt;=INDEX(DB_malas!$C$2:$C$5000,MATCH(K42,DB_malas!$A$2:$A$5000,0)),IF(INDEX(DB_materiali!$E$2:$E$5000,MATCH($C42,DB_materiali!$A$2:$A$5000,0))&lt;=INDEX(DB_malas!$D$2:$D$5000,MATCH(K42,DB_malas!$A$2:$A$5000,0)),IF(INDEX(DB_materiali!$B$2:$B$5000,MATCH($C42,DB_materiali!$A$2:$A$5000,0))=INDEX(DB_malas!$B$2:$B$5000,MATCH(K42,DB_malas!$A$2:$A$5000,0)),"✔",tulkojums!$A$38),tulkojums!$A$39),tulkojums!$A$39))</f>
        <v/>
      </c>
      <c r="T42" s="2"/>
      <c r="U42" s="2"/>
      <c r="V42" s="2"/>
      <c r="W42" s="2"/>
      <c r="X42" s="2"/>
      <c r="Y42" s="2"/>
      <c r="Z42" s="2"/>
    </row>
    <row r="43" spans="1:26" ht="15.75" customHeight="1">
      <c r="A43" s="14"/>
      <c r="B43" s="14"/>
      <c r="C43" s="15"/>
      <c r="D43" s="55"/>
      <c r="E43" s="55"/>
      <c r="F43" s="56"/>
      <c r="G43" s="57" t="str">
        <f>IF(ISBLANK(C43),"",
   IFERROR(
      IF(
         INDEX(DB_materiali!C$2:C$5000,
               MATCH(C43, DB_materiali!A$2:A$5000, 0)
         )="FALSE",
         "N",
         "Y"
      ),
   "")
)</f>
        <v/>
      </c>
      <c r="H43" s="16"/>
      <c r="I43" s="16"/>
      <c r="J43" s="16"/>
      <c r="K43" s="16"/>
      <c r="M43" s="2" t="str">
        <f>IF(ISBLANK(C43),"",IF(IFERROR(VLOOKUP(C43,DB_materiali!$A$2:$A$5000,1,FALSE),"Kļūda artikulā")=C43,"✔",tulkojums!A$42))</f>
        <v/>
      </c>
      <c r="N43" s="2" t="str">
        <f>IF(ISBLANK(C43),"",IF(ISNUMBER(F43)=TRUE,"✔",tulkojums!A$43))</f>
        <v/>
      </c>
      <c r="O43" s="2" t="str">
        <f>IF(ISBLANK(C43),"",IF(G43="Y","✔",IF(G43="X","✔",IF(G43="N","✔",tulkojums!A$44))))</f>
        <v/>
      </c>
      <c r="P43" s="2" t="str">
        <f>IF(ISBLANK(H43),"",IF(INDEX(DB_materiali!$E$2:$E$5000,MATCH($C43,DB_materiali!$A$2:$A$5000,0))&gt;=INDEX(DB_malas!$C$2:$C$5000,MATCH(H43,DB_malas!$A$2:$A$5000,0)),IF(INDEX(DB_materiali!$E$2:$E$5000,MATCH($C43,DB_materiali!$A$2:$A$5000,0))&lt;=INDEX(DB_malas!$D$2:$D$5000,MATCH(H43,DB_malas!$A$2:$A$5000,0)),IF(OR(INDEX(DB_materiali!$B$2:$B$5000,MATCH($C43,DB_materiali!$A$2:$A$5000,0))=INDEX(DB_malas!$B$2:$B$5000,MATCH(H43,DB_malas!$A$2:$A$5000,0)),$H43="ORG"),"✔",tulkojums!$A$38),tulkojums!$A$39),tulkojums!$A$39))</f>
        <v/>
      </c>
      <c r="Q43" s="2" t="str">
        <f>IF(ISBLANK(I43),"",IF(INDEX(DB_materiali!$E$2:$E$5000,MATCH($C43,DB_materiali!$A$2:$A$5000,0))&gt;=INDEX(DB_malas!$C$2:$C$5000,MATCH(I43,DB_malas!$A$2:$A$5000,0)),IF(INDEX(DB_materiali!$E$2:$E$5000,MATCH($C43,DB_materiali!$A$2:$A$5000,0))&lt;=INDEX(DB_malas!$D$2:$D$5000,MATCH(I43,DB_malas!$A$2:$A$5000,0)),IF(OR(INDEX(DB_materiali!$B$2:$B$5000,MATCH($C43,DB_materiali!$A$2:$A$5000,0))=INDEX(DB_malas!$B$2:$B$5000,MATCH(I43,DB_malas!$A$2:$A$5000,0)),$H43="ORG"),"✔",tulkojums!$A$38),tulkojums!$A$39),tulkojums!$A$39))</f>
        <v/>
      </c>
      <c r="R43" s="2" t="str">
        <f>IF(ISBLANK(J43),"",IF(INDEX(DB_materiali!$E$2:$E$5000,MATCH($C43,DB_materiali!$A$2:$A$5000,0))&gt;=INDEX(DB_malas!$C$2:$C$5000,MATCH(J43,DB_malas!$A$2:$A$5000,0)),IF(INDEX(DB_materiali!$E$2:$E$5000,MATCH($C43,DB_materiali!$A$2:$A$5000,0))&lt;=INDEX(DB_malas!$D$2:$D$5000,MATCH(J43,DB_malas!$A$2:$A$5000,0)),IF(INDEX(DB_materiali!$B$2:$B$5000,MATCH($C43,DB_materiali!$A$2:$A$5000,0))=INDEX(DB_malas!$B$2:$B$5000,MATCH(J43,DB_malas!$A$2:$A$5000,0)),"✔",tulkojums!$A$38),tulkojums!$A$39),tulkojums!$A$39))</f>
        <v/>
      </c>
      <c r="S43" s="2" t="str">
        <f>IF(ISBLANK(K43),"",IF(INDEX(DB_materiali!$E$2:$E$5000,MATCH($C43,DB_materiali!$A$2:$A$5000,0))&gt;=INDEX(DB_malas!$C$2:$C$5000,MATCH(K43,DB_malas!$A$2:$A$5000,0)),IF(INDEX(DB_materiali!$E$2:$E$5000,MATCH($C43,DB_materiali!$A$2:$A$5000,0))&lt;=INDEX(DB_malas!$D$2:$D$5000,MATCH(K43,DB_malas!$A$2:$A$5000,0)),IF(INDEX(DB_materiali!$B$2:$B$5000,MATCH($C43,DB_materiali!$A$2:$A$5000,0))=INDEX(DB_malas!$B$2:$B$5000,MATCH(K43,DB_malas!$A$2:$A$5000,0)),"✔",tulkojums!$A$38),tulkojums!$A$39),tulkojums!$A$39))</f>
        <v/>
      </c>
      <c r="T43" s="2"/>
      <c r="U43" s="2"/>
      <c r="V43" s="2"/>
      <c r="W43" s="2"/>
      <c r="X43" s="2"/>
      <c r="Y43" s="2"/>
      <c r="Z43" s="2"/>
    </row>
    <row r="44" spans="1:26" ht="15.75" customHeight="1">
      <c r="A44" s="14"/>
      <c r="B44" s="14"/>
      <c r="C44" s="15"/>
      <c r="D44" s="55"/>
      <c r="E44" s="55"/>
      <c r="F44" s="56"/>
      <c r="G44" s="57" t="str">
        <f>IF(ISBLANK(C44),"",
   IFERROR(
      IF(
         INDEX(DB_materiali!C$2:C$5000,
               MATCH(C44, DB_materiali!A$2:A$5000, 0)
         )="FALSE",
         "N",
         "Y"
      ),
   "")
)</f>
        <v/>
      </c>
      <c r="H44" s="16"/>
      <c r="I44" s="16"/>
      <c r="J44" s="16"/>
      <c r="K44" s="16"/>
      <c r="M44" s="2" t="str">
        <f>IF(ISBLANK(C44),"",IF(IFERROR(VLOOKUP(C44,DB_materiali!$A$2:$A$5000,1,FALSE),"Kļūda artikulā")=C44,"✔",tulkojums!A$42))</f>
        <v/>
      </c>
      <c r="N44" s="2" t="str">
        <f>IF(ISBLANK(C44),"",IF(ISNUMBER(F44)=TRUE,"✔",tulkojums!A$43))</f>
        <v/>
      </c>
      <c r="O44" s="2" t="str">
        <f>IF(ISBLANK(C44),"",IF(G44="Y","✔",IF(G44="X","✔",IF(G44="N","✔",tulkojums!A$44))))</f>
        <v/>
      </c>
      <c r="P44" s="2" t="str">
        <f>IF(ISBLANK(H44),"",IF(INDEX(DB_materiali!$E$2:$E$5000,MATCH($C44,DB_materiali!$A$2:$A$5000,0))&gt;=INDEX(DB_malas!$C$2:$C$5000,MATCH(H44,DB_malas!$A$2:$A$5000,0)),IF(INDEX(DB_materiali!$E$2:$E$5000,MATCH($C44,DB_materiali!$A$2:$A$5000,0))&lt;=INDEX(DB_malas!$D$2:$D$5000,MATCH(H44,DB_malas!$A$2:$A$5000,0)),IF(OR(INDEX(DB_materiali!$B$2:$B$5000,MATCH($C44,DB_materiali!$A$2:$A$5000,0))=INDEX(DB_malas!$B$2:$B$5000,MATCH(H44,DB_malas!$A$2:$A$5000,0)),$H44="ORG"),"✔",tulkojums!$A$38),tulkojums!$A$39),tulkojums!$A$39))</f>
        <v/>
      </c>
      <c r="Q44" s="2" t="str">
        <f>IF(ISBLANK(I44),"",IF(INDEX(DB_materiali!$E$2:$E$5000,MATCH($C44,DB_materiali!$A$2:$A$5000,0))&gt;=INDEX(DB_malas!$C$2:$C$5000,MATCH(I44,DB_malas!$A$2:$A$5000,0)),IF(INDEX(DB_materiali!$E$2:$E$5000,MATCH($C44,DB_materiali!$A$2:$A$5000,0))&lt;=INDEX(DB_malas!$D$2:$D$5000,MATCH(I44,DB_malas!$A$2:$A$5000,0)),IF(OR(INDEX(DB_materiali!$B$2:$B$5000,MATCH($C44,DB_materiali!$A$2:$A$5000,0))=INDEX(DB_malas!$B$2:$B$5000,MATCH(I44,DB_malas!$A$2:$A$5000,0)),$H44="ORG"),"✔",tulkojums!$A$38),tulkojums!$A$39),tulkojums!$A$39))</f>
        <v/>
      </c>
      <c r="R44" s="2" t="str">
        <f>IF(ISBLANK(J44),"",IF(INDEX(DB_materiali!$E$2:$E$5000,MATCH($C44,DB_materiali!$A$2:$A$5000,0))&gt;=INDEX(DB_malas!$C$2:$C$5000,MATCH(J44,DB_malas!$A$2:$A$5000,0)),IF(INDEX(DB_materiali!$E$2:$E$5000,MATCH($C44,DB_materiali!$A$2:$A$5000,0))&lt;=INDEX(DB_malas!$D$2:$D$5000,MATCH(J44,DB_malas!$A$2:$A$5000,0)),IF(INDEX(DB_materiali!$B$2:$B$5000,MATCH($C44,DB_materiali!$A$2:$A$5000,0))=INDEX(DB_malas!$B$2:$B$5000,MATCH(J44,DB_malas!$A$2:$A$5000,0)),"✔",tulkojums!$A$38),tulkojums!$A$39),tulkojums!$A$39))</f>
        <v/>
      </c>
      <c r="S44" s="2" t="str">
        <f>IF(ISBLANK(K44),"",IF(INDEX(DB_materiali!$E$2:$E$5000,MATCH($C44,DB_materiali!$A$2:$A$5000,0))&gt;=INDEX(DB_malas!$C$2:$C$5000,MATCH(K44,DB_malas!$A$2:$A$5000,0)),IF(INDEX(DB_materiali!$E$2:$E$5000,MATCH($C44,DB_materiali!$A$2:$A$5000,0))&lt;=INDEX(DB_malas!$D$2:$D$5000,MATCH(K44,DB_malas!$A$2:$A$5000,0)),IF(INDEX(DB_materiali!$B$2:$B$5000,MATCH($C44,DB_materiali!$A$2:$A$5000,0))=INDEX(DB_malas!$B$2:$B$5000,MATCH(K44,DB_malas!$A$2:$A$5000,0)),"✔",tulkojums!$A$38),tulkojums!$A$39),tulkojums!$A$39))</f>
        <v/>
      </c>
      <c r="T44" s="2"/>
      <c r="U44" s="2"/>
      <c r="V44" s="2"/>
      <c r="W44" s="2"/>
      <c r="X44" s="2"/>
      <c r="Y44" s="2"/>
      <c r="Z44" s="2"/>
    </row>
    <row r="45" spans="1:26" ht="15.75" customHeight="1">
      <c r="A45" s="14"/>
      <c r="B45" s="14"/>
      <c r="C45" s="15"/>
      <c r="D45" s="55"/>
      <c r="E45" s="55"/>
      <c r="F45" s="56"/>
      <c r="G45" s="57" t="str">
        <f>IF(ISBLANK(C45),"",
   IFERROR(
      IF(
         INDEX(DB_materiali!C$2:C$5000,
               MATCH(C45, DB_materiali!A$2:A$5000, 0)
         )="FALSE",
         "N",
         "Y"
      ),
   "")
)</f>
        <v/>
      </c>
      <c r="H45" s="16"/>
      <c r="I45" s="16"/>
      <c r="J45" s="16"/>
      <c r="K45" s="16"/>
      <c r="M45" s="2" t="str">
        <f>IF(ISBLANK(C45),"",IF(IFERROR(VLOOKUP(C45,DB_materiali!$A$2:$A$5000,1,FALSE),"Kļūda artikulā")=C45,"✔",tulkojums!A$42))</f>
        <v/>
      </c>
      <c r="N45" s="2" t="str">
        <f>IF(ISBLANK(C45),"",IF(ISNUMBER(F45)=TRUE,"✔",tulkojums!A$43))</f>
        <v/>
      </c>
      <c r="O45" s="2" t="str">
        <f>IF(ISBLANK(C45),"",IF(G45="Y","✔",IF(G45="X","✔",IF(G45="N","✔",tulkojums!A$44))))</f>
        <v/>
      </c>
      <c r="P45" s="2" t="str">
        <f>IF(ISBLANK(H45),"",IF(INDEX(DB_materiali!$E$2:$E$5000,MATCH($C45,DB_materiali!$A$2:$A$5000,0))&gt;=INDEX(DB_malas!$C$2:$C$5000,MATCH(H45,DB_malas!$A$2:$A$5000,0)),IF(INDEX(DB_materiali!$E$2:$E$5000,MATCH($C45,DB_materiali!$A$2:$A$5000,0))&lt;=INDEX(DB_malas!$D$2:$D$5000,MATCH(H45,DB_malas!$A$2:$A$5000,0)),IF(OR(INDEX(DB_materiali!$B$2:$B$5000,MATCH($C45,DB_materiali!$A$2:$A$5000,0))=INDEX(DB_malas!$B$2:$B$5000,MATCH(H45,DB_malas!$A$2:$A$5000,0)),$H45="ORG"),"✔",tulkojums!$A$38),tulkojums!$A$39),tulkojums!$A$39))</f>
        <v/>
      </c>
      <c r="Q45" s="2" t="str">
        <f>IF(ISBLANK(I45),"",IF(INDEX(DB_materiali!$E$2:$E$5000,MATCH($C45,DB_materiali!$A$2:$A$5000,0))&gt;=INDEX(DB_malas!$C$2:$C$5000,MATCH(I45,DB_malas!$A$2:$A$5000,0)),IF(INDEX(DB_materiali!$E$2:$E$5000,MATCH($C45,DB_materiali!$A$2:$A$5000,0))&lt;=INDEX(DB_malas!$D$2:$D$5000,MATCH(I45,DB_malas!$A$2:$A$5000,0)),IF(OR(INDEX(DB_materiali!$B$2:$B$5000,MATCH($C45,DB_materiali!$A$2:$A$5000,0))=INDEX(DB_malas!$B$2:$B$5000,MATCH(I45,DB_malas!$A$2:$A$5000,0)),$H45="ORG"),"✔",tulkojums!$A$38),tulkojums!$A$39),tulkojums!$A$39))</f>
        <v/>
      </c>
      <c r="R45" s="2" t="str">
        <f>IF(ISBLANK(J45),"",IF(INDEX(DB_materiali!$E$2:$E$5000,MATCH($C45,DB_materiali!$A$2:$A$5000,0))&gt;=INDEX(DB_malas!$C$2:$C$5000,MATCH(J45,DB_malas!$A$2:$A$5000,0)),IF(INDEX(DB_materiali!$E$2:$E$5000,MATCH($C45,DB_materiali!$A$2:$A$5000,0))&lt;=INDEX(DB_malas!$D$2:$D$5000,MATCH(J45,DB_malas!$A$2:$A$5000,0)),IF(INDEX(DB_materiali!$B$2:$B$5000,MATCH($C45,DB_materiali!$A$2:$A$5000,0))=INDEX(DB_malas!$B$2:$B$5000,MATCH(J45,DB_malas!$A$2:$A$5000,0)),"✔",tulkojums!$A$38),tulkojums!$A$39),tulkojums!$A$39))</f>
        <v/>
      </c>
      <c r="S45" s="2" t="str">
        <f>IF(ISBLANK(K45),"",IF(INDEX(DB_materiali!$E$2:$E$5000,MATCH($C45,DB_materiali!$A$2:$A$5000,0))&gt;=INDEX(DB_malas!$C$2:$C$5000,MATCH(K45,DB_malas!$A$2:$A$5000,0)),IF(INDEX(DB_materiali!$E$2:$E$5000,MATCH($C45,DB_materiali!$A$2:$A$5000,0))&lt;=INDEX(DB_malas!$D$2:$D$5000,MATCH(K45,DB_malas!$A$2:$A$5000,0)),IF(INDEX(DB_materiali!$B$2:$B$5000,MATCH($C45,DB_materiali!$A$2:$A$5000,0))=INDEX(DB_malas!$B$2:$B$5000,MATCH(K45,DB_malas!$A$2:$A$5000,0)),"✔",tulkojums!$A$38),tulkojums!$A$39),tulkojums!$A$39))</f>
        <v/>
      </c>
      <c r="T45" s="2"/>
      <c r="U45" s="2"/>
      <c r="V45" s="2"/>
      <c r="W45" s="2"/>
      <c r="X45" s="2"/>
      <c r="Y45" s="2"/>
      <c r="Z45" s="2"/>
    </row>
    <row r="46" spans="1:26" ht="15.75" customHeight="1">
      <c r="A46" s="14"/>
      <c r="B46" s="14"/>
      <c r="C46" s="15"/>
      <c r="D46" s="55"/>
      <c r="E46" s="55"/>
      <c r="F46" s="56"/>
      <c r="G46" s="57" t="str">
        <f>IF(ISBLANK(C46),"",
   IFERROR(
      IF(
         INDEX(DB_materiali!C$2:C$5000,
               MATCH(C46, DB_materiali!A$2:A$5000, 0)
         )="FALSE",
         "N",
         "Y"
      ),
   "")
)</f>
        <v/>
      </c>
      <c r="H46" s="16"/>
      <c r="I46" s="16"/>
      <c r="J46" s="16"/>
      <c r="K46" s="16"/>
      <c r="M46" s="2" t="str">
        <f>IF(ISBLANK(C46),"",IF(IFERROR(VLOOKUP(C46,DB_materiali!$A$2:$A$5000,1,FALSE),"Kļūda artikulā")=C46,"✔",tulkojums!A$42))</f>
        <v/>
      </c>
      <c r="N46" s="2" t="str">
        <f>IF(ISBLANK(C46),"",IF(ISNUMBER(F46)=TRUE,"✔",tulkojums!A$43))</f>
        <v/>
      </c>
      <c r="O46" s="2" t="str">
        <f>IF(ISBLANK(C46),"",IF(G46="Y","✔",IF(G46="X","✔",IF(G46="N","✔",tulkojums!A$44))))</f>
        <v/>
      </c>
      <c r="P46" s="2" t="str">
        <f>IF(ISBLANK(H46),"",IF(INDEX(DB_materiali!$E$2:$E$5000,MATCH($C46,DB_materiali!$A$2:$A$5000,0))&gt;=INDEX(DB_malas!$C$2:$C$5000,MATCH(H46,DB_malas!$A$2:$A$5000,0)),IF(INDEX(DB_materiali!$E$2:$E$5000,MATCH($C46,DB_materiali!$A$2:$A$5000,0))&lt;=INDEX(DB_malas!$D$2:$D$5000,MATCH(H46,DB_malas!$A$2:$A$5000,0)),IF(OR(INDEX(DB_materiali!$B$2:$B$5000,MATCH($C46,DB_materiali!$A$2:$A$5000,0))=INDEX(DB_malas!$B$2:$B$5000,MATCH(H46,DB_malas!$A$2:$A$5000,0)),$H46="ORG"),"✔",tulkojums!$A$38),tulkojums!$A$39),tulkojums!$A$39))</f>
        <v/>
      </c>
      <c r="Q46" s="2" t="str">
        <f>IF(ISBLANK(I46),"",IF(INDEX(DB_materiali!$E$2:$E$5000,MATCH($C46,DB_materiali!$A$2:$A$5000,0))&gt;=INDEX(DB_malas!$C$2:$C$5000,MATCH(I46,DB_malas!$A$2:$A$5000,0)),IF(INDEX(DB_materiali!$E$2:$E$5000,MATCH($C46,DB_materiali!$A$2:$A$5000,0))&lt;=INDEX(DB_malas!$D$2:$D$5000,MATCH(I46,DB_malas!$A$2:$A$5000,0)),IF(OR(INDEX(DB_materiali!$B$2:$B$5000,MATCH($C46,DB_materiali!$A$2:$A$5000,0))=INDEX(DB_malas!$B$2:$B$5000,MATCH(I46,DB_malas!$A$2:$A$5000,0)),$H46="ORG"),"✔",tulkojums!$A$38),tulkojums!$A$39),tulkojums!$A$39))</f>
        <v/>
      </c>
      <c r="R46" s="2" t="str">
        <f>IF(ISBLANK(J46),"",IF(INDEX(DB_materiali!$E$2:$E$5000,MATCH($C46,DB_materiali!$A$2:$A$5000,0))&gt;=INDEX(DB_malas!$C$2:$C$5000,MATCH(J46,DB_malas!$A$2:$A$5000,0)),IF(INDEX(DB_materiali!$E$2:$E$5000,MATCH($C46,DB_materiali!$A$2:$A$5000,0))&lt;=INDEX(DB_malas!$D$2:$D$5000,MATCH(J46,DB_malas!$A$2:$A$5000,0)),IF(INDEX(DB_materiali!$B$2:$B$5000,MATCH($C46,DB_materiali!$A$2:$A$5000,0))=INDEX(DB_malas!$B$2:$B$5000,MATCH(J46,DB_malas!$A$2:$A$5000,0)),"✔",tulkojums!$A$38),tulkojums!$A$39),tulkojums!$A$39))</f>
        <v/>
      </c>
      <c r="S46" s="2" t="str">
        <f>IF(ISBLANK(K46),"",IF(INDEX(DB_materiali!$E$2:$E$5000,MATCH($C46,DB_materiali!$A$2:$A$5000,0))&gt;=INDEX(DB_malas!$C$2:$C$5000,MATCH(K46,DB_malas!$A$2:$A$5000,0)),IF(INDEX(DB_materiali!$E$2:$E$5000,MATCH($C46,DB_materiali!$A$2:$A$5000,0))&lt;=INDEX(DB_malas!$D$2:$D$5000,MATCH(K46,DB_malas!$A$2:$A$5000,0)),IF(INDEX(DB_materiali!$B$2:$B$5000,MATCH($C46,DB_materiali!$A$2:$A$5000,0))=INDEX(DB_malas!$B$2:$B$5000,MATCH(K46,DB_malas!$A$2:$A$5000,0)),"✔",tulkojums!$A$38),tulkojums!$A$39),tulkojums!$A$39))</f>
        <v/>
      </c>
      <c r="T46" s="2"/>
      <c r="U46" s="2"/>
      <c r="V46" s="2"/>
      <c r="W46" s="2"/>
      <c r="X46" s="2"/>
      <c r="Y46" s="2"/>
      <c r="Z46" s="2"/>
    </row>
    <row r="47" spans="1:26" ht="15.75" customHeight="1">
      <c r="A47" s="14"/>
      <c r="B47" s="14"/>
      <c r="C47" s="15"/>
      <c r="D47" s="55"/>
      <c r="E47" s="55"/>
      <c r="F47" s="56"/>
      <c r="G47" s="57" t="str">
        <f>IF(ISBLANK(C47),"",
   IFERROR(
      IF(
         INDEX(DB_materiali!C$2:C$5000,
               MATCH(C47, DB_materiali!A$2:A$5000, 0)
         )="FALSE",
         "N",
         "Y"
      ),
   "")
)</f>
        <v/>
      </c>
      <c r="H47" s="16"/>
      <c r="I47" s="16"/>
      <c r="J47" s="16"/>
      <c r="K47" s="16"/>
      <c r="M47" s="2" t="str">
        <f>IF(ISBLANK(C47),"",IF(IFERROR(VLOOKUP(C47,DB_materiali!$A$2:$A$5000,1,FALSE),"Kļūda artikulā")=C47,"✔",tulkojums!A$42))</f>
        <v/>
      </c>
      <c r="N47" s="2" t="str">
        <f>IF(ISBLANK(C47),"",IF(ISNUMBER(F47)=TRUE,"✔",tulkojums!A$43))</f>
        <v/>
      </c>
      <c r="O47" s="2" t="str">
        <f>IF(ISBLANK(C47),"",IF(G47="Y","✔",IF(G47="X","✔",IF(G47="N","✔",tulkojums!A$44))))</f>
        <v/>
      </c>
      <c r="P47" s="2" t="str">
        <f>IF(ISBLANK(H47),"",IF(INDEX(DB_materiali!$E$2:$E$5000,MATCH($C47,DB_materiali!$A$2:$A$5000,0))&gt;=INDEX(DB_malas!$C$2:$C$5000,MATCH(H47,DB_malas!$A$2:$A$5000,0)),IF(INDEX(DB_materiali!$E$2:$E$5000,MATCH($C47,DB_materiali!$A$2:$A$5000,0))&lt;=INDEX(DB_malas!$D$2:$D$5000,MATCH(H47,DB_malas!$A$2:$A$5000,0)),IF(OR(INDEX(DB_materiali!$B$2:$B$5000,MATCH($C47,DB_materiali!$A$2:$A$5000,0))=INDEX(DB_malas!$B$2:$B$5000,MATCH(H47,DB_malas!$A$2:$A$5000,0)),$H47="ORG"),"✔",tulkojums!$A$38),tulkojums!$A$39),tulkojums!$A$39))</f>
        <v/>
      </c>
      <c r="Q47" s="2" t="str">
        <f>IF(ISBLANK(I47),"",IF(INDEX(DB_materiali!$E$2:$E$5000,MATCH($C47,DB_materiali!$A$2:$A$5000,0))&gt;=INDEX(DB_malas!$C$2:$C$5000,MATCH(I47,DB_malas!$A$2:$A$5000,0)),IF(INDEX(DB_materiali!$E$2:$E$5000,MATCH($C47,DB_materiali!$A$2:$A$5000,0))&lt;=INDEX(DB_malas!$D$2:$D$5000,MATCH(I47,DB_malas!$A$2:$A$5000,0)),IF(OR(INDEX(DB_materiali!$B$2:$B$5000,MATCH($C47,DB_materiali!$A$2:$A$5000,0))=INDEX(DB_malas!$B$2:$B$5000,MATCH(I47,DB_malas!$A$2:$A$5000,0)),$H47="ORG"),"✔",tulkojums!$A$38),tulkojums!$A$39),tulkojums!$A$39))</f>
        <v/>
      </c>
      <c r="R47" s="2" t="str">
        <f>IF(ISBLANK(J47),"",IF(INDEX(DB_materiali!$E$2:$E$5000,MATCH($C47,DB_materiali!$A$2:$A$5000,0))&gt;=INDEX(DB_malas!$C$2:$C$5000,MATCH(J47,DB_malas!$A$2:$A$5000,0)),IF(INDEX(DB_materiali!$E$2:$E$5000,MATCH($C47,DB_materiali!$A$2:$A$5000,0))&lt;=INDEX(DB_malas!$D$2:$D$5000,MATCH(J47,DB_malas!$A$2:$A$5000,0)),IF(INDEX(DB_materiali!$B$2:$B$5000,MATCH($C47,DB_materiali!$A$2:$A$5000,0))=INDEX(DB_malas!$B$2:$B$5000,MATCH(J47,DB_malas!$A$2:$A$5000,0)),"✔",tulkojums!$A$38),tulkojums!$A$39),tulkojums!$A$39))</f>
        <v/>
      </c>
      <c r="S47" s="2" t="str">
        <f>IF(ISBLANK(K47),"",IF(INDEX(DB_materiali!$E$2:$E$5000,MATCH($C47,DB_materiali!$A$2:$A$5000,0))&gt;=INDEX(DB_malas!$C$2:$C$5000,MATCH(K47,DB_malas!$A$2:$A$5000,0)),IF(INDEX(DB_materiali!$E$2:$E$5000,MATCH($C47,DB_materiali!$A$2:$A$5000,0))&lt;=INDEX(DB_malas!$D$2:$D$5000,MATCH(K47,DB_malas!$A$2:$A$5000,0)),IF(INDEX(DB_materiali!$B$2:$B$5000,MATCH($C47,DB_materiali!$A$2:$A$5000,0))=INDEX(DB_malas!$B$2:$B$5000,MATCH(K47,DB_malas!$A$2:$A$5000,0)),"✔",tulkojums!$A$38),tulkojums!$A$39),tulkojums!$A$39))</f>
        <v/>
      </c>
      <c r="T47" s="2"/>
      <c r="U47" s="2"/>
      <c r="V47" s="2"/>
      <c r="W47" s="2"/>
      <c r="X47" s="2"/>
      <c r="Y47" s="2"/>
      <c r="Z47" s="2"/>
    </row>
    <row r="48" spans="1:26" ht="15.75" customHeight="1">
      <c r="A48" s="14"/>
      <c r="B48" s="14"/>
      <c r="C48" s="15"/>
      <c r="D48" s="55"/>
      <c r="E48" s="55"/>
      <c r="F48" s="56"/>
      <c r="G48" s="57" t="str">
        <f>IF(ISBLANK(C48),"",
   IFERROR(
      IF(
         INDEX(DB_materiali!C$2:C$5000,
               MATCH(C48, DB_materiali!A$2:A$5000, 0)
         )="FALSE",
         "N",
         "Y"
      ),
   "")
)</f>
        <v/>
      </c>
      <c r="H48" s="16"/>
      <c r="I48" s="16"/>
      <c r="J48" s="16"/>
      <c r="K48" s="16"/>
      <c r="M48" s="2" t="str">
        <f>IF(ISBLANK(C48),"",IF(IFERROR(VLOOKUP(C48,DB_materiali!$A$2:$A$5000,1,FALSE),"Kļūda artikulā")=C48,"✔",tulkojums!A$42))</f>
        <v/>
      </c>
      <c r="N48" s="2" t="str">
        <f>IF(ISBLANK(C48),"",IF(ISNUMBER(F48)=TRUE,"✔",tulkojums!A$43))</f>
        <v/>
      </c>
      <c r="O48" s="2" t="str">
        <f>IF(ISBLANK(C48),"",IF(G48="Y","✔",IF(G48="X","✔",IF(G48="N","✔",tulkojums!A$44))))</f>
        <v/>
      </c>
      <c r="P48" s="2" t="str">
        <f>IF(ISBLANK(H48),"",IF(INDEX(DB_materiali!$E$2:$E$5000,MATCH($C48,DB_materiali!$A$2:$A$5000,0))&gt;=INDEX(DB_malas!$C$2:$C$5000,MATCH(H48,DB_malas!$A$2:$A$5000,0)),IF(INDEX(DB_materiali!$E$2:$E$5000,MATCH($C48,DB_materiali!$A$2:$A$5000,0))&lt;=INDEX(DB_malas!$D$2:$D$5000,MATCH(H48,DB_malas!$A$2:$A$5000,0)),IF(OR(INDEX(DB_materiali!$B$2:$B$5000,MATCH($C48,DB_materiali!$A$2:$A$5000,0))=INDEX(DB_malas!$B$2:$B$5000,MATCH(H48,DB_malas!$A$2:$A$5000,0)),$H48="ORG"),"✔",tulkojums!$A$38),tulkojums!$A$39),tulkojums!$A$39))</f>
        <v/>
      </c>
      <c r="Q48" s="2" t="str">
        <f>IF(ISBLANK(I48),"",IF(INDEX(DB_materiali!$E$2:$E$5000,MATCH($C48,DB_materiali!$A$2:$A$5000,0))&gt;=INDEX(DB_malas!$C$2:$C$5000,MATCH(I48,DB_malas!$A$2:$A$5000,0)),IF(INDEX(DB_materiali!$E$2:$E$5000,MATCH($C48,DB_materiali!$A$2:$A$5000,0))&lt;=INDEX(DB_malas!$D$2:$D$5000,MATCH(I48,DB_malas!$A$2:$A$5000,0)),IF(OR(INDEX(DB_materiali!$B$2:$B$5000,MATCH($C48,DB_materiali!$A$2:$A$5000,0))=INDEX(DB_malas!$B$2:$B$5000,MATCH(I48,DB_malas!$A$2:$A$5000,0)),$H48="ORG"),"✔",tulkojums!$A$38),tulkojums!$A$39),tulkojums!$A$39))</f>
        <v/>
      </c>
      <c r="R48" s="2" t="str">
        <f>IF(ISBLANK(J48),"",IF(INDEX(DB_materiali!$E$2:$E$5000,MATCH($C48,DB_materiali!$A$2:$A$5000,0))&gt;=INDEX(DB_malas!$C$2:$C$5000,MATCH(J48,DB_malas!$A$2:$A$5000,0)),IF(INDEX(DB_materiali!$E$2:$E$5000,MATCH($C48,DB_materiali!$A$2:$A$5000,0))&lt;=INDEX(DB_malas!$D$2:$D$5000,MATCH(J48,DB_malas!$A$2:$A$5000,0)),IF(INDEX(DB_materiali!$B$2:$B$5000,MATCH($C48,DB_materiali!$A$2:$A$5000,0))=INDEX(DB_malas!$B$2:$B$5000,MATCH(J48,DB_malas!$A$2:$A$5000,0)),"✔",tulkojums!$A$38),tulkojums!$A$39),tulkojums!$A$39))</f>
        <v/>
      </c>
      <c r="S48" s="2" t="str">
        <f>IF(ISBLANK(K48),"",IF(INDEX(DB_materiali!$E$2:$E$5000,MATCH($C48,DB_materiali!$A$2:$A$5000,0))&gt;=INDEX(DB_malas!$C$2:$C$5000,MATCH(K48,DB_malas!$A$2:$A$5000,0)),IF(INDEX(DB_materiali!$E$2:$E$5000,MATCH($C48,DB_materiali!$A$2:$A$5000,0))&lt;=INDEX(DB_malas!$D$2:$D$5000,MATCH(K48,DB_malas!$A$2:$A$5000,0)),IF(INDEX(DB_materiali!$B$2:$B$5000,MATCH($C48,DB_materiali!$A$2:$A$5000,0))=INDEX(DB_malas!$B$2:$B$5000,MATCH(K48,DB_malas!$A$2:$A$5000,0)),"✔",tulkojums!$A$38),tulkojums!$A$39),tulkojums!$A$39))</f>
        <v/>
      </c>
      <c r="T48" s="2"/>
      <c r="U48" s="2"/>
      <c r="V48" s="2"/>
      <c r="W48" s="2"/>
      <c r="X48" s="2"/>
      <c r="Y48" s="2"/>
      <c r="Z48" s="2"/>
    </row>
    <row r="49" spans="1:26" ht="15.75" customHeight="1">
      <c r="A49" s="14"/>
      <c r="B49" s="14"/>
      <c r="C49" s="15"/>
      <c r="D49" s="55"/>
      <c r="E49" s="55"/>
      <c r="F49" s="56"/>
      <c r="G49" s="57" t="str">
        <f>IF(ISBLANK(C49),"",
   IFERROR(
      IF(
         INDEX(DB_materiali!C$2:C$5000,
               MATCH(C49, DB_materiali!A$2:A$5000, 0)
         )="FALSE",
         "N",
         "Y"
      ),
   "")
)</f>
        <v/>
      </c>
      <c r="H49" s="16"/>
      <c r="I49" s="16"/>
      <c r="J49" s="16"/>
      <c r="K49" s="16"/>
      <c r="M49" s="2" t="str">
        <f>IF(ISBLANK(C49),"",IF(IFERROR(VLOOKUP(C49,DB_materiali!$A$2:$A$5000,1,FALSE),"Kļūda artikulā")=C49,"✔",tulkojums!A$42))</f>
        <v/>
      </c>
      <c r="N49" s="2" t="str">
        <f>IF(ISBLANK(C49),"",IF(ISNUMBER(F49)=TRUE,"✔",tulkojums!A$43))</f>
        <v/>
      </c>
      <c r="O49" s="2" t="str">
        <f>IF(ISBLANK(C49),"",IF(G49="Y","✔",IF(G49="X","✔",IF(G49="N","✔",tulkojums!A$44))))</f>
        <v/>
      </c>
      <c r="P49" s="2" t="str">
        <f>IF(ISBLANK(H49),"",IF(INDEX(DB_materiali!$E$2:$E$5000,MATCH($C49,DB_materiali!$A$2:$A$5000,0))&gt;=INDEX(DB_malas!$C$2:$C$5000,MATCH(H49,DB_malas!$A$2:$A$5000,0)),IF(INDEX(DB_materiali!$E$2:$E$5000,MATCH($C49,DB_materiali!$A$2:$A$5000,0))&lt;=INDEX(DB_malas!$D$2:$D$5000,MATCH(H49,DB_malas!$A$2:$A$5000,0)),IF(OR(INDEX(DB_materiali!$B$2:$B$5000,MATCH($C49,DB_materiali!$A$2:$A$5000,0))=INDEX(DB_malas!$B$2:$B$5000,MATCH(H49,DB_malas!$A$2:$A$5000,0)),$H49="ORG"),"✔",tulkojums!$A$38),tulkojums!$A$39),tulkojums!$A$39))</f>
        <v/>
      </c>
      <c r="Q49" s="2" t="str">
        <f>IF(ISBLANK(I49),"",IF(INDEX(DB_materiali!$E$2:$E$5000,MATCH($C49,DB_materiali!$A$2:$A$5000,0))&gt;=INDEX(DB_malas!$C$2:$C$5000,MATCH(I49,DB_malas!$A$2:$A$5000,0)),IF(INDEX(DB_materiali!$E$2:$E$5000,MATCH($C49,DB_materiali!$A$2:$A$5000,0))&lt;=INDEX(DB_malas!$D$2:$D$5000,MATCH(I49,DB_malas!$A$2:$A$5000,0)),IF(OR(INDEX(DB_materiali!$B$2:$B$5000,MATCH($C49,DB_materiali!$A$2:$A$5000,0))=INDEX(DB_malas!$B$2:$B$5000,MATCH(I49,DB_malas!$A$2:$A$5000,0)),$H49="ORG"),"✔",tulkojums!$A$38),tulkojums!$A$39),tulkojums!$A$39))</f>
        <v/>
      </c>
      <c r="R49" s="2" t="str">
        <f>IF(ISBLANK(J49),"",IF(INDEX(DB_materiali!$E$2:$E$5000,MATCH($C49,DB_materiali!$A$2:$A$5000,0))&gt;=INDEX(DB_malas!$C$2:$C$5000,MATCH(J49,DB_malas!$A$2:$A$5000,0)),IF(INDEX(DB_materiali!$E$2:$E$5000,MATCH($C49,DB_materiali!$A$2:$A$5000,0))&lt;=INDEX(DB_malas!$D$2:$D$5000,MATCH(J49,DB_malas!$A$2:$A$5000,0)),IF(INDEX(DB_materiali!$B$2:$B$5000,MATCH($C49,DB_materiali!$A$2:$A$5000,0))=INDEX(DB_malas!$B$2:$B$5000,MATCH(J49,DB_malas!$A$2:$A$5000,0)),"✔",tulkojums!$A$38),tulkojums!$A$39),tulkojums!$A$39))</f>
        <v/>
      </c>
      <c r="S49" s="2" t="str">
        <f>IF(ISBLANK(K49),"",IF(INDEX(DB_materiali!$E$2:$E$5000,MATCH($C49,DB_materiali!$A$2:$A$5000,0))&gt;=INDEX(DB_malas!$C$2:$C$5000,MATCH(K49,DB_malas!$A$2:$A$5000,0)),IF(INDEX(DB_materiali!$E$2:$E$5000,MATCH($C49,DB_materiali!$A$2:$A$5000,0))&lt;=INDEX(DB_malas!$D$2:$D$5000,MATCH(K49,DB_malas!$A$2:$A$5000,0)),IF(INDEX(DB_materiali!$B$2:$B$5000,MATCH($C49,DB_materiali!$A$2:$A$5000,0))=INDEX(DB_malas!$B$2:$B$5000,MATCH(K49,DB_malas!$A$2:$A$5000,0)),"✔",tulkojums!$A$38),tulkojums!$A$39),tulkojums!$A$39))</f>
        <v/>
      </c>
      <c r="T49" s="2"/>
      <c r="U49" s="2"/>
      <c r="V49" s="2"/>
      <c r="W49" s="2"/>
      <c r="X49" s="2"/>
      <c r="Y49" s="2"/>
      <c r="Z49" s="2"/>
    </row>
    <row r="50" spans="1:26" ht="15.75" customHeight="1">
      <c r="A50" s="14"/>
      <c r="B50" s="14"/>
      <c r="C50" s="15"/>
      <c r="D50" s="55"/>
      <c r="E50" s="55"/>
      <c r="F50" s="56"/>
      <c r="G50" s="57" t="str">
        <f>IF(ISBLANK(C50),"",
   IFERROR(
      IF(
         INDEX(DB_materiali!C$2:C$5000,
               MATCH(C50, DB_materiali!A$2:A$5000, 0)
         )="FALSE",
         "N",
         "Y"
      ),
   "")
)</f>
        <v/>
      </c>
      <c r="H50" s="16"/>
      <c r="I50" s="16"/>
      <c r="J50" s="16"/>
      <c r="K50" s="16"/>
      <c r="M50" s="2" t="str">
        <f>IF(ISBLANK(C50),"",IF(IFERROR(VLOOKUP(C50,DB_materiali!$A$2:$A$5000,1,FALSE),"Kļūda artikulā")=C50,"✔",tulkojums!A$42))</f>
        <v/>
      </c>
      <c r="N50" s="2" t="str">
        <f>IF(ISBLANK(C50),"",IF(ISNUMBER(F50)=TRUE,"✔",tulkojums!A$43))</f>
        <v/>
      </c>
      <c r="O50" s="2" t="str">
        <f>IF(ISBLANK(C50),"",IF(G50="Y","✔",IF(G50="X","✔",IF(G50="N","✔",tulkojums!A$44))))</f>
        <v/>
      </c>
      <c r="P50" s="2" t="str">
        <f>IF(ISBLANK(H50),"",IF(INDEX(DB_materiali!$E$2:$E$5000,MATCH($C50,DB_materiali!$A$2:$A$5000,0))&gt;=INDEX(DB_malas!$C$2:$C$5000,MATCH(H50,DB_malas!$A$2:$A$5000,0)),IF(INDEX(DB_materiali!$E$2:$E$5000,MATCH($C50,DB_materiali!$A$2:$A$5000,0))&lt;=INDEX(DB_malas!$D$2:$D$5000,MATCH(H50,DB_malas!$A$2:$A$5000,0)),IF(OR(INDEX(DB_materiali!$B$2:$B$5000,MATCH($C50,DB_materiali!$A$2:$A$5000,0))=INDEX(DB_malas!$B$2:$B$5000,MATCH(H50,DB_malas!$A$2:$A$5000,0)),$H50="ORG"),"✔",tulkojums!$A$38),tulkojums!$A$39),tulkojums!$A$39))</f>
        <v/>
      </c>
      <c r="Q50" s="2" t="str">
        <f>IF(ISBLANK(I50),"",IF(INDEX(DB_materiali!$E$2:$E$5000,MATCH($C50,DB_materiali!$A$2:$A$5000,0))&gt;=INDEX(DB_malas!$C$2:$C$5000,MATCH(I50,DB_malas!$A$2:$A$5000,0)),IF(INDEX(DB_materiali!$E$2:$E$5000,MATCH($C50,DB_materiali!$A$2:$A$5000,0))&lt;=INDEX(DB_malas!$D$2:$D$5000,MATCH(I50,DB_malas!$A$2:$A$5000,0)),IF(OR(INDEX(DB_materiali!$B$2:$B$5000,MATCH($C50,DB_materiali!$A$2:$A$5000,0))=INDEX(DB_malas!$B$2:$B$5000,MATCH(I50,DB_malas!$A$2:$A$5000,0)),$H50="ORG"),"✔",tulkojums!$A$38),tulkojums!$A$39),tulkojums!$A$39))</f>
        <v/>
      </c>
      <c r="R50" s="2" t="str">
        <f>IF(ISBLANK(J50),"",IF(INDEX(DB_materiali!$E$2:$E$5000,MATCH($C50,DB_materiali!$A$2:$A$5000,0))&gt;=INDEX(DB_malas!$C$2:$C$5000,MATCH(J50,DB_malas!$A$2:$A$5000,0)),IF(INDEX(DB_materiali!$E$2:$E$5000,MATCH($C50,DB_materiali!$A$2:$A$5000,0))&lt;=INDEX(DB_malas!$D$2:$D$5000,MATCH(J50,DB_malas!$A$2:$A$5000,0)),IF(INDEX(DB_materiali!$B$2:$B$5000,MATCH($C50,DB_materiali!$A$2:$A$5000,0))=INDEX(DB_malas!$B$2:$B$5000,MATCH(J50,DB_malas!$A$2:$A$5000,0)),"✔",tulkojums!$A$38),tulkojums!$A$39),tulkojums!$A$39))</f>
        <v/>
      </c>
      <c r="S50" s="2" t="str">
        <f>IF(ISBLANK(K50),"",IF(INDEX(DB_materiali!$E$2:$E$5000,MATCH($C50,DB_materiali!$A$2:$A$5000,0))&gt;=INDEX(DB_malas!$C$2:$C$5000,MATCH(K50,DB_malas!$A$2:$A$5000,0)),IF(INDEX(DB_materiali!$E$2:$E$5000,MATCH($C50,DB_materiali!$A$2:$A$5000,0))&lt;=INDEX(DB_malas!$D$2:$D$5000,MATCH(K50,DB_malas!$A$2:$A$5000,0)),IF(INDEX(DB_materiali!$B$2:$B$5000,MATCH($C50,DB_materiali!$A$2:$A$5000,0))=INDEX(DB_malas!$B$2:$B$5000,MATCH(K50,DB_malas!$A$2:$A$5000,0)),"✔",tulkojums!$A$38),tulkojums!$A$39),tulkojums!$A$39))</f>
        <v/>
      </c>
      <c r="T50" s="2"/>
      <c r="U50" s="2"/>
      <c r="V50" s="2"/>
      <c r="W50" s="2"/>
      <c r="X50" s="2"/>
      <c r="Y50" s="2"/>
      <c r="Z50" s="2"/>
    </row>
    <row r="51" spans="1:26" ht="15.75" customHeight="1">
      <c r="A51" s="14"/>
      <c r="B51" s="14"/>
      <c r="C51" s="15"/>
      <c r="D51" s="55"/>
      <c r="E51" s="55"/>
      <c r="F51" s="56"/>
      <c r="G51" s="57" t="str">
        <f>IF(ISBLANK(C51),"",
   IFERROR(
      IF(
         INDEX(DB_materiali!C$2:C$5000,
               MATCH(C51, DB_materiali!A$2:A$5000, 0)
         )="FALSE",
         "N",
         "Y"
      ),
   "")
)</f>
        <v/>
      </c>
      <c r="H51" s="16"/>
      <c r="I51" s="16"/>
      <c r="J51" s="16"/>
      <c r="K51" s="16"/>
      <c r="M51" s="2" t="str">
        <f>IF(ISBLANK(C51),"",IF(IFERROR(VLOOKUP(C51,DB_materiali!$A$2:$A$5000,1,FALSE),"Kļūda artikulā")=C51,"✔",tulkojums!A$42))</f>
        <v/>
      </c>
      <c r="N51" s="2" t="str">
        <f>IF(ISBLANK(C51),"",IF(ISNUMBER(F51)=TRUE,"✔",tulkojums!A$43))</f>
        <v/>
      </c>
      <c r="O51" s="2" t="str">
        <f>IF(ISBLANK(C51),"",IF(G51="Y","✔",IF(G51="X","✔",IF(G51="N","✔",tulkojums!A$44))))</f>
        <v/>
      </c>
      <c r="P51" s="2" t="str">
        <f>IF(ISBLANK(H51),"",IF(INDEX(DB_materiali!$E$2:$E$5000,MATCH($C51,DB_materiali!$A$2:$A$5000,0))&gt;=INDEX(DB_malas!$C$2:$C$5000,MATCH(H51,DB_malas!$A$2:$A$5000,0)),IF(INDEX(DB_materiali!$E$2:$E$5000,MATCH($C51,DB_materiali!$A$2:$A$5000,0))&lt;=INDEX(DB_malas!$D$2:$D$5000,MATCH(H51,DB_malas!$A$2:$A$5000,0)),IF(OR(INDEX(DB_materiali!$B$2:$B$5000,MATCH($C51,DB_materiali!$A$2:$A$5000,0))=INDEX(DB_malas!$B$2:$B$5000,MATCH(H51,DB_malas!$A$2:$A$5000,0)),$H51="ORG"),"✔",tulkojums!$A$38),tulkojums!$A$39),tulkojums!$A$39))</f>
        <v/>
      </c>
      <c r="Q51" s="2" t="str">
        <f>IF(ISBLANK(I51),"",IF(INDEX(DB_materiali!$E$2:$E$5000,MATCH($C51,DB_materiali!$A$2:$A$5000,0))&gt;=INDEX(DB_malas!$C$2:$C$5000,MATCH(I51,DB_malas!$A$2:$A$5000,0)),IF(INDEX(DB_materiali!$E$2:$E$5000,MATCH($C51,DB_materiali!$A$2:$A$5000,0))&lt;=INDEX(DB_malas!$D$2:$D$5000,MATCH(I51,DB_malas!$A$2:$A$5000,0)),IF(OR(INDEX(DB_materiali!$B$2:$B$5000,MATCH($C51,DB_materiali!$A$2:$A$5000,0))=INDEX(DB_malas!$B$2:$B$5000,MATCH(I51,DB_malas!$A$2:$A$5000,0)),$H51="ORG"),"✔",tulkojums!$A$38),tulkojums!$A$39),tulkojums!$A$39))</f>
        <v/>
      </c>
      <c r="R51" s="2" t="str">
        <f>IF(ISBLANK(J51),"",IF(INDEX(DB_materiali!$E$2:$E$5000,MATCH($C51,DB_materiali!$A$2:$A$5000,0))&gt;=INDEX(DB_malas!$C$2:$C$5000,MATCH(J51,DB_malas!$A$2:$A$5000,0)),IF(INDEX(DB_materiali!$E$2:$E$5000,MATCH($C51,DB_materiali!$A$2:$A$5000,0))&lt;=INDEX(DB_malas!$D$2:$D$5000,MATCH(J51,DB_malas!$A$2:$A$5000,0)),IF(INDEX(DB_materiali!$B$2:$B$5000,MATCH($C51,DB_materiali!$A$2:$A$5000,0))=INDEX(DB_malas!$B$2:$B$5000,MATCH(J51,DB_malas!$A$2:$A$5000,0)),"✔",tulkojums!$A$38),tulkojums!$A$39),tulkojums!$A$39))</f>
        <v/>
      </c>
      <c r="S51" s="2" t="str">
        <f>IF(ISBLANK(K51),"",IF(INDEX(DB_materiali!$E$2:$E$5000,MATCH($C51,DB_materiali!$A$2:$A$5000,0))&gt;=INDEX(DB_malas!$C$2:$C$5000,MATCH(K51,DB_malas!$A$2:$A$5000,0)),IF(INDEX(DB_materiali!$E$2:$E$5000,MATCH($C51,DB_materiali!$A$2:$A$5000,0))&lt;=INDEX(DB_malas!$D$2:$D$5000,MATCH(K51,DB_malas!$A$2:$A$5000,0)),IF(INDEX(DB_materiali!$B$2:$B$5000,MATCH($C51,DB_materiali!$A$2:$A$5000,0))=INDEX(DB_malas!$B$2:$B$5000,MATCH(K51,DB_malas!$A$2:$A$5000,0)),"✔",tulkojums!$A$38),tulkojums!$A$39),tulkojums!$A$39))</f>
        <v/>
      </c>
      <c r="T51" s="2"/>
      <c r="U51" s="2"/>
      <c r="V51" s="2"/>
      <c r="W51" s="2"/>
      <c r="X51" s="2"/>
      <c r="Y51" s="2"/>
      <c r="Z51" s="2"/>
    </row>
    <row r="52" spans="1:26" ht="15.75" customHeight="1">
      <c r="A52" s="14"/>
      <c r="B52" s="14"/>
      <c r="C52" s="15"/>
      <c r="D52" s="55"/>
      <c r="E52" s="55"/>
      <c r="F52" s="56"/>
      <c r="G52" s="57" t="str">
        <f>IF(ISBLANK(C52),"",
   IFERROR(
      IF(
         INDEX(DB_materiali!C$2:C$5000,
               MATCH(C52, DB_materiali!A$2:A$5000, 0)
         )="FALSE",
         "N",
         "Y"
      ),
   "")
)</f>
        <v/>
      </c>
      <c r="H52" s="16"/>
      <c r="I52" s="16"/>
      <c r="J52" s="16"/>
      <c r="K52" s="16"/>
      <c r="M52" s="2" t="str">
        <f>IF(ISBLANK(C52),"",IF(IFERROR(VLOOKUP(C52,DB_materiali!$A$2:$A$5000,1,FALSE),"Kļūda artikulā")=C52,"✔",tulkojums!A$42))</f>
        <v/>
      </c>
      <c r="N52" s="2" t="str">
        <f>IF(ISBLANK(C52),"",IF(ISNUMBER(F52)=TRUE,"✔",tulkojums!A$43))</f>
        <v/>
      </c>
      <c r="O52" s="2" t="str">
        <f>IF(ISBLANK(C52),"",IF(G52="Y","✔",IF(G52="X","✔",IF(G52="N","✔",tulkojums!A$44))))</f>
        <v/>
      </c>
      <c r="P52" s="2" t="str">
        <f>IF(ISBLANK(H52),"",IF(INDEX(DB_materiali!$E$2:$E$5000,MATCH($C52,DB_materiali!$A$2:$A$5000,0))&gt;=INDEX(DB_malas!$C$2:$C$5000,MATCH(H52,DB_malas!$A$2:$A$5000,0)),IF(INDEX(DB_materiali!$E$2:$E$5000,MATCH($C52,DB_materiali!$A$2:$A$5000,0))&lt;=INDEX(DB_malas!$D$2:$D$5000,MATCH(H52,DB_malas!$A$2:$A$5000,0)),IF(OR(INDEX(DB_materiali!$B$2:$B$5000,MATCH($C52,DB_materiali!$A$2:$A$5000,0))=INDEX(DB_malas!$B$2:$B$5000,MATCH(H52,DB_malas!$A$2:$A$5000,0)),$H52="ORG"),"✔",tulkojums!$A$38),tulkojums!$A$39),tulkojums!$A$39))</f>
        <v/>
      </c>
      <c r="Q52" s="2" t="str">
        <f>IF(ISBLANK(I52),"",IF(INDEX(DB_materiali!$E$2:$E$5000,MATCH($C52,DB_materiali!$A$2:$A$5000,0))&gt;=INDEX(DB_malas!$C$2:$C$5000,MATCH(I52,DB_malas!$A$2:$A$5000,0)),IF(INDEX(DB_materiali!$E$2:$E$5000,MATCH($C52,DB_materiali!$A$2:$A$5000,0))&lt;=INDEX(DB_malas!$D$2:$D$5000,MATCH(I52,DB_malas!$A$2:$A$5000,0)),IF(OR(INDEX(DB_materiali!$B$2:$B$5000,MATCH($C52,DB_materiali!$A$2:$A$5000,0))=INDEX(DB_malas!$B$2:$B$5000,MATCH(I52,DB_malas!$A$2:$A$5000,0)),$H52="ORG"),"✔",tulkojums!$A$38),tulkojums!$A$39),tulkojums!$A$39))</f>
        <v/>
      </c>
      <c r="R52" s="2" t="str">
        <f>IF(ISBLANK(J52),"",IF(INDEX(DB_materiali!$E$2:$E$5000,MATCH($C52,DB_materiali!$A$2:$A$5000,0))&gt;=INDEX(DB_malas!$C$2:$C$5000,MATCH(J52,DB_malas!$A$2:$A$5000,0)),IF(INDEX(DB_materiali!$E$2:$E$5000,MATCH($C52,DB_materiali!$A$2:$A$5000,0))&lt;=INDEX(DB_malas!$D$2:$D$5000,MATCH(J52,DB_malas!$A$2:$A$5000,0)),IF(INDEX(DB_materiali!$B$2:$B$5000,MATCH($C52,DB_materiali!$A$2:$A$5000,0))=INDEX(DB_malas!$B$2:$B$5000,MATCH(J52,DB_malas!$A$2:$A$5000,0)),"✔",tulkojums!$A$38),tulkojums!$A$39),tulkojums!$A$39))</f>
        <v/>
      </c>
      <c r="S52" s="2" t="str">
        <f>IF(ISBLANK(K52),"",IF(INDEX(DB_materiali!$E$2:$E$5000,MATCH($C52,DB_materiali!$A$2:$A$5000,0))&gt;=INDEX(DB_malas!$C$2:$C$5000,MATCH(K52,DB_malas!$A$2:$A$5000,0)),IF(INDEX(DB_materiali!$E$2:$E$5000,MATCH($C52,DB_materiali!$A$2:$A$5000,0))&lt;=INDEX(DB_malas!$D$2:$D$5000,MATCH(K52,DB_malas!$A$2:$A$5000,0)),IF(INDEX(DB_materiali!$B$2:$B$5000,MATCH($C52,DB_materiali!$A$2:$A$5000,0))=INDEX(DB_malas!$B$2:$B$5000,MATCH(K52,DB_malas!$A$2:$A$5000,0)),"✔",tulkojums!$A$38),tulkojums!$A$39),tulkojums!$A$39))</f>
        <v/>
      </c>
      <c r="T52" s="2"/>
      <c r="U52" s="2"/>
      <c r="V52" s="2"/>
      <c r="W52" s="2"/>
      <c r="X52" s="2"/>
      <c r="Y52" s="2"/>
      <c r="Z52" s="2"/>
    </row>
    <row r="53" spans="1:26" ht="15.75" customHeight="1">
      <c r="A53" s="14"/>
      <c r="B53" s="14"/>
      <c r="C53" s="15"/>
      <c r="D53" s="55"/>
      <c r="E53" s="55"/>
      <c r="F53" s="56"/>
      <c r="G53" s="57" t="str">
        <f>IF(ISBLANK(C53),"",
   IFERROR(
      IF(
         INDEX(DB_materiali!C$2:C$5000,
               MATCH(C53, DB_materiali!A$2:A$5000, 0)
         )="FALSE",
         "N",
         "Y"
      ),
   "")
)</f>
        <v/>
      </c>
      <c r="H53" s="16"/>
      <c r="I53" s="16"/>
      <c r="J53" s="16"/>
      <c r="K53" s="16"/>
      <c r="M53" s="2" t="str">
        <f>IF(ISBLANK(C53),"",IF(IFERROR(VLOOKUP(C53,DB_materiali!$A$2:$A$5000,1,FALSE),"Kļūda artikulā")=C53,"✔",tulkojums!A$42))</f>
        <v/>
      </c>
      <c r="N53" s="2" t="str">
        <f>IF(ISBLANK(C53),"",IF(ISNUMBER(F53)=TRUE,"✔",tulkojums!A$43))</f>
        <v/>
      </c>
      <c r="O53" s="2" t="str">
        <f>IF(ISBLANK(C53),"",IF(G53="Y","✔",IF(G53="X","✔",IF(G53="N","✔",tulkojums!A$44))))</f>
        <v/>
      </c>
      <c r="P53" s="2" t="str">
        <f>IF(ISBLANK(H53),"",IF(INDEX(DB_materiali!$E$2:$E$5000,MATCH($C53,DB_materiali!$A$2:$A$5000,0))&gt;=INDEX(DB_malas!$C$2:$C$5000,MATCH(H53,DB_malas!$A$2:$A$5000,0)),IF(INDEX(DB_materiali!$E$2:$E$5000,MATCH($C53,DB_materiali!$A$2:$A$5000,0))&lt;=INDEX(DB_malas!$D$2:$D$5000,MATCH(H53,DB_malas!$A$2:$A$5000,0)),IF(OR(INDEX(DB_materiali!$B$2:$B$5000,MATCH($C53,DB_materiali!$A$2:$A$5000,0))=INDEX(DB_malas!$B$2:$B$5000,MATCH(H53,DB_malas!$A$2:$A$5000,0)),$H53="ORG"),"✔",tulkojums!$A$38),tulkojums!$A$39),tulkojums!$A$39))</f>
        <v/>
      </c>
      <c r="Q53" s="2" t="str">
        <f>IF(ISBLANK(I53),"",IF(INDEX(DB_materiali!$E$2:$E$5000,MATCH($C53,DB_materiali!$A$2:$A$5000,0))&gt;=INDEX(DB_malas!$C$2:$C$5000,MATCH(I53,DB_malas!$A$2:$A$5000,0)),IF(INDEX(DB_materiali!$E$2:$E$5000,MATCH($C53,DB_materiali!$A$2:$A$5000,0))&lt;=INDEX(DB_malas!$D$2:$D$5000,MATCH(I53,DB_malas!$A$2:$A$5000,0)),IF(OR(INDEX(DB_materiali!$B$2:$B$5000,MATCH($C53,DB_materiali!$A$2:$A$5000,0))=INDEX(DB_malas!$B$2:$B$5000,MATCH(I53,DB_malas!$A$2:$A$5000,0)),$H53="ORG"),"✔",tulkojums!$A$38),tulkojums!$A$39),tulkojums!$A$39))</f>
        <v/>
      </c>
      <c r="R53" s="2" t="str">
        <f>IF(ISBLANK(J53),"",IF(INDEX(DB_materiali!$E$2:$E$5000,MATCH($C53,DB_materiali!$A$2:$A$5000,0))&gt;=INDEX(DB_malas!$C$2:$C$5000,MATCH(J53,DB_malas!$A$2:$A$5000,0)),IF(INDEX(DB_materiali!$E$2:$E$5000,MATCH($C53,DB_materiali!$A$2:$A$5000,0))&lt;=INDEX(DB_malas!$D$2:$D$5000,MATCH(J53,DB_malas!$A$2:$A$5000,0)),IF(INDEX(DB_materiali!$B$2:$B$5000,MATCH($C53,DB_materiali!$A$2:$A$5000,0))=INDEX(DB_malas!$B$2:$B$5000,MATCH(J53,DB_malas!$A$2:$A$5000,0)),"✔",tulkojums!$A$38),tulkojums!$A$39),tulkojums!$A$39))</f>
        <v/>
      </c>
      <c r="S53" s="2" t="str">
        <f>IF(ISBLANK(K53),"",IF(INDEX(DB_materiali!$E$2:$E$5000,MATCH($C53,DB_materiali!$A$2:$A$5000,0))&gt;=INDEX(DB_malas!$C$2:$C$5000,MATCH(K53,DB_malas!$A$2:$A$5000,0)),IF(INDEX(DB_materiali!$E$2:$E$5000,MATCH($C53,DB_materiali!$A$2:$A$5000,0))&lt;=INDEX(DB_malas!$D$2:$D$5000,MATCH(K53,DB_malas!$A$2:$A$5000,0)),IF(INDEX(DB_materiali!$B$2:$B$5000,MATCH($C53,DB_materiali!$A$2:$A$5000,0))=INDEX(DB_malas!$B$2:$B$5000,MATCH(K53,DB_malas!$A$2:$A$5000,0)),"✔",tulkojums!$A$38),tulkojums!$A$39),tulkojums!$A$39))</f>
        <v/>
      </c>
      <c r="T53" s="2"/>
      <c r="U53" s="2"/>
      <c r="V53" s="2"/>
      <c r="W53" s="2"/>
      <c r="X53" s="2"/>
      <c r="Y53" s="2"/>
      <c r="Z53" s="2"/>
    </row>
    <row r="54" spans="1:26" ht="15.75" customHeight="1">
      <c r="A54" s="14"/>
      <c r="B54" s="14"/>
      <c r="C54" s="15"/>
      <c r="D54" s="55"/>
      <c r="E54" s="55"/>
      <c r="F54" s="56"/>
      <c r="G54" s="57" t="str">
        <f>IF(ISBLANK(C54),"",
   IFERROR(
      IF(
         INDEX(DB_materiali!C$2:C$5000,
               MATCH(C54, DB_materiali!A$2:A$5000, 0)
         )="FALSE",
         "N",
         "Y"
      ),
   "")
)</f>
        <v/>
      </c>
      <c r="H54" s="16"/>
      <c r="I54" s="16"/>
      <c r="J54" s="16"/>
      <c r="K54" s="16"/>
      <c r="M54" s="2" t="str">
        <f>IF(ISBLANK(C54),"",IF(IFERROR(VLOOKUP(C54,DB_materiali!$A$2:$A$5000,1,FALSE),"Kļūda artikulā")=C54,"✔",tulkojums!A$42))</f>
        <v/>
      </c>
      <c r="N54" s="2" t="str">
        <f>IF(ISBLANK(C54),"",IF(ISNUMBER(F54)=TRUE,"✔",tulkojums!A$43))</f>
        <v/>
      </c>
      <c r="O54" s="2" t="str">
        <f>IF(ISBLANK(C54),"",IF(G54="Y","✔",IF(G54="X","✔",IF(G54="N","✔",tulkojums!A$44))))</f>
        <v/>
      </c>
      <c r="P54" s="2" t="str">
        <f>IF(ISBLANK(H54),"",IF(INDEX(DB_materiali!$E$2:$E$5000,MATCH($C54,DB_materiali!$A$2:$A$5000,0))&gt;=INDEX(DB_malas!$C$2:$C$5000,MATCH(H54,DB_malas!$A$2:$A$5000,0)),IF(INDEX(DB_materiali!$E$2:$E$5000,MATCH($C54,DB_materiali!$A$2:$A$5000,0))&lt;=INDEX(DB_malas!$D$2:$D$5000,MATCH(H54,DB_malas!$A$2:$A$5000,0)),IF(OR(INDEX(DB_materiali!$B$2:$B$5000,MATCH($C54,DB_materiali!$A$2:$A$5000,0))=INDEX(DB_malas!$B$2:$B$5000,MATCH(H54,DB_malas!$A$2:$A$5000,0)),$H54="ORG"),"✔",tulkojums!$A$38),tulkojums!$A$39),tulkojums!$A$39))</f>
        <v/>
      </c>
      <c r="Q54" s="2" t="str">
        <f>IF(ISBLANK(I54),"",IF(INDEX(DB_materiali!$E$2:$E$5000,MATCH($C54,DB_materiali!$A$2:$A$5000,0))&gt;=INDEX(DB_malas!$C$2:$C$5000,MATCH(I54,DB_malas!$A$2:$A$5000,0)),IF(INDEX(DB_materiali!$E$2:$E$5000,MATCH($C54,DB_materiali!$A$2:$A$5000,0))&lt;=INDEX(DB_malas!$D$2:$D$5000,MATCH(I54,DB_malas!$A$2:$A$5000,0)),IF(OR(INDEX(DB_materiali!$B$2:$B$5000,MATCH($C54,DB_materiali!$A$2:$A$5000,0))=INDEX(DB_malas!$B$2:$B$5000,MATCH(I54,DB_malas!$A$2:$A$5000,0)),$H54="ORG"),"✔",tulkojums!$A$38),tulkojums!$A$39),tulkojums!$A$39))</f>
        <v/>
      </c>
      <c r="R54" s="2" t="str">
        <f>IF(ISBLANK(J54),"",IF(INDEX(DB_materiali!$E$2:$E$5000,MATCH($C54,DB_materiali!$A$2:$A$5000,0))&gt;=INDEX(DB_malas!$C$2:$C$5000,MATCH(J54,DB_malas!$A$2:$A$5000,0)),IF(INDEX(DB_materiali!$E$2:$E$5000,MATCH($C54,DB_materiali!$A$2:$A$5000,0))&lt;=INDEX(DB_malas!$D$2:$D$5000,MATCH(J54,DB_malas!$A$2:$A$5000,0)),IF(INDEX(DB_materiali!$B$2:$B$5000,MATCH($C54,DB_materiali!$A$2:$A$5000,0))=INDEX(DB_malas!$B$2:$B$5000,MATCH(J54,DB_malas!$A$2:$A$5000,0)),"✔",tulkojums!$A$38),tulkojums!$A$39),tulkojums!$A$39))</f>
        <v/>
      </c>
      <c r="S54" s="2" t="str">
        <f>IF(ISBLANK(K54),"",IF(INDEX(DB_materiali!$E$2:$E$5000,MATCH($C54,DB_materiali!$A$2:$A$5000,0))&gt;=INDEX(DB_malas!$C$2:$C$5000,MATCH(K54,DB_malas!$A$2:$A$5000,0)),IF(INDEX(DB_materiali!$E$2:$E$5000,MATCH($C54,DB_materiali!$A$2:$A$5000,0))&lt;=INDEX(DB_malas!$D$2:$D$5000,MATCH(K54,DB_malas!$A$2:$A$5000,0)),IF(INDEX(DB_materiali!$B$2:$B$5000,MATCH($C54,DB_materiali!$A$2:$A$5000,0))=INDEX(DB_malas!$B$2:$B$5000,MATCH(K54,DB_malas!$A$2:$A$5000,0)),"✔",tulkojums!$A$38),tulkojums!$A$39),tulkojums!$A$39))</f>
        <v/>
      </c>
      <c r="T54" s="2"/>
      <c r="U54" s="2"/>
      <c r="V54" s="2"/>
      <c r="W54" s="2"/>
      <c r="X54" s="2"/>
      <c r="Y54" s="2"/>
      <c r="Z54" s="2"/>
    </row>
    <row r="55" spans="1:26" ht="15.75" customHeight="1">
      <c r="A55" s="14"/>
      <c r="B55" s="14"/>
      <c r="C55" s="15"/>
      <c r="D55" s="55"/>
      <c r="E55" s="55"/>
      <c r="F55" s="56"/>
      <c r="G55" s="57" t="str">
        <f>IF(ISBLANK(C55),"",
   IFERROR(
      IF(
         INDEX(DB_materiali!C$2:C$5000,
               MATCH(C55, DB_materiali!A$2:A$5000, 0)
         )="FALSE",
         "N",
         "Y"
      ),
   "")
)</f>
        <v/>
      </c>
      <c r="H55" s="16"/>
      <c r="I55" s="16"/>
      <c r="J55" s="16"/>
      <c r="K55" s="16"/>
      <c r="M55" s="2" t="str">
        <f>IF(ISBLANK(C55),"",IF(IFERROR(VLOOKUP(C55,DB_materiali!$A$2:$A$5000,1,FALSE),"Kļūda artikulā")=C55,"✔",tulkojums!A$42))</f>
        <v/>
      </c>
      <c r="N55" s="2" t="str">
        <f>IF(ISBLANK(C55),"",IF(ISNUMBER(F55)=TRUE,"✔",tulkojums!A$43))</f>
        <v/>
      </c>
      <c r="O55" s="2" t="str">
        <f>IF(ISBLANK(C55),"",IF(G55="Y","✔",IF(G55="X","✔",IF(G55="N","✔",tulkojums!A$44))))</f>
        <v/>
      </c>
      <c r="P55" s="2" t="str">
        <f>IF(ISBLANK(H55),"",IF(INDEX(DB_materiali!$E$2:$E$5000,MATCH($C55,DB_materiali!$A$2:$A$5000,0))&gt;=INDEX(DB_malas!$C$2:$C$5000,MATCH(H55,DB_malas!$A$2:$A$5000,0)),IF(INDEX(DB_materiali!$E$2:$E$5000,MATCH($C55,DB_materiali!$A$2:$A$5000,0))&lt;=INDEX(DB_malas!$D$2:$D$5000,MATCH(H55,DB_malas!$A$2:$A$5000,0)),IF(OR(INDEX(DB_materiali!$B$2:$B$5000,MATCH($C55,DB_materiali!$A$2:$A$5000,0))=INDEX(DB_malas!$B$2:$B$5000,MATCH(H55,DB_malas!$A$2:$A$5000,0)),$H55="ORG"),"✔",tulkojums!$A$38),tulkojums!$A$39),tulkojums!$A$39))</f>
        <v/>
      </c>
      <c r="Q55" s="2" t="str">
        <f>IF(ISBLANK(I55),"",IF(INDEX(DB_materiali!$E$2:$E$5000,MATCH($C55,DB_materiali!$A$2:$A$5000,0))&gt;=INDEX(DB_malas!$C$2:$C$5000,MATCH(I55,DB_malas!$A$2:$A$5000,0)),IF(INDEX(DB_materiali!$E$2:$E$5000,MATCH($C55,DB_materiali!$A$2:$A$5000,0))&lt;=INDEX(DB_malas!$D$2:$D$5000,MATCH(I55,DB_malas!$A$2:$A$5000,0)),IF(OR(INDEX(DB_materiali!$B$2:$B$5000,MATCH($C55,DB_materiali!$A$2:$A$5000,0))=INDEX(DB_malas!$B$2:$B$5000,MATCH(I55,DB_malas!$A$2:$A$5000,0)),$H55="ORG"),"✔",tulkojums!$A$38),tulkojums!$A$39),tulkojums!$A$39))</f>
        <v/>
      </c>
      <c r="R55" s="2" t="str">
        <f>IF(ISBLANK(J55),"",IF(INDEX(DB_materiali!$E$2:$E$5000,MATCH($C55,DB_materiali!$A$2:$A$5000,0))&gt;=INDEX(DB_malas!$C$2:$C$5000,MATCH(J55,DB_malas!$A$2:$A$5000,0)),IF(INDEX(DB_materiali!$E$2:$E$5000,MATCH($C55,DB_materiali!$A$2:$A$5000,0))&lt;=INDEX(DB_malas!$D$2:$D$5000,MATCH(J55,DB_malas!$A$2:$A$5000,0)),IF(INDEX(DB_materiali!$B$2:$B$5000,MATCH($C55,DB_materiali!$A$2:$A$5000,0))=INDEX(DB_malas!$B$2:$B$5000,MATCH(J55,DB_malas!$A$2:$A$5000,0)),"✔",tulkojums!$A$38),tulkojums!$A$39),tulkojums!$A$39))</f>
        <v/>
      </c>
      <c r="S55" s="2" t="str">
        <f>IF(ISBLANK(K55),"",IF(INDEX(DB_materiali!$E$2:$E$5000,MATCH($C55,DB_materiali!$A$2:$A$5000,0))&gt;=INDEX(DB_malas!$C$2:$C$5000,MATCH(K55,DB_malas!$A$2:$A$5000,0)),IF(INDEX(DB_materiali!$E$2:$E$5000,MATCH($C55,DB_materiali!$A$2:$A$5000,0))&lt;=INDEX(DB_malas!$D$2:$D$5000,MATCH(K55,DB_malas!$A$2:$A$5000,0)),IF(INDEX(DB_materiali!$B$2:$B$5000,MATCH($C55,DB_materiali!$A$2:$A$5000,0))=INDEX(DB_malas!$B$2:$B$5000,MATCH(K55,DB_malas!$A$2:$A$5000,0)),"✔",tulkojums!$A$38),tulkojums!$A$39),tulkojums!$A$39))</f>
        <v/>
      </c>
      <c r="T55" s="2"/>
      <c r="U55" s="2"/>
      <c r="V55" s="2"/>
      <c r="W55" s="2"/>
      <c r="X55" s="2"/>
      <c r="Y55" s="2"/>
      <c r="Z55" s="2"/>
    </row>
    <row r="56" spans="1:26" ht="15.75" customHeight="1">
      <c r="A56" s="17"/>
      <c r="B56" s="18"/>
      <c r="C56" s="19"/>
      <c r="D56" s="55"/>
      <c r="E56" s="55"/>
      <c r="F56" s="56"/>
      <c r="G56" s="57" t="str">
        <f>IF(ISBLANK(C56),"",
   IFERROR(
      IF(
         INDEX(DB_materiali!C$2:C$5000,
               MATCH(C56, DB_materiali!A$2:A$5000, 0)
         )="FALSE",
         "N",
         "Y"
      ),
   "")
)</f>
        <v/>
      </c>
      <c r="H56" s="20"/>
      <c r="I56" s="20"/>
      <c r="J56" s="20"/>
      <c r="K56" s="20"/>
      <c r="M56" s="2" t="str">
        <f>IF(ISBLANK(C56),"",IF(IFERROR(VLOOKUP(C56,DB_materiali!$A$2:$A$5000,1,FALSE),"Kļūda artikulā")=C56,"✔",tulkojums!A$42))</f>
        <v/>
      </c>
      <c r="N56" s="2" t="str">
        <f>IF(ISBLANK(C56),"",IF(ISNUMBER(F56)=TRUE,"✔",tulkojums!A$43))</f>
        <v/>
      </c>
      <c r="O56" s="2" t="str">
        <f>IF(ISBLANK(C56),"",IF(G56="Y","✔",IF(G56="X","✔",IF(G56="N","✔",tulkojums!A$44))))</f>
        <v/>
      </c>
      <c r="P56" s="2" t="str">
        <f>IF(ISBLANK(H56),"",IF(INDEX(DB_materiali!$E$2:$E$5000,MATCH($C56,DB_materiali!$A$2:$A$5000,0))&gt;=INDEX(DB_malas!$C$2:$C$5000,MATCH(H56,DB_malas!$A$2:$A$5000,0)),IF(INDEX(DB_materiali!$E$2:$E$5000,MATCH($C56,DB_materiali!$A$2:$A$5000,0))&lt;=INDEX(DB_malas!$D$2:$D$5000,MATCH(H56,DB_malas!$A$2:$A$5000,0)),IF(OR(INDEX(DB_materiali!$B$2:$B$5000,MATCH($C56,DB_materiali!$A$2:$A$5000,0))=INDEX(DB_malas!$B$2:$B$5000,MATCH(H56,DB_malas!$A$2:$A$5000,0)),$H56="ORG"),"✔",tulkojums!$A$38),tulkojums!$A$39),tulkojums!$A$39))</f>
        <v/>
      </c>
      <c r="Q56" s="2" t="str">
        <f>IF(ISBLANK(I56),"",IF(INDEX(DB_materiali!$E$2:$E$5000,MATCH($C56,DB_materiali!$A$2:$A$5000,0))&gt;=INDEX(DB_malas!$C$2:$C$5000,MATCH(I56,DB_malas!$A$2:$A$5000,0)),IF(INDEX(DB_materiali!$E$2:$E$5000,MATCH($C56,DB_materiali!$A$2:$A$5000,0))&lt;=INDEX(DB_malas!$D$2:$D$5000,MATCH(I56,DB_malas!$A$2:$A$5000,0)),IF(OR(INDEX(DB_materiali!$B$2:$B$5000,MATCH($C56,DB_materiali!$A$2:$A$5000,0))=INDEX(DB_malas!$B$2:$B$5000,MATCH(I56,DB_malas!$A$2:$A$5000,0)),$H56="ORG"),"✔",tulkojums!$A$38),tulkojums!$A$39),tulkojums!$A$39))</f>
        <v/>
      </c>
      <c r="R56" s="2" t="str">
        <f>IF(ISBLANK(J56),"",IF(INDEX(DB_materiali!$E$2:$E$5000,MATCH($C56,DB_materiali!$A$2:$A$5000,0))&gt;=INDEX(DB_malas!$C$2:$C$5000,MATCH(J56,DB_malas!$A$2:$A$5000,0)),IF(INDEX(DB_materiali!$E$2:$E$5000,MATCH($C56,DB_materiali!$A$2:$A$5000,0))&lt;=INDEX(DB_malas!$D$2:$D$5000,MATCH(J56,DB_malas!$A$2:$A$5000,0)),IF(INDEX(DB_materiali!$B$2:$B$5000,MATCH($C56,DB_materiali!$A$2:$A$5000,0))=INDEX(DB_malas!$B$2:$B$5000,MATCH(J56,DB_malas!$A$2:$A$5000,0)),"✔",tulkojums!$A$38),tulkojums!$A$39),tulkojums!$A$39))</f>
        <v/>
      </c>
      <c r="S56" s="2" t="str">
        <f>IF(ISBLANK(K56),"",IF(INDEX(DB_materiali!$E$2:$E$5000,MATCH($C56,DB_materiali!$A$2:$A$5000,0))&gt;=INDEX(DB_malas!$C$2:$C$5000,MATCH(K56,DB_malas!$A$2:$A$5000,0)),IF(INDEX(DB_materiali!$E$2:$E$5000,MATCH($C56,DB_materiali!$A$2:$A$5000,0))&lt;=INDEX(DB_malas!$D$2:$D$5000,MATCH(K56,DB_malas!$A$2:$A$5000,0)),IF(INDEX(DB_materiali!$B$2:$B$5000,MATCH($C56,DB_materiali!$A$2:$A$5000,0))=INDEX(DB_malas!$B$2:$B$5000,MATCH(K56,DB_malas!$A$2:$A$5000,0)),"✔",tulkojums!$A$38),tulkojums!$A$39),tulkojums!$A$39))</f>
        <v/>
      </c>
      <c r="T56" s="2"/>
      <c r="U56" s="2"/>
      <c r="V56" s="2"/>
      <c r="W56" s="2"/>
      <c r="X56" s="2"/>
      <c r="Y56" s="2"/>
      <c r="Z56" s="2"/>
    </row>
    <row r="57" spans="1:26" ht="15.75" customHeight="1">
      <c r="A57" s="17"/>
      <c r="B57" s="18"/>
      <c r="C57" s="19"/>
      <c r="D57" s="55"/>
      <c r="E57" s="55"/>
      <c r="F57" s="56"/>
      <c r="G57" s="57" t="str">
        <f>IF(ISBLANK(C57),"",
   IFERROR(
      IF(
         INDEX(DB_materiali!C$2:C$5000,
               MATCH(C57, DB_materiali!A$2:A$5000, 0)
         )="FALSE",
         "N",
         "Y"
      ),
   "")
)</f>
        <v/>
      </c>
      <c r="H57" s="20"/>
      <c r="I57" s="20"/>
      <c r="J57" s="20"/>
      <c r="K57" s="20"/>
      <c r="M57" s="2" t="str">
        <f>IF(ISBLANK(C57),"",IF(IFERROR(VLOOKUP(C57,DB_materiali!$A$2:$A$5000,1,FALSE),"Kļūda artikulā")=C57,"✔",tulkojums!A$42))</f>
        <v/>
      </c>
      <c r="N57" s="2" t="str">
        <f>IF(ISBLANK(C57),"",IF(ISNUMBER(F57)=TRUE,"✔",tulkojums!A$43))</f>
        <v/>
      </c>
      <c r="O57" s="2" t="str">
        <f>IF(ISBLANK(C57),"",IF(G57="Y","✔",IF(G57="X","✔",IF(G57="N","✔",tulkojums!A$44))))</f>
        <v/>
      </c>
      <c r="P57" s="2" t="str">
        <f>IF(ISBLANK(H57),"",IF(INDEX(DB_materiali!$E$2:$E$5000,MATCH($C57,DB_materiali!$A$2:$A$5000,0))&gt;=INDEX(DB_malas!$C$2:$C$5000,MATCH(H57,DB_malas!$A$2:$A$5000,0)),IF(INDEX(DB_materiali!$E$2:$E$5000,MATCH($C57,DB_materiali!$A$2:$A$5000,0))&lt;=INDEX(DB_malas!$D$2:$D$5000,MATCH(H57,DB_malas!$A$2:$A$5000,0)),IF(OR(INDEX(DB_materiali!$B$2:$B$5000,MATCH($C57,DB_materiali!$A$2:$A$5000,0))=INDEX(DB_malas!$B$2:$B$5000,MATCH(H57,DB_malas!$A$2:$A$5000,0)),$H57="ORG"),"✔",tulkojums!$A$38),tulkojums!$A$39),tulkojums!$A$39))</f>
        <v/>
      </c>
      <c r="Q57" s="2" t="str">
        <f>IF(ISBLANK(I57),"",IF(INDEX(DB_materiali!$E$2:$E$5000,MATCH($C57,DB_materiali!$A$2:$A$5000,0))&gt;=INDEX(DB_malas!$C$2:$C$5000,MATCH(I57,DB_malas!$A$2:$A$5000,0)),IF(INDEX(DB_materiali!$E$2:$E$5000,MATCH($C57,DB_materiali!$A$2:$A$5000,0))&lt;=INDEX(DB_malas!$D$2:$D$5000,MATCH(I57,DB_malas!$A$2:$A$5000,0)),IF(OR(INDEX(DB_materiali!$B$2:$B$5000,MATCH($C57,DB_materiali!$A$2:$A$5000,0))=INDEX(DB_malas!$B$2:$B$5000,MATCH(I57,DB_malas!$A$2:$A$5000,0)),$H57="ORG"),"✔",tulkojums!$A$38),tulkojums!$A$39),tulkojums!$A$39))</f>
        <v/>
      </c>
      <c r="R57" s="2" t="str">
        <f>IF(ISBLANK(J57),"",IF(INDEX(DB_materiali!$E$2:$E$5000,MATCH($C57,DB_materiali!$A$2:$A$5000,0))&gt;=INDEX(DB_malas!$C$2:$C$5000,MATCH(J57,DB_malas!$A$2:$A$5000,0)),IF(INDEX(DB_materiali!$E$2:$E$5000,MATCH($C57,DB_materiali!$A$2:$A$5000,0))&lt;=INDEX(DB_malas!$D$2:$D$5000,MATCH(J57,DB_malas!$A$2:$A$5000,0)),IF(INDEX(DB_materiali!$B$2:$B$5000,MATCH($C57,DB_materiali!$A$2:$A$5000,0))=INDEX(DB_malas!$B$2:$B$5000,MATCH(J57,DB_malas!$A$2:$A$5000,0)),"✔",tulkojums!$A$38),tulkojums!$A$39),tulkojums!$A$39))</f>
        <v/>
      </c>
      <c r="S57" s="2" t="str">
        <f>IF(ISBLANK(K57),"",IF(INDEX(DB_materiali!$E$2:$E$5000,MATCH($C57,DB_materiali!$A$2:$A$5000,0))&gt;=INDEX(DB_malas!$C$2:$C$5000,MATCH(K57,DB_malas!$A$2:$A$5000,0)),IF(INDEX(DB_materiali!$E$2:$E$5000,MATCH($C57,DB_materiali!$A$2:$A$5000,0))&lt;=INDEX(DB_malas!$D$2:$D$5000,MATCH(K57,DB_malas!$A$2:$A$5000,0)),IF(INDEX(DB_materiali!$B$2:$B$5000,MATCH($C57,DB_materiali!$A$2:$A$5000,0))=INDEX(DB_malas!$B$2:$B$5000,MATCH(K57,DB_malas!$A$2:$A$5000,0)),"✔",tulkojums!$A$38),tulkojums!$A$39),tulkojums!$A$39))</f>
        <v/>
      </c>
      <c r="T57" s="2"/>
      <c r="U57" s="2"/>
      <c r="V57" s="2"/>
      <c r="W57" s="2"/>
      <c r="X57" s="2"/>
      <c r="Y57" s="2"/>
      <c r="Z57" s="2"/>
    </row>
    <row r="58" spans="1:26" ht="15.75" customHeight="1">
      <c r="A58" s="17"/>
      <c r="B58" s="18"/>
      <c r="C58" s="19"/>
      <c r="D58" s="55"/>
      <c r="E58" s="55"/>
      <c r="F58" s="56"/>
      <c r="G58" s="57" t="str">
        <f>IF(ISBLANK(C58),"",
   IFERROR(
      IF(
         INDEX(DB_materiali!C$2:C$5000,
               MATCH(C58, DB_materiali!A$2:A$5000, 0)
         )="FALSE",
         "N",
         "Y"
      ),
   "")
)</f>
        <v/>
      </c>
      <c r="H58" s="20"/>
      <c r="I58" s="20"/>
      <c r="J58" s="20"/>
      <c r="K58" s="20"/>
      <c r="M58" s="2" t="str">
        <f>IF(ISBLANK(C58),"",IF(IFERROR(VLOOKUP(C58,DB_materiali!$A$2:$A$5000,1,FALSE),"Kļūda artikulā")=C58,"✔",tulkojums!A$42))</f>
        <v/>
      </c>
      <c r="N58" s="2" t="str">
        <f>IF(ISBLANK(C58),"",IF(ISNUMBER(F58)=TRUE,"✔",tulkojums!A$43))</f>
        <v/>
      </c>
      <c r="O58" s="2" t="str">
        <f>IF(ISBLANK(C58),"",IF(G58="Y","✔",IF(G58="X","✔",IF(G58="N","✔",tulkojums!A$44))))</f>
        <v/>
      </c>
      <c r="P58" s="2" t="str">
        <f>IF(ISBLANK(H58),"",IF(INDEX(DB_materiali!$E$2:$E$5000,MATCH($C58,DB_materiali!$A$2:$A$5000,0))&gt;=INDEX(DB_malas!$C$2:$C$5000,MATCH(H58,DB_malas!$A$2:$A$5000,0)),IF(INDEX(DB_materiali!$E$2:$E$5000,MATCH($C58,DB_materiali!$A$2:$A$5000,0))&lt;=INDEX(DB_malas!$D$2:$D$5000,MATCH(H58,DB_malas!$A$2:$A$5000,0)),IF(OR(INDEX(DB_materiali!$B$2:$B$5000,MATCH($C58,DB_materiali!$A$2:$A$5000,0))=INDEX(DB_malas!$B$2:$B$5000,MATCH(H58,DB_malas!$A$2:$A$5000,0)),$H58="ORG"),"✔",tulkojums!$A$38),tulkojums!$A$39),tulkojums!$A$39))</f>
        <v/>
      </c>
      <c r="Q58" s="2" t="str">
        <f>IF(ISBLANK(I58),"",IF(INDEX(DB_materiali!$E$2:$E$5000,MATCH($C58,DB_materiali!$A$2:$A$5000,0))&gt;=INDEX(DB_malas!$C$2:$C$5000,MATCH(I58,DB_malas!$A$2:$A$5000,0)),IF(INDEX(DB_materiali!$E$2:$E$5000,MATCH($C58,DB_materiali!$A$2:$A$5000,0))&lt;=INDEX(DB_malas!$D$2:$D$5000,MATCH(I58,DB_malas!$A$2:$A$5000,0)),IF(OR(INDEX(DB_materiali!$B$2:$B$5000,MATCH($C58,DB_materiali!$A$2:$A$5000,0))=INDEX(DB_malas!$B$2:$B$5000,MATCH(I58,DB_malas!$A$2:$A$5000,0)),$H58="ORG"),"✔",tulkojums!$A$38),tulkojums!$A$39),tulkojums!$A$39))</f>
        <v/>
      </c>
      <c r="R58" s="2" t="str">
        <f>IF(ISBLANK(J58),"",IF(INDEX(DB_materiali!$E$2:$E$5000,MATCH($C58,DB_materiali!$A$2:$A$5000,0))&gt;=INDEX(DB_malas!$C$2:$C$5000,MATCH(J58,DB_malas!$A$2:$A$5000,0)),IF(INDEX(DB_materiali!$E$2:$E$5000,MATCH($C58,DB_materiali!$A$2:$A$5000,0))&lt;=INDEX(DB_malas!$D$2:$D$5000,MATCH(J58,DB_malas!$A$2:$A$5000,0)),IF(INDEX(DB_materiali!$B$2:$B$5000,MATCH($C58,DB_materiali!$A$2:$A$5000,0))=INDEX(DB_malas!$B$2:$B$5000,MATCH(J58,DB_malas!$A$2:$A$5000,0)),"✔",tulkojums!$A$38),tulkojums!$A$39),tulkojums!$A$39))</f>
        <v/>
      </c>
      <c r="S58" s="2" t="str">
        <f>IF(ISBLANK(K58),"",IF(INDEX(DB_materiali!$E$2:$E$5000,MATCH($C58,DB_materiali!$A$2:$A$5000,0))&gt;=INDEX(DB_malas!$C$2:$C$5000,MATCH(K58,DB_malas!$A$2:$A$5000,0)),IF(INDEX(DB_materiali!$E$2:$E$5000,MATCH($C58,DB_materiali!$A$2:$A$5000,0))&lt;=INDEX(DB_malas!$D$2:$D$5000,MATCH(K58,DB_malas!$A$2:$A$5000,0)),IF(INDEX(DB_materiali!$B$2:$B$5000,MATCH($C58,DB_materiali!$A$2:$A$5000,0))=INDEX(DB_malas!$B$2:$B$5000,MATCH(K58,DB_malas!$A$2:$A$5000,0)),"✔",tulkojums!$A$38),tulkojums!$A$39),tulkojums!$A$39))</f>
        <v/>
      </c>
      <c r="T58" s="2"/>
      <c r="U58" s="2"/>
      <c r="V58" s="2"/>
      <c r="W58" s="2"/>
      <c r="X58" s="2"/>
      <c r="Y58" s="2"/>
      <c r="Z58" s="2"/>
    </row>
    <row r="59" spans="1:26" ht="15.75" customHeight="1">
      <c r="A59" s="17"/>
      <c r="B59" s="18"/>
      <c r="C59" s="19"/>
      <c r="D59" s="55"/>
      <c r="E59" s="55"/>
      <c r="F59" s="56"/>
      <c r="G59" s="57" t="str">
        <f>IF(ISBLANK(C59),"",
   IFERROR(
      IF(
         INDEX(DB_materiali!C$2:C$5000,
               MATCH(C59, DB_materiali!A$2:A$5000, 0)
         )="FALSE",
         "N",
         "Y"
      ),
   "")
)</f>
        <v/>
      </c>
      <c r="H59" s="20"/>
      <c r="I59" s="20"/>
      <c r="J59" s="20"/>
      <c r="K59" s="20"/>
      <c r="M59" s="2" t="str">
        <f>IF(ISBLANK(C59),"",IF(IFERROR(VLOOKUP(C59,DB_materiali!$A$2:$A$5000,1,FALSE),"Kļūda artikulā")=C59,"✔",tulkojums!A$42))</f>
        <v/>
      </c>
      <c r="N59" s="2" t="str">
        <f>IF(ISBLANK(C59),"",IF(ISNUMBER(F59)=TRUE,"✔",tulkojums!A$43))</f>
        <v/>
      </c>
      <c r="O59" s="2" t="str">
        <f>IF(ISBLANK(C59),"",IF(G59="Y","✔",IF(G59="X","✔",IF(G59="N","✔",tulkojums!A$44))))</f>
        <v/>
      </c>
      <c r="P59" s="2" t="str">
        <f>IF(ISBLANK(H59),"",IF(INDEX(DB_materiali!$E$2:$E$5000,MATCH($C59,DB_materiali!$A$2:$A$5000,0))&gt;=INDEX(DB_malas!$C$2:$C$5000,MATCH(H59,DB_malas!$A$2:$A$5000,0)),IF(INDEX(DB_materiali!$E$2:$E$5000,MATCH($C59,DB_materiali!$A$2:$A$5000,0))&lt;=INDEX(DB_malas!$D$2:$D$5000,MATCH(H59,DB_malas!$A$2:$A$5000,0)),IF(OR(INDEX(DB_materiali!$B$2:$B$5000,MATCH($C59,DB_materiali!$A$2:$A$5000,0))=INDEX(DB_malas!$B$2:$B$5000,MATCH(H59,DB_malas!$A$2:$A$5000,0)),$H59="ORG"),"✔",tulkojums!$A$38),tulkojums!$A$39),tulkojums!$A$39))</f>
        <v/>
      </c>
      <c r="Q59" s="2" t="str">
        <f>IF(ISBLANK(I59),"",IF(INDEX(DB_materiali!$E$2:$E$5000,MATCH($C59,DB_materiali!$A$2:$A$5000,0))&gt;=INDEX(DB_malas!$C$2:$C$5000,MATCH(I59,DB_malas!$A$2:$A$5000,0)),IF(INDEX(DB_materiali!$E$2:$E$5000,MATCH($C59,DB_materiali!$A$2:$A$5000,0))&lt;=INDEX(DB_malas!$D$2:$D$5000,MATCH(I59,DB_malas!$A$2:$A$5000,0)),IF(OR(INDEX(DB_materiali!$B$2:$B$5000,MATCH($C59,DB_materiali!$A$2:$A$5000,0))=INDEX(DB_malas!$B$2:$B$5000,MATCH(I59,DB_malas!$A$2:$A$5000,0)),$H59="ORG"),"✔",tulkojums!$A$38),tulkojums!$A$39),tulkojums!$A$39))</f>
        <v/>
      </c>
      <c r="R59" s="2" t="str">
        <f>IF(ISBLANK(J59),"",IF(INDEX(DB_materiali!$E$2:$E$5000,MATCH($C59,DB_materiali!$A$2:$A$5000,0))&gt;=INDEX(DB_malas!$C$2:$C$5000,MATCH(J59,DB_malas!$A$2:$A$5000,0)),IF(INDEX(DB_materiali!$E$2:$E$5000,MATCH($C59,DB_materiali!$A$2:$A$5000,0))&lt;=INDEX(DB_malas!$D$2:$D$5000,MATCH(J59,DB_malas!$A$2:$A$5000,0)),IF(INDEX(DB_materiali!$B$2:$B$5000,MATCH($C59,DB_materiali!$A$2:$A$5000,0))=INDEX(DB_malas!$B$2:$B$5000,MATCH(J59,DB_malas!$A$2:$A$5000,0)),"✔",tulkojums!$A$38),tulkojums!$A$39),tulkojums!$A$39))</f>
        <v/>
      </c>
      <c r="S59" s="2" t="str">
        <f>IF(ISBLANK(K59),"",IF(INDEX(DB_materiali!$E$2:$E$5000,MATCH($C59,DB_materiali!$A$2:$A$5000,0))&gt;=INDEX(DB_malas!$C$2:$C$5000,MATCH(K59,DB_malas!$A$2:$A$5000,0)),IF(INDEX(DB_materiali!$E$2:$E$5000,MATCH($C59,DB_materiali!$A$2:$A$5000,0))&lt;=INDEX(DB_malas!$D$2:$D$5000,MATCH(K59,DB_malas!$A$2:$A$5000,0)),IF(INDEX(DB_materiali!$B$2:$B$5000,MATCH($C59,DB_materiali!$A$2:$A$5000,0))=INDEX(DB_malas!$B$2:$B$5000,MATCH(K59,DB_malas!$A$2:$A$5000,0)),"✔",tulkojums!$A$38),tulkojums!$A$39),tulkojums!$A$39))</f>
        <v/>
      </c>
      <c r="T59" s="2"/>
      <c r="U59" s="2"/>
      <c r="V59" s="2"/>
      <c r="W59" s="2"/>
      <c r="X59" s="2"/>
      <c r="Y59" s="2"/>
      <c r="Z59" s="2"/>
    </row>
    <row r="60" spans="1:26" ht="15.75" customHeight="1">
      <c r="A60" s="17"/>
      <c r="B60" s="18"/>
      <c r="C60" s="21"/>
      <c r="D60" s="55"/>
      <c r="E60" s="55"/>
      <c r="F60" s="56"/>
      <c r="G60" s="57" t="str">
        <f>IF(ISBLANK(C60),"",
   IFERROR(
      IF(
         INDEX(DB_materiali!C$2:C$5000,
               MATCH(C60, DB_materiali!A$2:A$5000, 0)
         )="FALSE",
         "N",
         "Y"
      ),
   "")
)</f>
        <v/>
      </c>
      <c r="H60" s="20"/>
      <c r="I60" s="20"/>
      <c r="J60" s="20"/>
      <c r="K60" s="20"/>
      <c r="M60" s="2" t="str">
        <f>IF(ISBLANK(C60),"",IF(IFERROR(VLOOKUP(C60,DB_materiali!$A$2:$A$5000,1,FALSE),"Kļūda artikulā")=C60,"✔",tulkojums!A$42))</f>
        <v/>
      </c>
      <c r="N60" s="2" t="str">
        <f>IF(ISBLANK(C60),"",IF(ISNUMBER(F60)=TRUE,"✔",tulkojums!A$43))</f>
        <v/>
      </c>
      <c r="O60" s="2" t="str">
        <f>IF(ISBLANK(C60),"",IF(G60="Y","✔",IF(G60="X","✔",IF(G60="N","✔",tulkojums!A$44))))</f>
        <v/>
      </c>
      <c r="P60" s="2" t="str">
        <f>IF(ISBLANK(H60),"",IF(INDEX(DB_materiali!$E$2:$E$5000,MATCH($C60,DB_materiali!$A$2:$A$5000,0))&gt;=INDEX(DB_malas!$C$2:$C$5000,MATCH(H60,DB_malas!$A$2:$A$5000,0)),IF(INDEX(DB_materiali!$E$2:$E$5000,MATCH($C60,DB_materiali!$A$2:$A$5000,0))&lt;=INDEX(DB_malas!$D$2:$D$5000,MATCH(H60,DB_malas!$A$2:$A$5000,0)),IF(OR(INDEX(DB_materiali!$B$2:$B$5000,MATCH($C60,DB_materiali!$A$2:$A$5000,0))=INDEX(DB_malas!$B$2:$B$5000,MATCH(H60,DB_malas!$A$2:$A$5000,0)),$H60="ORG"),"✔",tulkojums!$A$38),tulkojums!$A$39),tulkojums!$A$39))</f>
        <v/>
      </c>
      <c r="Q60" s="2" t="str">
        <f>IF(ISBLANK(I60),"",IF(INDEX(DB_materiali!$E$2:$E$5000,MATCH($C60,DB_materiali!$A$2:$A$5000,0))&gt;=INDEX(DB_malas!$C$2:$C$5000,MATCH(I60,DB_malas!$A$2:$A$5000,0)),IF(INDEX(DB_materiali!$E$2:$E$5000,MATCH($C60,DB_materiali!$A$2:$A$5000,0))&lt;=INDEX(DB_malas!$D$2:$D$5000,MATCH(I60,DB_malas!$A$2:$A$5000,0)),IF(OR(INDEX(DB_materiali!$B$2:$B$5000,MATCH($C60,DB_materiali!$A$2:$A$5000,0))=INDEX(DB_malas!$B$2:$B$5000,MATCH(I60,DB_malas!$A$2:$A$5000,0)),$H60="ORG"),"✔",tulkojums!$A$38),tulkojums!$A$39),tulkojums!$A$39))</f>
        <v/>
      </c>
      <c r="R60" s="2" t="str">
        <f>IF(ISBLANK(J60),"",IF(INDEX(DB_materiali!$E$2:$E$5000,MATCH($C60,DB_materiali!$A$2:$A$5000,0))&gt;=INDEX(DB_malas!$C$2:$C$5000,MATCH(J60,DB_malas!$A$2:$A$5000,0)),IF(INDEX(DB_materiali!$E$2:$E$5000,MATCH($C60,DB_materiali!$A$2:$A$5000,0))&lt;=INDEX(DB_malas!$D$2:$D$5000,MATCH(J60,DB_malas!$A$2:$A$5000,0)),IF(INDEX(DB_materiali!$B$2:$B$5000,MATCH($C60,DB_materiali!$A$2:$A$5000,0))=INDEX(DB_malas!$B$2:$B$5000,MATCH(J60,DB_malas!$A$2:$A$5000,0)),"✔",tulkojums!$A$38),tulkojums!$A$39),tulkojums!$A$39))</f>
        <v/>
      </c>
      <c r="S60" s="2" t="str">
        <f>IF(ISBLANK(K60),"",IF(INDEX(DB_materiali!$E$2:$E$5000,MATCH($C60,DB_materiali!$A$2:$A$5000,0))&gt;=INDEX(DB_malas!$C$2:$C$5000,MATCH(K60,DB_malas!$A$2:$A$5000,0)),IF(INDEX(DB_materiali!$E$2:$E$5000,MATCH($C60,DB_materiali!$A$2:$A$5000,0))&lt;=INDEX(DB_malas!$D$2:$D$5000,MATCH(K60,DB_malas!$A$2:$A$5000,0)),IF(INDEX(DB_materiali!$B$2:$B$5000,MATCH($C60,DB_materiali!$A$2:$A$5000,0))=INDEX(DB_malas!$B$2:$B$5000,MATCH(K60,DB_malas!$A$2:$A$5000,0)),"✔",tulkojums!$A$38),tulkojums!$A$39),tulkojums!$A$39))</f>
        <v/>
      </c>
      <c r="T60" s="2"/>
      <c r="U60" s="2"/>
      <c r="V60" s="2"/>
      <c r="W60" s="2"/>
      <c r="X60" s="2"/>
      <c r="Y60" s="2"/>
      <c r="Z60" s="2"/>
    </row>
    <row r="61" spans="1:26" ht="15.75" customHeight="1">
      <c r="A61" s="17"/>
      <c r="B61" s="18"/>
      <c r="C61" s="19"/>
      <c r="D61" s="55"/>
      <c r="E61" s="55"/>
      <c r="F61" s="56"/>
      <c r="G61" s="57" t="str">
        <f>IF(ISBLANK(C61),"",
   IFERROR(
      IF(
         INDEX(DB_materiali!C$2:C$5000,
               MATCH(C61, DB_materiali!A$2:A$5000, 0)
         )="FALSE",
         "N",
         "Y"
      ),
   "")
)</f>
        <v/>
      </c>
      <c r="H61" s="20"/>
      <c r="I61" s="20"/>
      <c r="J61" s="20"/>
      <c r="K61" s="20"/>
      <c r="M61" s="2" t="str">
        <f>IF(ISBLANK(C61),"",IF(IFERROR(VLOOKUP(C61,DB_materiali!$A$2:$A$5000,1,FALSE),"Kļūda artikulā")=C61,"✔",tulkojums!A$42))</f>
        <v/>
      </c>
      <c r="N61" s="2" t="str">
        <f>IF(ISBLANK(C61),"",IF(ISNUMBER(F61)=TRUE,"✔",tulkojums!A$43))</f>
        <v/>
      </c>
      <c r="O61" s="2" t="str">
        <f>IF(ISBLANK(C61),"",IF(G61="Y","✔",IF(G61="X","✔",IF(G61="N","✔",tulkojums!A$44))))</f>
        <v/>
      </c>
      <c r="P61" s="2" t="str">
        <f>IF(ISBLANK(H61),"",IF(INDEX(DB_materiali!$E$2:$E$5000,MATCH($C61,DB_materiali!$A$2:$A$5000,0))&gt;=INDEX(DB_malas!$C$2:$C$5000,MATCH(H61,DB_malas!$A$2:$A$5000,0)),IF(INDEX(DB_materiali!$E$2:$E$5000,MATCH($C61,DB_materiali!$A$2:$A$5000,0))&lt;=INDEX(DB_malas!$D$2:$D$5000,MATCH(H61,DB_malas!$A$2:$A$5000,0)),IF(OR(INDEX(DB_materiali!$B$2:$B$5000,MATCH($C61,DB_materiali!$A$2:$A$5000,0))=INDEX(DB_malas!$B$2:$B$5000,MATCH(H61,DB_malas!$A$2:$A$5000,0)),$H61="ORG"),"✔",tulkojums!$A$38),tulkojums!$A$39),tulkojums!$A$39))</f>
        <v/>
      </c>
      <c r="Q61" s="2" t="str">
        <f>IF(ISBLANK(I61),"",IF(INDEX(DB_materiali!$E$2:$E$5000,MATCH($C61,DB_materiali!$A$2:$A$5000,0))&gt;=INDEX(DB_malas!$C$2:$C$5000,MATCH(I61,DB_malas!$A$2:$A$5000,0)),IF(INDEX(DB_materiali!$E$2:$E$5000,MATCH($C61,DB_materiali!$A$2:$A$5000,0))&lt;=INDEX(DB_malas!$D$2:$D$5000,MATCH(I61,DB_malas!$A$2:$A$5000,0)),IF(OR(INDEX(DB_materiali!$B$2:$B$5000,MATCH($C61,DB_materiali!$A$2:$A$5000,0))=INDEX(DB_malas!$B$2:$B$5000,MATCH(I61,DB_malas!$A$2:$A$5000,0)),$H61="ORG"),"✔",tulkojums!$A$38),tulkojums!$A$39),tulkojums!$A$39))</f>
        <v/>
      </c>
      <c r="R61" s="2" t="str">
        <f>IF(ISBLANK(J61),"",IF(INDEX(DB_materiali!$E$2:$E$5000,MATCH($C61,DB_materiali!$A$2:$A$5000,0))&gt;=INDEX(DB_malas!$C$2:$C$5000,MATCH(J61,DB_malas!$A$2:$A$5000,0)),IF(INDEX(DB_materiali!$E$2:$E$5000,MATCH($C61,DB_materiali!$A$2:$A$5000,0))&lt;=INDEX(DB_malas!$D$2:$D$5000,MATCH(J61,DB_malas!$A$2:$A$5000,0)),IF(INDEX(DB_materiali!$B$2:$B$5000,MATCH($C61,DB_materiali!$A$2:$A$5000,0))=INDEX(DB_malas!$B$2:$B$5000,MATCH(J61,DB_malas!$A$2:$A$5000,0)),"✔",tulkojums!$A$38),tulkojums!$A$39),tulkojums!$A$39))</f>
        <v/>
      </c>
      <c r="S61" s="2" t="str">
        <f>IF(ISBLANK(K61),"",IF(INDEX(DB_materiali!$E$2:$E$5000,MATCH($C61,DB_materiali!$A$2:$A$5000,0))&gt;=INDEX(DB_malas!$C$2:$C$5000,MATCH(K61,DB_malas!$A$2:$A$5000,0)),IF(INDEX(DB_materiali!$E$2:$E$5000,MATCH($C61,DB_materiali!$A$2:$A$5000,0))&lt;=INDEX(DB_malas!$D$2:$D$5000,MATCH(K61,DB_malas!$A$2:$A$5000,0)),IF(INDEX(DB_materiali!$B$2:$B$5000,MATCH($C61,DB_materiali!$A$2:$A$5000,0))=INDEX(DB_malas!$B$2:$B$5000,MATCH(K61,DB_malas!$A$2:$A$5000,0)),"✔",tulkojums!$A$38),tulkojums!$A$39),tulkojums!$A$39))</f>
        <v/>
      </c>
      <c r="T61" s="2"/>
      <c r="U61" s="2"/>
      <c r="V61" s="2"/>
      <c r="W61" s="2"/>
      <c r="X61" s="2"/>
      <c r="Y61" s="2"/>
      <c r="Z61" s="2"/>
    </row>
    <row r="62" spans="1:26" ht="15.75" customHeight="1">
      <c r="A62" s="17"/>
      <c r="B62" s="21"/>
      <c r="C62" s="19"/>
      <c r="D62" s="55"/>
      <c r="E62" s="55"/>
      <c r="F62" s="56"/>
      <c r="G62" s="57" t="str">
        <f>IF(ISBLANK(C62),"",
   IFERROR(
      IF(
         INDEX(DB_materiali!C$2:C$5000,
               MATCH(C62, DB_materiali!A$2:A$5000, 0)
         )="FALSE",
         "N",
         "Y"
      ),
   "")
)</f>
        <v/>
      </c>
      <c r="H62" s="20"/>
      <c r="I62" s="20"/>
      <c r="J62" s="20"/>
      <c r="K62" s="20"/>
      <c r="M62" s="2" t="str">
        <f>IF(ISBLANK(C62),"",IF(IFERROR(VLOOKUP(C62,DB_materiali!$A$2:$A$5000,1,FALSE),"Kļūda artikulā")=C62,"✔",tulkojums!A$42))</f>
        <v/>
      </c>
      <c r="N62" s="2" t="str">
        <f>IF(ISBLANK(C62),"",IF(ISNUMBER(F62)=TRUE,"✔",tulkojums!A$43))</f>
        <v/>
      </c>
      <c r="O62" s="2" t="str">
        <f>IF(ISBLANK(C62),"",IF(G62="Y","✔",IF(G62="X","✔",IF(G62="N","✔",tulkojums!A$44))))</f>
        <v/>
      </c>
      <c r="P62" s="2" t="str">
        <f>IF(ISBLANK(H62),"",IF(INDEX(DB_materiali!$E$2:$E$5000,MATCH($C62,DB_materiali!$A$2:$A$5000,0))&gt;=INDEX(DB_malas!$C$2:$C$5000,MATCH(H62,DB_malas!$A$2:$A$5000,0)),IF(INDEX(DB_materiali!$E$2:$E$5000,MATCH($C62,DB_materiali!$A$2:$A$5000,0))&lt;=INDEX(DB_malas!$D$2:$D$5000,MATCH(H62,DB_malas!$A$2:$A$5000,0)),IF(OR(INDEX(DB_materiali!$B$2:$B$5000,MATCH($C62,DB_materiali!$A$2:$A$5000,0))=INDEX(DB_malas!$B$2:$B$5000,MATCH(H62,DB_malas!$A$2:$A$5000,0)),$H62="ORG"),"✔",tulkojums!$A$38),tulkojums!$A$39),tulkojums!$A$39))</f>
        <v/>
      </c>
      <c r="Q62" s="2" t="str">
        <f>IF(ISBLANK(I62),"",IF(INDEX(DB_materiali!$E$2:$E$5000,MATCH($C62,DB_materiali!$A$2:$A$5000,0))&gt;=INDEX(DB_malas!$C$2:$C$5000,MATCH(I62,DB_malas!$A$2:$A$5000,0)),IF(INDEX(DB_materiali!$E$2:$E$5000,MATCH($C62,DB_materiali!$A$2:$A$5000,0))&lt;=INDEX(DB_malas!$D$2:$D$5000,MATCH(I62,DB_malas!$A$2:$A$5000,0)),IF(OR(INDEX(DB_materiali!$B$2:$B$5000,MATCH($C62,DB_materiali!$A$2:$A$5000,0))=INDEX(DB_malas!$B$2:$B$5000,MATCH(I62,DB_malas!$A$2:$A$5000,0)),$H62="ORG"),"✔",tulkojums!$A$38),tulkojums!$A$39),tulkojums!$A$39))</f>
        <v/>
      </c>
      <c r="R62" s="2" t="str">
        <f>IF(ISBLANK(J62),"",IF(INDEX(DB_materiali!$E$2:$E$5000,MATCH($C62,DB_materiali!$A$2:$A$5000,0))&gt;=INDEX(DB_malas!$C$2:$C$5000,MATCH(J62,DB_malas!$A$2:$A$5000,0)),IF(INDEX(DB_materiali!$E$2:$E$5000,MATCH($C62,DB_materiali!$A$2:$A$5000,0))&lt;=INDEX(DB_malas!$D$2:$D$5000,MATCH(J62,DB_malas!$A$2:$A$5000,0)),IF(INDEX(DB_materiali!$B$2:$B$5000,MATCH($C62,DB_materiali!$A$2:$A$5000,0))=INDEX(DB_malas!$B$2:$B$5000,MATCH(J62,DB_malas!$A$2:$A$5000,0)),"✔",tulkojums!$A$38),tulkojums!$A$39),tulkojums!$A$39))</f>
        <v/>
      </c>
      <c r="S62" s="2" t="str">
        <f>IF(ISBLANK(K62),"",IF(INDEX(DB_materiali!$E$2:$E$5000,MATCH($C62,DB_materiali!$A$2:$A$5000,0))&gt;=INDEX(DB_malas!$C$2:$C$5000,MATCH(K62,DB_malas!$A$2:$A$5000,0)),IF(INDEX(DB_materiali!$E$2:$E$5000,MATCH($C62,DB_materiali!$A$2:$A$5000,0))&lt;=INDEX(DB_malas!$D$2:$D$5000,MATCH(K62,DB_malas!$A$2:$A$5000,0)),IF(INDEX(DB_materiali!$B$2:$B$5000,MATCH($C62,DB_materiali!$A$2:$A$5000,0))=INDEX(DB_malas!$B$2:$B$5000,MATCH(K62,DB_malas!$A$2:$A$5000,0)),"✔",tulkojums!$A$38),tulkojums!$A$39),tulkojums!$A$39))</f>
        <v/>
      </c>
      <c r="T62" s="2"/>
      <c r="U62" s="2"/>
      <c r="V62" s="2"/>
      <c r="W62" s="2"/>
      <c r="X62" s="2"/>
      <c r="Y62" s="2"/>
      <c r="Z62" s="2"/>
    </row>
    <row r="63" spans="1:26" ht="15.75" customHeight="1">
      <c r="A63" s="17"/>
      <c r="B63" s="19"/>
      <c r="C63" s="19"/>
      <c r="D63" s="55"/>
      <c r="E63" s="55"/>
      <c r="F63" s="56"/>
      <c r="G63" s="57" t="str">
        <f>IF(ISBLANK(C63),"",
   IFERROR(
      IF(
         INDEX(DB_materiali!C$2:C$5000,
               MATCH(C63, DB_materiali!A$2:A$5000, 0)
         )="FALSE",
         "N",
         "Y"
      ),
   "")
)</f>
        <v/>
      </c>
      <c r="H63" s="20"/>
      <c r="I63" s="20"/>
      <c r="J63" s="20"/>
      <c r="K63" s="20"/>
      <c r="M63" s="2" t="str">
        <f>IF(ISBLANK(C63),"",IF(IFERROR(VLOOKUP(C63,DB_materiali!$A$2:$A$5000,1,FALSE),"Kļūda artikulā")=C63,"✔",tulkojums!A$42))</f>
        <v/>
      </c>
      <c r="N63" s="2" t="str">
        <f>IF(ISBLANK(C63),"",IF(ISNUMBER(F63)=TRUE,"✔",tulkojums!A$43))</f>
        <v/>
      </c>
      <c r="O63" s="2" t="str">
        <f>IF(ISBLANK(C63),"",IF(G63="Y","✔",IF(G63="X","✔",IF(G63="N","✔",tulkojums!A$44))))</f>
        <v/>
      </c>
      <c r="P63" s="2" t="str">
        <f>IF(ISBLANK(H63),"",IF(INDEX(DB_materiali!$E$2:$E$5000,MATCH($C63,DB_materiali!$A$2:$A$5000,0))&gt;=INDEX(DB_malas!$C$2:$C$5000,MATCH(H63,DB_malas!$A$2:$A$5000,0)),IF(INDEX(DB_materiali!$E$2:$E$5000,MATCH($C63,DB_materiali!$A$2:$A$5000,0))&lt;=INDEX(DB_malas!$D$2:$D$5000,MATCH(H63,DB_malas!$A$2:$A$5000,0)),IF(OR(INDEX(DB_materiali!$B$2:$B$5000,MATCH($C63,DB_materiali!$A$2:$A$5000,0))=INDEX(DB_malas!$B$2:$B$5000,MATCH(H63,DB_malas!$A$2:$A$5000,0)),$H63="ORG"),"✔",tulkojums!$A$38),tulkojums!$A$39),tulkojums!$A$39))</f>
        <v/>
      </c>
      <c r="Q63" s="2" t="str">
        <f>IF(ISBLANK(I63),"",IF(INDEX(DB_materiali!$E$2:$E$5000,MATCH($C63,DB_materiali!$A$2:$A$5000,0))&gt;=INDEX(DB_malas!$C$2:$C$5000,MATCH(I63,DB_malas!$A$2:$A$5000,0)),IF(INDEX(DB_materiali!$E$2:$E$5000,MATCH($C63,DB_materiali!$A$2:$A$5000,0))&lt;=INDEX(DB_malas!$D$2:$D$5000,MATCH(I63,DB_malas!$A$2:$A$5000,0)),IF(OR(INDEX(DB_materiali!$B$2:$B$5000,MATCH($C63,DB_materiali!$A$2:$A$5000,0))=INDEX(DB_malas!$B$2:$B$5000,MATCH(I63,DB_malas!$A$2:$A$5000,0)),$H63="ORG"),"✔",tulkojums!$A$38),tulkojums!$A$39),tulkojums!$A$39))</f>
        <v/>
      </c>
      <c r="R63" s="2" t="str">
        <f>IF(ISBLANK(J63),"",IF(INDEX(DB_materiali!$E$2:$E$5000,MATCH($C63,DB_materiali!$A$2:$A$5000,0))&gt;=INDEX(DB_malas!$C$2:$C$5000,MATCH(J63,DB_malas!$A$2:$A$5000,0)),IF(INDEX(DB_materiali!$E$2:$E$5000,MATCH($C63,DB_materiali!$A$2:$A$5000,0))&lt;=INDEX(DB_malas!$D$2:$D$5000,MATCH(J63,DB_malas!$A$2:$A$5000,0)),IF(INDEX(DB_materiali!$B$2:$B$5000,MATCH($C63,DB_materiali!$A$2:$A$5000,0))=INDEX(DB_malas!$B$2:$B$5000,MATCH(J63,DB_malas!$A$2:$A$5000,0)),"✔",tulkojums!$A$38),tulkojums!$A$39),tulkojums!$A$39))</f>
        <v/>
      </c>
      <c r="S63" s="2" t="str">
        <f>IF(ISBLANK(K63),"",IF(INDEX(DB_materiali!$E$2:$E$5000,MATCH($C63,DB_materiali!$A$2:$A$5000,0))&gt;=INDEX(DB_malas!$C$2:$C$5000,MATCH(K63,DB_malas!$A$2:$A$5000,0)),IF(INDEX(DB_materiali!$E$2:$E$5000,MATCH($C63,DB_materiali!$A$2:$A$5000,0))&lt;=INDEX(DB_malas!$D$2:$D$5000,MATCH(K63,DB_malas!$A$2:$A$5000,0)),IF(INDEX(DB_materiali!$B$2:$B$5000,MATCH($C63,DB_materiali!$A$2:$A$5000,0))=INDEX(DB_malas!$B$2:$B$5000,MATCH(K63,DB_malas!$A$2:$A$5000,0)),"✔",tulkojums!$A$38),tulkojums!$A$39),tulkojums!$A$39))</f>
        <v/>
      </c>
      <c r="T63" s="2"/>
      <c r="U63" s="2"/>
      <c r="V63" s="2"/>
      <c r="W63" s="2"/>
      <c r="X63" s="2"/>
      <c r="Y63" s="2"/>
      <c r="Z63" s="2"/>
    </row>
    <row r="64" spans="1:26" ht="15.75" customHeight="1">
      <c r="A64" s="17"/>
      <c r="B64" s="19"/>
      <c r="C64" s="19"/>
      <c r="D64" s="55"/>
      <c r="E64" s="55"/>
      <c r="F64" s="56"/>
      <c r="G64" s="57" t="str">
        <f>IF(ISBLANK(C64),"",
   IFERROR(
      IF(
         INDEX(DB_materiali!C$2:C$5000,
               MATCH(C64, DB_materiali!A$2:A$5000, 0)
         )="FALSE",
         "N",
         "Y"
      ),
   "")
)</f>
        <v/>
      </c>
      <c r="H64" s="20"/>
      <c r="I64" s="20"/>
      <c r="J64" s="20"/>
      <c r="K64" s="20"/>
      <c r="M64" s="2" t="str">
        <f>IF(ISBLANK(C64),"",IF(IFERROR(VLOOKUP(C64,DB_materiali!$A$2:$A$5000,1,FALSE),"Kļūda artikulā")=C64,"✔",tulkojums!A$42))</f>
        <v/>
      </c>
      <c r="N64" s="2" t="str">
        <f>IF(ISBLANK(C64),"",IF(ISNUMBER(F64)=TRUE,"✔",tulkojums!A$43))</f>
        <v/>
      </c>
      <c r="O64" s="2" t="str">
        <f>IF(ISBLANK(C64),"",IF(G64="Y","✔",IF(G64="X","✔",IF(G64="N","✔",tulkojums!A$44))))</f>
        <v/>
      </c>
      <c r="P64" s="2" t="str">
        <f>IF(ISBLANK(H64),"",IF(INDEX(DB_materiali!$E$2:$E$5000,MATCH($C64,DB_materiali!$A$2:$A$5000,0))&gt;=INDEX(DB_malas!$C$2:$C$5000,MATCH(H64,DB_malas!$A$2:$A$5000,0)),IF(INDEX(DB_materiali!$E$2:$E$5000,MATCH($C64,DB_materiali!$A$2:$A$5000,0))&lt;=INDEX(DB_malas!$D$2:$D$5000,MATCH(H64,DB_malas!$A$2:$A$5000,0)),IF(OR(INDEX(DB_materiali!$B$2:$B$5000,MATCH($C64,DB_materiali!$A$2:$A$5000,0))=INDEX(DB_malas!$B$2:$B$5000,MATCH(H64,DB_malas!$A$2:$A$5000,0)),$H64="ORG"),"✔",tulkojums!$A$38),tulkojums!$A$39),tulkojums!$A$39))</f>
        <v/>
      </c>
      <c r="Q64" s="2" t="str">
        <f>IF(ISBLANK(I64),"",IF(INDEX(DB_materiali!$E$2:$E$5000,MATCH($C64,DB_materiali!$A$2:$A$5000,0))&gt;=INDEX(DB_malas!$C$2:$C$5000,MATCH(I64,DB_malas!$A$2:$A$5000,0)),IF(INDEX(DB_materiali!$E$2:$E$5000,MATCH($C64,DB_materiali!$A$2:$A$5000,0))&lt;=INDEX(DB_malas!$D$2:$D$5000,MATCH(I64,DB_malas!$A$2:$A$5000,0)),IF(OR(INDEX(DB_materiali!$B$2:$B$5000,MATCH($C64,DB_materiali!$A$2:$A$5000,0))=INDEX(DB_malas!$B$2:$B$5000,MATCH(I64,DB_malas!$A$2:$A$5000,0)),$H64="ORG"),"✔",tulkojums!$A$38),tulkojums!$A$39),tulkojums!$A$39))</f>
        <v/>
      </c>
      <c r="R64" s="2" t="str">
        <f>IF(ISBLANK(J64),"",IF(INDEX(DB_materiali!$E$2:$E$5000,MATCH($C64,DB_materiali!$A$2:$A$5000,0))&gt;=INDEX(DB_malas!$C$2:$C$5000,MATCH(J64,DB_malas!$A$2:$A$5000,0)),IF(INDEX(DB_materiali!$E$2:$E$5000,MATCH($C64,DB_materiali!$A$2:$A$5000,0))&lt;=INDEX(DB_malas!$D$2:$D$5000,MATCH(J64,DB_malas!$A$2:$A$5000,0)),IF(INDEX(DB_materiali!$B$2:$B$5000,MATCH($C64,DB_materiali!$A$2:$A$5000,0))=INDEX(DB_malas!$B$2:$B$5000,MATCH(J64,DB_malas!$A$2:$A$5000,0)),"✔",tulkojums!$A$38),tulkojums!$A$39),tulkojums!$A$39))</f>
        <v/>
      </c>
      <c r="S64" s="2" t="str">
        <f>IF(ISBLANK(K64),"",IF(INDEX(DB_materiali!$E$2:$E$5000,MATCH($C64,DB_materiali!$A$2:$A$5000,0))&gt;=INDEX(DB_malas!$C$2:$C$5000,MATCH(K64,DB_malas!$A$2:$A$5000,0)),IF(INDEX(DB_materiali!$E$2:$E$5000,MATCH($C64,DB_materiali!$A$2:$A$5000,0))&lt;=INDEX(DB_malas!$D$2:$D$5000,MATCH(K64,DB_malas!$A$2:$A$5000,0)),IF(INDEX(DB_materiali!$B$2:$B$5000,MATCH($C64,DB_materiali!$A$2:$A$5000,0))=INDEX(DB_malas!$B$2:$B$5000,MATCH(K64,DB_malas!$A$2:$A$5000,0)),"✔",tulkojums!$A$38),tulkojums!$A$39),tulkojums!$A$39))</f>
        <v/>
      </c>
      <c r="T64" s="2"/>
      <c r="U64" s="2"/>
      <c r="V64" s="2"/>
      <c r="W64" s="2"/>
      <c r="X64" s="2"/>
      <c r="Y64" s="2"/>
      <c r="Z64" s="2"/>
    </row>
    <row r="65" spans="1:26" ht="15.75" customHeight="1">
      <c r="A65" s="17"/>
      <c r="B65" s="19"/>
      <c r="C65" s="22"/>
      <c r="D65" s="55"/>
      <c r="E65" s="55"/>
      <c r="F65" s="56"/>
      <c r="G65" s="57" t="str">
        <f>IF(ISBLANK(C65),"",
   IFERROR(
      IF(
         INDEX(DB_materiali!C$2:C$5000,
               MATCH(C65, DB_materiali!A$2:A$5000, 0)
         )="FALSE",
         "N",
         "Y"
      ),
   "")
)</f>
        <v/>
      </c>
      <c r="H65" s="20"/>
      <c r="I65" s="20"/>
      <c r="J65" s="20"/>
      <c r="K65" s="20"/>
      <c r="M65" s="2" t="str">
        <f>IF(ISBLANK(C65),"",IF(IFERROR(VLOOKUP(C65,DB_materiali!$A$2:$A$5000,1,FALSE),"Kļūda artikulā")=C65,"✔",tulkojums!A$42))</f>
        <v/>
      </c>
      <c r="N65" s="2" t="str">
        <f>IF(ISBLANK(C65),"",IF(ISNUMBER(F65)=TRUE,"✔",tulkojums!A$43))</f>
        <v/>
      </c>
      <c r="O65" s="2" t="str">
        <f>IF(ISBLANK(C65),"",IF(G65="Y","✔",IF(G65="X","✔",IF(G65="N","✔",tulkojums!A$44))))</f>
        <v/>
      </c>
      <c r="P65" s="2" t="str">
        <f>IF(ISBLANK(H65),"",IF(INDEX(DB_materiali!$E$2:$E$5000,MATCH($C65,DB_materiali!$A$2:$A$5000,0))&gt;=INDEX(DB_malas!$C$2:$C$5000,MATCH(H65,DB_malas!$A$2:$A$5000,0)),IF(INDEX(DB_materiali!$E$2:$E$5000,MATCH($C65,DB_materiali!$A$2:$A$5000,0))&lt;=INDEX(DB_malas!$D$2:$D$5000,MATCH(H65,DB_malas!$A$2:$A$5000,0)),IF(OR(INDEX(DB_materiali!$B$2:$B$5000,MATCH($C65,DB_materiali!$A$2:$A$5000,0))=INDEX(DB_malas!$B$2:$B$5000,MATCH(H65,DB_malas!$A$2:$A$5000,0)),$H65="ORG"),"✔",tulkojums!$A$38),tulkojums!$A$39),tulkojums!$A$39))</f>
        <v/>
      </c>
      <c r="Q65" s="2" t="str">
        <f>IF(ISBLANK(I65),"",IF(INDEX(DB_materiali!$E$2:$E$5000,MATCH($C65,DB_materiali!$A$2:$A$5000,0))&gt;=INDEX(DB_malas!$C$2:$C$5000,MATCH(I65,DB_malas!$A$2:$A$5000,0)),IF(INDEX(DB_materiali!$E$2:$E$5000,MATCH($C65,DB_materiali!$A$2:$A$5000,0))&lt;=INDEX(DB_malas!$D$2:$D$5000,MATCH(I65,DB_malas!$A$2:$A$5000,0)),IF(OR(INDEX(DB_materiali!$B$2:$B$5000,MATCH($C65,DB_materiali!$A$2:$A$5000,0))=INDEX(DB_malas!$B$2:$B$5000,MATCH(I65,DB_malas!$A$2:$A$5000,0)),$H65="ORG"),"✔",tulkojums!$A$38),tulkojums!$A$39),tulkojums!$A$39))</f>
        <v/>
      </c>
      <c r="R65" s="2" t="str">
        <f>IF(ISBLANK(J65),"",IF(INDEX(DB_materiali!$E$2:$E$5000,MATCH($C65,DB_materiali!$A$2:$A$5000,0))&gt;=INDEX(DB_malas!$C$2:$C$5000,MATCH(J65,DB_malas!$A$2:$A$5000,0)),IF(INDEX(DB_materiali!$E$2:$E$5000,MATCH($C65,DB_materiali!$A$2:$A$5000,0))&lt;=INDEX(DB_malas!$D$2:$D$5000,MATCH(J65,DB_malas!$A$2:$A$5000,0)),IF(INDEX(DB_materiali!$B$2:$B$5000,MATCH($C65,DB_materiali!$A$2:$A$5000,0))=INDEX(DB_malas!$B$2:$B$5000,MATCH(J65,DB_malas!$A$2:$A$5000,0)),"✔",tulkojums!$A$38),tulkojums!$A$39),tulkojums!$A$39))</f>
        <v/>
      </c>
      <c r="S65" s="2" t="str">
        <f>IF(ISBLANK(K65),"",IF(INDEX(DB_materiali!$E$2:$E$5000,MATCH($C65,DB_materiali!$A$2:$A$5000,0))&gt;=INDEX(DB_malas!$C$2:$C$5000,MATCH(K65,DB_malas!$A$2:$A$5000,0)),IF(INDEX(DB_materiali!$E$2:$E$5000,MATCH($C65,DB_materiali!$A$2:$A$5000,0))&lt;=INDEX(DB_malas!$D$2:$D$5000,MATCH(K65,DB_malas!$A$2:$A$5000,0)),IF(INDEX(DB_materiali!$B$2:$B$5000,MATCH($C65,DB_materiali!$A$2:$A$5000,0))=INDEX(DB_malas!$B$2:$B$5000,MATCH(K65,DB_malas!$A$2:$A$5000,0)),"✔",tulkojums!$A$38),tulkojums!$A$39),tulkojums!$A$39))</f>
        <v/>
      </c>
      <c r="T65" s="2"/>
      <c r="U65" s="2"/>
      <c r="V65" s="2"/>
      <c r="W65" s="2"/>
      <c r="X65" s="2"/>
      <c r="Y65" s="2"/>
      <c r="Z65" s="2"/>
    </row>
    <row r="66" spans="1:26" ht="15.75" customHeight="1">
      <c r="A66" s="17"/>
      <c r="B66" s="19"/>
      <c r="C66" s="22"/>
      <c r="D66" s="55"/>
      <c r="E66" s="55"/>
      <c r="F66" s="56"/>
      <c r="G66" s="57" t="str">
        <f>IF(ISBLANK(C66),"",
   IFERROR(
      IF(
         INDEX(DB_materiali!C$2:C$5000,
               MATCH(C66, DB_materiali!A$2:A$5000, 0)
         )="FALSE",
         "N",
         "Y"
      ),
   "")
)</f>
        <v/>
      </c>
      <c r="H66" s="20"/>
      <c r="I66" s="20"/>
      <c r="J66" s="20"/>
      <c r="K66" s="20"/>
      <c r="M66" s="2" t="str">
        <f>IF(ISBLANK(C66),"",IF(IFERROR(VLOOKUP(C66,DB_materiali!$A$2:$A$5000,1,FALSE),"Kļūda artikulā")=C66,"✔",tulkojums!A$42))</f>
        <v/>
      </c>
      <c r="N66" s="2" t="str">
        <f>IF(ISBLANK(C66),"",IF(ISNUMBER(F66)=TRUE,"✔",tulkojums!A$43))</f>
        <v/>
      </c>
      <c r="O66" s="2" t="str">
        <f>IF(ISBLANK(C66),"",IF(G66="Y","✔",IF(G66="X","✔",IF(G66="N","✔",tulkojums!A$44))))</f>
        <v/>
      </c>
      <c r="P66" s="2" t="str">
        <f>IF(ISBLANK(H66),"",IF(INDEX(DB_materiali!$E$2:$E$5000,MATCH($C66,DB_materiali!$A$2:$A$5000,0))&gt;=INDEX(DB_malas!$C$2:$C$5000,MATCH(H66,DB_malas!$A$2:$A$5000,0)),IF(INDEX(DB_materiali!$E$2:$E$5000,MATCH($C66,DB_materiali!$A$2:$A$5000,0))&lt;=INDEX(DB_malas!$D$2:$D$5000,MATCH(H66,DB_malas!$A$2:$A$5000,0)),IF(OR(INDEX(DB_materiali!$B$2:$B$5000,MATCH($C66,DB_materiali!$A$2:$A$5000,0))=INDEX(DB_malas!$B$2:$B$5000,MATCH(H66,DB_malas!$A$2:$A$5000,0)),$H66="ORG"),"✔",tulkojums!$A$38),tulkojums!$A$39),tulkojums!$A$39))</f>
        <v/>
      </c>
      <c r="Q66" s="2" t="str">
        <f>IF(ISBLANK(I66),"",IF(INDEX(DB_materiali!$E$2:$E$5000,MATCH($C66,DB_materiali!$A$2:$A$5000,0))&gt;=INDEX(DB_malas!$C$2:$C$5000,MATCH(I66,DB_malas!$A$2:$A$5000,0)),IF(INDEX(DB_materiali!$E$2:$E$5000,MATCH($C66,DB_materiali!$A$2:$A$5000,0))&lt;=INDEX(DB_malas!$D$2:$D$5000,MATCH(I66,DB_malas!$A$2:$A$5000,0)),IF(OR(INDEX(DB_materiali!$B$2:$B$5000,MATCH($C66,DB_materiali!$A$2:$A$5000,0))=INDEX(DB_malas!$B$2:$B$5000,MATCH(I66,DB_malas!$A$2:$A$5000,0)),$H66="ORG"),"✔",tulkojums!$A$38),tulkojums!$A$39),tulkojums!$A$39))</f>
        <v/>
      </c>
      <c r="R66" s="2" t="str">
        <f>IF(ISBLANK(J66),"",IF(INDEX(DB_materiali!$E$2:$E$5000,MATCH($C66,DB_materiali!$A$2:$A$5000,0))&gt;=INDEX(DB_malas!$C$2:$C$5000,MATCH(J66,DB_malas!$A$2:$A$5000,0)),IF(INDEX(DB_materiali!$E$2:$E$5000,MATCH($C66,DB_materiali!$A$2:$A$5000,0))&lt;=INDEX(DB_malas!$D$2:$D$5000,MATCH(J66,DB_malas!$A$2:$A$5000,0)),IF(INDEX(DB_materiali!$B$2:$B$5000,MATCH($C66,DB_materiali!$A$2:$A$5000,0))=INDEX(DB_malas!$B$2:$B$5000,MATCH(J66,DB_malas!$A$2:$A$5000,0)),"✔",tulkojums!$A$38),tulkojums!$A$39),tulkojums!$A$39))</f>
        <v/>
      </c>
      <c r="S66" s="2" t="str">
        <f>IF(ISBLANK(K66),"",IF(INDEX(DB_materiali!$E$2:$E$5000,MATCH($C66,DB_materiali!$A$2:$A$5000,0))&gt;=INDEX(DB_malas!$C$2:$C$5000,MATCH(K66,DB_malas!$A$2:$A$5000,0)),IF(INDEX(DB_materiali!$E$2:$E$5000,MATCH($C66,DB_materiali!$A$2:$A$5000,0))&lt;=INDEX(DB_malas!$D$2:$D$5000,MATCH(K66,DB_malas!$A$2:$A$5000,0)),IF(INDEX(DB_materiali!$B$2:$B$5000,MATCH($C66,DB_materiali!$A$2:$A$5000,0))=INDEX(DB_malas!$B$2:$B$5000,MATCH(K66,DB_malas!$A$2:$A$5000,0)),"✔",tulkojums!$A$38),tulkojums!$A$39),tulkojums!$A$39))</f>
        <v/>
      </c>
      <c r="T66" s="2"/>
      <c r="U66" s="2"/>
      <c r="V66" s="2"/>
      <c r="W66" s="2"/>
      <c r="X66" s="2"/>
      <c r="Y66" s="2"/>
      <c r="Z66" s="2"/>
    </row>
    <row r="67" spans="1:26" ht="15.75" customHeight="1">
      <c r="A67" s="17"/>
      <c r="B67" s="19"/>
      <c r="C67" s="22"/>
      <c r="D67" s="55"/>
      <c r="E67" s="55"/>
      <c r="F67" s="56"/>
      <c r="G67" s="57" t="str">
        <f>IF(ISBLANK(C67),"",
   IFERROR(
      IF(
         INDEX(DB_materiali!C$2:C$5000,
               MATCH(C67, DB_materiali!A$2:A$5000, 0)
         )="FALSE",
         "N",
         "Y"
      ),
   "")
)</f>
        <v/>
      </c>
      <c r="H67" s="20"/>
      <c r="I67" s="20"/>
      <c r="J67" s="20"/>
      <c r="K67" s="20"/>
      <c r="M67" s="2" t="str">
        <f>IF(ISBLANK(C67),"",IF(IFERROR(VLOOKUP(C67,DB_materiali!$A$2:$A$5000,1,FALSE),"Kļūda artikulā")=C67,"✔",tulkojums!A$42))</f>
        <v/>
      </c>
      <c r="N67" s="2" t="str">
        <f>IF(ISBLANK(C67),"",IF(ISNUMBER(F67)=TRUE,"✔",tulkojums!A$43))</f>
        <v/>
      </c>
      <c r="O67" s="2" t="str">
        <f>IF(ISBLANK(C67),"",IF(G67="Y","✔",IF(G67="X","✔",IF(G67="N","✔",tulkojums!A$44))))</f>
        <v/>
      </c>
      <c r="P67" s="2" t="str">
        <f>IF(ISBLANK(H67),"",IF(INDEX(DB_materiali!$E$2:$E$5000,MATCH($C67,DB_materiali!$A$2:$A$5000,0))&gt;=INDEX(DB_malas!$C$2:$C$5000,MATCH(H67,DB_malas!$A$2:$A$5000,0)),IF(INDEX(DB_materiali!$E$2:$E$5000,MATCH($C67,DB_materiali!$A$2:$A$5000,0))&lt;=INDEX(DB_malas!$D$2:$D$5000,MATCH(H67,DB_malas!$A$2:$A$5000,0)),IF(OR(INDEX(DB_materiali!$B$2:$B$5000,MATCH($C67,DB_materiali!$A$2:$A$5000,0))=INDEX(DB_malas!$B$2:$B$5000,MATCH(H67,DB_malas!$A$2:$A$5000,0)),$H67="ORG"),"✔",tulkojums!$A$38),tulkojums!$A$39),tulkojums!$A$39))</f>
        <v/>
      </c>
      <c r="Q67" s="2" t="str">
        <f>IF(ISBLANK(I67),"",IF(INDEX(DB_materiali!$E$2:$E$5000,MATCH($C67,DB_materiali!$A$2:$A$5000,0))&gt;=INDEX(DB_malas!$C$2:$C$5000,MATCH(I67,DB_malas!$A$2:$A$5000,0)),IF(INDEX(DB_materiali!$E$2:$E$5000,MATCH($C67,DB_materiali!$A$2:$A$5000,0))&lt;=INDEX(DB_malas!$D$2:$D$5000,MATCH(I67,DB_malas!$A$2:$A$5000,0)),IF(OR(INDEX(DB_materiali!$B$2:$B$5000,MATCH($C67,DB_materiali!$A$2:$A$5000,0))=INDEX(DB_malas!$B$2:$B$5000,MATCH(I67,DB_malas!$A$2:$A$5000,0)),$H67="ORG"),"✔",tulkojums!$A$38),tulkojums!$A$39),tulkojums!$A$39))</f>
        <v/>
      </c>
      <c r="R67" s="2" t="str">
        <f>IF(ISBLANK(J67),"",IF(INDEX(DB_materiali!$E$2:$E$5000,MATCH($C67,DB_materiali!$A$2:$A$5000,0))&gt;=INDEX(DB_malas!$C$2:$C$5000,MATCH(J67,DB_malas!$A$2:$A$5000,0)),IF(INDEX(DB_materiali!$E$2:$E$5000,MATCH($C67,DB_materiali!$A$2:$A$5000,0))&lt;=INDEX(DB_malas!$D$2:$D$5000,MATCH(J67,DB_malas!$A$2:$A$5000,0)),IF(INDEX(DB_materiali!$B$2:$B$5000,MATCH($C67,DB_materiali!$A$2:$A$5000,0))=INDEX(DB_malas!$B$2:$B$5000,MATCH(J67,DB_malas!$A$2:$A$5000,0)),"✔",tulkojums!$A$38),tulkojums!$A$39),tulkojums!$A$39))</f>
        <v/>
      </c>
      <c r="S67" s="2" t="str">
        <f>IF(ISBLANK(K67),"",IF(INDEX(DB_materiali!$E$2:$E$5000,MATCH($C67,DB_materiali!$A$2:$A$5000,0))&gt;=INDEX(DB_malas!$C$2:$C$5000,MATCH(K67,DB_malas!$A$2:$A$5000,0)),IF(INDEX(DB_materiali!$E$2:$E$5000,MATCH($C67,DB_materiali!$A$2:$A$5000,0))&lt;=INDEX(DB_malas!$D$2:$D$5000,MATCH(K67,DB_malas!$A$2:$A$5000,0)),IF(INDEX(DB_materiali!$B$2:$B$5000,MATCH($C67,DB_materiali!$A$2:$A$5000,0))=INDEX(DB_malas!$B$2:$B$5000,MATCH(K67,DB_malas!$A$2:$A$5000,0)),"✔",tulkojums!$A$38),tulkojums!$A$39),tulkojums!$A$39))</f>
        <v/>
      </c>
      <c r="T67" s="2"/>
      <c r="U67" s="2"/>
      <c r="V67" s="2"/>
      <c r="W67" s="2"/>
      <c r="X67" s="2"/>
      <c r="Y67" s="2"/>
      <c r="Z67" s="2"/>
    </row>
    <row r="68" spans="1:26" ht="15.75" customHeight="1">
      <c r="A68" s="17"/>
      <c r="B68" s="19"/>
      <c r="C68" s="22"/>
      <c r="D68" s="55"/>
      <c r="E68" s="55"/>
      <c r="F68" s="56"/>
      <c r="G68" s="57" t="str">
        <f>IF(ISBLANK(C68),"",
   IFERROR(
      IF(
         INDEX(DB_materiali!C$2:C$5000,
               MATCH(C68, DB_materiali!A$2:A$5000, 0)
         )="FALSE",
         "N",
         "Y"
      ),
   "")
)</f>
        <v/>
      </c>
      <c r="H68" s="20"/>
      <c r="I68" s="20"/>
      <c r="J68" s="20"/>
      <c r="K68" s="20"/>
      <c r="M68" s="2" t="str">
        <f>IF(ISBLANK(C68),"",IF(IFERROR(VLOOKUP(C68,DB_materiali!$A$2:$A$5000,1,FALSE),"Kļūda artikulā")=C68,"✔",tulkojums!A$42))</f>
        <v/>
      </c>
      <c r="N68" s="2" t="str">
        <f>IF(ISBLANK(C68),"",IF(ISNUMBER(F68)=TRUE,"✔",tulkojums!A$43))</f>
        <v/>
      </c>
      <c r="O68" s="2" t="str">
        <f>IF(ISBLANK(C68),"",IF(G68="Y","✔",IF(G68="X","✔",IF(G68="N","✔",tulkojums!A$44))))</f>
        <v/>
      </c>
      <c r="P68" s="2" t="str">
        <f>IF(ISBLANK(H68),"",IF(INDEX(DB_materiali!$E$2:$E$5000,MATCH($C68,DB_materiali!$A$2:$A$5000,0))&gt;=INDEX(DB_malas!$C$2:$C$5000,MATCH(H68,DB_malas!$A$2:$A$5000,0)),IF(INDEX(DB_materiali!$E$2:$E$5000,MATCH($C68,DB_materiali!$A$2:$A$5000,0))&lt;=INDEX(DB_malas!$D$2:$D$5000,MATCH(H68,DB_malas!$A$2:$A$5000,0)),IF(OR(INDEX(DB_materiali!$B$2:$B$5000,MATCH($C68,DB_materiali!$A$2:$A$5000,0))=INDEX(DB_malas!$B$2:$B$5000,MATCH(H68,DB_malas!$A$2:$A$5000,0)),$H68="ORG"),"✔",tulkojums!$A$38),tulkojums!$A$39),tulkojums!$A$39))</f>
        <v/>
      </c>
      <c r="Q68" s="2" t="str">
        <f>IF(ISBLANK(I68),"",IF(INDEX(DB_materiali!$E$2:$E$5000,MATCH($C68,DB_materiali!$A$2:$A$5000,0))&gt;=INDEX(DB_malas!$C$2:$C$5000,MATCH(I68,DB_malas!$A$2:$A$5000,0)),IF(INDEX(DB_materiali!$E$2:$E$5000,MATCH($C68,DB_materiali!$A$2:$A$5000,0))&lt;=INDEX(DB_malas!$D$2:$D$5000,MATCH(I68,DB_malas!$A$2:$A$5000,0)),IF(OR(INDEX(DB_materiali!$B$2:$B$5000,MATCH($C68,DB_materiali!$A$2:$A$5000,0))=INDEX(DB_malas!$B$2:$B$5000,MATCH(I68,DB_malas!$A$2:$A$5000,0)),$H68="ORG"),"✔",tulkojums!$A$38),tulkojums!$A$39),tulkojums!$A$39))</f>
        <v/>
      </c>
      <c r="R68" s="2" t="str">
        <f>IF(ISBLANK(J68),"",IF(INDEX(DB_materiali!$E$2:$E$5000,MATCH($C68,DB_materiali!$A$2:$A$5000,0))&gt;=INDEX(DB_malas!$C$2:$C$5000,MATCH(J68,DB_malas!$A$2:$A$5000,0)),IF(INDEX(DB_materiali!$E$2:$E$5000,MATCH($C68,DB_materiali!$A$2:$A$5000,0))&lt;=INDEX(DB_malas!$D$2:$D$5000,MATCH(J68,DB_malas!$A$2:$A$5000,0)),IF(INDEX(DB_materiali!$B$2:$B$5000,MATCH($C68,DB_materiali!$A$2:$A$5000,0))=INDEX(DB_malas!$B$2:$B$5000,MATCH(J68,DB_malas!$A$2:$A$5000,0)),"✔",tulkojums!$A$38),tulkojums!$A$39),tulkojums!$A$39))</f>
        <v/>
      </c>
      <c r="S68" s="2" t="str">
        <f>IF(ISBLANK(K68),"",IF(INDEX(DB_materiali!$E$2:$E$5000,MATCH($C68,DB_materiali!$A$2:$A$5000,0))&gt;=INDEX(DB_malas!$C$2:$C$5000,MATCH(K68,DB_malas!$A$2:$A$5000,0)),IF(INDEX(DB_materiali!$E$2:$E$5000,MATCH($C68,DB_materiali!$A$2:$A$5000,0))&lt;=INDEX(DB_malas!$D$2:$D$5000,MATCH(K68,DB_malas!$A$2:$A$5000,0)),IF(INDEX(DB_materiali!$B$2:$B$5000,MATCH($C68,DB_materiali!$A$2:$A$5000,0))=INDEX(DB_malas!$B$2:$B$5000,MATCH(K68,DB_malas!$A$2:$A$5000,0)),"✔",tulkojums!$A$38),tulkojums!$A$39),tulkojums!$A$39))</f>
        <v/>
      </c>
      <c r="T68" s="2"/>
      <c r="U68" s="2"/>
      <c r="V68" s="2"/>
      <c r="W68" s="2"/>
      <c r="X68" s="2"/>
      <c r="Y68" s="2"/>
      <c r="Z68" s="2"/>
    </row>
    <row r="69" spans="1:26" ht="15.75" customHeight="1">
      <c r="A69" s="17"/>
      <c r="B69" s="19"/>
      <c r="C69" s="22"/>
      <c r="D69" s="55"/>
      <c r="E69" s="55"/>
      <c r="F69" s="56"/>
      <c r="G69" s="57" t="str">
        <f>IF(ISBLANK(C69),"",
   IFERROR(
      IF(
         INDEX(DB_materiali!C$2:C$5000,
               MATCH(C69, DB_materiali!A$2:A$5000, 0)
         )="FALSE",
         "N",
         "Y"
      ),
   "")
)</f>
        <v/>
      </c>
      <c r="H69" s="20"/>
      <c r="I69" s="20"/>
      <c r="J69" s="20"/>
      <c r="K69" s="20"/>
      <c r="M69" s="2" t="str">
        <f>IF(ISBLANK(C69),"",IF(IFERROR(VLOOKUP(C69,DB_materiali!$A$2:$A$5000,1,FALSE),"Kļūda artikulā")=C69,"✔",tulkojums!A$42))</f>
        <v/>
      </c>
      <c r="N69" s="2" t="str">
        <f>IF(ISBLANK(C69),"",IF(ISNUMBER(F69)=TRUE,"✔",tulkojums!A$43))</f>
        <v/>
      </c>
      <c r="O69" s="2" t="str">
        <f>IF(ISBLANK(C69),"",IF(G69="Y","✔",IF(G69="X","✔",IF(G69="N","✔",tulkojums!A$44))))</f>
        <v/>
      </c>
      <c r="P69" s="2" t="str">
        <f>IF(ISBLANK(H69),"",IF(INDEX(DB_materiali!$E$2:$E$5000,MATCH($C69,DB_materiali!$A$2:$A$5000,0))&gt;=INDEX(DB_malas!$C$2:$C$5000,MATCH(H69,DB_malas!$A$2:$A$5000,0)),IF(INDEX(DB_materiali!$E$2:$E$5000,MATCH($C69,DB_materiali!$A$2:$A$5000,0))&lt;=INDEX(DB_malas!$D$2:$D$5000,MATCH(H69,DB_malas!$A$2:$A$5000,0)),IF(OR(INDEX(DB_materiali!$B$2:$B$5000,MATCH($C69,DB_materiali!$A$2:$A$5000,0))=INDEX(DB_malas!$B$2:$B$5000,MATCH(H69,DB_malas!$A$2:$A$5000,0)),$H69="ORG"),"✔",tulkojums!$A$38),tulkojums!$A$39),tulkojums!$A$39))</f>
        <v/>
      </c>
      <c r="Q69" s="2" t="str">
        <f>IF(ISBLANK(I69),"",IF(INDEX(DB_materiali!$E$2:$E$5000,MATCH($C69,DB_materiali!$A$2:$A$5000,0))&gt;=INDEX(DB_malas!$C$2:$C$5000,MATCH(I69,DB_malas!$A$2:$A$5000,0)),IF(INDEX(DB_materiali!$E$2:$E$5000,MATCH($C69,DB_materiali!$A$2:$A$5000,0))&lt;=INDEX(DB_malas!$D$2:$D$5000,MATCH(I69,DB_malas!$A$2:$A$5000,0)),IF(OR(INDEX(DB_materiali!$B$2:$B$5000,MATCH($C69,DB_materiali!$A$2:$A$5000,0))=INDEX(DB_malas!$B$2:$B$5000,MATCH(I69,DB_malas!$A$2:$A$5000,0)),$H69="ORG"),"✔",tulkojums!$A$38),tulkojums!$A$39),tulkojums!$A$39))</f>
        <v/>
      </c>
      <c r="R69" s="2" t="str">
        <f>IF(ISBLANK(J69),"",IF(INDEX(DB_materiali!$E$2:$E$5000,MATCH($C69,DB_materiali!$A$2:$A$5000,0))&gt;=INDEX(DB_malas!$C$2:$C$5000,MATCH(J69,DB_malas!$A$2:$A$5000,0)),IF(INDEX(DB_materiali!$E$2:$E$5000,MATCH($C69,DB_materiali!$A$2:$A$5000,0))&lt;=INDEX(DB_malas!$D$2:$D$5000,MATCH(J69,DB_malas!$A$2:$A$5000,0)),IF(INDEX(DB_materiali!$B$2:$B$5000,MATCH($C69,DB_materiali!$A$2:$A$5000,0))=INDEX(DB_malas!$B$2:$B$5000,MATCH(J69,DB_malas!$A$2:$A$5000,0)),"✔",tulkojums!$A$38),tulkojums!$A$39),tulkojums!$A$39))</f>
        <v/>
      </c>
      <c r="S69" s="2" t="str">
        <f>IF(ISBLANK(K69),"",IF(INDEX(DB_materiali!$E$2:$E$5000,MATCH($C69,DB_materiali!$A$2:$A$5000,0))&gt;=INDEX(DB_malas!$C$2:$C$5000,MATCH(K69,DB_malas!$A$2:$A$5000,0)),IF(INDEX(DB_materiali!$E$2:$E$5000,MATCH($C69,DB_materiali!$A$2:$A$5000,0))&lt;=INDEX(DB_malas!$D$2:$D$5000,MATCH(K69,DB_malas!$A$2:$A$5000,0)),IF(INDEX(DB_materiali!$B$2:$B$5000,MATCH($C69,DB_materiali!$A$2:$A$5000,0))=INDEX(DB_malas!$B$2:$B$5000,MATCH(K69,DB_malas!$A$2:$A$5000,0)),"✔",tulkojums!$A$38),tulkojums!$A$39),tulkojums!$A$39))</f>
        <v/>
      </c>
      <c r="T69" s="2"/>
      <c r="U69" s="2"/>
      <c r="V69" s="2"/>
      <c r="W69" s="2"/>
      <c r="X69" s="2"/>
      <c r="Y69" s="2"/>
      <c r="Z69" s="2"/>
    </row>
    <row r="70" spans="1:26" ht="15.75" customHeight="1">
      <c r="A70" s="17"/>
      <c r="B70" s="19"/>
      <c r="C70" s="22"/>
      <c r="D70" s="55"/>
      <c r="E70" s="55"/>
      <c r="F70" s="56"/>
      <c r="G70" s="57" t="str">
        <f>IF(ISBLANK(C70),"",
   IFERROR(
      IF(
         INDEX(DB_materiali!C$2:C$5000,
               MATCH(C70, DB_materiali!A$2:A$5000, 0)
         )="FALSE",
         "N",
         "Y"
      ),
   "")
)</f>
        <v/>
      </c>
      <c r="H70" s="20"/>
      <c r="I70" s="20"/>
      <c r="J70" s="20"/>
      <c r="K70" s="20"/>
      <c r="M70" s="2" t="str">
        <f>IF(ISBLANK(C70),"",IF(IFERROR(VLOOKUP(C70,DB_materiali!$A$2:$A$5000,1,FALSE),"Kļūda artikulā")=C70,"✔",tulkojums!A$42))</f>
        <v/>
      </c>
      <c r="N70" s="2" t="str">
        <f>IF(ISBLANK(C70),"",IF(ISNUMBER(F70)=TRUE,"✔",tulkojums!A$43))</f>
        <v/>
      </c>
      <c r="O70" s="2" t="str">
        <f>IF(ISBLANK(C70),"",IF(G70="Y","✔",IF(G70="X","✔",IF(G70="N","✔",tulkojums!A$44))))</f>
        <v/>
      </c>
      <c r="P70" s="2" t="str">
        <f>IF(ISBLANK(H70),"",IF(INDEX(DB_materiali!$E$2:$E$5000,MATCH($C70,DB_materiali!$A$2:$A$5000,0))&gt;=INDEX(DB_malas!$C$2:$C$5000,MATCH(H70,DB_malas!$A$2:$A$5000,0)),IF(INDEX(DB_materiali!$E$2:$E$5000,MATCH($C70,DB_materiali!$A$2:$A$5000,0))&lt;=INDEX(DB_malas!$D$2:$D$5000,MATCH(H70,DB_malas!$A$2:$A$5000,0)),IF(OR(INDEX(DB_materiali!$B$2:$B$5000,MATCH($C70,DB_materiali!$A$2:$A$5000,0))=INDEX(DB_malas!$B$2:$B$5000,MATCH(H70,DB_malas!$A$2:$A$5000,0)),$H70="ORG"),"✔",tulkojums!$A$38),tulkojums!$A$39),tulkojums!$A$39))</f>
        <v/>
      </c>
      <c r="Q70" s="2" t="str">
        <f>IF(ISBLANK(I70),"",IF(INDEX(DB_materiali!$E$2:$E$5000,MATCH($C70,DB_materiali!$A$2:$A$5000,0))&gt;=INDEX(DB_malas!$C$2:$C$5000,MATCH(I70,DB_malas!$A$2:$A$5000,0)),IF(INDEX(DB_materiali!$E$2:$E$5000,MATCH($C70,DB_materiali!$A$2:$A$5000,0))&lt;=INDEX(DB_malas!$D$2:$D$5000,MATCH(I70,DB_malas!$A$2:$A$5000,0)),IF(OR(INDEX(DB_materiali!$B$2:$B$5000,MATCH($C70,DB_materiali!$A$2:$A$5000,0))=INDEX(DB_malas!$B$2:$B$5000,MATCH(I70,DB_malas!$A$2:$A$5000,0)),$H70="ORG"),"✔",tulkojums!$A$38),tulkojums!$A$39),tulkojums!$A$39))</f>
        <v/>
      </c>
      <c r="R70" s="2" t="str">
        <f>IF(ISBLANK(J70),"",IF(INDEX(DB_materiali!$E$2:$E$5000,MATCH($C70,DB_materiali!$A$2:$A$5000,0))&gt;=INDEX(DB_malas!$C$2:$C$5000,MATCH(J70,DB_malas!$A$2:$A$5000,0)),IF(INDEX(DB_materiali!$E$2:$E$5000,MATCH($C70,DB_materiali!$A$2:$A$5000,0))&lt;=INDEX(DB_malas!$D$2:$D$5000,MATCH(J70,DB_malas!$A$2:$A$5000,0)),IF(INDEX(DB_materiali!$B$2:$B$5000,MATCH($C70,DB_materiali!$A$2:$A$5000,0))=INDEX(DB_malas!$B$2:$B$5000,MATCH(J70,DB_malas!$A$2:$A$5000,0)),"✔",tulkojums!$A$38),tulkojums!$A$39),tulkojums!$A$39))</f>
        <v/>
      </c>
      <c r="S70" s="2" t="str">
        <f>IF(ISBLANK(K70),"",IF(INDEX(DB_materiali!$E$2:$E$5000,MATCH($C70,DB_materiali!$A$2:$A$5000,0))&gt;=INDEX(DB_malas!$C$2:$C$5000,MATCH(K70,DB_malas!$A$2:$A$5000,0)),IF(INDEX(DB_materiali!$E$2:$E$5000,MATCH($C70,DB_materiali!$A$2:$A$5000,0))&lt;=INDEX(DB_malas!$D$2:$D$5000,MATCH(K70,DB_malas!$A$2:$A$5000,0)),IF(INDEX(DB_materiali!$B$2:$B$5000,MATCH($C70,DB_materiali!$A$2:$A$5000,0))=INDEX(DB_malas!$B$2:$B$5000,MATCH(K70,DB_malas!$A$2:$A$5000,0)),"✔",tulkojums!$A$38),tulkojums!$A$39),tulkojums!$A$39))</f>
        <v/>
      </c>
      <c r="T70" s="2"/>
      <c r="U70" s="2"/>
      <c r="V70" s="2"/>
      <c r="W70" s="2"/>
      <c r="X70" s="2"/>
      <c r="Y70" s="2"/>
      <c r="Z70" s="2"/>
    </row>
    <row r="71" spans="1:26" ht="15.75" customHeight="1">
      <c r="A71" s="17"/>
      <c r="B71" s="19"/>
      <c r="C71" s="19"/>
      <c r="D71" s="55"/>
      <c r="E71" s="55"/>
      <c r="F71" s="56"/>
      <c r="G71" s="57" t="str">
        <f>IF(ISBLANK(C71),"",
   IFERROR(
      IF(
         INDEX(DB_materiali!C$2:C$5000,
               MATCH(C71, DB_materiali!A$2:A$5000, 0)
         )="FALSE",
         "N",
         "Y"
      ),
   "")
)</f>
        <v/>
      </c>
      <c r="H71" s="20"/>
      <c r="I71" s="20"/>
      <c r="J71" s="20"/>
      <c r="K71" s="20"/>
      <c r="M71" s="2" t="str">
        <f>IF(ISBLANK(C71),"",IF(IFERROR(VLOOKUP(C71,DB_materiali!$A$2:$A$5000,1,FALSE),"Kļūda artikulā")=C71,"✔",tulkojums!A$42))</f>
        <v/>
      </c>
      <c r="N71" s="2" t="str">
        <f>IF(ISBLANK(C71),"",IF(ISNUMBER(F71)=TRUE,"✔",tulkojums!A$43))</f>
        <v/>
      </c>
      <c r="O71" s="2" t="str">
        <f>IF(ISBLANK(C71),"",IF(G71="Y","✔",IF(G71="X","✔",IF(G71="N","✔",tulkojums!A$44))))</f>
        <v/>
      </c>
      <c r="P71" s="2" t="str">
        <f>IF(ISBLANK(H71),"",IF(INDEX(DB_materiali!$E$2:$E$5000,MATCH($C71,DB_materiali!$A$2:$A$5000,0))&gt;=INDEX(DB_malas!$C$2:$C$5000,MATCH(H71,DB_malas!$A$2:$A$5000,0)),IF(INDEX(DB_materiali!$E$2:$E$5000,MATCH($C71,DB_materiali!$A$2:$A$5000,0))&lt;=INDEX(DB_malas!$D$2:$D$5000,MATCH(H71,DB_malas!$A$2:$A$5000,0)),IF(OR(INDEX(DB_materiali!$B$2:$B$5000,MATCH($C71,DB_materiali!$A$2:$A$5000,0))=INDEX(DB_malas!$B$2:$B$5000,MATCH(H71,DB_malas!$A$2:$A$5000,0)),$H71="ORG"),"✔",tulkojums!$A$38),tulkojums!$A$39),tulkojums!$A$39))</f>
        <v/>
      </c>
      <c r="Q71" s="2" t="str">
        <f>IF(ISBLANK(I71),"",IF(INDEX(DB_materiali!$E$2:$E$5000,MATCH($C71,DB_materiali!$A$2:$A$5000,0))&gt;=INDEX(DB_malas!$C$2:$C$5000,MATCH(I71,DB_malas!$A$2:$A$5000,0)),IF(INDEX(DB_materiali!$E$2:$E$5000,MATCH($C71,DB_materiali!$A$2:$A$5000,0))&lt;=INDEX(DB_malas!$D$2:$D$5000,MATCH(I71,DB_malas!$A$2:$A$5000,0)),IF(OR(INDEX(DB_materiali!$B$2:$B$5000,MATCH($C71,DB_materiali!$A$2:$A$5000,0))=INDEX(DB_malas!$B$2:$B$5000,MATCH(I71,DB_malas!$A$2:$A$5000,0)),$H71="ORG"),"✔",tulkojums!$A$38),tulkojums!$A$39),tulkojums!$A$39))</f>
        <v/>
      </c>
      <c r="R71" s="2" t="str">
        <f>IF(ISBLANK(J71),"",IF(INDEX(DB_materiali!$E$2:$E$5000,MATCH($C71,DB_materiali!$A$2:$A$5000,0))&gt;=INDEX(DB_malas!$C$2:$C$5000,MATCH(J71,DB_malas!$A$2:$A$5000,0)),IF(INDEX(DB_materiali!$E$2:$E$5000,MATCH($C71,DB_materiali!$A$2:$A$5000,0))&lt;=INDEX(DB_malas!$D$2:$D$5000,MATCH(J71,DB_malas!$A$2:$A$5000,0)),IF(INDEX(DB_materiali!$B$2:$B$5000,MATCH($C71,DB_materiali!$A$2:$A$5000,0))=INDEX(DB_malas!$B$2:$B$5000,MATCH(J71,DB_malas!$A$2:$A$5000,0)),"✔",tulkojums!$A$38),tulkojums!$A$39),tulkojums!$A$39))</f>
        <v/>
      </c>
      <c r="S71" s="2" t="str">
        <f>IF(ISBLANK(K71),"",IF(INDEX(DB_materiali!$E$2:$E$5000,MATCH($C71,DB_materiali!$A$2:$A$5000,0))&gt;=INDEX(DB_malas!$C$2:$C$5000,MATCH(K71,DB_malas!$A$2:$A$5000,0)),IF(INDEX(DB_materiali!$E$2:$E$5000,MATCH($C71,DB_materiali!$A$2:$A$5000,0))&lt;=INDEX(DB_malas!$D$2:$D$5000,MATCH(K71,DB_malas!$A$2:$A$5000,0)),IF(INDEX(DB_materiali!$B$2:$B$5000,MATCH($C71,DB_materiali!$A$2:$A$5000,0))=INDEX(DB_malas!$B$2:$B$5000,MATCH(K71,DB_malas!$A$2:$A$5000,0)),"✔",tulkojums!$A$38),tulkojums!$A$39),tulkojums!$A$39))</f>
        <v/>
      </c>
      <c r="T71" s="2"/>
      <c r="U71" s="2"/>
      <c r="V71" s="2"/>
      <c r="W71" s="2"/>
      <c r="X71" s="2"/>
      <c r="Y71" s="2"/>
      <c r="Z71" s="2"/>
    </row>
    <row r="72" spans="1:26" ht="15.75" customHeight="1">
      <c r="A72" s="17"/>
      <c r="B72" s="19"/>
      <c r="C72" s="19"/>
      <c r="D72" s="55"/>
      <c r="E72" s="55"/>
      <c r="F72" s="56"/>
      <c r="G72" s="57" t="str">
        <f>IF(ISBLANK(C72),"",
   IFERROR(
      IF(
         INDEX(DB_materiali!C$2:C$5000,
               MATCH(C72, DB_materiali!A$2:A$5000, 0)
         )="FALSE",
         "N",
         "Y"
      ),
   "")
)</f>
        <v/>
      </c>
      <c r="H72" s="20"/>
      <c r="I72" s="20"/>
      <c r="J72" s="20"/>
      <c r="K72" s="20"/>
      <c r="M72" s="2" t="str">
        <f>IF(ISBLANK(C72),"",IF(IFERROR(VLOOKUP(C72,DB_materiali!$A$2:$A$5000,1,FALSE),"Kļūda artikulā")=C72,"✔",tulkojums!A$42))</f>
        <v/>
      </c>
      <c r="N72" s="2" t="str">
        <f>IF(ISBLANK(C72),"",IF(ISNUMBER(F72)=TRUE,"✔",tulkojums!A$43))</f>
        <v/>
      </c>
      <c r="O72" s="2" t="str">
        <f>IF(ISBLANK(C72),"",IF(G72="Y","✔",IF(G72="X","✔",IF(G72="N","✔",tulkojums!A$44))))</f>
        <v/>
      </c>
      <c r="P72" s="2" t="str">
        <f>IF(ISBLANK(H72),"",IF(INDEX(DB_materiali!$E$2:$E$5000,MATCH($C72,DB_materiali!$A$2:$A$5000,0))&gt;=INDEX(DB_malas!$C$2:$C$5000,MATCH(H72,DB_malas!$A$2:$A$5000,0)),IF(INDEX(DB_materiali!$E$2:$E$5000,MATCH($C72,DB_materiali!$A$2:$A$5000,0))&lt;=INDEX(DB_malas!$D$2:$D$5000,MATCH(H72,DB_malas!$A$2:$A$5000,0)),IF(OR(INDEX(DB_materiali!$B$2:$B$5000,MATCH($C72,DB_materiali!$A$2:$A$5000,0))=INDEX(DB_malas!$B$2:$B$5000,MATCH(H72,DB_malas!$A$2:$A$5000,0)),$H72="ORG"),"✔",tulkojums!$A$38),tulkojums!$A$39),tulkojums!$A$39))</f>
        <v/>
      </c>
      <c r="Q72" s="2" t="str">
        <f>IF(ISBLANK(I72),"",IF(INDEX(DB_materiali!$E$2:$E$5000,MATCH($C72,DB_materiali!$A$2:$A$5000,0))&gt;=INDEX(DB_malas!$C$2:$C$5000,MATCH(I72,DB_malas!$A$2:$A$5000,0)),IF(INDEX(DB_materiali!$E$2:$E$5000,MATCH($C72,DB_materiali!$A$2:$A$5000,0))&lt;=INDEX(DB_malas!$D$2:$D$5000,MATCH(I72,DB_malas!$A$2:$A$5000,0)),IF(OR(INDEX(DB_materiali!$B$2:$B$5000,MATCH($C72,DB_materiali!$A$2:$A$5000,0))=INDEX(DB_malas!$B$2:$B$5000,MATCH(I72,DB_malas!$A$2:$A$5000,0)),$H72="ORG"),"✔",tulkojums!$A$38),tulkojums!$A$39),tulkojums!$A$39))</f>
        <v/>
      </c>
      <c r="R72" s="2" t="str">
        <f>IF(ISBLANK(J72),"",IF(INDEX(DB_materiali!$E$2:$E$5000,MATCH($C72,DB_materiali!$A$2:$A$5000,0))&gt;=INDEX(DB_malas!$C$2:$C$5000,MATCH(J72,DB_malas!$A$2:$A$5000,0)),IF(INDEX(DB_materiali!$E$2:$E$5000,MATCH($C72,DB_materiali!$A$2:$A$5000,0))&lt;=INDEX(DB_malas!$D$2:$D$5000,MATCH(J72,DB_malas!$A$2:$A$5000,0)),IF(INDEX(DB_materiali!$B$2:$B$5000,MATCH($C72,DB_materiali!$A$2:$A$5000,0))=INDEX(DB_malas!$B$2:$B$5000,MATCH(J72,DB_malas!$A$2:$A$5000,0)),"✔",tulkojums!$A$38),tulkojums!$A$39),tulkojums!$A$39))</f>
        <v/>
      </c>
      <c r="S72" s="2" t="str">
        <f>IF(ISBLANK(K72),"",IF(INDEX(DB_materiali!$E$2:$E$5000,MATCH($C72,DB_materiali!$A$2:$A$5000,0))&gt;=INDEX(DB_malas!$C$2:$C$5000,MATCH(K72,DB_malas!$A$2:$A$5000,0)),IF(INDEX(DB_materiali!$E$2:$E$5000,MATCH($C72,DB_materiali!$A$2:$A$5000,0))&lt;=INDEX(DB_malas!$D$2:$D$5000,MATCH(K72,DB_malas!$A$2:$A$5000,0)),IF(INDEX(DB_materiali!$B$2:$B$5000,MATCH($C72,DB_materiali!$A$2:$A$5000,0))=INDEX(DB_malas!$B$2:$B$5000,MATCH(K72,DB_malas!$A$2:$A$5000,0)),"✔",tulkojums!$A$38),tulkojums!$A$39),tulkojums!$A$39))</f>
        <v/>
      </c>
      <c r="T72" s="2"/>
      <c r="U72" s="2"/>
      <c r="V72" s="2"/>
      <c r="W72" s="2"/>
      <c r="X72" s="2"/>
      <c r="Y72" s="2"/>
      <c r="Z72" s="2"/>
    </row>
    <row r="73" spans="1:26" ht="15.75" customHeight="1">
      <c r="A73" s="17"/>
      <c r="B73" s="18"/>
      <c r="C73" s="19"/>
      <c r="D73" s="55"/>
      <c r="E73" s="55"/>
      <c r="F73" s="56"/>
      <c r="G73" s="57" t="str">
        <f>IF(ISBLANK(C73),"",
   IFERROR(
      IF(
         INDEX(DB_materiali!C$2:C$5000,
               MATCH(C73, DB_materiali!A$2:A$5000, 0)
         )="FALSE",
         "N",
         "Y"
      ),
   "")
)</f>
        <v/>
      </c>
      <c r="H73" s="20"/>
      <c r="I73" s="20"/>
      <c r="J73" s="20"/>
      <c r="K73" s="20"/>
      <c r="M73" s="2" t="str">
        <f>IF(ISBLANK(C73),"",IF(IFERROR(VLOOKUP(C73,DB_materiali!$A$2:$A$5000,1,FALSE),"Kļūda artikulā")=C73,"✔",tulkojums!A$42))</f>
        <v/>
      </c>
      <c r="N73" s="2" t="str">
        <f>IF(ISBLANK(C73),"",IF(ISNUMBER(F73)=TRUE,"✔",tulkojums!A$43))</f>
        <v/>
      </c>
      <c r="O73" s="2" t="str">
        <f>IF(ISBLANK(C73),"",IF(G73="Y","✔",IF(G73="X","✔",IF(G73="N","✔",tulkojums!A$44))))</f>
        <v/>
      </c>
      <c r="P73" s="2" t="str">
        <f>IF(ISBLANK(H73),"",IF(INDEX(DB_materiali!$E$2:$E$5000,MATCH($C73,DB_materiali!$A$2:$A$5000,0))&gt;=INDEX(DB_malas!$C$2:$C$5000,MATCH(H73,DB_malas!$A$2:$A$5000,0)),IF(INDEX(DB_materiali!$E$2:$E$5000,MATCH($C73,DB_materiali!$A$2:$A$5000,0))&lt;=INDEX(DB_malas!$D$2:$D$5000,MATCH(H73,DB_malas!$A$2:$A$5000,0)),IF(OR(INDEX(DB_materiali!$B$2:$B$5000,MATCH($C73,DB_materiali!$A$2:$A$5000,0))=INDEX(DB_malas!$B$2:$B$5000,MATCH(H73,DB_malas!$A$2:$A$5000,0)),$H73="ORG"),"✔",tulkojums!$A$38),tulkojums!$A$39),tulkojums!$A$39))</f>
        <v/>
      </c>
      <c r="Q73" s="2" t="str">
        <f>IF(ISBLANK(I73),"",IF(INDEX(DB_materiali!$E$2:$E$5000,MATCH($C73,DB_materiali!$A$2:$A$5000,0))&gt;=INDEX(DB_malas!$C$2:$C$5000,MATCH(I73,DB_malas!$A$2:$A$5000,0)),IF(INDEX(DB_materiali!$E$2:$E$5000,MATCH($C73,DB_materiali!$A$2:$A$5000,0))&lt;=INDEX(DB_malas!$D$2:$D$5000,MATCH(I73,DB_malas!$A$2:$A$5000,0)),IF(OR(INDEX(DB_materiali!$B$2:$B$5000,MATCH($C73,DB_materiali!$A$2:$A$5000,0))=INDEX(DB_malas!$B$2:$B$5000,MATCH(I73,DB_malas!$A$2:$A$5000,0)),$H73="ORG"),"✔",tulkojums!$A$38),tulkojums!$A$39),tulkojums!$A$39))</f>
        <v/>
      </c>
      <c r="R73" s="2" t="str">
        <f>IF(ISBLANK(J73),"",IF(INDEX(DB_materiali!$E$2:$E$5000,MATCH($C73,DB_materiali!$A$2:$A$5000,0))&gt;=INDEX(DB_malas!$C$2:$C$5000,MATCH(J73,DB_malas!$A$2:$A$5000,0)),IF(INDEX(DB_materiali!$E$2:$E$5000,MATCH($C73,DB_materiali!$A$2:$A$5000,0))&lt;=INDEX(DB_malas!$D$2:$D$5000,MATCH(J73,DB_malas!$A$2:$A$5000,0)),IF(INDEX(DB_materiali!$B$2:$B$5000,MATCH($C73,DB_materiali!$A$2:$A$5000,0))=INDEX(DB_malas!$B$2:$B$5000,MATCH(J73,DB_malas!$A$2:$A$5000,0)),"✔",tulkojums!$A$38),tulkojums!$A$39),tulkojums!$A$39))</f>
        <v/>
      </c>
      <c r="S73" s="2" t="str">
        <f>IF(ISBLANK(K73),"",IF(INDEX(DB_materiali!$E$2:$E$5000,MATCH($C73,DB_materiali!$A$2:$A$5000,0))&gt;=INDEX(DB_malas!$C$2:$C$5000,MATCH(K73,DB_malas!$A$2:$A$5000,0)),IF(INDEX(DB_materiali!$E$2:$E$5000,MATCH($C73,DB_materiali!$A$2:$A$5000,0))&lt;=INDEX(DB_malas!$D$2:$D$5000,MATCH(K73,DB_malas!$A$2:$A$5000,0)),IF(INDEX(DB_materiali!$B$2:$B$5000,MATCH($C73,DB_materiali!$A$2:$A$5000,0))=INDEX(DB_malas!$B$2:$B$5000,MATCH(K73,DB_malas!$A$2:$A$5000,0)),"✔",tulkojums!$A$38),tulkojums!$A$39),tulkojums!$A$39))</f>
        <v/>
      </c>
      <c r="T73" s="2"/>
      <c r="U73" s="2"/>
      <c r="V73" s="2"/>
      <c r="W73" s="2"/>
      <c r="X73" s="2"/>
      <c r="Y73" s="2"/>
      <c r="Z73" s="2"/>
    </row>
    <row r="74" spans="1:26" ht="15.75" customHeight="1">
      <c r="A74" s="17"/>
      <c r="B74" s="18"/>
      <c r="C74" s="19"/>
      <c r="D74" s="55"/>
      <c r="E74" s="55"/>
      <c r="F74" s="56"/>
      <c r="G74" s="57" t="str">
        <f>IF(ISBLANK(C74),"",
   IFERROR(
      IF(
         INDEX(DB_materiali!C$2:C$5000,
               MATCH(C74, DB_materiali!A$2:A$5000, 0)
         )="FALSE",
         "N",
         "Y"
      ),
   "")
)</f>
        <v/>
      </c>
      <c r="H74" s="20"/>
      <c r="I74" s="20"/>
      <c r="J74" s="20"/>
      <c r="K74" s="20"/>
      <c r="M74" s="2" t="str">
        <f>IF(ISBLANK(C74),"",IF(IFERROR(VLOOKUP(C74,DB_materiali!$A$2:$A$5000,1,FALSE),"Kļūda artikulā")=C74,"✔",tulkojums!A$42))</f>
        <v/>
      </c>
      <c r="N74" s="2" t="str">
        <f>IF(ISBLANK(C74),"",IF(ISNUMBER(F74)=TRUE,"✔",tulkojums!A$43))</f>
        <v/>
      </c>
      <c r="O74" s="2" t="str">
        <f>IF(ISBLANK(C74),"",IF(G74="Y","✔",IF(G74="X","✔",IF(G74="N","✔",tulkojums!A$44))))</f>
        <v/>
      </c>
      <c r="P74" s="2" t="str">
        <f>IF(ISBLANK(H74),"",IF(INDEX(DB_materiali!$E$2:$E$5000,MATCH($C74,DB_materiali!$A$2:$A$5000,0))&gt;=INDEX(DB_malas!$C$2:$C$5000,MATCH(H74,DB_malas!$A$2:$A$5000,0)),IF(INDEX(DB_materiali!$E$2:$E$5000,MATCH($C74,DB_materiali!$A$2:$A$5000,0))&lt;=INDEX(DB_malas!$D$2:$D$5000,MATCH(H74,DB_malas!$A$2:$A$5000,0)),IF(OR(INDEX(DB_materiali!$B$2:$B$5000,MATCH($C74,DB_materiali!$A$2:$A$5000,0))=INDEX(DB_malas!$B$2:$B$5000,MATCH(H74,DB_malas!$A$2:$A$5000,0)),$H74="ORG"),"✔",tulkojums!$A$38),tulkojums!$A$39),tulkojums!$A$39))</f>
        <v/>
      </c>
      <c r="Q74" s="2" t="str">
        <f>IF(ISBLANK(I74),"",IF(INDEX(DB_materiali!$E$2:$E$5000,MATCH($C74,DB_materiali!$A$2:$A$5000,0))&gt;=INDEX(DB_malas!$C$2:$C$5000,MATCH(I74,DB_malas!$A$2:$A$5000,0)),IF(INDEX(DB_materiali!$E$2:$E$5000,MATCH($C74,DB_materiali!$A$2:$A$5000,0))&lt;=INDEX(DB_malas!$D$2:$D$5000,MATCH(I74,DB_malas!$A$2:$A$5000,0)),IF(OR(INDEX(DB_materiali!$B$2:$B$5000,MATCH($C74,DB_materiali!$A$2:$A$5000,0))=INDEX(DB_malas!$B$2:$B$5000,MATCH(I74,DB_malas!$A$2:$A$5000,0)),$H74="ORG"),"✔",tulkojums!$A$38),tulkojums!$A$39),tulkojums!$A$39))</f>
        <v/>
      </c>
      <c r="R74" s="2" t="str">
        <f>IF(ISBLANK(J74),"",IF(INDEX(DB_materiali!$E$2:$E$5000,MATCH($C74,DB_materiali!$A$2:$A$5000,0))&gt;=INDEX(DB_malas!$C$2:$C$5000,MATCH(J74,DB_malas!$A$2:$A$5000,0)),IF(INDEX(DB_materiali!$E$2:$E$5000,MATCH($C74,DB_materiali!$A$2:$A$5000,0))&lt;=INDEX(DB_malas!$D$2:$D$5000,MATCH(J74,DB_malas!$A$2:$A$5000,0)),IF(INDEX(DB_materiali!$B$2:$B$5000,MATCH($C74,DB_materiali!$A$2:$A$5000,0))=INDEX(DB_malas!$B$2:$B$5000,MATCH(J74,DB_malas!$A$2:$A$5000,0)),"✔",tulkojums!$A$38),tulkojums!$A$39),tulkojums!$A$39))</f>
        <v/>
      </c>
      <c r="S74" s="2" t="str">
        <f>IF(ISBLANK(K74),"",IF(INDEX(DB_materiali!$E$2:$E$5000,MATCH($C74,DB_materiali!$A$2:$A$5000,0))&gt;=INDEX(DB_malas!$C$2:$C$5000,MATCH(K74,DB_malas!$A$2:$A$5000,0)),IF(INDEX(DB_materiali!$E$2:$E$5000,MATCH($C74,DB_materiali!$A$2:$A$5000,0))&lt;=INDEX(DB_malas!$D$2:$D$5000,MATCH(K74,DB_malas!$A$2:$A$5000,0)),IF(INDEX(DB_materiali!$B$2:$B$5000,MATCH($C74,DB_materiali!$A$2:$A$5000,0))=INDEX(DB_malas!$B$2:$B$5000,MATCH(K74,DB_malas!$A$2:$A$5000,0)),"✔",tulkojums!$A$38),tulkojums!$A$39),tulkojums!$A$39))</f>
        <v/>
      </c>
      <c r="T74" s="2"/>
      <c r="U74" s="2"/>
      <c r="V74" s="2"/>
      <c r="W74" s="2"/>
      <c r="X74" s="2"/>
      <c r="Y74" s="2"/>
      <c r="Z74" s="2"/>
    </row>
    <row r="75" spans="1:26" ht="15.75" customHeight="1">
      <c r="A75" s="17"/>
      <c r="B75" s="18"/>
      <c r="C75" s="19"/>
      <c r="D75" s="55"/>
      <c r="E75" s="55"/>
      <c r="F75" s="56"/>
      <c r="G75" s="57" t="str">
        <f>IF(ISBLANK(C75),"",
   IFERROR(
      IF(
         INDEX(DB_materiali!C$2:C$5000,
               MATCH(C75, DB_materiali!A$2:A$5000, 0)
         )="FALSE",
         "N",
         "Y"
      ),
   "")
)</f>
        <v/>
      </c>
      <c r="H75" s="20"/>
      <c r="I75" s="20"/>
      <c r="J75" s="20"/>
      <c r="K75" s="20"/>
      <c r="M75" s="2" t="str">
        <f>IF(ISBLANK(C75),"",IF(IFERROR(VLOOKUP(C75,DB_materiali!$A$2:$A$5000,1,FALSE),"Kļūda artikulā")=C75,"✔",tulkojums!A$42))</f>
        <v/>
      </c>
      <c r="N75" s="2" t="str">
        <f>IF(ISBLANK(C75),"",IF(ISNUMBER(F75)=TRUE,"✔",tulkojums!A$43))</f>
        <v/>
      </c>
      <c r="O75" s="2" t="str">
        <f>IF(ISBLANK(C75),"",IF(G75="Y","✔",IF(G75="X","✔",IF(G75="N","✔",tulkojums!A$44))))</f>
        <v/>
      </c>
      <c r="P75" s="2" t="str">
        <f>IF(ISBLANK(H75),"",IF(INDEX(DB_materiali!$E$2:$E$5000,MATCH($C75,DB_materiali!$A$2:$A$5000,0))&gt;=INDEX(DB_malas!$C$2:$C$5000,MATCH(H75,DB_malas!$A$2:$A$5000,0)),IF(INDEX(DB_materiali!$E$2:$E$5000,MATCH($C75,DB_materiali!$A$2:$A$5000,0))&lt;=INDEX(DB_malas!$D$2:$D$5000,MATCH(H75,DB_malas!$A$2:$A$5000,0)),IF(OR(INDEX(DB_materiali!$B$2:$B$5000,MATCH($C75,DB_materiali!$A$2:$A$5000,0))=INDEX(DB_malas!$B$2:$B$5000,MATCH(H75,DB_malas!$A$2:$A$5000,0)),$H75="ORG"),"✔",tulkojums!$A$38),tulkojums!$A$39),tulkojums!$A$39))</f>
        <v/>
      </c>
      <c r="Q75" s="2" t="str">
        <f>IF(ISBLANK(I75),"",IF(INDEX(DB_materiali!$E$2:$E$5000,MATCH($C75,DB_materiali!$A$2:$A$5000,0))&gt;=INDEX(DB_malas!$C$2:$C$5000,MATCH(I75,DB_malas!$A$2:$A$5000,0)),IF(INDEX(DB_materiali!$E$2:$E$5000,MATCH($C75,DB_materiali!$A$2:$A$5000,0))&lt;=INDEX(DB_malas!$D$2:$D$5000,MATCH(I75,DB_malas!$A$2:$A$5000,0)),IF(OR(INDEX(DB_materiali!$B$2:$B$5000,MATCH($C75,DB_materiali!$A$2:$A$5000,0))=INDEX(DB_malas!$B$2:$B$5000,MATCH(I75,DB_malas!$A$2:$A$5000,0)),$H75="ORG"),"✔",tulkojums!$A$38),tulkojums!$A$39),tulkojums!$A$39))</f>
        <v/>
      </c>
      <c r="R75" s="2" t="str">
        <f>IF(ISBLANK(J75),"",IF(INDEX(DB_materiali!$E$2:$E$5000,MATCH($C75,DB_materiali!$A$2:$A$5000,0))&gt;=INDEX(DB_malas!$C$2:$C$5000,MATCH(J75,DB_malas!$A$2:$A$5000,0)),IF(INDEX(DB_materiali!$E$2:$E$5000,MATCH($C75,DB_materiali!$A$2:$A$5000,0))&lt;=INDEX(DB_malas!$D$2:$D$5000,MATCH(J75,DB_malas!$A$2:$A$5000,0)),IF(INDEX(DB_materiali!$B$2:$B$5000,MATCH($C75,DB_materiali!$A$2:$A$5000,0))=INDEX(DB_malas!$B$2:$B$5000,MATCH(J75,DB_malas!$A$2:$A$5000,0)),"✔",tulkojums!$A$38),tulkojums!$A$39),tulkojums!$A$39))</f>
        <v/>
      </c>
      <c r="S75" s="2" t="str">
        <f>IF(ISBLANK(K75),"",IF(INDEX(DB_materiali!$E$2:$E$5000,MATCH($C75,DB_materiali!$A$2:$A$5000,0))&gt;=INDEX(DB_malas!$C$2:$C$5000,MATCH(K75,DB_malas!$A$2:$A$5000,0)),IF(INDEX(DB_materiali!$E$2:$E$5000,MATCH($C75,DB_materiali!$A$2:$A$5000,0))&lt;=INDEX(DB_malas!$D$2:$D$5000,MATCH(K75,DB_malas!$A$2:$A$5000,0)),IF(INDEX(DB_materiali!$B$2:$B$5000,MATCH($C75,DB_materiali!$A$2:$A$5000,0))=INDEX(DB_malas!$B$2:$B$5000,MATCH(K75,DB_malas!$A$2:$A$5000,0)),"✔",tulkojums!$A$38),tulkojums!$A$39),tulkojums!$A$39))</f>
        <v/>
      </c>
      <c r="T75" s="2"/>
      <c r="U75" s="2"/>
      <c r="V75" s="2"/>
      <c r="W75" s="2"/>
      <c r="X75" s="2"/>
      <c r="Y75" s="2"/>
      <c r="Z75" s="2"/>
    </row>
    <row r="76" spans="1:26" ht="15.75" customHeight="1">
      <c r="A76" s="17"/>
      <c r="B76" s="18"/>
      <c r="C76" s="19"/>
      <c r="D76" s="55"/>
      <c r="E76" s="55"/>
      <c r="F76" s="56"/>
      <c r="G76" s="57" t="str">
        <f>IF(ISBLANK(C76),"",
   IFERROR(
      IF(
         INDEX(DB_materiali!C$2:C$5000,
               MATCH(C76, DB_materiali!A$2:A$5000, 0)
         )="FALSE",
         "N",
         "Y"
      ),
   "")
)</f>
        <v/>
      </c>
      <c r="H76" s="20"/>
      <c r="I76" s="20"/>
      <c r="J76" s="20"/>
      <c r="K76" s="20"/>
      <c r="M76" s="2" t="str">
        <f>IF(ISBLANK(C76),"",IF(IFERROR(VLOOKUP(C76,DB_materiali!$A$2:$A$5000,1,FALSE),"Kļūda artikulā")=C76,"✔",tulkojums!A$42))</f>
        <v/>
      </c>
      <c r="N76" s="2" t="str">
        <f>IF(ISBLANK(C76),"",IF(ISNUMBER(F76)=TRUE,"✔",tulkojums!A$43))</f>
        <v/>
      </c>
      <c r="O76" s="2" t="str">
        <f>IF(ISBLANK(C76),"",IF(G76="Y","✔",IF(G76="X","✔",IF(G76="N","✔",tulkojums!A$44))))</f>
        <v/>
      </c>
      <c r="P76" s="2" t="str">
        <f>IF(ISBLANK(H76),"",IF(INDEX(DB_materiali!$E$2:$E$5000,MATCH($C76,DB_materiali!$A$2:$A$5000,0))&gt;=INDEX(DB_malas!$C$2:$C$5000,MATCH(H76,DB_malas!$A$2:$A$5000,0)),IF(INDEX(DB_materiali!$E$2:$E$5000,MATCH($C76,DB_materiali!$A$2:$A$5000,0))&lt;=INDEX(DB_malas!$D$2:$D$5000,MATCH(H76,DB_malas!$A$2:$A$5000,0)),IF(OR(INDEX(DB_materiali!$B$2:$B$5000,MATCH($C76,DB_materiali!$A$2:$A$5000,0))=INDEX(DB_malas!$B$2:$B$5000,MATCH(H76,DB_malas!$A$2:$A$5000,0)),$H76="ORG"),"✔",tulkojums!$A$38),tulkojums!$A$39),tulkojums!$A$39))</f>
        <v/>
      </c>
      <c r="Q76" s="2" t="str">
        <f>IF(ISBLANK(I76),"",IF(INDEX(DB_materiali!$E$2:$E$5000,MATCH($C76,DB_materiali!$A$2:$A$5000,0))&gt;=INDEX(DB_malas!$C$2:$C$5000,MATCH(I76,DB_malas!$A$2:$A$5000,0)),IF(INDEX(DB_materiali!$E$2:$E$5000,MATCH($C76,DB_materiali!$A$2:$A$5000,0))&lt;=INDEX(DB_malas!$D$2:$D$5000,MATCH(I76,DB_malas!$A$2:$A$5000,0)),IF(OR(INDEX(DB_materiali!$B$2:$B$5000,MATCH($C76,DB_materiali!$A$2:$A$5000,0))=INDEX(DB_malas!$B$2:$B$5000,MATCH(I76,DB_malas!$A$2:$A$5000,0)),$H76="ORG"),"✔",tulkojums!$A$38),tulkojums!$A$39),tulkojums!$A$39))</f>
        <v/>
      </c>
      <c r="R76" s="2" t="str">
        <f>IF(ISBLANK(J76),"",IF(INDEX(DB_materiali!$E$2:$E$5000,MATCH($C76,DB_materiali!$A$2:$A$5000,0))&gt;=INDEX(DB_malas!$C$2:$C$5000,MATCH(J76,DB_malas!$A$2:$A$5000,0)),IF(INDEX(DB_materiali!$E$2:$E$5000,MATCH($C76,DB_materiali!$A$2:$A$5000,0))&lt;=INDEX(DB_malas!$D$2:$D$5000,MATCH(J76,DB_malas!$A$2:$A$5000,0)),IF(INDEX(DB_materiali!$B$2:$B$5000,MATCH($C76,DB_materiali!$A$2:$A$5000,0))=INDEX(DB_malas!$B$2:$B$5000,MATCH(J76,DB_malas!$A$2:$A$5000,0)),"✔",tulkojums!$A$38),tulkojums!$A$39),tulkojums!$A$39))</f>
        <v/>
      </c>
      <c r="S76" s="2" t="str">
        <f>IF(ISBLANK(K76),"",IF(INDEX(DB_materiali!$E$2:$E$5000,MATCH($C76,DB_materiali!$A$2:$A$5000,0))&gt;=INDEX(DB_malas!$C$2:$C$5000,MATCH(K76,DB_malas!$A$2:$A$5000,0)),IF(INDEX(DB_materiali!$E$2:$E$5000,MATCH($C76,DB_materiali!$A$2:$A$5000,0))&lt;=INDEX(DB_malas!$D$2:$D$5000,MATCH(K76,DB_malas!$A$2:$A$5000,0)),IF(INDEX(DB_materiali!$B$2:$B$5000,MATCH($C76,DB_materiali!$A$2:$A$5000,0))=INDEX(DB_malas!$B$2:$B$5000,MATCH(K76,DB_malas!$A$2:$A$5000,0)),"✔",tulkojums!$A$38),tulkojums!$A$39),tulkojums!$A$39))</f>
        <v/>
      </c>
      <c r="T76" s="2"/>
      <c r="U76" s="2"/>
      <c r="V76" s="2"/>
      <c r="W76" s="2"/>
      <c r="X76" s="2"/>
      <c r="Y76" s="2"/>
      <c r="Z76" s="2"/>
    </row>
    <row r="77" spans="1:26" ht="15.75" customHeight="1">
      <c r="A77" s="17"/>
      <c r="B77" s="18"/>
      <c r="C77" s="19"/>
      <c r="D77" s="55"/>
      <c r="E77" s="55"/>
      <c r="F77" s="56"/>
      <c r="G77" s="57" t="str">
        <f>IF(ISBLANK(C77),"",
   IFERROR(
      IF(
         INDEX(DB_materiali!C$2:C$5000,
               MATCH(C77, DB_materiali!A$2:A$5000, 0)
         )="FALSE",
         "N",
         "Y"
      ),
   "")
)</f>
        <v/>
      </c>
      <c r="H77" s="20"/>
      <c r="I77" s="20"/>
      <c r="J77" s="20"/>
      <c r="K77" s="20"/>
      <c r="M77" s="2" t="str">
        <f>IF(ISBLANK(C77),"",IF(IFERROR(VLOOKUP(C77,DB_materiali!$A$2:$A$5000,1,FALSE),"Kļūda artikulā")=C77,"✔",tulkojums!A$42))</f>
        <v/>
      </c>
      <c r="N77" s="2" t="str">
        <f>IF(ISBLANK(C77),"",IF(ISNUMBER(F77)=TRUE,"✔",tulkojums!A$43))</f>
        <v/>
      </c>
      <c r="O77" s="2" t="str">
        <f>IF(ISBLANK(C77),"",IF(G77="Y","✔",IF(G77="X","✔",IF(G77="N","✔",tulkojums!A$44))))</f>
        <v/>
      </c>
      <c r="P77" s="2" t="str">
        <f>IF(ISBLANK(H77),"",IF(INDEX(DB_materiali!$E$2:$E$5000,MATCH($C77,DB_materiali!$A$2:$A$5000,0))&gt;=INDEX(DB_malas!$C$2:$C$5000,MATCH(H77,DB_malas!$A$2:$A$5000,0)),IF(INDEX(DB_materiali!$E$2:$E$5000,MATCH($C77,DB_materiali!$A$2:$A$5000,0))&lt;=INDEX(DB_malas!$D$2:$D$5000,MATCH(H77,DB_malas!$A$2:$A$5000,0)),IF(OR(INDEX(DB_materiali!$B$2:$B$5000,MATCH($C77,DB_materiali!$A$2:$A$5000,0))=INDEX(DB_malas!$B$2:$B$5000,MATCH(H77,DB_malas!$A$2:$A$5000,0)),$H77="ORG"),"✔",tulkojums!$A$38),tulkojums!$A$39),tulkojums!$A$39))</f>
        <v/>
      </c>
      <c r="Q77" s="2" t="str">
        <f>IF(ISBLANK(I77),"",IF(INDEX(DB_materiali!$E$2:$E$5000,MATCH($C77,DB_materiali!$A$2:$A$5000,0))&gt;=INDEX(DB_malas!$C$2:$C$5000,MATCH(I77,DB_malas!$A$2:$A$5000,0)),IF(INDEX(DB_materiali!$E$2:$E$5000,MATCH($C77,DB_materiali!$A$2:$A$5000,0))&lt;=INDEX(DB_malas!$D$2:$D$5000,MATCH(I77,DB_malas!$A$2:$A$5000,0)),IF(OR(INDEX(DB_materiali!$B$2:$B$5000,MATCH($C77,DB_materiali!$A$2:$A$5000,0))=INDEX(DB_malas!$B$2:$B$5000,MATCH(I77,DB_malas!$A$2:$A$5000,0)),$H77="ORG"),"✔",tulkojums!$A$38),tulkojums!$A$39),tulkojums!$A$39))</f>
        <v/>
      </c>
      <c r="R77" s="2" t="str">
        <f>IF(ISBLANK(J77),"",IF(INDEX(DB_materiali!$E$2:$E$5000,MATCH($C77,DB_materiali!$A$2:$A$5000,0))&gt;=INDEX(DB_malas!$C$2:$C$5000,MATCH(J77,DB_malas!$A$2:$A$5000,0)),IF(INDEX(DB_materiali!$E$2:$E$5000,MATCH($C77,DB_materiali!$A$2:$A$5000,0))&lt;=INDEX(DB_malas!$D$2:$D$5000,MATCH(J77,DB_malas!$A$2:$A$5000,0)),IF(INDEX(DB_materiali!$B$2:$B$5000,MATCH($C77,DB_materiali!$A$2:$A$5000,0))=INDEX(DB_malas!$B$2:$B$5000,MATCH(J77,DB_malas!$A$2:$A$5000,0)),"✔",tulkojums!$A$38),tulkojums!$A$39),tulkojums!$A$39))</f>
        <v/>
      </c>
      <c r="S77" s="2" t="str">
        <f>IF(ISBLANK(K77),"",IF(INDEX(DB_materiali!$E$2:$E$5000,MATCH($C77,DB_materiali!$A$2:$A$5000,0))&gt;=INDEX(DB_malas!$C$2:$C$5000,MATCH(K77,DB_malas!$A$2:$A$5000,0)),IF(INDEX(DB_materiali!$E$2:$E$5000,MATCH($C77,DB_materiali!$A$2:$A$5000,0))&lt;=INDEX(DB_malas!$D$2:$D$5000,MATCH(K77,DB_malas!$A$2:$A$5000,0)),IF(INDEX(DB_materiali!$B$2:$B$5000,MATCH($C77,DB_materiali!$A$2:$A$5000,0))=INDEX(DB_malas!$B$2:$B$5000,MATCH(K77,DB_malas!$A$2:$A$5000,0)),"✔",tulkojums!$A$38),tulkojums!$A$39),tulkojums!$A$39))</f>
        <v/>
      </c>
      <c r="T77" s="2"/>
      <c r="U77" s="2"/>
      <c r="V77" s="2"/>
      <c r="W77" s="2"/>
      <c r="X77" s="2"/>
      <c r="Y77" s="2"/>
      <c r="Z77" s="2"/>
    </row>
    <row r="78" spans="1:26" ht="15.75" customHeight="1">
      <c r="A78" s="17"/>
      <c r="B78" s="18"/>
      <c r="C78" s="19"/>
      <c r="D78" s="55"/>
      <c r="E78" s="55"/>
      <c r="F78" s="56"/>
      <c r="G78" s="57" t="str">
        <f>IF(ISBLANK(C78),"",
   IFERROR(
      IF(
         INDEX(DB_materiali!C$2:C$5000,
               MATCH(C78, DB_materiali!A$2:A$5000, 0)
         )="FALSE",
         "N",
         "Y"
      ),
   "")
)</f>
        <v/>
      </c>
      <c r="H78" s="20"/>
      <c r="I78" s="20"/>
      <c r="J78" s="20"/>
      <c r="K78" s="20"/>
      <c r="M78" s="2" t="str">
        <f>IF(ISBLANK(C78),"",IF(IFERROR(VLOOKUP(C78,DB_materiali!$A$2:$A$5000,1,FALSE),"Kļūda artikulā")=C78,"✔",tulkojums!A$42))</f>
        <v/>
      </c>
      <c r="N78" s="2" t="str">
        <f>IF(ISBLANK(C78),"",IF(ISNUMBER(F78)=TRUE,"✔",tulkojums!A$43))</f>
        <v/>
      </c>
      <c r="O78" s="2" t="str">
        <f>IF(ISBLANK(C78),"",IF(G78="Y","✔",IF(G78="X","✔",IF(G78="N","✔",tulkojums!A$44))))</f>
        <v/>
      </c>
      <c r="P78" s="2" t="str">
        <f>IF(ISBLANK(H78),"",IF(INDEX(DB_materiali!$E$2:$E$5000,MATCH($C78,DB_materiali!$A$2:$A$5000,0))&gt;=INDEX(DB_malas!$C$2:$C$5000,MATCH(H78,DB_malas!$A$2:$A$5000,0)),IF(INDEX(DB_materiali!$E$2:$E$5000,MATCH($C78,DB_materiali!$A$2:$A$5000,0))&lt;=INDEX(DB_malas!$D$2:$D$5000,MATCH(H78,DB_malas!$A$2:$A$5000,0)),IF(OR(INDEX(DB_materiali!$B$2:$B$5000,MATCH($C78,DB_materiali!$A$2:$A$5000,0))=INDEX(DB_malas!$B$2:$B$5000,MATCH(H78,DB_malas!$A$2:$A$5000,0)),$H78="ORG"),"✔",tulkojums!$A$38),tulkojums!$A$39),tulkojums!$A$39))</f>
        <v/>
      </c>
      <c r="Q78" s="2" t="str">
        <f>IF(ISBLANK(I78),"",IF(INDEX(DB_materiali!$E$2:$E$5000,MATCH($C78,DB_materiali!$A$2:$A$5000,0))&gt;=INDEX(DB_malas!$C$2:$C$5000,MATCH(I78,DB_malas!$A$2:$A$5000,0)),IF(INDEX(DB_materiali!$E$2:$E$5000,MATCH($C78,DB_materiali!$A$2:$A$5000,0))&lt;=INDEX(DB_malas!$D$2:$D$5000,MATCH(I78,DB_malas!$A$2:$A$5000,0)),IF(OR(INDEX(DB_materiali!$B$2:$B$5000,MATCH($C78,DB_materiali!$A$2:$A$5000,0))=INDEX(DB_malas!$B$2:$B$5000,MATCH(I78,DB_malas!$A$2:$A$5000,0)),$H78="ORG"),"✔",tulkojums!$A$38),tulkojums!$A$39),tulkojums!$A$39))</f>
        <v/>
      </c>
      <c r="R78" s="2" t="str">
        <f>IF(ISBLANK(J78),"",IF(INDEX(DB_materiali!$E$2:$E$5000,MATCH($C78,DB_materiali!$A$2:$A$5000,0))&gt;=INDEX(DB_malas!$C$2:$C$5000,MATCH(J78,DB_malas!$A$2:$A$5000,0)),IF(INDEX(DB_materiali!$E$2:$E$5000,MATCH($C78,DB_materiali!$A$2:$A$5000,0))&lt;=INDEX(DB_malas!$D$2:$D$5000,MATCH(J78,DB_malas!$A$2:$A$5000,0)),IF(INDEX(DB_materiali!$B$2:$B$5000,MATCH($C78,DB_materiali!$A$2:$A$5000,0))=INDEX(DB_malas!$B$2:$B$5000,MATCH(J78,DB_malas!$A$2:$A$5000,0)),"✔",tulkojums!$A$38),tulkojums!$A$39),tulkojums!$A$39))</f>
        <v/>
      </c>
      <c r="S78" s="2" t="str">
        <f>IF(ISBLANK(K78),"",IF(INDEX(DB_materiali!$E$2:$E$5000,MATCH($C78,DB_materiali!$A$2:$A$5000,0))&gt;=INDEX(DB_malas!$C$2:$C$5000,MATCH(K78,DB_malas!$A$2:$A$5000,0)),IF(INDEX(DB_materiali!$E$2:$E$5000,MATCH($C78,DB_materiali!$A$2:$A$5000,0))&lt;=INDEX(DB_malas!$D$2:$D$5000,MATCH(K78,DB_malas!$A$2:$A$5000,0)),IF(INDEX(DB_materiali!$B$2:$B$5000,MATCH($C78,DB_materiali!$A$2:$A$5000,0))=INDEX(DB_malas!$B$2:$B$5000,MATCH(K78,DB_malas!$A$2:$A$5000,0)),"✔",tulkojums!$A$38),tulkojums!$A$39),tulkojums!$A$39))</f>
        <v/>
      </c>
      <c r="T78" s="2"/>
      <c r="U78" s="2"/>
      <c r="V78" s="2"/>
      <c r="W78" s="2"/>
      <c r="X78" s="2"/>
      <c r="Y78" s="2"/>
      <c r="Z78" s="2"/>
    </row>
    <row r="79" spans="1:26" ht="15.75" customHeight="1">
      <c r="A79" s="17"/>
      <c r="B79" s="18"/>
      <c r="C79" s="19"/>
      <c r="D79" s="55"/>
      <c r="E79" s="55"/>
      <c r="F79" s="56"/>
      <c r="G79" s="57" t="str">
        <f>IF(ISBLANK(C79),"",
   IFERROR(
      IF(
         INDEX(DB_materiali!C$2:C$5000,
               MATCH(C79, DB_materiali!A$2:A$5000, 0)
         )="FALSE",
         "N",
         "Y"
      ),
   "")
)</f>
        <v/>
      </c>
      <c r="H79" s="20"/>
      <c r="I79" s="20"/>
      <c r="J79" s="20"/>
      <c r="K79" s="20"/>
      <c r="M79" s="2" t="str">
        <f>IF(ISBLANK(C79),"",IF(IFERROR(VLOOKUP(C79,DB_materiali!$A$2:$A$5000,1,FALSE),"Kļūda artikulā")=C79,"✔",tulkojums!A$42))</f>
        <v/>
      </c>
      <c r="N79" s="2" t="str">
        <f>IF(ISBLANK(C79),"",IF(ISNUMBER(F79)=TRUE,"✔",tulkojums!A$43))</f>
        <v/>
      </c>
      <c r="O79" s="2" t="str">
        <f>IF(ISBLANK(C79),"",IF(G79="Y","✔",IF(G79="X","✔",IF(G79="N","✔",tulkojums!A$44))))</f>
        <v/>
      </c>
      <c r="P79" s="2" t="str">
        <f>IF(ISBLANK(H79),"",IF(INDEX(DB_materiali!$E$2:$E$5000,MATCH($C79,DB_materiali!$A$2:$A$5000,0))&gt;=INDEX(DB_malas!$C$2:$C$5000,MATCH(H79,DB_malas!$A$2:$A$5000,0)),IF(INDEX(DB_materiali!$E$2:$E$5000,MATCH($C79,DB_materiali!$A$2:$A$5000,0))&lt;=INDEX(DB_malas!$D$2:$D$5000,MATCH(H79,DB_malas!$A$2:$A$5000,0)),IF(OR(INDEX(DB_materiali!$B$2:$B$5000,MATCH($C79,DB_materiali!$A$2:$A$5000,0))=INDEX(DB_malas!$B$2:$B$5000,MATCH(H79,DB_malas!$A$2:$A$5000,0)),$H79="ORG"),"✔",tulkojums!$A$38),tulkojums!$A$39),tulkojums!$A$39))</f>
        <v/>
      </c>
      <c r="Q79" s="2" t="str">
        <f>IF(ISBLANK(I79),"",IF(INDEX(DB_materiali!$E$2:$E$5000,MATCH($C79,DB_materiali!$A$2:$A$5000,0))&gt;=INDEX(DB_malas!$C$2:$C$5000,MATCH(I79,DB_malas!$A$2:$A$5000,0)),IF(INDEX(DB_materiali!$E$2:$E$5000,MATCH($C79,DB_materiali!$A$2:$A$5000,0))&lt;=INDEX(DB_malas!$D$2:$D$5000,MATCH(I79,DB_malas!$A$2:$A$5000,0)),IF(OR(INDEX(DB_materiali!$B$2:$B$5000,MATCH($C79,DB_materiali!$A$2:$A$5000,0))=INDEX(DB_malas!$B$2:$B$5000,MATCH(I79,DB_malas!$A$2:$A$5000,0)),$H79="ORG"),"✔",tulkojums!$A$38),tulkojums!$A$39),tulkojums!$A$39))</f>
        <v/>
      </c>
      <c r="R79" s="2" t="str">
        <f>IF(ISBLANK(J79),"",IF(INDEX(DB_materiali!$E$2:$E$5000,MATCH($C79,DB_materiali!$A$2:$A$5000,0))&gt;=INDEX(DB_malas!$C$2:$C$5000,MATCH(J79,DB_malas!$A$2:$A$5000,0)),IF(INDEX(DB_materiali!$E$2:$E$5000,MATCH($C79,DB_materiali!$A$2:$A$5000,0))&lt;=INDEX(DB_malas!$D$2:$D$5000,MATCH(J79,DB_malas!$A$2:$A$5000,0)),IF(INDEX(DB_materiali!$B$2:$B$5000,MATCH($C79,DB_materiali!$A$2:$A$5000,0))=INDEX(DB_malas!$B$2:$B$5000,MATCH(J79,DB_malas!$A$2:$A$5000,0)),"✔",tulkojums!$A$38),tulkojums!$A$39),tulkojums!$A$39))</f>
        <v/>
      </c>
      <c r="S79" s="2" t="str">
        <f>IF(ISBLANK(K79),"",IF(INDEX(DB_materiali!$E$2:$E$5000,MATCH($C79,DB_materiali!$A$2:$A$5000,0))&gt;=INDEX(DB_malas!$C$2:$C$5000,MATCH(K79,DB_malas!$A$2:$A$5000,0)),IF(INDEX(DB_materiali!$E$2:$E$5000,MATCH($C79,DB_materiali!$A$2:$A$5000,0))&lt;=INDEX(DB_malas!$D$2:$D$5000,MATCH(K79,DB_malas!$A$2:$A$5000,0)),IF(INDEX(DB_materiali!$B$2:$B$5000,MATCH($C79,DB_materiali!$A$2:$A$5000,0))=INDEX(DB_malas!$B$2:$B$5000,MATCH(K79,DB_malas!$A$2:$A$5000,0)),"✔",tulkojums!$A$38),tulkojums!$A$39),tulkojums!$A$39))</f>
        <v/>
      </c>
      <c r="T79" s="2"/>
      <c r="U79" s="2"/>
      <c r="V79" s="2"/>
      <c r="W79" s="2"/>
      <c r="X79" s="2"/>
      <c r="Y79" s="2"/>
      <c r="Z79" s="2"/>
    </row>
    <row r="80" spans="1:26" ht="15.75" customHeight="1">
      <c r="A80" s="17"/>
      <c r="B80" s="18"/>
      <c r="C80" s="19"/>
      <c r="D80" s="55"/>
      <c r="E80" s="55"/>
      <c r="F80" s="56"/>
      <c r="G80" s="57" t="str">
        <f>IF(ISBLANK(C80),"",
   IFERROR(
      IF(
         INDEX(DB_materiali!C$2:C$5000,
               MATCH(C80, DB_materiali!A$2:A$5000, 0)
         )="FALSE",
         "N",
         "Y"
      ),
   "")
)</f>
        <v/>
      </c>
      <c r="H80" s="20"/>
      <c r="I80" s="20"/>
      <c r="J80" s="20"/>
      <c r="K80" s="20"/>
      <c r="M80" s="2" t="str">
        <f>IF(ISBLANK(C80),"",IF(IFERROR(VLOOKUP(C80,DB_materiali!$A$2:$A$5000,1,FALSE),"Kļūda artikulā")=C80,"✔",tulkojums!A$42))</f>
        <v/>
      </c>
      <c r="N80" s="2" t="str">
        <f>IF(ISBLANK(C80),"",IF(ISNUMBER(F80)=TRUE,"✔",tulkojums!A$43))</f>
        <v/>
      </c>
      <c r="O80" s="2" t="str">
        <f>IF(ISBLANK(C80),"",IF(G80="Y","✔",IF(G80="X","✔",IF(G80="N","✔",tulkojums!A$44))))</f>
        <v/>
      </c>
      <c r="P80" s="2" t="str">
        <f>IF(ISBLANK(H80),"",IF(INDEX(DB_materiali!$E$2:$E$5000,MATCH($C80,DB_materiali!$A$2:$A$5000,0))&gt;=INDEX(DB_malas!$C$2:$C$5000,MATCH(H80,DB_malas!$A$2:$A$5000,0)),IF(INDEX(DB_materiali!$E$2:$E$5000,MATCH($C80,DB_materiali!$A$2:$A$5000,0))&lt;=INDEX(DB_malas!$D$2:$D$5000,MATCH(H80,DB_malas!$A$2:$A$5000,0)),IF(OR(INDEX(DB_materiali!$B$2:$B$5000,MATCH($C80,DB_materiali!$A$2:$A$5000,0))=INDEX(DB_malas!$B$2:$B$5000,MATCH(H80,DB_malas!$A$2:$A$5000,0)),$H80="ORG"),"✔",tulkojums!$A$38),tulkojums!$A$39),tulkojums!$A$39))</f>
        <v/>
      </c>
      <c r="Q80" s="2" t="str">
        <f>IF(ISBLANK(I80),"",IF(INDEX(DB_materiali!$E$2:$E$5000,MATCH($C80,DB_materiali!$A$2:$A$5000,0))&gt;=INDEX(DB_malas!$C$2:$C$5000,MATCH(I80,DB_malas!$A$2:$A$5000,0)),IF(INDEX(DB_materiali!$E$2:$E$5000,MATCH($C80,DB_materiali!$A$2:$A$5000,0))&lt;=INDEX(DB_malas!$D$2:$D$5000,MATCH(I80,DB_malas!$A$2:$A$5000,0)),IF(OR(INDEX(DB_materiali!$B$2:$B$5000,MATCH($C80,DB_materiali!$A$2:$A$5000,0))=INDEX(DB_malas!$B$2:$B$5000,MATCH(I80,DB_malas!$A$2:$A$5000,0)),$H80="ORG"),"✔",tulkojums!$A$38),tulkojums!$A$39),tulkojums!$A$39))</f>
        <v/>
      </c>
      <c r="R80" s="2" t="str">
        <f>IF(ISBLANK(J80),"",IF(INDEX(DB_materiali!$E$2:$E$5000,MATCH($C80,DB_materiali!$A$2:$A$5000,0))&gt;=INDEX(DB_malas!$C$2:$C$5000,MATCH(J80,DB_malas!$A$2:$A$5000,0)),IF(INDEX(DB_materiali!$E$2:$E$5000,MATCH($C80,DB_materiali!$A$2:$A$5000,0))&lt;=INDEX(DB_malas!$D$2:$D$5000,MATCH(J80,DB_malas!$A$2:$A$5000,0)),IF(INDEX(DB_materiali!$B$2:$B$5000,MATCH($C80,DB_materiali!$A$2:$A$5000,0))=INDEX(DB_malas!$B$2:$B$5000,MATCH(J80,DB_malas!$A$2:$A$5000,0)),"✔",tulkojums!$A$38),tulkojums!$A$39),tulkojums!$A$39))</f>
        <v/>
      </c>
      <c r="S80" s="2" t="str">
        <f>IF(ISBLANK(K80),"",IF(INDEX(DB_materiali!$E$2:$E$5000,MATCH($C80,DB_materiali!$A$2:$A$5000,0))&gt;=INDEX(DB_malas!$C$2:$C$5000,MATCH(K80,DB_malas!$A$2:$A$5000,0)),IF(INDEX(DB_materiali!$E$2:$E$5000,MATCH($C80,DB_materiali!$A$2:$A$5000,0))&lt;=INDEX(DB_malas!$D$2:$D$5000,MATCH(K80,DB_malas!$A$2:$A$5000,0)),IF(INDEX(DB_materiali!$B$2:$B$5000,MATCH($C80,DB_materiali!$A$2:$A$5000,0))=INDEX(DB_malas!$B$2:$B$5000,MATCH(K80,DB_malas!$A$2:$A$5000,0)),"✔",tulkojums!$A$38),tulkojums!$A$39),tulkojums!$A$39))</f>
        <v/>
      </c>
      <c r="T80" s="2"/>
      <c r="U80" s="2"/>
      <c r="V80" s="2"/>
      <c r="W80" s="2"/>
      <c r="X80" s="2"/>
      <c r="Y80" s="2"/>
      <c r="Z80" s="2"/>
    </row>
    <row r="81" spans="1:26" ht="15.75" customHeight="1">
      <c r="A81" s="17"/>
      <c r="B81" s="18"/>
      <c r="C81" s="19"/>
      <c r="D81" s="55"/>
      <c r="E81" s="55"/>
      <c r="F81" s="56"/>
      <c r="G81" s="57" t="str">
        <f>IF(ISBLANK(C81),"",
   IFERROR(
      IF(
         INDEX(DB_materiali!C$2:C$5000,
               MATCH(C81, DB_materiali!A$2:A$5000, 0)
         )="FALSE",
         "N",
         "Y"
      ),
   "")
)</f>
        <v/>
      </c>
      <c r="H81" s="20"/>
      <c r="I81" s="20"/>
      <c r="J81" s="20"/>
      <c r="K81" s="20"/>
      <c r="M81" s="2" t="str">
        <f>IF(ISBLANK(C81),"",IF(IFERROR(VLOOKUP(C81,DB_materiali!$A$2:$A$5000,1,FALSE),"Kļūda artikulā")=C81,"✔",tulkojums!A$42))</f>
        <v/>
      </c>
      <c r="N81" s="2" t="str">
        <f>IF(ISBLANK(C81),"",IF(ISNUMBER(F81)=TRUE,"✔",tulkojums!A$43))</f>
        <v/>
      </c>
      <c r="O81" s="2" t="str">
        <f>IF(ISBLANK(C81),"",IF(G81="Y","✔",IF(G81="X","✔",IF(G81="N","✔",tulkojums!A$44))))</f>
        <v/>
      </c>
      <c r="P81" s="2" t="str">
        <f>IF(ISBLANK(H81),"",IF(INDEX(DB_materiali!$E$2:$E$5000,MATCH($C81,DB_materiali!$A$2:$A$5000,0))&gt;=INDEX(DB_malas!$C$2:$C$5000,MATCH(H81,DB_malas!$A$2:$A$5000,0)),IF(INDEX(DB_materiali!$E$2:$E$5000,MATCH($C81,DB_materiali!$A$2:$A$5000,0))&lt;=INDEX(DB_malas!$D$2:$D$5000,MATCH(H81,DB_malas!$A$2:$A$5000,0)),IF(OR(INDEX(DB_materiali!$B$2:$B$5000,MATCH($C81,DB_materiali!$A$2:$A$5000,0))=INDEX(DB_malas!$B$2:$B$5000,MATCH(H81,DB_malas!$A$2:$A$5000,0)),$H81="ORG"),"✔",tulkojums!$A$38),tulkojums!$A$39),tulkojums!$A$39))</f>
        <v/>
      </c>
      <c r="Q81" s="2" t="str">
        <f>IF(ISBLANK(I81),"",IF(INDEX(DB_materiali!$E$2:$E$5000,MATCH($C81,DB_materiali!$A$2:$A$5000,0))&gt;=INDEX(DB_malas!$C$2:$C$5000,MATCH(I81,DB_malas!$A$2:$A$5000,0)),IF(INDEX(DB_materiali!$E$2:$E$5000,MATCH($C81,DB_materiali!$A$2:$A$5000,0))&lt;=INDEX(DB_malas!$D$2:$D$5000,MATCH(I81,DB_malas!$A$2:$A$5000,0)),IF(OR(INDEX(DB_materiali!$B$2:$B$5000,MATCH($C81,DB_materiali!$A$2:$A$5000,0))=INDEX(DB_malas!$B$2:$B$5000,MATCH(I81,DB_malas!$A$2:$A$5000,0)),$H81="ORG"),"✔",tulkojums!$A$38),tulkojums!$A$39),tulkojums!$A$39))</f>
        <v/>
      </c>
      <c r="R81" s="2" t="str">
        <f>IF(ISBLANK(J81),"",IF(INDEX(DB_materiali!$E$2:$E$5000,MATCH($C81,DB_materiali!$A$2:$A$5000,0))&gt;=INDEX(DB_malas!$C$2:$C$5000,MATCH(J81,DB_malas!$A$2:$A$5000,0)),IF(INDEX(DB_materiali!$E$2:$E$5000,MATCH($C81,DB_materiali!$A$2:$A$5000,0))&lt;=INDEX(DB_malas!$D$2:$D$5000,MATCH(J81,DB_malas!$A$2:$A$5000,0)),IF(INDEX(DB_materiali!$B$2:$B$5000,MATCH($C81,DB_materiali!$A$2:$A$5000,0))=INDEX(DB_malas!$B$2:$B$5000,MATCH(J81,DB_malas!$A$2:$A$5000,0)),"✔",tulkojums!$A$38),tulkojums!$A$39),tulkojums!$A$39))</f>
        <v/>
      </c>
      <c r="S81" s="2" t="str">
        <f>IF(ISBLANK(K81),"",IF(INDEX(DB_materiali!$E$2:$E$5000,MATCH($C81,DB_materiali!$A$2:$A$5000,0))&gt;=INDEX(DB_malas!$C$2:$C$5000,MATCH(K81,DB_malas!$A$2:$A$5000,0)),IF(INDEX(DB_materiali!$E$2:$E$5000,MATCH($C81,DB_materiali!$A$2:$A$5000,0))&lt;=INDEX(DB_malas!$D$2:$D$5000,MATCH(K81,DB_malas!$A$2:$A$5000,0)),IF(INDEX(DB_materiali!$B$2:$B$5000,MATCH($C81,DB_materiali!$A$2:$A$5000,0))=INDEX(DB_malas!$B$2:$B$5000,MATCH(K81,DB_malas!$A$2:$A$5000,0)),"✔",tulkojums!$A$38),tulkojums!$A$39),tulkojums!$A$39))</f>
        <v/>
      </c>
      <c r="T81" s="2"/>
      <c r="U81" s="2"/>
      <c r="V81" s="2"/>
      <c r="W81" s="2"/>
      <c r="X81" s="2"/>
      <c r="Y81" s="2"/>
      <c r="Z81" s="2"/>
    </row>
    <row r="82" spans="1:26" ht="15.75" customHeight="1">
      <c r="A82" s="17"/>
      <c r="B82" s="18"/>
      <c r="C82" s="19"/>
      <c r="D82" s="55"/>
      <c r="E82" s="55"/>
      <c r="F82" s="56"/>
      <c r="G82" s="57" t="str">
        <f>IF(ISBLANK(C82),"",
   IFERROR(
      IF(
         INDEX(DB_materiali!C$2:C$5000,
               MATCH(C82, DB_materiali!A$2:A$5000, 0)
         )="FALSE",
         "N",
         "Y"
      ),
   "")
)</f>
        <v/>
      </c>
      <c r="H82" s="20"/>
      <c r="I82" s="20"/>
      <c r="J82" s="20"/>
      <c r="K82" s="20"/>
      <c r="M82" s="2" t="str">
        <f>IF(ISBLANK(C82),"",IF(IFERROR(VLOOKUP(C82,DB_materiali!$A$2:$A$5000,1,FALSE),"Kļūda artikulā")=C82,"✔",tulkojums!A$42))</f>
        <v/>
      </c>
      <c r="N82" s="2" t="str">
        <f>IF(ISBLANK(C82),"",IF(ISNUMBER(F82)=TRUE,"✔",tulkojums!A$43))</f>
        <v/>
      </c>
      <c r="O82" s="2" t="str">
        <f>IF(ISBLANK(C82),"",IF(G82="Y","✔",IF(G82="X","✔",IF(G82="N","✔",tulkojums!A$44))))</f>
        <v/>
      </c>
      <c r="P82" s="2" t="str">
        <f>IF(ISBLANK(H82),"",IF(INDEX(DB_materiali!$E$2:$E$5000,MATCH($C82,DB_materiali!$A$2:$A$5000,0))&gt;=INDEX(DB_malas!$C$2:$C$5000,MATCH(H82,DB_malas!$A$2:$A$5000,0)),IF(INDEX(DB_materiali!$E$2:$E$5000,MATCH($C82,DB_materiali!$A$2:$A$5000,0))&lt;=INDEX(DB_malas!$D$2:$D$5000,MATCH(H82,DB_malas!$A$2:$A$5000,0)),IF(OR(INDEX(DB_materiali!$B$2:$B$5000,MATCH($C82,DB_materiali!$A$2:$A$5000,0))=INDEX(DB_malas!$B$2:$B$5000,MATCH(H82,DB_malas!$A$2:$A$5000,0)),$H82="ORG"),"✔",tulkojums!$A$38),tulkojums!$A$39),tulkojums!$A$39))</f>
        <v/>
      </c>
      <c r="Q82" s="2" t="str">
        <f>IF(ISBLANK(I82),"",IF(INDEX(DB_materiali!$E$2:$E$5000,MATCH($C82,DB_materiali!$A$2:$A$5000,0))&gt;=INDEX(DB_malas!$C$2:$C$5000,MATCH(I82,DB_malas!$A$2:$A$5000,0)),IF(INDEX(DB_materiali!$E$2:$E$5000,MATCH($C82,DB_materiali!$A$2:$A$5000,0))&lt;=INDEX(DB_malas!$D$2:$D$5000,MATCH(I82,DB_malas!$A$2:$A$5000,0)),IF(OR(INDEX(DB_materiali!$B$2:$B$5000,MATCH($C82,DB_materiali!$A$2:$A$5000,0))=INDEX(DB_malas!$B$2:$B$5000,MATCH(I82,DB_malas!$A$2:$A$5000,0)),$H82="ORG"),"✔",tulkojums!$A$38),tulkojums!$A$39),tulkojums!$A$39))</f>
        <v/>
      </c>
      <c r="R82" s="2" t="str">
        <f>IF(ISBLANK(J82),"",IF(INDEX(DB_materiali!$E$2:$E$5000,MATCH($C82,DB_materiali!$A$2:$A$5000,0))&gt;=INDEX(DB_malas!$C$2:$C$5000,MATCH(J82,DB_malas!$A$2:$A$5000,0)),IF(INDEX(DB_materiali!$E$2:$E$5000,MATCH($C82,DB_materiali!$A$2:$A$5000,0))&lt;=INDEX(DB_malas!$D$2:$D$5000,MATCH(J82,DB_malas!$A$2:$A$5000,0)),IF(INDEX(DB_materiali!$B$2:$B$5000,MATCH($C82,DB_materiali!$A$2:$A$5000,0))=INDEX(DB_malas!$B$2:$B$5000,MATCH(J82,DB_malas!$A$2:$A$5000,0)),"✔",tulkojums!$A$38),tulkojums!$A$39),tulkojums!$A$39))</f>
        <v/>
      </c>
      <c r="S82" s="2" t="str">
        <f>IF(ISBLANK(K82),"",IF(INDEX(DB_materiali!$E$2:$E$5000,MATCH($C82,DB_materiali!$A$2:$A$5000,0))&gt;=INDEX(DB_malas!$C$2:$C$5000,MATCH(K82,DB_malas!$A$2:$A$5000,0)),IF(INDEX(DB_materiali!$E$2:$E$5000,MATCH($C82,DB_materiali!$A$2:$A$5000,0))&lt;=INDEX(DB_malas!$D$2:$D$5000,MATCH(K82,DB_malas!$A$2:$A$5000,0)),IF(INDEX(DB_materiali!$B$2:$B$5000,MATCH($C82,DB_materiali!$A$2:$A$5000,0))=INDEX(DB_malas!$B$2:$B$5000,MATCH(K82,DB_malas!$A$2:$A$5000,0)),"✔",tulkojums!$A$38),tulkojums!$A$39),tulkojums!$A$39))</f>
        <v/>
      </c>
      <c r="T82" s="2"/>
      <c r="U82" s="2"/>
      <c r="V82" s="2"/>
      <c r="W82" s="2"/>
      <c r="X82" s="2"/>
      <c r="Y82" s="2"/>
      <c r="Z82" s="2"/>
    </row>
    <row r="83" spans="1:26" ht="15.75" customHeight="1">
      <c r="A83" s="17"/>
      <c r="B83" s="18"/>
      <c r="C83" s="19"/>
      <c r="D83" s="55"/>
      <c r="E83" s="55"/>
      <c r="F83" s="56"/>
      <c r="G83" s="57" t="str">
        <f>IF(ISBLANK(C83),"",
   IFERROR(
      IF(
         INDEX(DB_materiali!C$2:C$5000,
               MATCH(C83, DB_materiali!A$2:A$5000, 0)
         )="FALSE",
         "N",
         "Y"
      ),
   "")
)</f>
        <v/>
      </c>
      <c r="H83" s="20"/>
      <c r="I83" s="20"/>
      <c r="J83" s="20"/>
      <c r="K83" s="20"/>
      <c r="M83" s="2" t="str">
        <f>IF(ISBLANK(C83),"",IF(IFERROR(VLOOKUP(C83,DB_materiali!$A$2:$A$5000,1,FALSE),"Kļūda artikulā")=C83,"✔",tulkojums!A$42))</f>
        <v/>
      </c>
      <c r="N83" s="2" t="str">
        <f>IF(ISBLANK(C83),"",IF(ISNUMBER(F83)=TRUE,"✔",tulkojums!A$43))</f>
        <v/>
      </c>
      <c r="O83" s="2" t="str">
        <f>IF(ISBLANK(C83),"",IF(G83="Y","✔",IF(G83="X","✔",IF(G83="N","✔",tulkojums!A$44))))</f>
        <v/>
      </c>
      <c r="P83" s="2" t="str">
        <f>IF(ISBLANK(H83),"",IF(INDEX(DB_materiali!$E$2:$E$5000,MATCH($C83,DB_materiali!$A$2:$A$5000,0))&gt;=INDEX(DB_malas!$C$2:$C$5000,MATCH(H83,DB_malas!$A$2:$A$5000,0)),IF(INDEX(DB_materiali!$E$2:$E$5000,MATCH($C83,DB_materiali!$A$2:$A$5000,0))&lt;=INDEX(DB_malas!$D$2:$D$5000,MATCH(H83,DB_malas!$A$2:$A$5000,0)),IF(OR(INDEX(DB_materiali!$B$2:$B$5000,MATCH($C83,DB_materiali!$A$2:$A$5000,0))=INDEX(DB_malas!$B$2:$B$5000,MATCH(H83,DB_malas!$A$2:$A$5000,0)),$H83="ORG"),"✔",tulkojums!$A$38),tulkojums!$A$39),tulkojums!$A$39))</f>
        <v/>
      </c>
      <c r="Q83" s="2" t="str">
        <f>IF(ISBLANK(I83),"",IF(INDEX(DB_materiali!$E$2:$E$5000,MATCH($C83,DB_materiali!$A$2:$A$5000,0))&gt;=INDEX(DB_malas!$C$2:$C$5000,MATCH(I83,DB_malas!$A$2:$A$5000,0)),IF(INDEX(DB_materiali!$E$2:$E$5000,MATCH($C83,DB_materiali!$A$2:$A$5000,0))&lt;=INDEX(DB_malas!$D$2:$D$5000,MATCH(I83,DB_malas!$A$2:$A$5000,0)),IF(OR(INDEX(DB_materiali!$B$2:$B$5000,MATCH($C83,DB_materiali!$A$2:$A$5000,0))=INDEX(DB_malas!$B$2:$B$5000,MATCH(I83,DB_malas!$A$2:$A$5000,0)),$H83="ORG"),"✔",tulkojums!$A$38),tulkojums!$A$39),tulkojums!$A$39))</f>
        <v/>
      </c>
      <c r="R83" s="2" t="str">
        <f>IF(ISBLANK(J83),"",IF(INDEX(DB_materiali!$E$2:$E$5000,MATCH($C83,DB_materiali!$A$2:$A$5000,0))&gt;=INDEX(DB_malas!$C$2:$C$5000,MATCH(J83,DB_malas!$A$2:$A$5000,0)),IF(INDEX(DB_materiali!$E$2:$E$5000,MATCH($C83,DB_materiali!$A$2:$A$5000,0))&lt;=INDEX(DB_malas!$D$2:$D$5000,MATCH(J83,DB_malas!$A$2:$A$5000,0)),IF(INDEX(DB_materiali!$B$2:$B$5000,MATCH($C83,DB_materiali!$A$2:$A$5000,0))=INDEX(DB_malas!$B$2:$B$5000,MATCH(J83,DB_malas!$A$2:$A$5000,0)),"✔",tulkojums!$A$38),tulkojums!$A$39),tulkojums!$A$39))</f>
        <v/>
      </c>
      <c r="S83" s="2" t="str">
        <f>IF(ISBLANK(K83),"",IF(INDEX(DB_materiali!$E$2:$E$5000,MATCH($C83,DB_materiali!$A$2:$A$5000,0))&gt;=INDEX(DB_malas!$C$2:$C$5000,MATCH(K83,DB_malas!$A$2:$A$5000,0)),IF(INDEX(DB_materiali!$E$2:$E$5000,MATCH($C83,DB_materiali!$A$2:$A$5000,0))&lt;=INDEX(DB_malas!$D$2:$D$5000,MATCH(K83,DB_malas!$A$2:$A$5000,0)),IF(INDEX(DB_materiali!$B$2:$B$5000,MATCH($C83,DB_materiali!$A$2:$A$5000,0))=INDEX(DB_malas!$B$2:$B$5000,MATCH(K83,DB_malas!$A$2:$A$5000,0)),"✔",tulkojums!$A$38),tulkojums!$A$39),tulkojums!$A$39))</f>
        <v/>
      </c>
      <c r="T83" s="2"/>
      <c r="U83" s="2"/>
      <c r="V83" s="2"/>
      <c r="W83" s="2"/>
      <c r="X83" s="2"/>
      <c r="Y83" s="2"/>
      <c r="Z83" s="2"/>
    </row>
    <row r="84" spans="1:26" ht="15.75" customHeight="1">
      <c r="A84" s="17"/>
      <c r="B84" s="18"/>
      <c r="C84" s="19"/>
      <c r="D84" s="55"/>
      <c r="E84" s="55"/>
      <c r="F84" s="56"/>
      <c r="G84" s="57" t="str">
        <f>IF(ISBLANK(C84),"",
   IFERROR(
      IF(
         INDEX(DB_materiali!C$2:C$5000,
               MATCH(C84, DB_materiali!A$2:A$5000, 0)
         )="FALSE",
         "N",
         "Y"
      ),
   "")
)</f>
        <v/>
      </c>
      <c r="H84" s="20"/>
      <c r="I84" s="20"/>
      <c r="J84" s="20"/>
      <c r="K84" s="20"/>
      <c r="M84" s="2" t="str">
        <f>IF(ISBLANK(C84),"",IF(IFERROR(VLOOKUP(C84,DB_materiali!$A$2:$A$5000,1,FALSE),"Kļūda artikulā")=C84,"✔",tulkojums!A$42))</f>
        <v/>
      </c>
      <c r="N84" s="2" t="str">
        <f>IF(ISBLANK(C84),"",IF(ISNUMBER(F84)=TRUE,"✔",tulkojums!A$43))</f>
        <v/>
      </c>
      <c r="O84" s="2" t="str">
        <f>IF(ISBLANK(C84),"",IF(G84="Y","✔",IF(G84="X","✔",IF(G84="N","✔",tulkojums!A$44))))</f>
        <v/>
      </c>
      <c r="P84" s="2" t="str">
        <f>IF(ISBLANK(H84),"",IF(INDEX(DB_materiali!$E$2:$E$5000,MATCH($C84,DB_materiali!$A$2:$A$5000,0))&gt;=INDEX(DB_malas!$C$2:$C$5000,MATCH(H84,DB_malas!$A$2:$A$5000,0)),IF(INDEX(DB_materiali!$E$2:$E$5000,MATCH($C84,DB_materiali!$A$2:$A$5000,0))&lt;=INDEX(DB_malas!$D$2:$D$5000,MATCH(H84,DB_malas!$A$2:$A$5000,0)),IF(OR(INDEX(DB_materiali!$B$2:$B$5000,MATCH($C84,DB_materiali!$A$2:$A$5000,0))=INDEX(DB_malas!$B$2:$B$5000,MATCH(H84,DB_malas!$A$2:$A$5000,0)),$H84="ORG"),"✔",tulkojums!$A$38),tulkojums!$A$39),tulkojums!$A$39))</f>
        <v/>
      </c>
      <c r="Q84" s="2" t="str">
        <f>IF(ISBLANK(I84),"",IF(INDEX(DB_materiali!$E$2:$E$5000,MATCH($C84,DB_materiali!$A$2:$A$5000,0))&gt;=INDEX(DB_malas!$C$2:$C$5000,MATCH(I84,DB_malas!$A$2:$A$5000,0)),IF(INDEX(DB_materiali!$E$2:$E$5000,MATCH($C84,DB_materiali!$A$2:$A$5000,0))&lt;=INDEX(DB_malas!$D$2:$D$5000,MATCH(I84,DB_malas!$A$2:$A$5000,0)),IF(OR(INDEX(DB_materiali!$B$2:$B$5000,MATCH($C84,DB_materiali!$A$2:$A$5000,0))=INDEX(DB_malas!$B$2:$B$5000,MATCH(I84,DB_malas!$A$2:$A$5000,0)),$H84="ORG"),"✔",tulkojums!$A$38),tulkojums!$A$39),tulkojums!$A$39))</f>
        <v/>
      </c>
      <c r="R84" s="2" t="str">
        <f>IF(ISBLANK(J84),"",IF(INDEX(DB_materiali!$E$2:$E$5000,MATCH($C84,DB_materiali!$A$2:$A$5000,0))&gt;=INDEX(DB_malas!$C$2:$C$5000,MATCH(J84,DB_malas!$A$2:$A$5000,0)),IF(INDEX(DB_materiali!$E$2:$E$5000,MATCH($C84,DB_materiali!$A$2:$A$5000,0))&lt;=INDEX(DB_malas!$D$2:$D$5000,MATCH(J84,DB_malas!$A$2:$A$5000,0)),IF(INDEX(DB_materiali!$B$2:$B$5000,MATCH($C84,DB_materiali!$A$2:$A$5000,0))=INDEX(DB_malas!$B$2:$B$5000,MATCH(J84,DB_malas!$A$2:$A$5000,0)),"✔",tulkojums!$A$38),tulkojums!$A$39),tulkojums!$A$39))</f>
        <v/>
      </c>
      <c r="S84" s="2" t="str">
        <f>IF(ISBLANK(K84),"",IF(INDEX(DB_materiali!$E$2:$E$5000,MATCH($C84,DB_materiali!$A$2:$A$5000,0))&gt;=INDEX(DB_malas!$C$2:$C$5000,MATCH(K84,DB_malas!$A$2:$A$5000,0)),IF(INDEX(DB_materiali!$E$2:$E$5000,MATCH($C84,DB_materiali!$A$2:$A$5000,0))&lt;=INDEX(DB_malas!$D$2:$D$5000,MATCH(K84,DB_malas!$A$2:$A$5000,0)),IF(INDEX(DB_materiali!$B$2:$B$5000,MATCH($C84,DB_materiali!$A$2:$A$5000,0))=INDEX(DB_malas!$B$2:$B$5000,MATCH(K84,DB_malas!$A$2:$A$5000,0)),"✔",tulkojums!$A$38),tulkojums!$A$39),tulkojums!$A$39))</f>
        <v/>
      </c>
      <c r="T84" s="2"/>
      <c r="U84" s="2"/>
      <c r="V84" s="2"/>
      <c r="W84" s="2"/>
      <c r="X84" s="2"/>
      <c r="Y84" s="2"/>
      <c r="Z84" s="2"/>
    </row>
    <row r="85" spans="1:26" ht="15.75" customHeight="1">
      <c r="A85" s="17"/>
      <c r="B85" s="18"/>
      <c r="C85" s="19"/>
      <c r="D85" s="55"/>
      <c r="E85" s="55"/>
      <c r="F85" s="56"/>
      <c r="G85" s="57" t="str">
        <f>IF(ISBLANK(C85),"",
   IFERROR(
      IF(
         INDEX(DB_materiali!C$2:C$5000,
               MATCH(C85, DB_materiali!A$2:A$5000, 0)
         )="FALSE",
         "N",
         "Y"
      ),
   "")
)</f>
        <v/>
      </c>
      <c r="H85" s="20"/>
      <c r="I85" s="20"/>
      <c r="J85" s="20"/>
      <c r="K85" s="20"/>
      <c r="M85" s="2" t="str">
        <f>IF(ISBLANK(C85),"",IF(IFERROR(VLOOKUP(C85,DB_materiali!$A$2:$A$5000,1,FALSE),"Kļūda artikulā")=C85,"✔",tulkojums!A$42))</f>
        <v/>
      </c>
      <c r="N85" s="2" t="str">
        <f>IF(ISBLANK(C85),"",IF(ISNUMBER(F85)=TRUE,"✔",tulkojums!A$43))</f>
        <v/>
      </c>
      <c r="O85" s="2" t="str">
        <f>IF(ISBLANK(C85),"",IF(G85="Y","✔",IF(G85="X","✔",IF(G85="N","✔",tulkojums!A$44))))</f>
        <v/>
      </c>
      <c r="P85" s="2" t="str">
        <f>IF(ISBLANK(H85),"",IF(INDEX(DB_materiali!$E$2:$E$5000,MATCH($C85,DB_materiali!$A$2:$A$5000,0))&gt;=INDEX(DB_malas!$C$2:$C$5000,MATCH(H85,DB_malas!$A$2:$A$5000,0)),IF(INDEX(DB_materiali!$E$2:$E$5000,MATCH($C85,DB_materiali!$A$2:$A$5000,0))&lt;=INDEX(DB_malas!$D$2:$D$5000,MATCH(H85,DB_malas!$A$2:$A$5000,0)),IF(OR(INDEX(DB_materiali!$B$2:$B$5000,MATCH($C85,DB_materiali!$A$2:$A$5000,0))=INDEX(DB_malas!$B$2:$B$5000,MATCH(H85,DB_malas!$A$2:$A$5000,0)),$H85="ORG"),"✔",tulkojums!$A$38),tulkojums!$A$39),tulkojums!$A$39))</f>
        <v/>
      </c>
      <c r="Q85" s="2" t="str">
        <f>IF(ISBLANK(I85),"",IF(INDEX(DB_materiali!$E$2:$E$5000,MATCH($C85,DB_materiali!$A$2:$A$5000,0))&gt;=INDEX(DB_malas!$C$2:$C$5000,MATCH(I85,DB_malas!$A$2:$A$5000,0)),IF(INDEX(DB_materiali!$E$2:$E$5000,MATCH($C85,DB_materiali!$A$2:$A$5000,0))&lt;=INDEX(DB_malas!$D$2:$D$5000,MATCH(I85,DB_malas!$A$2:$A$5000,0)),IF(OR(INDEX(DB_materiali!$B$2:$B$5000,MATCH($C85,DB_materiali!$A$2:$A$5000,0))=INDEX(DB_malas!$B$2:$B$5000,MATCH(I85,DB_malas!$A$2:$A$5000,0)),$H85="ORG"),"✔",tulkojums!$A$38),tulkojums!$A$39),tulkojums!$A$39))</f>
        <v/>
      </c>
      <c r="R85" s="2" t="str">
        <f>IF(ISBLANK(J85),"",IF(INDEX(DB_materiali!$E$2:$E$5000,MATCH($C85,DB_materiali!$A$2:$A$5000,0))&gt;=INDEX(DB_malas!$C$2:$C$5000,MATCH(J85,DB_malas!$A$2:$A$5000,0)),IF(INDEX(DB_materiali!$E$2:$E$5000,MATCH($C85,DB_materiali!$A$2:$A$5000,0))&lt;=INDEX(DB_malas!$D$2:$D$5000,MATCH(J85,DB_malas!$A$2:$A$5000,0)),IF(INDEX(DB_materiali!$B$2:$B$5000,MATCH($C85,DB_materiali!$A$2:$A$5000,0))=INDEX(DB_malas!$B$2:$B$5000,MATCH(J85,DB_malas!$A$2:$A$5000,0)),"✔",tulkojums!$A$38),tulkojums!$A$39),tulkojums!$A$39))</f>
        <v/>
      </c>
      <c r="S85" s="2" t="str">
        <f>IF(ISBLANK(K85),"",IF(INDEX(DB_materiali!$E$2:$E$5000,MATCH($C85,DB_materiali!$A$2:$A$5000,0))&gt;=INDEX(DB_malas!$C$2:$C$5000,MATCH(K85,DB_malas!$A$2:$A$5000,0)),IF(INDEX(DB_materiali!$E$2:$E$5000,MATCH($C85,DB_materiali!$A$2:$A$5000,0))&lt;=INDEX(DB_malas!$D$2:$D$5000,MATCH(K85,DB_malas!$A$2:$A$5000,0)),IF(INDEX(DB_materiali!$B$2:$B$5000,MATCH($C85,DB_materiali!$A$2:$A$5000,0))=INDEX(DB_malas!$B$2:$B$5000,MATCH(K85,DB_malas!$A$2:$A$5000,0)),"✔",tulkojums!$A$38),tulkojums!$A$39),tulkojums!$A$39))</f>
        <v/>
      </c>
      <c r="T85" s="2"/>
      <c r="U85" s="2"/>
      <c r="V85" s="2"/>
      <c r="W85" s="2"/>
      <c r="X85" s="2"/>
      <c r="Y85" s="2"/>
      <c r="Z85" s="2"/>
    </row>
    <row r="86" spans="1:26" ht="15.75" customHeight="1">
      <c r="A86" s="17"/>
      <c r="B86" s="18"/>
      <c r="C86" s="19"/>
      <c r="D86" s="55"/>
      <c r="E86" s="55"/>
      <c r="F86" s="56"/>
      <c r="G86" s="57" t="str">
        <f>IF(ISBLANK(C86),"",
   IFERROR(
      IF(
         INDEX(DB_materiali!C$2:C$5000,
               MATCH(C86, DB_materiali!A$2:A$5000, 0)
         )="FALSE",
         "N",
         "Y"
      ),
   "")
)</f>
        <v/>
      </c>
      <c r="H86" s="20"/>
      <c r="I86" s="20"/>
      <c r="J86" s="20"/>
      <c r="K86" s="20"/>
      <c r="M86" s="2" t="str">
        <f>IF(ISBLANK(C86),"",IF(IFERROR(VLOOKUP(C86,DB_materiali!$A$2:$A$5000,1,FALSE),"Kļūda artikulā")=C86,"✔",tulkojums!A$42))</f>
        <v/>
      </c>
      <c r="N86" s="2" t="str">
        <f>IF(ISBLANK(C86),"",IF(ISNUMBER(F86)=TRUE,"✔",tulkojums!A$43))</f>
        <v/>
      </c>
      <c r="O86" s="2" t="str">
        <f>IF(ISBLANK(C86),"",IF(G86="Y","✔",IF(G86="X","✔",IF(G86="N","✔",tulkojums!A$44))))</f>
        <v/>
      </c>
      <c r="P86" s="2" t="str">
        <f>IF(ISBLANK(H86),"",IF(INDEX(DB_materiali!$E$2:$E$5000,MATCH($C86,DB_materiali!$A$2:$A$5000,0))&gt;=INDEX(DB_malas!$C$2:$C$5000,MATCH(H86,DB_malas!$A$2:$A$5000,0)),IF(INDEX(DB_materiali!$E$2:$E$5000,MATCH($C86,DB_materiali!$A$2:$A$5000,0))&lt;=INDEX(DB_malas!$D$2:$D$5000,MATCH(H86,DB_malas!$A$2:$A$5000,0)),IF(OR(INDEX(DB_materiali!$B$2:$B$5000,MATCH($C86,DB_materiali!$A$2:$A$5000,0))=INDEX(DB_malas!$B$2:$B$5000,MATCH(H86,DB_malas!$A$2:$A$5000,0)),$H86="ORG"),"✔",tulkojums!$A$38),tulkojums!$A$39),tulkojums!$A$39))</f>
        <v/>
      </c>
      <c r="Q86" s="2" t="str">
        <f>IF(ISBLANK(I86),"",IF(INDEX(DB_materiali!$E$2:$E$5000,MATCH($C86,DB_materiali!$A$2:$A$5000,0))&gt;=INDEX(DB_malas!$C$2:$C$5000,MATCH(I86,DB_malas!$A$2:$A$5000,0)),IF(INDEX(DB_materiali!$E$2:$E$5000,MATCH($C86,DB_materiali!$A$2:$A$5000,0))&lt;=INDEX(DB_malas!$D$2:$D$5000,MATCH(I86,DB_malas!$A$2:$A$5000,0)),IF(OR(INDEX(DB_materiali!$B$2:$B$5000,MATCH($C86,DB_materiali!$A$2:$A$5000,0))=INDEX(DB_malas!$B$2:$B$5000,MATCH(I86,DB_malas!$A$2:$A$5000,0)),$H86="ORG"),"✔",tulkojums!$A$38),tulkojums!$A$39),tulkojums!$A$39))</f>
        <v/>
      </c>
      <c r="R86" s="2" t="str">
        <f>IF(ISBLANK(J86),"",IF(INDEX(DB_materiali!$E$2:$E$5000,MATCH($C86,DB_materiali!$A$2:$A$5000,0))&gt;=INDEX(DB_malas!$C$2:$C$5000,MATCH(J86,DB_malas!$A$2:$A$5000,0)),IF(INDEX(DB_materiali!$E$2:$E$5000,MATCH($C86,DB_materiali!$A$2:$A$5000,0))&lt;=INDEX(DB_malas!$D$2:$D$5000,MATCH(J86,DB_malas!$A$2:$A$5000,0)),IF(INDEX(DB_materiali!$B$2:$B$5000,MATCH($C86,DB_materiali!$A$2:$A$5000,0))=INDEX(DB_malas!$B$2:$B$5000,MATCH(J86,DB_malas!$A$2:$A$5000,0)),"✔",tulkojums!$A$38),tulkojums!$A$39),tulkojums!$A$39))</f>
        <v/>
      </c>
      <c r="S86" s="2" t="str">
        <f>IF(ISBLANK(K86),"",IF(INDEX(DB_materiali!$E$2:$E$5000,MATCH($C86,DB_materiali!$A$2:$A$5000,0))&gt;=INDEX(DB_malas!$C$2:$C$5000,MATCH(K86,DB_malas!$A$2:$A$5000,0)),IF(INDEX(DB_materiali!$E$2:$E$5000,MATCH($C86,DB_materiali!$A$2:$A$5000,0))&lt;=INDEX(DB_malas!$D$2:$D$5000,MATCH(K86,DB_malas!$A$2:$A$5000,0)),IF(INDEX(DB_materiali!$B$2:$B$5000,MATCH($C86,DB_materiali!$A$2:$A$5000,0))=INDEX(DB_malas!$B$2:$B$5000,MATCH(K86,DB_malas!$A$2:$A$5000,0)),"✔",tulkojums!$A$38),tulkojums!$A$39),tulkojums!$A$39))</f>
        <v/>
      </c>
      <c r="T86" s="2"/>
      <c r="U86" s="2"/>
      <c r="V86" s="2"/>
      <c r="W86" s="2"/>
      <c r="X86" s="2"/>
      <c r="Y86" s="2"/>
      <c r="Z86" s="2"/>
    </row>
    <row r="87" spans="1:26" ht="15.75" customHeight="1">
      <c r="A87" s="17"/>
      <c r="B87" s="18"/>
      <c r="C87" s="19"/>
      <c r="D87" s="55"/>
      <c r="E87" s="55"/>
      <c r="F87" s="56"/>
      <c r="G87" s="57" t="str">
        <f>IF(ISBLANK(C87),"",
   IFERROR(
      IF(
         INDEX(DB_materiali!C$2:C$5000,
               MATCH(C87, DB_materiali!A$2:A$5000, 0)
         )="FALSE",
         "N",
         "Y"
      ),
   "")
)</f>
        <v/>
      </c>
      <c r="H87" s="20"/>
      <c r="I87" s="20"/>
      <c r="J87" s="20"/>
      <c r="K87" s="20"/>
      <c r="M87" s="2" t="str">
        <f>IF(ISBLANK(C87),"",IF(IFERROR(VLOOKUP(C87,DB_materiali!$A$2:$A$5000,1,FALSE),"Kļūda artikulā")=C87,"✔",tulkojums!A$42))</f>
        <v/>
      </c>
      <c r="N87" s="2" t="str">
        <f>IF(ISBLANK(C87),"",IF(ISNUMBER(F87)=TRUE,"✔",tulkojums!A$43))</f>
        <v/>
      </c>
      <c r="O87" s="2" t="str">
        <f>IF(ISBLANK(C87),"",IF(G87="Y","✔",IF(G87="X","✔",IF(G87="N","✔",tulkojums!A$44))))</f>
        <v/>
      </c>
      <c r="P87" s="2" t="str">
        <f>IF(ISBLANK(H87),"",IF(INDEX(DB_materiali!$E$2:$E$5000,MATCH($C87,DB_materiali!$A$2:$A$5000,0))&gt;=INDEX(DB_malas!$C$2:$C$5000,MATCH(H87,DB_malas!$A$2:$A$5000,0)),IF(INDEX(DB_materiali!$E$2:$E$5000,MATCH($C87,DB_materiali!$A$2:$A$5000,0))&lt;=INDEX(DB_malas!$D$2:$D$5000,MATCH(H87,DB_malas!$A$2:$A$5000,0)),IF(OR(INDEX(DB_materiali!$B$2:$B$5000,MATCH($C87,DB_materiali!$A$2:$A$5000,0))=INDEX(DB_malas!$B$2:$B$5000,MATCH(H87,DB_malas!$A$2:$A$5000,0)),$H87="ORG"),"✔",tulkojums!$A$38),tulkojums!$A$39),tulkojums!$A$39))</f>
        <v/>
      </c>
      <c r="Q87" s="2" t="str">
        <f>IF(ISBLANK(I87),"",IF(INDEX(DB_materiali!$E$2:$E$5000,MATCH($C87,DB_materiali!$A$2:$A$5000,0))&gt;=INDEX(DB_malas!$C$2:$C$5000,MATCH(I87,DB_malas!$A$2:$A$5000,0)),IF(INDEX(DB_materiali!$E$2:$E$5000,MATCH($C87,DB_materiali!$A$2:$A$5000,0))&lt;=INDEX(DB_malas!$D$2:$D$5000,MATCH(I87,DB_malas!$A$2:$A$5000,0)),IF(OR(INDEX(DB_materiali!$B$2:$B$5000,MATCH($C87,DB_materiali!$A$2:$A$5000,0))=INDEX(DB_malas!$B$2:$B$5000,MATCH(I87,DB_malas!$A$2:$A$5000,0)),$H87="ORG"),"✔",tulkojums!$A$38),tulkojums!$A$39),tulkojums!$A$39))</f>
        <v/>
      </c>
      <c r="R87" s="2" t="str">
        <f>IF(ISBLANK(J87),"",IF(INDEX(DB_materiali!$E$2:$E$5000,MATCH($C87,DB_materiali!$A$2:$A$5000,0))&gt;=INDEX(DB_malas!$C$2:$C$5000,MATCH(J87,DB_malas!$A$2:$A$5000,0)),IF(INDEX(DB_materiali!$E$2:$E$5000,MATCH($C87,DB_materiali!$A$2:$A$5000,0))&lt;=INDEX(DB_malas!$D$2:$D$5000,MATCH(J87,DB_malas!$A$2:$A$5000,0)),IF(INDEX(DB_materiali!$B$2:$B$5000,MATCH($C87,DB_materiali!$A$2:$A$5000,0))=INDEX(DB_malas!$B$2:$B$5000,MATCH(J87,DB_malas!$A$2:$A$5000,0)),"✔",tulkojums!$A$38),tulkojums!$A$39),tulkojums!$A$39))</f>
        <v/>
      </c>
      <c r="S87" s="2" t="str">
        <f>IF(ISBLANK(K87),"",IF(INDEX(DB_materiali!$E$2:$E$5000,MATCH($C87,DB_materiali!$A$2:$A$5000,0))&gt;=INDEX(DB_malas!$C$2:$C$5000,MATCH(K87,DB_malas!$A$2:$A$5000,0)),IF(INDEX(DB_materiali!$E$2:$E$5000,MATCH($C87,DB_materiali!$A$2:$A$5000,0))&lt;=INDEX(DB_malas!$D$2:$D$5000,MATCH(K87,DB_malas!$A$2:$A$5000,0)),IF(INDEX(DB_materiali!$B$2:$B$5000,MATCH($C87,DB_materiali!$A$2:$A$5000,0))=INDEX(DB_malas!$B$2:$B$5000,MATCH(K87,DB_malas!$A$2:$A$5000,0)),"✔",tulkojums!$A$38),tulkojums!$A$39),tulkojums!$A$39))</f>
        <v/>
      </c>
      <c r="T87" s="2"/>
      <c r="U87" s="2"/>
      <c r="V87" s="2"/>
      <c r="W87" s="2"/>
      <c r="X87" s="2"/>
      <c r="Y87" s="2"/>
      <c r="Z87" s="2"/>
    </row>
    <row r="88" spans="1:26" ht="15.75" customHeight="1">
      <c r="A88" s="17"/>
      <c r="B88" s="18"/>
      <c r="C88" s="19"/>
      <c r="D88" s="55"/>
      <c r="E88" s="55"/>
      <c r="F88" s="56"/>
      <c r="G88" s="57" t="str">
        <f>IF(ISBLANK(C88),"",
   IFERROR(
      IF(
         INDEX(DB_materiali!C$2:C$5000,
               MATCH(C88, DB_materiali!A$2:A$5000, 0)
         )="FALSE",
         "N",
         "Y"
      ),
   "")
)</f>
        <v/>
      </c>
      <c r="H88" s="20"/>
      <c r="I88" s="20"/>
      <c r="J88" s="20"/>
      <c r="K88" s="20"/>
      <c r="M88" s="2" t="str">
        <f>IF(ISBLANK(C88),"",IF(IFERROR(VLOOKUP(C88,DB_materiali!$A$2:$A$5000,1,FALSE),"Kļūda artikulā")=C88,"✔",tulkojums!A$42))</f>
        <v/>
      </c>
      <c r="N88" s="2" t="str">
        <f>IF(ISBLANK(C88),"",IF(ISNUMBER(F88)=TRUE,"✔",tulkojums!A$43))</f>
        <v/>
      </c>
      <c r="O88" s="2" t="str">
        <f>IF(ISBLANK(C88),"",IF(G88="Y","✔",IF(G88="X","✔",IF(G88="N","✔",tulkojums!A$44))))</f>
        <v/>
      </c>
      <c r="P88" s="2" t="str">
        <f>IF(ISBLANK(H88),"",IF(INDEX(DB_materiali!$E$2:$E$5000,MATCH($C88,DB_materiali!$A$2:$A$5000,0))&gt;=INDEX(DB_malas!$C$2:$C$5000,MATCH(H88,DB_malas!$A$2:$A$5000,0)),IF(INDEX(DB_materiali!$E$2:$E$5000,MATCH($C88,DB_materiali!$A$2:$A$5000,0))&lt;=INDEX(DB_malas!$D$2:$D$5000,MATCH(H88,DB_malas!$A$2:$A$5000,0)),IF(OR(INDEX(DB_materiali!$B$2:$B$5000,MATCH($C88,DB_materiali!$A$2:$A$5000,0))=INDEX(DB_malas!$B$2:$B$5000,MATCH(H88,DB_malas!$A$2:$A$5000,0)),$H88="ORG"),"✔",tulkojums!$A$38),tulkojums!$A$39),tulkojums!$A$39))</f>
        <v/>
      </c>
      <c r="Q88" s="2" t="str">
        <f>IF(ISBLANK(I88),"",IF(INDEX(DB_materiali!$E$2:$E$5000,MATCH($C88,DB_materiali!$A$2:$A$5000,0))&gt;=INDEX(DB_malas!$C$2:$C$5000,MATCH(I88,DB_malas!$A$2:$A$5000,0)),IF(INDEX(DB_materiali!$E$2:$E$5000,MATCH($C88,DB_materiali!$A$2:$A$5000,0))&lt;=INDEX(DB_malas!$D$2:$D$5000,MATCH(I88,DB_malas!$A$2:$A$5000,0)),IF(OR(INDEX(DB_materiali!$B$2:$B$5000,MATCH($C88,DB_materiali!$A$2:$A$5000,0))=INDEX(DB_malas!$B$2:$B$5000,MATCH(I88,DB_malas!$A$2:$A$5000,0)),$H88="ORG"),"✔",tulkojums!$A$38),tulkojums!$A$39),tulkojums!$A$39))</f>
        <v/>
      </c>
      <c r="R88" s="2" t="str">
        <f>IF(ISBLANK(J88),"",IF(INDEX(DB_materiali!$E$2:$E$5000,MATCH($C88,DB_materiali!$A$2:$A$5000,0))&gt;=INDEX(DB_malas!$C$2:$C$5000,MATCH(J88,DB_malas!$A$2:$A$5000,0)),IF(INDEX(DB_materiali!$E$2:$E$5000,MATCH($C88,DB_materiali!$A$2:$A$5000,0))&lt;=INDEX(DB_malas!$D$2:$D$5000,MATCH(J88,DB_malas!$A$2:$A$5000,0)),IF(INDEX(DB_materiali!$B$2:$B$5000,MATCH($C88,DB_materiali!$A$2:$A$5000,0))=INDEX(DB_malas!$B$2:$B$5000,MATCH(J88,DB_malas!$A$2:$A$5000,0)),"✔",tulkojums!$A$38),tulkojums!$A$39),tulkojums!$A$39))</f>
        <v/>
      </c>
      <c r="S88" s="2" t="str">
        <f>IF(ISBLANK(K88),"",IF(INDEX(DB_materiali!$E$2:$E$5000,MATCH($C88,DB_materiali!$A$2:$A$5000,0))&gt;=INDEX(DB_malas!$C$2:$C$5000,MATCH(K88,DB_malas!$A$2:$A$5000,0)),IF(INDEX(DB_materiali!$E$2:$E$5000,MATCH($C88,DB_materiali!$A$2:$A$5000,0))&lt;=INDEX(DB_malas!$D$2:$D$5000,MATCH(K88,DB_malas!$A$2:$A$5000,0)),IF(INDEX(DB_materiali!$B$2:$B$5000,MATCH($C88,DB_materiali!$A$2:$A$5000,0))=INDEX(DB_malas!$B$2:$B$5000,MATCH(K88,DB_malas!$A$2:$A$5000,0)),"✔",tulkojums!$A$38),tulkojums!$A$39),tulkojums!$A$39))</f>
        <v/>
      </c>
      <c r="T88" s="2"/>
      <c r="U88" s="2"/>
      <c r="V88" s="2"/>
      <c r="W88" s="2"/>
      <c r="X88" s="2"/>
      <c r="Y88" s="2"/>
      <c r="Z88" s="2"/>
    </row>
    <row r="89" spans="1:26" ht="15.75" customHeight="1">
      <c r="A89" s="17"/>
      <c r="B89" s="18"/>
      <c r="C89" s="19"/>
      <c r="D89" s="55"/>
      <c r="E89" s="55"/>
      <c r="F89" s="56"/>
      <c r="G89" s="57" t="str">
        <f>IF(ISBLANK(C89),"",
   IFERROR(
      IF(
         INDEX(DB_materiali!C$2:C$5000,
               MATCH(C89, DB_materiali!A$2:A$5000, 0)
         )="FALSE",
         "N",
         "Y"
      ),
   "")
)</f>
        <v/>
      </c>
      <c r="H89" s="20"/>
      <c r="I89" s="20"/>
      <c r="J89" s="20"/>
      <c r="K89" s="20"/>
      <c r="M89" s="2" t="str">
        <f>IF(ISBLANK(C89),"",IF(IFERROR(VLOOKUP(C89,DB_materiali!$A$2:$A$5000,1,FALSE),"Kļūda artikulā")=C89,"✔",tulkojums!A$42))</f>
        <v/>
      </c>
      <c r="N89" s="2" t="str">
        <f>IF(ISBLANK(C89),"",IF(ISNUMBER(F89)=TRUE,"✔",tulkojums!A$43))</f>
        <v/>
      </c>
      <c r="O89" s="2" t="str">
        <f>IF(ISBLANK(C89),"",IF(G89="Y","✔",IF(G89="X","✔",IF(G89="N","✔",tulkojums!A$44))))</f>
        <v/>
      </c>
      <c r="P89" s="2" t="str">
        <f>IF(ISBLANK(H89),"",IF(INDEX(DB_materiali!$E$2:$E$5000,MATCH($C89,DB_materiali!$A$2:$A$5000,0))&gt;=INDEX(DB_malas!$C$2:$C$5000,MATCH(H89,DB_malas!$A$2:$A$5000,0)),IF(INDEX(DB_materiali!$E$2:$E$5000,MATCH($C89,DB_materiali!$A$2:$A$5000,0))&lt;=INDEX(DB_malas!$D$2:$D$5000,MATCH(H89,DB_malas!$A$2:$A$5000,0)),IF(OR(INDEX(DB_materiali!$B$2:$B$5000,MATCH($C89,DB_materiali!$A$2:$A$5000,0))=INDEX(DB_malas!$B$2:$B$5000,MATCH(H89,DB_malas!$A$2:$A$5000,0)),$H89="ORG"),"✔",tulkojums!$A$38),tulkojums!$A$39),tulkojums!$A$39))</f>
        <v/>
      </c>
      <c r="Q89" s="2" t="str">
        <f>IF(ISBLANK(I89),"",IF(INDEX(DB_materiali!$E$2:$E$5000,MATCH($C89,DB_materiali!$A$2:$A$5000,0))&gt;=INDEX(DB_malas!$C$2:$C$5000,MATCH(I89,DB_malas!$A$2:$A$5000,0)),IF(INDEX(DB_materiali!$E$2:$E$5000,MATCH($C89,DB_materiali!$A$2:$A$5000,0))&lt;=INDEX(DB_malas!$D$2:$D$5000,MATCH(I89,DB_malas!$A$2:$A$5000,0)),IF(OR(INDEX(DB_materiali!$B$2:$B$5000,MATCH($C89,DB_materiali!$A$2:$A$5000,0))=INDEX(DB_malas!$B$2:$B$5000,MATCH(I89,DB_malas!$A$2:$A$5000,0)),$H89="ORG"),"✔",tulkojums!$A$38),tulkojums!$A$39),tulkojums!$A$39))</f>
        <v/>
      </c>
      <c r="R89" s="2" t="str">
        <f>IF(ISBLANK(J89),"",IF(INDEX(DB_materiali!$E$2:$E$5000,MATCH($C89,DB_materiali!$A$2:$A$5000,0))&gt;=INDEX(DB_malas!$C$2:$C$5000,MATCH(J89,DB_malas!$A$2:$A$5000,0)),IF(INDEX(DB_materiali!$E$2:$E$5000,MATCH($C89,DB_materiali!$A$2:$A$5000,0))&lt;=INDEX(DB_malas!$D$2:$D$5000,MATCH(J89,DB_malas!$A$2:$A$5000,0)),IF(INDEX(DB_materiali!$B$2:$B$5000,MATCH($C89,DB_materiali!$A$2:$A$5000,0))=INDEX(DB_malas!$B$2:$B$5000,MATCH(J89,DB_malas!$A$2:$A$5000,0)),"✔",tulkojums!$A$38),tulkojums!$A$39),tulkojums!$A$39))</f>
        <v/>
      </c>
      <c r="S89" s="2" t="str">
        <f>IF(ISBLANK(K89),"",IF(INDEX(DB_materiali!$E$2:$E$5000,MATCH($C89,DB_materiali!$A$2:$A$5000,0))&gt;=INDEX(DB_malas!$C$2:$C$5000,MATCH(K89,DB_malas!$A$2:$A$5000,0)),IF(INDEX(DB_materiali!$E$2:$E$5000,MATCH($C89,DB_materiali!$A$2:$A$5000,0))&lt;=INDEX(DB_malas!$D$2:$D$5000,MATCH(K89,DB_malas!$A$2:$A$5000,0)),IF(INDEX(DB_materiali!$B$2:$B$5000,MATCH($C89,DB_materiali!$A$2:$A$5000,0))=INDEX(DB_malas!$B$2:$B$5000,MATCH(K89,DB_malas!$A$2:$A$5000,0)),"✔",tulkojums!$A$38),tulkojums!$A$39),tulkojums!$A$39))</f>
        <v/>
      </c>
      <c r="T89" s="2"/>
      <c r="U89" s="2"/>
      <c r="V89" s="2"/>
      <c r="W89" s="2"/>
      <c r="X89" s="2"/>
      <c r="Y89" s="2"/>
      <c r="Z89" s="2"/>
    </row>
    <row r="90" spans="1:26" ht="15.75" customHeight="1">
      <c r="A90" s="17"/>
      <c r="B90" s="18"/>
      <c r="C90" s="19"/>
      <c r="D90" s="55"/>
      <c r="E90" s="55"/>
      <c r="F90" s="56"/>
      <c r="G90" s="57" t="str">
        <f>IF(ISBLANK(C90),"",
   IFERROR(
      IF(
         INDEX(DB_materiali!C$2:C$5000,
               MATCH(C90, DB_materiali!A$2:A$5000, 0)
         )="FALSE",
         "N",
         "Y"
      ),
   "")
)</f>
        <v/>
      </c>
      <c r="H90" s="20"/>
      <c r="I90" s="20"/>
      <c r="J90" s="20"/>
      <c r="K90" s="20"/>
      <c r="M90" s="2" t="str">
        <f>IF(ISBLANK(C90),"",IF(IFERROR(VLOOKUP(C90,DB_materiali!$A$2:$A$5000,1,FALSE),"Kļūda artikulā")=C90,"✔",tulkojums!A$42))</f>
        <v/>
      </c>
      <c r="N90" s="2" t="str">
        <f>IF(ISBLANK(C90),"",IF(ISNUMBER(F90)=TRUE,"✔",tulkojums!A$43))</f>
        <v/>
      </c>
      <c r="O90" s="2" t="str">
        <f>IF(ISBLANK(C90),"",IF(G90="Y","✔",IF(G90="X","✔",IF(G90="N","✔",tulkojums!A$44))))</f>
        <v/>
      </c>
      <c r="P90" s="2" t="str">
        <f>IF(ISBLANK(H90),"",IF(INDEX(DB_materiali!$E$2:$E$5000,MATCH($C90,DB_materiali!$A$2:$A$5000,0))&gt;=INDEX(DB_malas!$C$2:$C$5000,MATCH(H90,DB_malas!$A$2:$A$5000,0)),IF(INDEX(DB_materiali!$E$2:$E$5000,MATCH($C90,DB_materiali!$A$2:$A$5000,0))&lt;=INDEX(DB_malas!$D$2:$D$5000,MATCH(H90,DB_malas!$A$2:$A$5000,0)),IF(OR(INDEX(DB_materiali!$B$2:$B$5000,MATCH($C90,DB_materiali!$A$2:$A$5000,0))=INDEX(DB_malas!$B$2:$B$5000,MATCH(H90,DB_malas!$A$2:$A$5000,0)),$H90="ORG"),"✔",tulkojums!$A$38),tulkojums!$A$39),tulkojums!$A$39))</f>
        <v/>
      </c>
      <c r="Q90" s="2" t="str">
        <f>IF(ISBLANK(I90),"",IF(INDEX(DB_materiali!$E$2:$E$5000,MATCH($C90,DB_materiali!$A$2:$A$5000,0))&gt;=INDEX(DB_malas!$C$2:$C$5000,MATCH(I90,DB_malas!$A$2:$A$5000,0)),IF(INDEX(DB_materiali!$E$2:$E$5000,MATCH($C90,DB_materiali!$A$2:$A$5000,0))&lt;=INDEX(DB_malas!$D$2:$D$5000,MATCH(I90,DB_malas!$A$2:$A$5000,0)),IF(OR(INDEX(DB_materiali!$B$2:$B$5000,MATCH($C90,DB_materiali!$A$2:$A$5000,0))=INDEX(DB_malas!$B$2:$B$5000,MATCH(I90,DB_malas!$A$2:$A$5000,0)),$H90="ORG"),"✔",tulkojums!$A$38),tulkojums!$A$39),tulkojums!$A$39))</f>
        <v/>
      </c>
      <c r="R90" s="2" t="str">
        <f>IF(ISBLANK(J90),"",IF(INDEX(DB_materiali!$E$2:$E$5000,MATCH($C90,DB_materiali!$A$2:$A$5000,0))&gt;=INDEX(DB_malas!$C$2:$C$5000,MATCH(J90,DB_malas!$A$2:$A$5000,0)),IF(INDEX(DB_materiali!$E$2:$E$5000,MATCH($C90,DB_materiali!$A$2:$A$5000,0))&lt;=INDEX(DB_malas!$D$2:$D$5000,MATCH(J90,DB_malas!$A$2:$A$5000,0)),IF(INDEX(DB_materiali!$B$2:$B$5000,MATCH($C90,DB_materiali!$A$2:$A$5000,0))=INDEX(DB_malas!$B$2:$B$5000,MATCH(J90,DB_malas!$A$2:$A$5000,0)),"✔",tulkojums!$A$38),tulkojums!$A$39),tulkojums!$A$39))</f>
        <v/>
      </c>
      <c r="S90" s="2" t="str">
        <f>IF(ISBLANK(K90),"",IF(INDEX(DB_materiali!$E$2:$E$5000,MATCH($C90,DB_materiali!$A$2:$A$5000,0))&gt;=INDEX(DB_malas!$C$2:$C$5000,MATCH(K90,DB_malas!$A$2:$A$5000,0)),IF(INDEX(DB_materiali!$E$2:$E$5000,MATCH($C90,DB_materiali!$A$2:$A$5000,0))&lt;=INDEX(DB_malas!$D$2:$D$5000,MATCH(K90,DB_malas!$A$2:$A$5000,0)),IF(INDEX(DB_materiali!$B$2:$B$5000,MATCH($C90,DB_materiali!$A$2:$A$5000,0))=INDEX(DB_malas!$B$2:$B$5000,MATCH(K90,DB_malas!$A$2:$A$5000,0)),"✔",tulkojums!$A$38),tulkojums!$A$39),tulkojums!$A$39))</f>
        <v/>
      </c>
      <c r="T90" s="2"/>
      <c r="U90" s="2"/>
      <c r="V90" s="2"/>
      <c r="W90" s="2"/>
      <c r="X90" s="2"/>
      <c r="Y90" s="2"/>
      <c r="Z90" s="2"/>
    </row>
    <row r="91" spans="1:26" ht="15.75" customHeight="1">
      <c r="A91" s="17"/>
      <c r="B91" s="18"/>
      <c r="C91" s="19"/>
      <c r="D91" s="55"/>
      <c r="E91" s="55"/>
      <c r="F91" s="56"/>
      <c r="G91" s="57" t="str">
        <f>IF(ISBLANK(C91),"",
   IFERROR(
      IF(
         INDEX(DB_materiali!C$2:C$5000,
               MATCH(C91, DB_materiali!A$2:A$5000, 0)
         )="FALSE",
         "N",
         "Y"
      ),
   "")
)</f>
        <v/>
      </c>
      <c r="H91" s="20"/>
      <c r="I91" s="20"/>
      <c r="J91" s="20"/>
      <c r="K91" s="20"/>
      <c r="M91" s="2" t="str">
        <f>IF(ISBLANK(C91),"",IF(IFERROR(VLOOKUP(C91,DB_materiali!$A$2:$A$5000,1,FALSE),"Kļūda artikulā")=C91,"✔",tulkojums!A$42))</f>
        <v/>
      </c>
      <c r="N91" s="2" t="str">
        <f>IF(ISBLANK(C91),"",IF(ISNUMBER(F91)=TRUE,"✔",tulkojums!A$43))</f>
        <v/>
      </c>
      <c r="O91" s="2" t="str">
        <f>IF(ISBLANK(C91),"",IF(G91="Y","✔",IF(G91="X","✔",IF(G91="N","✔",tulkojums!A$44))))</f>
        <v/>
      </c>
      <c r="P91" s="2" t="str">
        <f>IF(ISBLANK(H91),"",IF(INDEX(DB_materiali!$E$2:$E$5000,MATCH($C91,DB_materiali!$A$2:$A$5000,0))&gt;=INDEX(DB_malas!$C$2:$C$5000,MATCH(H91,DB_malas!$A$2:$A$5000,0)),IF(INDEX(DB_materiali!$E$2:$E$5000,MATCH($C91,DB_materiali!$A$2:$A$5000,0))&lt;=INDEX(DB_malas!$D$2:$D$5000,MATCH(H91,DB_malas!$A$2:$A$5000,0)),IF(OR(INDEX(DB_materiali!$B$2:$B$5000,MATCH($C91,DB_materiali!$A$2:$A$5000,0))=INDEX(DB_malas!$B$2:$B$5000,MATCH(H91,DB_malas!$A$2:$A$5000,0)),$H91="ORG"),"✔",tulkojums!$A$38),tulkojums!$A$39),tulkojums!$A$39))</f>
        <v/>
      </c>
      <c r="Q91" s="2" t="str">
        <f>IF(ISBLANK(I91),"",IF(INDEX(DB_materiali!$E$2:$E$5000,MATCH($C91,DB_materiali!$A$2:$A$5000,0))&gt;=INDEX(DB_malas!$C$2:$C$5000,MATCH(I91,DB_malas!$A$2:$A$5000,0)),IF(INDEX(DB_materiali!$E$2:$E$5000,MATCH($C91,DB_materiali!$A$2:$A$5000,0))&lt;=INDEX(DB_malas!$D$2:$D$5000,MATCH(I91,DB_malas!$A$2:$A$5000,0)),IF(OR(INDEX(DB_materiali!$B$2:$B$5000,MATCH($C91,DB_materiali!$A$2:$A$5000,0))=INDEX(DB_malas!$B$2:$B$5000,MATCH(I91,DB_malas!$A$2:$A$5000,0)),$H91="ORG"),"✔",tulkojums!$A$38),tulkojums!$A$39),tulkojums!$A$39))</f>
        <v/>
      </c>
      <c r="R91" s="2" t="str">
        <f>IF(ISBLANK(J91),"",IF(INDEX(DB_materiali!$E$2:$E$5000,MATCH($C91,DB_materiali!$A$2:$A$5000,0))&gt;=INDEX(DB_malas!$C$2:$C$5000,MATCH(J91,DB_malas!$A$2:$A$5000,0)),IF(INDEX(DB_materiali!$E$2:$E$5000,MATCH($C91,DB_materiali!$A$2:$A$5000,0))&lt;=INDEX(DB_malas!$D$2:$D$5000,MATCH(J91,DB_malas!$A$2:$A$5000,0)),IF(INDEX(DB_materiali!$B$2:$B$5000,MATCH($C91,DB_materiali!$A$2:$A$5000,0))=INDEX(DB_malas!$B$2:$B$5000,MATCH(J91,DB_malas!$A$2:$A$5000,0)),"✔",tulkojums!$A$38),tulkojums!$A$39),tulkojums!$A$39))</f>
        <v/>
      </c>
      <c r="S91" s="2" t="str">
        <f>IF(ISBLANK(K91),"",IF(INDEX(DB_materiali!$E$2:$E$5000,MATCH($C91,DB_materiali!$A$2:$A$5000,0))&gt;=INDEX(DB_malas!$C$2:$C$5000,MATCH(K91,DB_malas!$A$2:$A$5000,0)),IF(INDEX(DB_materiali!$E$2:$E$5000,MATCH($C91,DB_materiali!$A$2:$A$5000,0))&lt;=INDEX(DB_malas!$D$2:$D$5000,MATCH(K91,DB_malas!$A$2:$A$5000,0)),IF(INDEX(DB_materiali!$B$2:$B$5000,MATCH($C91,DB_materiali!$A$2:$A$5000,0))=INDEX(DB_malas!$B$2:$B$5000,MATCH(K91,DB_malas!$A$2:$A$5000,0)),"✔",tulkojums!$A$38),tulkojums!$A$39),tulkojums!$A$39))</f>
        <v/>
      </c>
      <c r="T91" s="2"/>
      <c r="U91" s="2"/>
      <c r="V91" s="2"/>
      <c r="W91" s="2"/>
      <c r="X91" s="2"/>
      <c r="Y91" s="2"/>
      <c r="Z91" s="2"/>
    </row>
    <row r="92" spans="1:26" ht="15.75" customHeight="1">
      <c r="A92" s="17"/>
      <c r="B92" s="18"/>
      <c r="C92" s="19"/>
      <c r="D92" s="55"/>
      <c r="E92" s="55"/>
      <c r="F92" s="56"/>
      <c r="G92" s="57" t="str">
        <f>IF(ISBLANK(C92),"",
   IFERROR(
      IF(
         INDEX(DB_materiali!C$2:C$5000,
               MATCH(C92, DB_materiali!A$2:A$5000, 0)
         )="FALSE",
         "N",
         "Y"
      ),
   "")
)</f>
        <v/>
      </c>
      <c r="H92" s="20"/>
      <c r="I92" s="20"/>
      <c r="J92" s="20"/>
      <c r="K92" s="20"/>
      <c r="M92" s="2" t="str">
        <f>IF(ISBLANK(C92),"",IF(IFERROR(VLOOKUP(C92,DB_materiali!$A$2:$A$5000,1,FALSE),"Kļūda artikulā")=C92,"✔",tulkojums!A$42))</f>
        <v/>
      </c>
      <c r="N92" s="2" t="str">
        <f>IF(ISBLANK(C92),"",IF(ISNUMBER(F92)=TRUE,"✔",tulkojums!A$43))</f>
        <v/>
      </c>
      <c r="O92" s="2" t="str">
        <f>IF(ISBLANK(C92),"",IF(G92="Y","✔",IF(G92="X","✔",IF(G92="N","✔",tulkojums!A$44))))</f>
        <v/>
      </c>
      <c r="P92" s="2" t="str">
        <f>IF(ISBLANK(H92),"",IF(INDEX(DB_materiali!$E$2:$E$5000,MATCH($C92,DB_materiali!$A$2:$A$5000,0))&gt;=INDEX(DB_malas!$C$2:$C$5000,MATCH(H92,DB_malas!$A$2:$A$5000,0)),IF(INDEX(DB_materiali!$E$2:$E$5000,MATCH($C92,DB_materiali!$A$2:$A$5000,0))&lt;=INDEX(DB_malas!$D$2:$D$5000,MATCH(H92,DB_malas!$A$2:$A$5000,0)),IF(OR(INDEX(DB_materiali!$B$2:$B$5000,MATCH($C92,DB_materiali!$A$2:$A$5000,0))=INDEX(DB_malas!$B$2:$B$5000,MATCH(H92,DB_malas!$A$2:$A$5000,0)),$H92="ORG"),"✔",tulkojums!$A$38),tulkojums!$A$39),tulkojums!$A$39))</f>
        <v/>
      </c>
      <c r="Q92" s="2" t="str">
        <f>IF(ISBLANK(I92),"",IF(INDEX(DB_materiali!$E$2:$E$5000,MATCH($C92,DB_materiali!$A$2:$A$5000,0))&gt;=INDEX(DB_malas!$C$2:$C$5000,MATCH(I92,DB_malas!$A$2:$A$5000,0)),IF(INDEX(DB_materiali!$E$2:$E$5000,MATCH($C92,DB_materiali!$A$2:$A$5000,0))&lt;=INDEX(DB_malas!$D$2:$D$5000,MATCH(I92,DB_malas!$A$2:$A$5000,0)),IF(OR(INDEX(DB_materiali!$B$2:$B$5000,MATCH($C92,DB_materiali!$A$2:$A$5000,0))=INDEX(DB_malas!$B$2:$B$5000,MATCH(I92,DB_malas!$A$2:$A$5000,0)),$H92="ORG"),"✔",tulkojums!$A$38),tulkojums!$A$39),tulkojums!$A$39))</f>
        <v/>
      </c>
      <c r="R92" s="2" t="str">
        <f>IF(ISBLANK(J92),"",IF(INDEX(DB_materiali!$E$2:$E$5000,MATCH($C92,DB_materiali!$A$2:$A$5000,0))&gt;=INDEX(DB_malas!$C$2:$C$5000,MATCH(J92,DB_malas!$A$2:$A$5000,0)),IF(INDEX(DB_materiali!$E$2:$E$5000,MATCH($C92,DB_materiali!$A$2:$A$5000,0))&lt;=INDEX(DB_malas!$D$2:$D$5000,MATCH(J92,DB_malas!$A$2:$A$5000,0)),IF(INDEX(DB_materiali!$B$2:$B$5000,MATCH($C92,DB_materiali!$A$2:$A$5000,0))=INDEX(DB_malas!$B$2:$B$5000,MATCH(J92,DB_malas!$A$2:$A$5000,0)),"✔",tulkojums!$A$38),tulkojums!$A$39),tulkojums!$A$39))</f>
        <v/>
      </c>
      <c r="S92" s="2" t="str">
        <f>IF(ISBLANK(K92),"",IF(INDEX(DB_materiali!$E$2:$E$5000,MATCH($C92,DB_materiali!$A$2:$A$5000,0))&gt;=INDEX(DB_malas!$C$2:$C$5000,MATCH(K92,DB_malas!$A$2:$A$5000,0)),IF(INDEX(DB_materiali!$E$2:$E$5000,MATCH($C92,DB_materiali!$A$2:$A$5000,0))&lt;=INDEX(DB_malas!$D$2:$D$5000,MATCH(K92,DB_malas!$A$2:$A$5000,0)),IF(INDEX(DB_materiali!$B$2:$B$5000,MATCH($C92,DB_materiali!$A$2:$A$5000,0))=INDEX(DB_malas!$B$2:$B$5000,MATCH(K92,DB_malas!$A$2:$A$5000,0)),"✔",tulkojums!$A$38),tulkojums!$A$39),tulkojums!$A$39))</f>
        <v/>
      </c>
      <c r="T92" s="2"/>
      <c r="U92" s="2"/>
      <c r="V92" s="2"/>
      <c r="W92" s="2"/>
      <c r="X92" s="2"/>
      <c r="Y92" s="2"/>
      <c r="Z92" s="2"/>
    </row>
    <row r="93" spans="1:26" ht="15.75" customHeight="1">
      <c r="A93" s="17"/>
      <c r="B93" s="18"/>
      <c r="C93" s="19"/>
      <c r="D93" s="55"/>
      <c r="E93" s="55"/>
      <c r="F93" s="56"/>
      <c r="G93" s="57" t="str">
        <f>IF(ISBLANK(C93),"",
   IFERROR(
      IF(
         INDEX(DB_materiali!C$2:C$5000,
               MATCH(C93, DB_materiali!A$2:A$5000, 0)
         )="FALSE",
         "N",
         "Y"
      ),
   "")
)</f>
        <v/>
      </c>
      <c r="H93" s="20"/>
      <c r="I93" s="20"/>
      <c r="J93" s="20"/>
      <c r="K93" s="20"/>
      <c r="M93" s="2" t="str">
        <f>IF(ISBLANK(C93),"",IF(IFERROR(VLOOKUP(C93,DB_materiali!$A$2:$A$5000,1,FALSE),"Kļūda artikulā")=C93,"✔",tulkojums!A$42))</f>
        <v/>
      </c>
      <c r="N93" s="2" t="str">
        <f>IF(ISBLANK(C93),"",IF(ISNUMBER(F93)=TRUE,"✔",tulkojums!A$43))</f>
        <v/>
      </c>
      <c r="O93" s="2" t="str">
        <f>IF(ISBLANK(C93),"",IF(G93="Y","✔",IF(G93="X","✔",IF(G93="N","✔",tulkojums!A$44))))</f>
        <v/>
      </c>
      <c r="P93" s="2" t="str">
        <f>IF(ISBLANK(H93),"",IF(INDEX(DB_materiali!$E$2:$E$5000,MATCH($C93,DB_materiali!$A$2:$A$5000,0))&gt;=INDEX(DB_malas!$C$2:$C$5000,MATCH(H93,DB_malas!$A$2:$A$5000,0)),IF(INDEX(DB_materiali!$E$2:$E$5000,MATCH($C93,DB_materiali!$A$2:$A$5000,0))&lt;=INDEX(DB_malas!$D$2:$D$5000,MATCH(H93,DB_malas!$A$2:$A$5000,0)),IF(OR(INDEX(DB_materiali!$B$2:$B$5000,MATCH($C93,DB_materiali!$A$2:$A$5000,0))=INDEX(DB_malas!$B$2:$B$5000,MATCH(H93,DB_malas!$A$2:$A$5000,0)),$H93="ORG"),"✔",tulkojums!$A$38),tulkojums!$A$39),tulkojums!$A$39))</f>
        <v/>
      </c>
      <c r="Q93" s="2" t="str">
        <f>IF(ISBLANK(I93),"",IF(INDEX(DB_materiali!$E$2:$E$5000,MATCH($C93,DB_materiali!$A$2:$A$5000,0))&gt;=INDEX(DB_malas!$C$2:$C$5000,MATCH(I93,DB_malas!$A$2:$A$5000,0)),IF(INDEX(DB_materiali!$E$2:$E$5000,MATCH($C93,DB_materiali!$A$2:$A$5000,0))&lt;=INDEX(DB_malas!$D$2:$D$5000,MATCH(I93,DB_malas!$A$2:$A$5000,0)),IF(OR(INDEX(DB_materiali!$B$2:$B$5000,MATCH($C93,DB_materiali!$A$2:$A$5000,0))=INDEX(DB_malas!$B$2:$B$5000,MATCH(I93,DB_malas!$A$2:$A$5000,0)),$H93="ORG"),"✔",tulkojums!$A$38),tulkojums!$A$39),tulkojums!$A$39))</f>
        <v/>
      </c>
      <c r="R93" s="2" t="str">
        <f>IF(ISBLANK(J93),"",IF(INDEX(DB_materiali!$E$2:$E$5000,MATCH($C93,DB_materiali!$A$2:$A$5000,0))&gt;=INDEX(DB_malas!$C$2:$C$5000,MATCH(J93,DB_malas!$A$2:$A$5000,0)),IF(INDEX(DB_materiali!$E$2:$E$5000,MATCH($C93,DB_materiali!$A$2:$A$5000,0))&lt;=INDEX(DB_malas!$D$2:$D$5000,MATCH(J93,DB_malas!$A$2:$A$5000,0)),IF(INDEX(DB_materiali!$B$2:$B$5000,MATCH($C93,DB_materiali!$A$2:$A$5000,0))=INDEX(DB_malas!$B$2:$B$5000,MATCH(J93,DB_malas!$A$2:$A$5000,0)),"✔",tulkojums!$A$38),tulkojums!$A$39),tulkojums!$A$39))</f>
        <v/>
      </c>
      <c r="S93" s="2" t="str">
        <f>IF(ISBLANK(K93),"",IF(INDEX(DB_materiali!$E$2:$E$5000,MATCH($C93,DB_materiali!$A$2:$A$5000,0))&gt;=INDEX(DB_malas!$C$2:$C$5000,MATCH(K93,DB_malas!$A$2:$A$5000,0)),IF(INDEX(DB_materiali!$E$2:$E$5000,MATCH($C93,DB_materiali!$A$2:$A$5000,0))&lt;=INDEX(DB_malas!$D$2:$D$5000,MATCH(K93,DB_malas!$A$2:$A$5000,0)),IF(INDEX(DB_materiali!$B$2:$B$5000,MATCH($C93,DB_materiali!$A$2:$A$5000,0))=INDEX(DB_malas!$B$2:$B$5000,MATCH(K93,DB_malas!$A$2:$A$5000,0)),"✔",tulkojums!$A$38),tulkojums!$A$39),tulkojums!$A$39))</f>
        <v/>
      </c>
      <c r="T93" s="2"/>
      <c r="U93" s="2"/>
      <c r="V93" s="2"/>
      <c r="W93" s="2"/>
      <c r="X93" s="2"/>
      <c r="Y93" s="2"/>
      <c r="Z93" s="2"/>
    </row>
    <row r="94" spans="1:26" ht="15.75" customHeight="1">
      <c r="A94" s="17"/>
      <c r="B94" s="18"/>
      <c r="C94" s="19"/>
      <c r="D94" s="55"/>
      <c r="E94" s="55"/>
      <c r="F94" s="56"/>
      <c r="G94" s="57" t="str">
        <f>IF(ISBLANK(C94),"",
   IFERROR(
      IF(
         INDEX(DB_materiali!C$2:C$5000,
               MATCH(C94, DB_materiali!A$2:A$5000, 0)
         )="FALSE",
         "N",
         "Y"
      ),
   "")
)</f>
        <v/>
      </c>
      <c r="H94" s="20"/>
      <c r="I94" s="20"/>
      <c r="J94" s="20"/>
      <c r="K94" s="20"/>
      <c r="M94" s="2" t="str">
        <f>IF(ISBLANK(C94),"",IF(IFERROR(VLOOKUP(C94,DB_materiali!$A$2:$A$5000,1,FALSE),"Kļūda artikulā")=C94,"✔",tulkojums!A$42))</f>
        <v/>
      </c>
      <c r="N94" s="2" t="str">
        <f>IF(ISBLANK(C94),"",IF(ISNUMBER(F94)=TRUE,"✔",tulkojums!A$43))</f>
        <v/>
      </c>
      <c r="O94" s="2" t="str">
        <f>IF(ISBLANK(C94),"",IF(G94="Y","✔",IF(G94="X","✔",IF(G94="N","✔",tulkojums!A$44))))</f>
        <v/>
      </c>
      <c r="P94" s="2" t="str">
        <f>IF(ISBLANK(H94),"",IF(INDEX(DB_materiali!$E$2:$E$5000,MATCH($C94,DB_materiali!$A$2:$A$5000,0))&gt;=INDEX(DB_malas!$C$2:$C$5000,MATCH(H94,DB_malas!$A$2:$A$5000,0)),IF(INDEX(DB_materiali!$E$2:$E$5000,MATCH($C94,DB_materiali!$A$2:$A$5000,0))&lt;=INDEX(DB_malas!$D$2:$D$5000,MATCH(H94,DB_malas!$A$2:$A$5000,0)),IF(OR(INDEX(DB_materiali!$B$2:$B$5000,MATCH($C94,DB_materiali!$A$2:$A$5000,0))=INDEX(DB_malas!$B$2:$B$5000,MATCH(H94,DB_malas!$A$2:$A$5000,0)),$H94="ORG"),"✔",tulkojums!$A$38),tulkojums!$A$39),tulkojums!$A$39))</f>
        <v/>
      </c>
      <c r="Q94" s="2" t="str">
        <f>IF(ISBLANK(I94),"",IF(INDEX(DB_materiali!$E$2:$E$5000,MATCH($C94,DB_materiali!$A$2:$A$5000,0))&gt;=INDEX(DB_malas!$C$2:$C$5000,MATCH(I94,DB_malas!$A$2:$A$5000,0)),IF(INDEX(DB_materiali!$E$2:$E$5000,MATCH($C94,DB_materiali!$A$2:$A$5000,0))&lt;=INDEX(DB_malas!$D$2:$D$5000,MATCH(I94,DB_malas!$A$2:$A$5000,0)),IF(OR(INDEX(DB_materiali!$B$2:$B$5000,MATCH($C94,DB_materiali!$A$2:$A$5000,0))=INDEX(DB_malas!$B$2:$B$5000,MATCH(I94,DB_malas!$A$2:$A$5000,0)),$H94="ORG"),"✔",tulkojums!$A$38),tulkojums!$A$39),tulkojums!$A$39))</f>
        <v/>
      </c>
      <c r="R94" s="2" t="str">
        <f>IF(ISBLANK(J94),"",IF(INDEX(DB_materiali!$E$2:$E$5000,MATCH($C94,DB_materiali!$A$2:$A$5000,0))&gt;=INDEX(DB_malas!$C$2:$C$5000,MATCH(J94,DB_malas!$A$2:$A$5000,0)),IF(INDEX(DB_materiali!$E$2:$E$5000,MATCH($C94,DB_materiali!$A$2:$A$5000,0))&lt;=INDEX(DB_malas!$D$2:$D$5000,MATCH(J94,DB_malas!$A$2:$A$5000,0)),IF(INDEX(DB_materiali!$B$2:$B$5000,MATCH($C94,DB_materiali!$A$2:$A$5000,0))=INDEX(DB_malas!$B$2:$B$5000,MATCH(J94,DB_malas!$A$2:$A$5000,0)),"✔",tulkojums!$A$38),tulkojums!$A$39),tulkojums!$A$39))</f>
        <v/>
      </c>
      <c r="S94" s="2" t="str">
        <f>IF(ISBLANK(K94),"",IF(INDEX(DB_materiali!$E$2:$E$5000,MATCH($C94,DB_materiali!$A$2:$A$5000,0))&gt;=INDEX(DB_malas!$C$2:$C$5000,MATCH(K94,DB_malas!$A$2:$A$5000,0)),IF(INDEX(DB_materiali!$E$2:$E$5000,MATCH($C94,DB_materiali!$A$2:$A$5000,0))&lt;=INDEX(DB_malas!$D$2:$D$5000,MATCH(K94,DB_malas!$A$2:$A$5000,0)),IF(INDEX(DB_materiali!$B$2:$B$5000,MATCH($C94,DB_materiali!$A$2:$A$5000,0))=INDEX(DB_malas!$B$2:$B$5000,MATCH(K94,DB_malas!$A$2:$A$5000,0)),"✔",tulkojums!$A$38),tulkojums!$A$39),tulkojums!$A$39))</f>
        <v/>
      </c>
      <c r="T94" s="2"/>
      <c r="U94" s="2"/>
      <c r="V94" s="2"/>
      <c r="W94" s="2"/>
      <c r="X94" s="2"/>
      <c r="Y94" s="2"/>
      <c r="Z94" s="2"/>
    </row>
    <row r="95" spans="1:26" ht="15.75" customHeight="1">
      <c r="A95" s="17"/>
      <c r="B95" s="18"/>
      <c r="C95" s="19"/>
      <c r="D95" s="55"/>
      <c r="E95" s="55"/>
      <c r="F95" s="56"/>
      <c r="G95" s="57" t="str">
        <f>IF(ISBLANK(C95),"",
   IFERROR(
      IF(
         INDEX(DB_materiali!C$2:C$5000,
               MATCH(C95, DB_materiali!A$2:A$5000, 0)
         )="FALSE",
         "N",
         "Y"
      ),
   "")
)</f>
        <v/>
      </c>
      <c r="H95" s="20"/>
      <c r="I95" s="20"/>
      <c r="J95" s="20"/>
      <c r="K95" s="20"/>
      <c r="M95" s="2" t="str">
        <f>IF(ISBLANK(C95),"",IF(IFERROR(VLOOKUP(C95,DB_materiali!$A$2:$A$5000,1,FALSE),"Kļūda artikulā")=C95,"✔",tulkojums!A$42))</f>
        <v/>
      </c>
      <c r="N95" s="2" t="str">
        <f>IF(ISBLANK(C95),"",IF(ISNUMBER(F95)=TRUE,"✔",tulkojums!A$43))</f>
        <v/>
      </c>
      <c r="O95" s="2" t="str">
        <f>IF(ISBLANK(C95),"",IF(G95="Y","✔",IF(G95="X","✔",IF(G95="N","✔",tulkojums!A$44))))</f>
        <v/>
      </c>
      <c r="P95" s="2" t="str">
        <f>IF(ISBLANK(H95),"",IF(INDEX(DB_materiali!$E$2:$E$5000,MATCH($C95,DB_materiali!$A$2:$A$5000,0))&gt;=INDEX(DB_malas!$C$2:$C$5000,MATCH(H95,DB_malas!$A$2:$A$5000,0)),IF(INDEX(DB_materiali!$E$2:$E$5000,MATCH($C95,DB_materiali!$A$2:$A$5000,0))&lt;=INDEX(DB_malas!$D$2:$D$5000,MATCH(H95,DB_malas!$A$2:$A$5000,0)),IF(OR(INDEX(DB_materiali!$B$2:$B$5000,MATCH($C95,DB_materiali!$A$2:$A$5000,0))=INDEX(DB_malas!$B$2:$B$5000,MATCH(H95,DB_malas!$A$2:$A$5000,0)),$H95="ORG"),"✔",tulkojums!$A$38),tulkojums!$A$39),tulkojums!$A$39))</f>
        <v/>
      </c>
      <c r="Q95" s="2" t="str">
        <f>IF(ISBLANK(I95),"",IF(INDEX(DB_materiali!$E$2:$E$5000,MATCH($C95,DB_materiali!$A$2:$A$5000,0))&gt;=INDEX(DB_malas!$C$2:$C$5000,MATCH(I95,DB_malas!$A$2:$A$5000,0)),IF(INDEX(DB_materiali!$E$2:$E$5000,MATCH($C95,DB_materiali!$A$2:$A$5000,0))&lt;=INDEX(DB_malas!$D$2:$D$5000,MATCH(I95,DB_malas!$A$2:$A$5000,0)),IF(OR(INDEX(DB_materiali!$B$2:$B$5000,MATCH($C95,DB_materiali!$A$2:$A$5000,0))=INDEX(DB_malas!$B$2:$B$5000,MATCH(I95,DB_malas!$A$2:$A$5000,0)),$H95="ORG"),"✔",tulkojums!$A$38),tulkojums!$A$39),tulkojums!$A$39))</f>
        <v/>
      </c>
      <c r="R95" s="2" t="str">
        <f>IF(ISBLANK(J95),"",IF(INDEX(DB_materiali!$E$2:$E$5000,MATCH($C95,DB_materiali!$A$2:$A$5000,0))&gt;=INDEX(DB_malas!$C$2:$C$5000,MATCH(J95,DB_malas!$A$2:$A$5000,0)),IF(INDEX(DB_materiali!$E$2:$E$5000,MATCH($C95,DB_materiali!$A$2:$A$5000,0))&lt;=INDEX(DB_malas!$D$2:$D$5000,MATCH(J95,DB_malas!$A$2:$A$5000,0)),IF(INDEX(DB_materiali!$B$2:$B$5000,MATCH($C95,DB_materiali!$A$2:$A$5000,0))=INDEX(DB_malas!$B$2:$B$5000,MATCH(J95,DB_malas!$A$2:$A$5000,0)),"✔",tulkojums!$A$38),tulkojums!$A$39),tulkojums!$A$39))</f>
        <v/>
      </c>
      <c r="S95" s="2" t="str">
        <f>IF(ISBLANK(K95),"",IF(INDEX(DB_materiali!$E$2:$E$5000,MATCH($C95,DB_materiali!$A$2:$A$5000,0))&gt;=INDEX(DB_malas!$C$2:$C$5000,MATCH(K95,DB_malas!$A$2:$A$5000,0)),IF(INDEX(DB_materiali!$E$2:$E$5000,MATCH($C95,DB_materiali!$A$2:$A$5000,0))&lt;=INDEX(DB_malas!$D$2:$D$5000,MATCH(K95,DB_malas!$A$2:$A$5000,0)),IF(INDEX(DB_materiali!$B$2:$B$5000,MATCH($C95,DB_materiali!$A$2:$A$5000,0))=INDEX(DB_malas!$B$2:$B$5000,MATCH(K95,DB_malas!$A$2:$A$5000,0)),"✔",tulkojums!$A$38),tulkojums!$A$39),tulkojums!$A$39))</f>
        <v/>
      </c>
      <c r="T95" s="2"/>
      <c r="U95" s="2"/>
      <c r="V95" s="2"/>
      <c r="W95" s="2"/>
      <c r="X95" s="2"/>
      <c r="Y95" s="2"/>
      <c r="Z95" s="2"/>
    </row>
    <row r="96" spans="1:26" ht="15.75" customHeight="1">
      <c r="A96" s="17"/>
      <c r="B96" s="18"/>
      <c r="C96" s="19"/>
      <c r="D96" s="55"/>
      <c r="E96" s="55"/>
      <c r="F96" s="56"/>
      <c r="G96" s="57" t="str">
        <f>IF(ISBLANK(C96),"",
   IFERROR(
      IF(
         INDEX(DB_materiali!C$2:C$5000,
               MATCH(C96, DB_materiali!A$2:A$5000, 0)
         )="FALSE",
         "N",
         "Y"
      ),
   "")
)</f>
        <v/>
      </c>
      <c r="H96" s="20"/>
      <c r="I96" s="20"/>
      <c r="J96" s="20"/>
      <c r="K96" s="20"/>
      <c r="M96" s="2" t="str">
        <f>IF(ISBLANK(C96),"",IF(IFERROR(VLOOKUP(C96,DB_materiali!$A$2:$A$5000,1,FALSE),"Kļūda artikulā")=C96,"✔",tulkojums!A$42))</f>
        <v/>
      </c>
      <c r="N96" s="2" t="str">
        <f>IF(ISBLANK(C96),"",IF(ISNUMBER(F96)=TRUE,"✔",tulkojums!A$43))</f>
        <v/>
      </c>
      <c r="O96" s="2" t="str">
        <f>IF(ISBLANK(C96),"",IF(G96="Y","✔",IF(G96="X","✔",IF(G96="N","✔",tulkojums!A$44))))</f>
        <v/>
      </c>
      <c r="P96" s="2" t="str">
        <f>IF(ISBLANK(H96),"",IF(INDEX(DB_materiali!$E$2:$E$5000,MATCH($C96,DB_materiali!$A$2:$A$5000,0))&gt;=INDEX(DB_malas!$C$2:$C$5000,MATCH(H96,DB_malas!$A$2:$A$5000,0)),IF(INDEX(DB_materiali!$E$2:$E$5000,MATCH($C96,DB_materiali!$A$2:$A$5000,0))&lt;=INDEX(DB_malas!$D$2:$D$5000,MATCH(H96,DB_malas!$A$2:$A$5000,0)),IF(OR(INDEX(DB_materiali!$B$2:$B$5000,MATCH($C96,DB_materiali!$A$2:$A$5000,0))=INDEX(DB_malas!$B$2:$B$5000,MATCH(H96,DB_malas!$A$2:$A$5000,0)),$H96="ORG"),"✔",tulkojums!$A$38),tulkojums!$A$39),tulkojums!$A$39))</f>
        <v/>
      </c>
      <c r="Q96" s="2" t="str">
        <f>IF(ISBLANK(I96),"",IF(INDEX(DB_materiali!$E$2:$E$5000,MATCH($C96,DB_materiali!$A$2:$A$5000,0))&gt;=INDEX(DB_malas!$C$2:$C$5000,MATCH(I96,DB_malas!$A$2:$A$5000,0)),IF(INDEX(DB_materiali!$E$2:$E$5000,MATCH($C96,DB_materiali!$A$2:$A$5000,0))&lt;=INDEX(DB_malas!$D$2:$D$5000,MATCH(I96,DB_malas!$A$2:$A$5000,0)),IF(OR(INDEX(DB_materiali!$B$2:$B$5000,MATCH($C96,DB_materiali!$A$2:$A$5000,0))=INDEX(DB_malas!$B$2:$B$5000,MATCH(I96,DB_malas!$A$2:$A$5000,0)),$H96="ORG"),"✔",tulkojums!$A$38),tulkojums!$A$39),tulkojums!$A$39))</f>
        <v/>
      </c>
      <c r="R96" s="2" t="str">
        <f>IF(ISBLANK(J96),"",IF(INDEX(DB_materiali!$E$2:$E$5000,MATCH($C96,DB_materiali!$A$2:$A$5000,0))&gt;=INDEX(DB_malas!$C$2:$C$5000,MATCH(J96,DB_malas!$A$2:$A$5000,0)),IF(INDEX(DB_materiali!$E$2:$E$5000,MATCH($C96,DB_materiali!$A$2:$A$5000,0))&lt;=INDEX(DB_malas!$D$2:$D$5000,MATCH(J96,DB_malas!$A$2:$A$5000,0)),IF(INDEX(DB_materiali!$B$2:$B$5000,MATCH($C96,DB_materiali!$A$2:$A$5000,0))=INDEX(DB_malas!$B$2:$B$5000,MATCH(J96,DB_malas!$A$2:$A$5000,0)),"✔",tulkojums!$A$38),tulkojums!$A$39),tulkojums!$A$39))</f>
        <v/>
      </c>
      <c r="S96" s="2" t="str">
        <f>IF(ISBLANK(K96),"",IF(INDEX(DB_materiali!$E$2:$E$5000,MATCH($C96,DB_materiali!$A$2:$A$5000,0))&gt;=INDEX(DB_malas!$C$2:$C$5000,MATCH(K96,DB_malas!$A$2:$A$5000,0)),IF(INDEX(DB_materiali!$E$2:$E$5000,MATCH($C96,DB_materiali!$A$2:$A$5000,0))&lt;=INDEX(DB_malas!$D$2:$D$5000,MATCH(K96,DB_malas!$A$2:$A$5000,0)),IF(INDEX(DB_materiali!$B$2:$B$5000,MATCH($C96,DB_materiali!$A$2:$A$5000,0))=INDEX(DB_malas!$B$2:$B$5000,MATCH(K96,DB_malas!$A$2:$A$5000,0)),"✔",tulkojums!$A$38),tulkojums!$A$39),tulkojums!$A$39))</f>
        <v/>
      </c>
      <c r="T96" s="2"/>
      <c r="U96" s="2"/>
      <c r="V96" s="2"/>
      <c r="W96" s="2"/>
      <c r="X96" s="2"/>
      <c r="Y96" s="2"/>
      <c r="Z96" s="2"/>
    </row>
    <row r="97" spans="1:26" ht="15.75" customHeight="1">
      <c r="A97" s="17"/>
      <c r="B97" s="18"/>
      <c r="C97" s="19"/>
      <c r="D97" s="55"/>
      <c r="E97" s="55"/>
      <c r="F97" s="56"/>
      <c r="G97" s="57" t="str">
        <f>IF(ISBLANK(C97),"",
   IFERROR(
      IF(
         INDEX(DB_materiali!C$2:C$5000,
               MATCH(C97, DB_materiali!A$2:A$5000, 0)
         )="FALSE",
         "N",
         "Y"
      ),
   "")
)</f>
        <v/>
      </c>
      <c r="H97" s="20"/>
      <c r="I97" s="20"/>
      <c r="J97" s="20"/>
      <c r="K97" s="20"/>
      <c r="M97" s="2" t="str">
        <f>IF(ISBLANK(C97),"",IF(IFERROR(VLOOKUP(C97,DB_materiali!$A$2:$A$5000,1,FALSE),"Kļūda artikulā")=C97,"✔",tulkojums!A$42))</f>
        <v/>
      </c>
      <c r="N97" s="2" t="str">
        <f>IF(ISBLANK(C97),"",IF(ISNUMBER(F97)=TRUE,"✔",tulkojums!A$43))</f>
        <v/>
      </c>
      <c r="O97" s="2" t="str">
        <f>IF(ISBLANK(C97),"",IF(G97="Y","✔",IF(G97="X","✔",IF(G97="N","✔",tulkojums!A$44))))</f>
        <v/>
      </c>
      <c r="P97" s="2" t="str">
        <f>IF(ISBLANK(H97),"",IF(INDEX(DB_materiali!$E$2:$E$5000,MATCH($C97,DB_materiali!$A$2:$A$5000,0))&gt;=INDEX(DB_malas!$C$2:$C$5000,MATCH(H97,DB_malas!$A$2:$A$5000,0)),IF(INDEX(DB_materiali!$E$2:$E$5000,MATCH($C97,DB_materiali!$A$2:$A$5000,0))&lt;=INDEX(DB_malas!$D$2:$D$5000,MATCH(H97,DB_malas!$A$2:$A$5000,0)),IF(OR(INDEX(DB_materiali!$B$2:$B$5000,MATCH($C97,DB_materiali!$A$2:$A$5000,0))=INDEX(DB_malas!$B$2:$B$5000,MATCH(H97,DB_malas!$A$2:$A$5000,0)),$H97="ORG"),"✔",tulkojums!$A$38),tulkojums!$A$39),tulkojums!$A$39))</f>
        <v/>
      </c>
      <c r="Q97" s="2" t="str">
        <f>IF(ISBLANK(I97),"",IF(INDEX(DB_materiali!$E$2:$E$5000,MATCH($C97,DB_materiali!$A$2:$A$5000,0))&gt;=INDEX(DB_malas!$C$2:$C$5000,MATCH(I97,DB_malas!$A$2:$A$5000,0)),IF(INDEX(DB_materiali!$E$2:$E$5000,MATCH($C97,DB_materiali!$A$2:$A$5000,0))&lt;=INDEX(DB_malas!$D$2:$D$5000,MATCH(I97,DB_malas!$A$2:$A$5000,0)),IF(OR(INDEX(DB_materiali!$B$2:$B$5000,MATCH($C97,DB_materiali!$A$2:$A$5000,0))=INDEX(DB_malas!$B$2:$B$5000,MATCH(I97,DB_malas!$A$2:$A$5000,0)),$H97="ORG"),"✔",tulkojums!$A$38),tulkojums!$A$39),tulkojums!$A$39))</f>
        <v/>
      </c>
      <c r="R97" s="2" t="str">
        <f>IF(ISBLANK(J97),"",IF(INDEX(DB_materiali!$E$2:$E$5000,MATCH($C97,DB_materiali!$A$2:$A$5000,0))&gt;=INDEX(DB_malas!$C$2:$C$5000,MATCH(J97,DB_malas!$A$2:$A$5000,0)),IF(INDEX(DB_materiali!$E$2:$E$5000,MATCH($C97,DB_materiali!$A$2:$A$5000,0))&lt;=INDEX(DB_malas!$D$2:$D$5000,MATCH(J97,DB_malas!$A$2:$A$5000,0)),IF(INDEX(DB_materiali!$B$2:$B$5000,MATCH($C97,DB_materiali!$A$2:$A$5000,0))=INDEX(DB_malas!$B$2:$B$5000,MATCH(J97,DB_malas!$A$2:$A$5000,0)),"✔",tulkojums!$A$38),tulkojums!$A$39),tulkojums!$A$39))</f>
        <v/>
      </c>
      <c r="S97" s="2" t="str">
        <f>IF(ISBLANK(K97),"",IF(INDEX(DB_materiali!$E$2:$E$5000,MATCH($C97,DB_materiali!$A$2:$A$5000,0))&gt;=INDEX(DB_malas!$C$2:$C$5000,MATCH(K97,DB_malas!$A$2:$A$5000,0)),IF(INDEX(DB_materiali!$E$2:$E$5000,MATCH($C97,DB_materiali!$A$2:$A$5000,0))&lt;=INDEX(DB_malas!$D$2:$D$5000,MATCH(K97,DB_malas!$A$2:$A$5000,0)),IF(INDEX(DB_materiali!$B$2:$B$5000,MATCH($C97,DB_materiali!$A$2:$A$5000,0))=INDEX(DB_malas!$B$2:$B$5000,MATCH(K97,DB_malas!$A$2:$A$5000,0)),"✔",tulkojums!$A$38),tulkojums!$A$39),tulkojums!$A$39))</f>
        <v/>
      </c>
      <c r="T97" s="2"/>
      <c r="U97" s="2"/>
      <c r="V97" s="2"/>
      <c r="W97" s="2"/>
      <c r="X97" s="2"/>
      <c r="Y97" s="2"/>
      <c r="Z97" s="2"/>
    </row>
    <row r="98" spans="1:26" ht="15.75" customHeight="1">
      <c r="A98" s="17"/>
      <c r="B98" s="18"/>
      <c r="C98" s="19"/>
      <c r="D98" s="55"/>
      <c r="E98" s="55"/>
      <c r="F98" s="56"/>
      <c r="G98" s="57" t="str">
        <f>IF(ISBLANK(C98),"",
   IFERROR(
      IF(
         INDEX(DB_materiali!C$2:C$5000,
               MATCH(C98, DB_materiali!A$2:A$5000, 0)
         )="FALSE",
         "N",
         "Y"
      ),
   "")
)</f>
        <v/>
      </c>
      <c r="H98" s="20"/>
      <c r="I98" s="20"/>
      <c r="J98" s="20"/>
      <c r="K98" s="20"/>
      <c r="M98" s="2" t="str">
        <f>IF(ISBLANK(C98),"",IF(IFERROR(VLOOKUP(C98,DB_materiali!$A$2:$A$5000,1,FALSE),"Kļūda artikulā")=C98,"✔",tulkojums!A$42))</f>
        <v/>
      </c>
      <c r="N98" s="2" t="str">
        <f>IF(ISBLANK(C98),"",IF(ISNUMBER(F98)=TRUE,"✔",tulkojums!A$43))</f>
        <v/>
      </c>
      <c r="O98" s="2" t="str">
        <f>IF(ISBLANK(C98),"",IF(G98="Y","✔",IF(G98="X","✔",IF(G98="N","✔",tulkojums!A$44))))</f>
        <v/>
      </c>
      <c r="P98" s="2" t="str">
        <f>IF(ISBLANK(H98),"",IF(INDEX(DB_materiali!$E$2:$E$5000,MATCH($C98,DB_materiali!$A$2:$A$5000,0))&gt;=INDEX(DB_malas!$C$2:$C$5000,MATCH(H98,DB_malas!$A$2:$A$5000,0)),IF(INDEX(DB_materiali!$E$2:$E$5000,MATCH($C98,DB_materiali!$A$2:$A$5000,0))&lt;=INDEX(DB_malas!$D$2:$D$5000,MATCH(H98,DB_malas!$A$2:$A$5000,0)),IF(OR(INDEX(DB_materiali!$B$2:$B$5000,MATCH($C98,DB_materiali!$A$2:$A$5000,0))=INDEX(DB_malas!$B$2:$B$5000,MATCH(H98,DB_malas!$A$2:$A$5000,0)),$H98="ORG"),"✔",tulkojums!$A$38),tulkojums!$A$39),tulkojums!$A$39))</f>
        <v/>
      </c>
      <c r="Q98" s="2" t="str">
        <f>IF(ISBLANK(I98),"",IF(INDEX(DB_materiali!$E$2:$E$5000,MATCH($C98,DB_materiali!$A$2:$A$5000,0))&gt;=INDEX(DB_malas!$C$2:$C$5000,MATCH(I98,DB_malas!$A$2:$A$5000,0)),IF(INDEX(DB_materiali!$E$2:$E$5000,MATCH($C98,DB_materiali!$A$2:$A$5000,0))&lt;=INDEX(DB_malas!$D$2:$D$5000,MATCH(I98,DB_malas!$A$2:$A$5000,0)),IF(OR(INDEX(DB_materiali!$B$2:$B$5000,MATCH($C98,DB_materiali!$A$2:$A$5000,0))=INDEX(DB_malas!$B$2:$B$5000,MATCH(I98,DB_malas!$A$2:$A$5000,0)),$H98="ORG"),"✔",tulkojums!$A$38),tulkojums!$A$39),tulkojums!$A$39))</f>
        <v/>
      </c>
      <c r="R98" s="2" t="str">
        <f>IF(ISBLANK(J98),"",IF(INDEX(DB_materiali!$E$2:$E$5000,MATCH($C98,DB_materiali!$A$2:$A$5000,0))&gt;=INDEX(DB_malas!$C$2:$C$5000,MATCH(J98,DB_malas!$A$2:$A$5000,0)),IF(INDEX(DB_materiali!$E$2:$E$5000,MATCH($C98,DB_materiali!$A$2:$A$5000,0))&lt;=INDEX(DB_malas!$D$2:$D$5000,MATCH(J98,DB_malas!$A$2:$A$5000,0)),IF(INDEX(DB_materiali!$B$2:$B$5000,MATCH($C98,DB_materiali!$A$2:$A$5000,0))=INDEX(DB_malas!$B$2:$B$5000,MATCH(J98,DB_malas!$A$2:$A$5000,0)),"✔",tulkojums!$A$38),tulkojums!$A$39),tulkojums!$A$39))</f>
        <v/>
      </c>
      <c r="S98" s="2" t="str">
        <f>IF(ISBLANK(K98),"",IF(INDEX(DB_materiali!$E$2:$E$5000,MATCH($C98,DB_materiali!$A$2:$A$5000,0))&gt;=INDEX(DB_malas!$C$2:$C$5000,MATCH(K98,DB_malas!$A$2:$A$5000,0)),IF(INDEX(DB_materiali!$E$2:$E$5000,MATCH($C98,DB_materiali!$A$2:$A$5000,0))&lt;=INDEX(DB_malas!$D$2:$D$5000,MATCH(K98,DB_malas!$A$2:$A$5000,0)),IF(INDEX(DB_materiali!$B$2:$B$5000,MATCH($C98,DB_materiali!$A$2:$A$5000,0))=INDEX(DB_malas!$B$2:$B$5000,MATCH(K98,DB_malas!$A$2:$A$5000,0)),"✔",tulkojums!$A$38),tulkojums!$A$39),tulkojums!$A$39))</f>
        <v/>
      </c>
      <c r="T98" s="2"/>
      <c r="U98" s="2"/>
      <c r="V98" s="2"/>
      <c r="W98" s="2"/>
      <c r="X98" s="2"/>
      <c r="Y98" s="2"/>
      <c r="Z98" s="2"/>
    </row>
    <row r="99" spans="1:26" ht="15.75" customHeight="1">
      <c r="A99" s="17"/>
      <c r="B99" s="18"/>
      <c r="C99" s="19"/>
      <c r="D99" s="55"/>
      <c r="E99" s="55"/>
      <c r="F99" s="56"/>
      <c r="G99" s="57" t="str">
        <f>IF(ISBLANK(C99),"",
   IFERROR(
      IF(
         INDEX(DB_materiali!C$2:C$5000,
               MATCH(C99, DB_materiali!A$2:A$5000, 0)
         )="FALSE",
         "N",
         "Y"
      ),
   "")
)</f>
        <v/>
      </c>
      <c r="H99" s="20"/>
      <c r="I99" s="20"/>
      <c r="J99" s="20"/>
      <c r="K99" s="20"/>
      <c r="M99" s="2" t="str">
        <f>IF(ISBLANK(C99),"",IF(IFERROR(VLOOKUP(C99,DB_materiali!$A$2:$A$5000,1,FALSE),"Kļūda artikulā")=C99,"✔",tulkojums!A$42))</f>
        <v/>
      </c>
      <c r="N99" s="2" t="str">
        <f>IF(ISBLANK(C99),"",IF(ISNUMBER(F99)=TRUE,"✔",tulkojums!A$43))</f>
        <v/>
      </c>
      <c r="O99" s="2" t="str">
        <f>IF(ISBLANK(C99),"",IF(G99="Y","✔",IF(G99="X","✔",IF(G99="N","✔",tulkojums!A$44))))</f>
        <v/>
      </c>
      <c r="P99" s="2" t="str">
        <f>IF(ISBLANK(H99),"",IF(INDEX(DB_materiali!$E$2:$E$5000,MATCH($C99,DB_materiali!$A$2:$A$5000,0))&gt;=INDEX(DB_malas!$C$2:$C$5000,MATCH(H99,DB_malas!$A$2:$A$5000,0)),IF(INDEX(DB_materiali!$E$2:$E$5000,MATCH($C99,DB_materiali!$A$2:$A$5000,0))&lt;=INDEX(DB_malas!$D$2:$D$5000,MATCH(H99,DB_malas!$A$2:$A$5000,0)),IF(OR(INDEX(DB_materiali!$B$2:$B$5000,MATCH($C99,DB_materiali!$A$2:$A$5000,0))=INDEX(DB_malas!$B$2:$B$5000,MATCH(H99,DB_malas!$A$2:$A$5000,0)),$H99="ORG"),"✔",tulkojums!$A$38),tulkojums!$A$39),tulkojums!$A$39))</f>
        <v/>
      </c>
      <c r="Q99" s="2" t="str">
        <f>IF(ISBLANK(I99),"",IF(INDEX(DB_materiali!$E$2:$E$5000,MATCH($C99,DB_materiali!$A$2:$A$5000,0))&gt;=INDEX(DB_malas!$C$2:$C$5000,MATCH(I99,DB_malas!$A$2:$A$5000,0)),IF(INDEX(DB_materiali!$E$2:$E$5000,MATCH($C99,DB_materiali!$A$2:$A$5000,0))&lt;=INDEX(DB_malas!$D$2:$D$5000,MATCH(I99,DB_malas!$A$2:$A$5000,0)),IF(OR(INDEX(DB_materiali!$B$2:$B$5000,MATCH($C99,DB_materiali!$A$2:$A$5000,0))=INDEX(DB_malas!$B$2:$B$5000,MATCH(I99,DB_malas!$A$2:$A$5000,0)),$H99="ORG"),"✔",tulkojums!$A$38),tulkojums!$A$39),tulkojums!$A$39))</f>
        <v/>
      </c>
      <c r="R99" s="2" t="str">
        <f>IF(ISBLANK(J99),"",IF(INDEX(DB_materiali!$E$2:$E$5000,MATCH($C99,DB_materiali!$A$2:$A$5000,0))&gt;=INDEX(DB_malas!$C$2:$C$5000,MATCH(J99,DB_malas!$A$2:$A$5000,0)),IF(INDEX(DB_materiali!$E$2:$E$5000,MATCH($C99,DB_materiali!$A$2:$A$5000,0))&lt;=INDEX(DB_malas!$D$2:$D$5000,MATCH(J99,DB_malas!$A$2:$A$5000,0)),IF(INDEX(DB_materiali!$B$2:$B$5000,MATCH($C99,DB_materiali!$A$2:$A$5000,0))=INDEX(DB_malas!$B$2:$B$5000,MATCH(J99,DB_malas!$A$2:$A$5000,0)),"✔",tulkojums!$A$38),tulkojums!$A$39),tulkojums!$A$39))</f>
        <v/>
      </c>
      <c r="S99" s="2" t="str">
        <f>IF(ISBLANK(K99),"",IF(INDEX(DB_materiali!$E$2:$E$5000,MATCH($C99,DB_materiali!$A$2:$A$5000,0))&gt;=INDEX(DB_malas!$C$2:$C$5000,MATCH(K99,DB_malas!$A$2:$A$5000,0)),IF(INDEX(DB_materiali!$E$2:$E$5000,MATCH($C99,DB_materiali!$A$2:$A$5000,0))&lt;=INDEX(DB_malas!$D$2:$D$5000,MATCH(K99,DB_malas!$A$2:$A$5000,0)),IF(INDEX(DB_materiali!$B$2:$B$5000,MATCH($C99,DB_materiali!$A$2:$A$5000,0))=INDEX(DB_malas!$B$2:$B$5000,MATCH(K99,DB_malas!$A$2:$A$5000,0)),"✔",tulkojums!$A$38),tulkojums!$A$39),tulkojums!$A$39))</f>
        <v/>
      </c>
      <c r="T99" s="2"/>
      <c r="U99" s="2"/>
      <c r="V99" s="2"/>
      <c r="W99" s="2"/>
      <c r="X99" s="2"/>
      <c r="Y99" s="2"/>
      <c r="Z99" s="2"/>
    </row>
    <row r="100" spans="1:26" ht="15.75" customHeight="1">
      <c r="A100" s="17"/>
      <c r="B100" s="18"/>
      <c r="C100" s="19"/>
      <c r="D100" s="55"/>
      <c r="E100" s="55"/>
      <c r="F100" s="56"/>
      <c r="G100" s="57" t="str">
        <f>IF(ISBLANK(C100),"",
   IFERROR(
      IF(
         INDEX(DB_materiali!C$2:C$5000,
               MATCH(C100, DB_materiali!A$2:A$5000, 0)
         )="FALSE",
         "N",
         "Y"
      ),
   "")
)</f>
        <v/>
      </c>
      <c r="H100" s="20"/>
      <c r="I100" s="20"/>
      <c r="J100" s="20"/>
      <c r="K100" s="20"/>
      <c r="M100" s="2" t="str">
        <f>IF(ISBLANK(C100),"",IF(IFERROR(VLOOKUP(C100,DB_materiali!$A$2:$A$5000,1,FALSE),"Kļūda artikulā")=C100,"✔",tulkojums!A$42))</f>
        <v/>
      </c>
      <c r="N100" s="2" t="str">
        <f>IF(ISBLANK(C100),"",IF(ISNUMBER(F100)=TRUE,"✔",tulkojums!A$43))</f>
        <v/>
      </c>
      <c r="O100" s="2" t="str">
        <f>IF(ISBLANK(C100),"",IF(G100="Y","✔",IF(G100="X","✔",IF(G100="N","✔",tulkojums!A$44))))</f>
        <v/>
      </c>
      <c r="P100" s="2" t="str">
        <f>IF(ISBLANK(H100),"",IF(INDEX(DB_materiali!$E$2:$E$5000,MATCH($C100,DB_materiali!$A$2:$A$5000,0))&gt;=INDEX(DB_malas!$C$2:$C$5000,MATCH(H100,DB_malas!$A$2:$A$5000,0)),IF(INDEX(DB_materiali!$E$2:$E$5000,MATCH($C100,DB_materiali!$A$2:$A$5000,0))&lt;=INDEX(DB_malas!$D$2:$D$5000,MATCH(H100,DB_malas!$A$2:$A$5000,0)),IF(OR(INDEX(DB_materiali!$B$2:$B$5000,MATCH($C100,DB_materiali!$A$2:$A$5000,0))=INDEX(DB_malas!$B$2:$B$5000,MATCH(H100,DB_malas!$A$2:$A$5000,0)),$H100="ORG"),"✔",tulkojums!$A$38),tulkojums!$A$39),tulkojums!$A$39))</f>
        <v/>
      </c>
      <c r="Q100" s="2" t="str">
        <f>IF(ISBLANK(I100),"",IF(INDEX(DB_materiali!$E$2:$E$5000,MATCH($C100,DB_materiali!$A$2:$A$5000,0))&gt;=INDEX(DB_malas!$C$2:$C$5000,MATCH(I100,DB_malas!$A$2:$A$5000,0)),IF(INDEX(DB_materiali!$E$2:$E$5000,MATCH($C100,DB_materiali!$A$2:$A$5000,0))&lt;=INDEX(DB_malas!$D$2:$D$5000,MATCH(I100,DB_malas!$A$2:$A$5000,0)),IF(OR(INDEX(DB_materiali!$B$2:$B$5000,MATCH($C100,DB_materiali!$A$2:$A$5000,0))=INDEX(DB_malas!$B$2:$B$5000,MATCH(I100,DB_malas!$A$2:$A$5000,0)),$H100="ORG"),"✔",tulkojums!$A$38),tulkojums!$A$39),tulkojums!$A$39))</f>
        <v/>
      </c>
      <c r="R100" s="2" t="str">
        <f>IF(ISBLANK(J100),"",IF(INDEX(DB_materiali!$E$2:$E$5000,MATCH($C100,DB_materiali!$A$2:$A$5000,0))&gt;=INDEX(DB_malas!$C$2:$C$5000,MATCH(J100,DB_malas!$A$2:$A$5000,0)),IF(INDEX(DB_materiali!$E$2:$E$5000,MATCH($C100,DB_materiali!$A$2:$A$5000,0))&lt;=INDEX(DB_malas!$D$2:$D$5000,MATCH(J100,DB_malas!$A$2:$A$5000,0)),IF(INDEX(DB_materiali!$B$2:$B$5000,MATCH($C100,DB_materiali!$A$2:$A$5000,0))=INDEX(DB_malas!$B$2:$B$5000,MATCH(J100,DB_malas!$A$2:$A$5000,0)),"✔",tulkojums!$A$38),tulkojums!$A$39),tulkojums!$A$39))</f>
        <v/>
      </c>
      <c r="S100" s="2" t="str">
        <f>IF(ISBLANK(K100),"",IF(INDEX(DB_materiali!$E$2:$E$5000,MATCH($C100,DB_materiali!$A$2:$A$5000,0))&gt;=INDEX(DB_malas!$C$2:$C$5000,MATCH(K100,DB_malas!$A$2:$A$5000,0)),IF(INDEX(DB_materiali!$E$2:$E$5000,MATCH($C100,DB_materiali!$A$2:$A$5000,0))&lt;=INDEX(DB_malas!$D$2:$D$5000,MATCH(K100,DB_malas!$A$2:$A$5000,0)),IF(INDEX(DB_materiali!$B$2:$B$5000,MATCH($C100,DB_materiali!$A$2:$A$5000,0))=INDEX(DB_malas!$B$2:$B$5000,MATCH(K100,DB_malas!$A$2:$A$5000,0)),"✔",tulkojums!$A$38),tulkojums!$A$39),tulkojums!$A$39))</f>
        <v/>
      </c>
      <c r="T100" s="2"/>
      <c r="U100" s="2"/>
      <c r="V100" s="2"/>
      <c r="W100" s="2"/>
      <c r="X100" s="2"/>
      <c r="Y100" s="2"/>
      <c r="Z100" s="2"/>
    </row>
    <row r="101" spans="1:26" ht="15.75" customHeight="1">
      <c r="A101" s="17"/>
      <c r="B101" s="18"/>
      <c r="C101" s="19"/>
      <c r="D101" s="55"/>
      <c r="E101" s="55"/>
      <c r="F101" s="56"/>
      <c r="G101" s="57" t="str">
        <f>IF(ISBLANK(C101),"",
   IFERROR(
      IF(
         INDEX(DB_materiali!C$2:C$5000,
               MATCH(C101, DB_materiali!A$2:A$5000, 0)
         )="FALSE",
         "N",
         "Y"
      ),
   "")
)</f>
        <v/>
      </c>
      <c r="H101" s="20"/>
      <c r="I101" s="20"/>
      <c r="J101" s="20"/>
      <c r="K101" s="20"/>
      <c r="M101" s="2" t="str">
        <f>IF(ISBLANK(C101),"",IF(IFERROR(VLOOKUP(C101,DB_materiali!$A$2:$A$5000,1,FALSE),"Kļūda artikulā")=C101,"✔",tulkojums!A$42))</f>
        <v/>
      </c>
      <c r="N101" s="2" t="str">
        <f>IF(ISBLANK(C101),"",IF(ISNUMBER(F101)=TRUE,"✔",tulkojums!A$43))</f>
        <v/>
      </c>
      <c r="O101" s="2" t="str">
        <f>IF(ISBLANK(C101),"",IF(G101="Y","✔",IF(G101="X","✔",IF(G101="N","✔",tulkojums!A$44))))</f>
        <v/>
      </c>
      <c r="P101" s="2" t="str">
        <f>IF(ISBLANK(H101),"",IF(INDEX(DB_materiali!$E$2:$E$5000,MATCH($C101,DB_materiali!$A$2:$A$5000,0))&gt;=INDEX(DB_malas!$C$2:$C$5000,MATCH(H101,DB_malas!$A$2:$A$5000,0)),IF(INDEX(DB_materiali!$E$2:$E$5000,MATCH($C101,DB_materiali!$A$2:$A$5000,0))&lt;=INDEX(DB_malas!$D$2:$D$5000,MATCH(H101,DB_malas!$A$2:$A$5000,0)),IF(OR(INDEX(DB_materiali!$B$2:$B$5000,MATCH($C101,DB_materiali!$A$2:$A$5000,0))=INDEX(DB_malas!$B$2:$B$5000,MATCH(H101,DB_malas!$A$2:$A$5000,0)),$H101="ORG"),"✔",tulkojums!$A$38),tulkojums!$A$39),tulkojums!$A$39))</f>
        <v/>
      </c>
      <c r="Q101" s="2" t="str">
        <f>IF(ISBLANK(I101),"",IF(INDEX(DB_materiali!$E$2:$E$5000,MATCH($C101,DB_materiali!$A$2:$A$5000,0))&gt;=INDEX(DB_malas!$C$2:$C$5000,MATCH(I101,DB_malas!$A$2:$A$5000,0)),IF(INDEX(DB_materiali!$E$2:$E$5000,MATCH($C101,DB_materiali!$A$2:$A$5000,0))&lt;=INDEX(DB_malas!$D$2:$D$5000,MATCH(I101,DB_malas!$A$2:$A$5000,0)),IF(OR(INDEX(DB_materiali!$B$2:$B$5000,MATCH($C101,DB_materiali!$A$2:$A$5000,0))=INDEX(DB_malas!$B$2:$B$5000,MATCH(I101,DB_malas!$A$2:$A$5000,0)),$H101="ORG"),"✔",tulkojums!$A$38),tulkojums!$A$39),tulkojums!$A$39))</f>
        <v/>
      </c>
      <c r="R101" s="2" t="str">
        <f>IF(ISBLANK(J101),"",IF(INDEX(DB_materiali!$E$2:$E$5000,MATCH($C101,DB_materiali!$A$2:$A$5000,0))&gt;=INDEX(DB_malas!$C$2:$C$5000,MATCH(J101,DB_malas!$A$2:$A$5000,0)),IF(INDEX(DB_materiali!$E$2:$E$5000,MATCH($C101,DB_materiali!$A$2:$A$5000,0))&lt;=INDEX(DB_malas!$D$2:$D$5000,MATCH(J101,DB_malas!$A$2:$A$5000,0)),IF(INDEX(DB_materiali!$B$2:$B$5000,MATCH($C101,DB_materiali!$A$2:$A$5000,0))=INDEX(DB_malas!$B$2:$B$5000,MATCH(J101,DB_malas!$A$2:$A$5000,0)),"✔",tulkojums!$A$38),tulkojums!$A$39),tulkojums!$A$39))</f>
        <v/>
      </c>
      <c r="S101" s="2" t="str">
        <f>IF(ISBLANK(K101),"",IF(INDEX(DB_materiali!$E$2:$E$5000,MATCH($C101,DB_materiali!$A$2:$A$5000,0))&gt;=INDEX(DB_malas!$C$2:$C$5000,MATCH(K101,DB_malas!$A$2:$A$5000,0)),IF(INDEX(DB_materiali!$E$2:$E$5000,MATCH($C101,DB_materiali!$A$2:$A$5000,0))&lt;=INDEX(DB_malas!$D$2:$D$5000,MATCH(K101,DB_malas!$A$2:$A$5000,0)),IF(INDEX(DB_materiali!$B$2:$B$5000,MATCH($C101,DB_materiali!$A$2:$A$5000,0))=INDEX(DB_malas!$B$2:$B$5000,MATCH(K101,DB_malas!$A$2:$A$5000,0)),"✔",tulkojums!$A$38),tulkojums!$A$39),tulkojums!$A$39))</f>
        <v/>
      </c>
      <c r="T101" s="2"/>
      <c r="U101" s="2"/>
      <c r="V101" s="2"/>
      <c r="W101" s="2"/>
      <c r="X101" s="2"/>
      <c r="Y101" s="2"/>
      <c r="Z101" s="2"/>
    </row>
    <row r="102" spans="1:26" ht="15.75" customHeight="1">
      <c r="A102" s="17"/>
      <c r="B102" s="18"/>
      <c r="C102" s="19"/>
      <c r="D102" s="55"/>
      <c r="E102" s="55"/>
      <c r="F102" s="56"/>
      <c r="G102" s="57" t="str">
        <f>IF(ISBLANK(C102),"",
   IFERROR(
      IF(
         INDEX(DB_materiali!C$2:C$5000,
               MATCH(C102, DB_materiali!A$2:A$5000, 0)
         )="FALSE",
         "N",
         "Y"
      ),
   "")
)</f>
        <v/>
      </c>
      <c r="H102" s="20"/>
      <c r="I102" s="20"/>
      <c r="J102" s="20"/>
      <c r="K102" s="20"/>
      <c r="M102" s="2" t="str">
        <f>IF(ISBLANK(C102),"",IF(IFERROR(VLOOKUP(C102,DB_materiali!$A$2:$A$5000,1,FALSE),"Kļūda artikulā")=C102,"✔",tulkojums!A$42))</f>
        <v/>
      </c>
      <c r="N102" s="2" t="str">
        <f>IF(ISBLANK(C102),"",IF(ISNUMBER(F102)=TRUE,"✔",tulkojums!A$43))</f>
        <v/>
      </c>
      <c r="O102" s="2" t="str">
        <f>IF(ISBLANK(C102),"",IF(G102="Y","✔",IF(G102="X","✔",IF(G102="N","✔",tulkojums!A$44))))</f>
        <v/>
      </c>
      <c r="P102" s="2" t="str">
        <f>IF(ISBLANK(H102),"",IF(INDEX(DB_materiali!$E$2:$E$5000,MATCH($C102,DB_materiali!$A$2:$A$5000,0))&gt;=INDEX(DB_malas!$C$2:$C$5000,MATCH(H102,DB_malas!$A$2:$A$5000,0)),IF(INDEX(DB_materiali!$E$2:$E$5000,MATCH($C102,DB_materiali!$A$2:$A$5000,0))&lt;=INDEX(DB_malas!$D$2:$D$5000,MATCH(H102,DB_malas!$A$2:$A$5000,0)),IF(OR(INDEX(DB_materiali!$B$2:$B$5000,MATCH($C102,DB_materiali!$A$2:$A$5000,0))=INDEX(DB_malas!$B$2:$B$5000,MATCH(H102,DB_malas!$A$2:$A$5000,0)),$H102="ORG"),"✔",tulkojums!$A$38),tulkojums!$A$39),tulkojums!$A$39))</f>
        <v/>
      </c>
      <c r="Q102" s="2" t="str">
        <f>IF(ISBLANK(I102),"",IF(INDEX(DB_materiali!$E$2:$E$5000,MATCH($C102,DB_materiali!$A$2:$A$5000,0))&gt;=INDEX(DB_malas!$C$2:$C$5000,MATCH(I102,DB_malas!$A$2:$A$5000,0)),IF(INDEX(DB_materiali!$E$2:$E$5000,MATCH($C102,DB_materiali!$A$2:$A$5000,0))&lt;=INDEX(DB_malas!$D$2:$D$5000,MATCH(I102,DB_malas!$A$2:$A$5000,0)),IF(OR(INDEX(DB_materiali!$B$2:$B$5000,MATCH($C102,DB_materiali!$A$2:$A$5000,0))=INDEX(DB_malas!$B$2:$B$5000,MATCH(I102,DB_malas!$A$2:$A$5000,0)),$H102="ORG"),"✔",tulkojums!$A$38),tulkojums!$A$39),tulkojums!$A$39))</f>
        <v/>
      </c>
      <c r="R102" s="2" t="str">
        <f>IF(ISBLANK(J102),"",IF(INDEX(DB_materiali!$E$2:$E$5000,MATCH($C102,DB_materiali!$A$2:$A$5000,0))&gt;=INDEX(DB_malas!$C$2:$C$5000,MATCH(J102,DB_malas!$A$2:$A$5000,0)),IF(INDEX(DB_materiali!$E$2:$E$5000,MATCH($C102,DB_materiali!$A$2:$A$5000,0))&lt;=INDEX(DB_malas!$D$2:$D$5000,MATCH(J102,DB_malas!$A$2:$A$5000,0)),IF(INDEX(DB_materiali!$B$2:$B$5000,MATCH($C102,DB_materiali!$A$2:$A$5000,0))=INDEX(DB_malas!$B$2:$B$5000,MATCH(J102,DB_malas!$A$2:$A$5000,0)),"✔",tulkojums!$A$38),tulkojums!$A$39),tulkojums!$A$39))</f>
        <v/>
      </c>
      <c r="S102" s="2" t="str">
        <f>IF(ISBLANK(K102),"",IF(INDEX(DB_materiali!$E$2:$E$5000,MATCH($C102,DB_materiali!$A$2:$A$5000,0))&gt;=INDEX(DB_malas!$C$2:$C$5000,MATCH(K102,DB_malas!$A$2:$A$5000,0)),IF(INDEX(DB_materiali!$E$2:$E$5000,MATCH($C102,DB_materiali!$A$2:$A$5000,0))&lt;=INDEX(DB_malas!$D$2:$D$5000,MATCH(K102,DB_malas!$A$2:$A$5000,0)),IF(INDEX(DB_materiali!$B$2:$B$5000,MATCH($C102,DB_materiali!$A$2:$A$5000,0))=INDEX(DB_malas!$B$2:$B$5000,MATCH(K102,DB_malas!$A$2:$A$5000,0)),"✔",tulkojums!$A$38),tulkojums!$A$39),tulkojums!$A$39))</f>
        <v/>
      </c>
      <c r="T102" s="2"/>
      <c r="U102" s="2"/>
      <c r="V102" s="2"/>
      <c r="W102" s="2"/>
      <c r="X102" s="2"/>
      <c r="Y102" s="2"/>
      <c r="Z102" s="2"/>
    </row>
    <row r="103" spans="1:26" ht="15.75" customHeight="1">
      <c r="A103" s="17"/>
      <c r="B103" s="18"/>
      <c r="C103" s="19"/>
      <c r="D103" s="55"/>
      <c r="E103" s="55"/>
      <c r="F103" s="56"/>
      <c r="G103" s="57" t="str">
        <f>IF(ISBLANK(C103),"",
   IFERROR(
      IF(
         INDEX(DB_materiali!C$2:C$5000,
               MATCH(C103, DB_materiali!A$2:A$5000, 0)
         )="FALSE",
         "N",
         "Y"
      ),
   "")
)</f>
        <v/>
      </c>
      <c r="H103" s="20"/>
      <c r="I103" s="20"/>
      <c r="J103" s="20"/>
      <c r="K103" s="20"/>
      <c r="M103" s="2" t="str">
        <f>IF(ISBLANK(C103),"",IF(IFERROR(VLOOKUP(C103,DB_materiali!$A$2:$A$5000,1,FALSE),"Kļūda artikulā")=C103,"✔",tulkojums!A$42))</f>
        <v/>
      </c>
      <c r="N103" s="2" t="str">
        <f>IF(ISBLANK(C103),"",IF(ISNUMBER(F103)=TRUE,"✔",tulkojums!A$43))</f>
        <v/>
      </c>
      <c r="O103" s="2" t="str">
        <f>IF(ISBLANK(C103),"",IF(G103="Y","✔",IF(G103="X","✔",IF(G103="N","✔",tulkojums!A$44))))</f>
        <v/>
      </c>
      <c r="P103" s="2" t="str">
        <f>IF(ISBLANK(H103),"",IF(INDEX(DB_materiali!$E$2:$E$5000,MATCH($C103,DB_materiali!$A$2:$A$5000,0))&gt;=INDEX(DB_malas!$C$2:$C$5000,MATCH(H103,DB_malas!$A$2:$A$5000,0)),IF(INDEX(DB_materiali!$E$2:$E$5000,MATCH($C103,DB_materiali!$A$2:$A$5000,0))&lt;=INDEX(DB_malas!$D$2:$D$5000,MATCH(H103,DB_malas!$A$2:$A$5000,0)),IF(OR(INDEX(DB_materiali!$B$2:$B$5000,MATCH($C103,DB_materiali!$A$2:$A$5000,0))=INDEX(DB_malas!$B$2:$B$5000,MATCH(H103,DB_malas!$A$2:$A$5000,0)),$H103="ORG"),"✔",tulkojums!$A$38),tulkojums!$A$39),tulkojums!$A$39))</f>
        <v/>
      </c>
      <c r="Q103" s="2" t="str">
        <f>IF(ISBLANK(I103),"",IF(INDEX(DB_materiali!$E$2:$E$5000,MATCH($C103,DB_materiali!$A$2:$A$5000,0))&gt;=INDEX(DB_malas!$C$2:$C$5000,MATCH(I103,DB_malas!$A$2:$A$5000,0)),IF(INDEX(DB_materiali!$E$2:$E$5000,MATCH($C103,DB_materiali!$A$2:$A$5000,0))&lt;=INDEX(DB_malas!$D$2:$D$5000,MATCH(I103,DB_malas!$A$2:$A$5000,0)),IF(OR(INDEX(DB_materiali!$B$2:$B$5000,MATCH($C103,DB_materiali!$A$2:$A$5000,0))=INDEX(DB_malas!$B$2:$B$5000,MATCH(I103,DB_malas!$A$2:$A$5000,0)),$H103="ORG"),"✔",tulkojums!$A$38),tulkojums!$A$39),tulkojums!$A$39))</f>
        <v/>
      </c>
      <c r="R103" s="2" t="str">
        <f>IF(ISBLANK(J103),"",IF(INDEX(DB_materiali!$E$2:$E$5000,MATCH($C103,DB_materiali!$A$2:$A$5000,0))&gt;=INDEX(DB_malas!$C$2:$C$5000,MATCH(J103,DB_malas!$A$2:$A$5000,0)),IF(INDEX(DB_materiali!$E$2:$E$5000,MATCH($C103,DB_materiali!$A$2:$A$5000,0))&lt;=INDEX(DB_malas!$D$2:$D$5000,MATCH(J103,DB_malas!$A$2:$A$5000,0)),IF(INDEX(DB_materiali!$B$2:$B$5000,MATCH($C103,DB_materiali!$A$2:$A$5000,0))=INDEX(DB_malas!$B$2:$B$5000,MATCH(J103,DB_malas!$A$2:$A$5000,0)),"✔",tulkojums!$A$38),tulkojums!$A$39),tulkojums!$A$39))</f>
        <v/>
      </c>
      <c r="S103" s="2" t="str">
        <f>IF(ISBLANK(K103),"",IF(INDEX(DB_materiali!$E$2:$E$5000,MATCH($C103,DB_materiali!$A$2:$A$5000,0))&gt;=INDEX(DB_malas!$C$2:$C$5000,MATCH(K103,DB_malas!$A$2:$A$5000,0)),IF(INDEX(DB_materiali!$E$2:$E$5000,MATCH($C103,DB_materiali!$A$2:$A$5000,0))&lt;=INDEX(DB_malas!$D$2:$D$5000,MATCH(K103,DB_malas!$A$2:$A$5000,0)),IF(INDEX(DB_materiali!$B$2:$B$5000,MATCH($C103,DB_materiali!$A$2:$A$5000,0))=INDEX(DB_malas!$B$2:$B$5000,MATCH(K103,DB_malas!$A$2:$A$5000,0)),"✔",tulkojums!$A$38),tulkojums!$A$39),tulkojums!$A$39))</f>
        <v/>
      </c>
      <c r="T103" s="2"/>
      <c r="U103" s="2"/>
      <c r="V103" s="2"/>
      <c r="W103" s="2"/>
      <c r="X103" s="2"/>
      <c r="Y103" s="2"/>
      <c r="Z103" s="2"/>
    </row>
    <row r="104" spans="1:26" ht="15.75" customHeight="1">
      <c r="A104" s="17"/>
      <c r="B104" s="18"/>
      <c r="C104" s="19"/>
      <c r="D104" s="55"/>
      <c r="E104" s="55"/>
      <c r="F104" s="56"/>
      <c r="G104" s="57" t="str">
        <f>IF(ISBLANK(C104),"",
   IFERROR(
      IF(
         INDEX(DB_materiali!C$2:C$5000,
               MATCH(C104, DB_materiali!A$2:A$5000, 0)
         )="FALSE",
         "N",
         "Y"
      ),
   "")
)</f>
        <v/>
      </c>
      <c r="H104" s="20"/>
      <c r="I104" s="20"/>
      <c r="J104" s="20"/>
      <c r="K104" s="20"/>
      <c r="M104" s="2" t="str">
        <f>IF(ISBLANK(C104),"",IF(IFERROR(VLOOKUP(C104,DB_materiali!$A$2:$A$5000,1,FALSE),"Kļūda artikulā")=C104,"✔",tulkojums!A$42))</f>
        <v/>
      </c>
      <c r="N104" s="2" t="str">
        <f>IF(ISBLANK(C104),"",IF(ISNUMBER(F104)=TRUE,"✔",tulkojums!A$43))</f>
        <v/>
      </c>
      <c r="O104" s="2" t="str">
        <f>IF(ISBLANK(C104),"",IF(G104="Y","✔",IF(G104="X","✔",IF(G104="N","✔",tulkojums!A$44))))</f>
        <v/>
      </c>
      <c r="P104" s="2" t="str">
        <f>IF(ISBLANK(H104),"",IF(INDEX(DB_materiali!$E$2:$E$5000,MATCH($C104,DB_materiali!$A$2:$A$5000,0))&gt;=INDEX(DB_malas!$C$2:$C$5000,MATCH(H104,DB_malas!$A$2:$A$5000,0)),IF(INDEX(DB_materiali!$E$2:$E$5000,MATCH($C104,DB_materiali!$A$2:$A$5000,0))&lt;=INDEX(DB_malas!$D$2:$D$5000,MATCH(H104,DB_malas!$A$2:$A$5000,0)),IF(OR(INDEX(DB_materiali!$B$2:$B$5000,MATCH($C104,DB_materiali!$A$2:$A$5000,0))=INDEX(DB_malas!$B$2:$B$5000,MATCH(H104,DB_malas!$A$2:$A$5000,0)),$H104="ORG"),"✔",tulkojums!$A$38),tulkojums!$A$39),tulkojums!$A$39))</f>
        <v/>
      </c>
      <c r="Q104" s="2" t="str">
        <f>IF(ISBLANK(I104),"",IF(INDEX(DB_materiali!$E$2:$E$5000,MATCH($C104,DB_materiali!$A$2:$A$5000,0))&gt;=INDEX(DB_malas!$C$2:$C$5000,MATCH(I104,DB_malas!$A$2:$A$5000,0)),IF(INDEX(DB_materiali!$E$2:$E$5000,MATCH($C104,DB_materiali!$A$2:$A$5000,0))&lt;=INDEX(DB_malas!$D$2:$D$5000,MATCH(I104,DB_malas!$A$2:$A$5000,0)),IF(OR(INDEX(DB_materiali!$B$2:$B$5000,MATCH($C104,DB_materiali!$A$2:$A$5000,0))=INDEX(DB_malas!$B$2:$B$5000,MATCH(I104,DB_malas!$A$2:$A$5000,0)),$H104="ORG"),"✔",tulkojums!$A$38),tulkojums!$A$39),tulkojums!$A$39))</f>
        <v/>
      </c>
      <c r="R104" s="2" t="str">
        <f>IF(ISBLANK(J104),"",IF(INDEX(DB_materiali!$E$2:$E$5000,MATCH($C104,DB_materiali!$A$2:$A$5000,0))&gt;=INDEX(DB_malas!$C$2:$C$5000,MATCH(J104,DB_malas!$A$2:$A$5000,0)),IF(INDEX(DB_materiali!$E$2:$E$5000,MATCH($C104,DB_materiali!$A$2:$A$5000,0))&lt;=INDEX(DB_malas!$D$2:$D$5000,MATCH(J104,DB_malas!$A$2:$A$5000,0)),IF(INDEX(DB_materiali!$B$2:$B$5000,MATCH($C104,DB_materiali!$A$2:$A$5000,0))=INDEX(DB_malas!$B$2:$B$5000,MATCH(J104,DB_malas!$A$2:$A$5000,0)),"✔",tulkojums!$A$38),tulkojums!$A$39),tulkojums!$A$39))</f>
        <v/>
      </c>
      <c r="S104" s="2" t="str">
        <f>IF(ISBLANK(K104),"",IF(INDEX(DB_materiali!$E$2:$E$5000,MATCH($C104,DB_materiali!$A$2:$A$5000,0))&gt;=INDEX(DB_malas!$C$2:$C$5000,MATCH(K104,DB_malas!$A$2:$A$5000,0)),IF(INDEX(DB_materiali!$E$2:$E$5000,MATCH($C104,DB_materiali!$A$2:$A$5000,0))&lt;=INDEX(DB_malas!$D$2:$D$5000,MATCH(K104,DB_malas!$A$2:$A$5000,0)),IF(INDEX(DB_materiali!$B$2:$B$5000,MATCH($C104,DB_materiali!$A$2:$A$5000,0))=INDEX(DB_malas!$B$2:$B$5000,MATCH(K104,DB_malas!$A$2:$A$5000,0)),"✔",tulkojums!$A$38),tulkojums!$A$39),tulkojums!$A$39))</f>
        <v/>
      </c>
      <c r="T104" s="2"/>
      <c r="U104" s="2"/>
      <c r="V104" s="2"/>
      <c r="W104" s="2"/>
      <c r="X104" s="2"/>
      <c r="Y104" s="2"/>
      <c r="Z104" s="2"/>
    </row>
    <row r="105" spans="1:26" ht="15.75" customHeight="1">
      <c r="A105" s="17"/>
      <c r="B105" s="18"/>
      <c r="C105" s="19"/>
      <c r="D105" s="55"/>
      <c r="E105" s="55"/>
      <c r="F105" s="56"/>
      <c r="G105" s="57" t="str">
        <f>IF(ISBLANK(C105),"",
   IFERROR(
      IF(
         INDEX(DB_materiali!C$2:C$5000,
               MATCH(C105, DB_materiali!A$2:A$5000, 0)
         )="FALSE",
         "N",
         "Y"
      ),
   "")
)</f>
        <v/>
      </c>
      <c r="H105" s="20"/>
      <c r="I105" s="20"/>
      <c r="J105" s="20"/>
      <c r="K105" s="20"/>
      <c r="M105" s="2" t="str">
        <f>IF(ISBLANK(C105),"",IF(IFERROR(VLOOKUP(C105,DB_materiali!$A$2:$A$5000,1,FALSE),"Kļūda artikulā")=C105,"✔",tulkojums!A$42))</f>
        <v/>
      </c>
      <c r="N105" s="2" t="str">
        <f>IF(ISBLANK(C105),"",IF(ISNUMBER(F105)=TRUE,"✔",tulkojums!A$43))</f>
        <v/>
      </c>
      <c r="O105" s="2" t="str">
        <f>IF(ISBLANK(C105),"",IF(G105="Y","✔",IF(G105="X","✔",IF(G105="N","✔",tulkojums!A$44))))</f>
        <v/>
      </c>
      <c r="P105" s="2" t="str">
        <f>IF(ISBLANK(H105),"",IF(INDEX(DB_materiali!$E$2:$E$5000,MATCH($C105,DB_materiali!$A$2:$A$5000,0))&gt;=INDEX(DB_malas!$C$2:$C$5000,MATCH(H105,DB_malas!$A$2:$A$5000,0)),IF(INDEX(DB_materiali!$E$2:$E$5000,MATCH($C105,DB_materiali!$A$2:$A$5000,0))&lt;=INDEX(DB_malas!$D$2:$D$5000,MATCH(H105,DB_malas!$A$2:$A$5000,0)),IF(OR(INDEX(DB_materiali!$B$2:$B$5000,MATCH($C105,DB_materiali!$A$2:$A$5000,0))=INDEX(DB_malas!$B$2:$B$5000,MATCH(H105,DB_malas!$A$2:$A$5000,0)),$H105="ORG"),"✔",tulkojums!$A$38),tulkojums!$A$39),tulkojums!$A$39))</f>
        <v/>
      </c>
      <c r="Q105" s="2" t="str">
        <f>IF(ISBLANK(I105),"",IF(INDEX(DB_materiali!$E$2:$E$5000,MATCH($C105,DB_materiali!$A$2:$A$5000,0))&gt;=INDEX(DB_malas!$C$2:$C$5000,MATCH(I105,DB_malas!$A$2:$A$5000,0)),IF(INDEX(DB_materiali!$E$2:$E$5000,MATCH($C105,DB_materiali!$A$2:$A$5000,0))&lt;=INDEX(DB_malas!$D$2:$D$5000,MATCH(I105,DB_malas!$A$2:$A$5000,0)),IF(OR(INDEX(DB_materiali!$B$2:$B$5000,MATCH($C105,DB_materiali!$A$2:$A$5000,0))=INDEX(DB_malas!$B$2:$B$5000,MATCH(I105,DB_malas!$A$2:$A$5000,0)),$H105="ORG"),"✔",tulkojums!$A$38),tulkojums!$A$39),tulkojums!$A$39))</f>
        <v/>
      </c>
      <c r="R105" s="2" t="str">
        <f>IF(ISBLANK(J105),"",IF(INDEX(DB_materiali!$E$2:$E$5000,MATCH($C105,DB_materiali!$A$2:$A$5000,0))&gt;=INDEX(DB_malas!$C$2:$C$5000,MATCH(J105,DB_malas!$A$2:$A$5000,0)),IF(INDEX(DB_materiali!$E$2:$E$5000,MATCH($C105,DB_materiali!$A$2:$A$5000,0))&lt;=INDEX(DB_malas!$D$2:$D$5000,MATCH(J105,DB_malas!$A$2:$A$5000,0)),IF(INDEX(DB_materiali!$B$2:$B$5000,MATCH($C105,DB_materiali!$A$2:$A$5000,0))=INDEX(DB_malas!$B$2:$B$5000,MATCH(J105,DB_malas!$A$2:$A$5000,0)),"✔",tulkojums!$A$38),tulkojums!$A$39),tulkojums!$A$39))</f>
        <v/>
      </c>
      <c r="S105" s="2" t="str">
        <f>IF(ISBLANK(K105),"",IF(INDEX(DB_materiali!$E$2:$E$5000,MATCH($C105,DB_materiali!$A$2:$A$5000,0))&gt;=INDEX(DB_malas!$C$2:$C$5000,MATCH(K105,DB_malas!$A$2:$A$5000,0)),IF(INDEX(DB_materiali!$E$2:$E$5000,MATCH($C105,DB_materiali!$A$2:$A$5000,0))&lt;=INDEX(DB_malas!$D$2:$D$5000,MATCH(K105,DB_malas!$A$2:$A$5000,0)),IF(INDEX(DB_materiali!$B$2:$B$5000,MATCH($C105,DB_materiali!$A$2:$A$5000,0))=INDEX(DB_malas!$B$2:$B$5000,MATCH(K105,DB_malas!$A$2:$A$5000,0)),"✔",tulkojums!$A$38),tulkojums!$A$39),tulkojums!$A$39))</f>
        <v/>
      </c>
      <c r="T105" s="2"/>
      <c r="U105" s="2"/>
      <c r="V105" s="2"/>
      <c r="W105" s="2"/>
      <c r="X105" s="2"/>
      <c r="Y105" s="2"/>
      <c r="Z105" s="2"/>
    </row>
    <row r="106" spans="1:26" ht="15.75" customHeight="1">
      <c r="A106" s="17"/>
      <c r="B106" s="18"/>
      <c r="C106" s="19"/>
      <c r="D106" s="55"/>
      <c r="E106" s="55"/>
      <c r="F106" s="56"/>
      <c r="G106" s="57" t="str">
        <f>IF(ISBLANK(C106),"",
   IFERROR(
      IF(
         INDEX(DB_materiali!C$2:C$5000,
               MATCH(C106, DB_materiali!A$2:A$5000, 0)
         )="FALSE",
         "N",
         "Y"
      ),
   "")
)</f>
        <v/>
      </c>
      <c r="H106" s="20"/>
      <c r="I106" s="20"/>
      <c r="J106" s="20"/>
      <c r="K106" s="20"/>
      <c r="M106" s="2" t="str">
        <f>IF(ISBLANK(C106),"",IF(IFERROR(VLOOKUP(C106,DB_materiali!$A$2:$A$5000,1,FALSE),"Kļūda artikulā")=C106,"✔",tulkojums!A$42))</f>
        <v/>
      </c>
      <c r="N106" s="2" t="str">
        <f>IF(ISBLANK(C106),"",IF(ISNUMBER(F106)=TRUE,"✔",tulkojums!A$43))</f>
        <v/>
      </c>
      <c r="O106" s="2" t="str">
        <f>IF(ISBLANK(C106),"",IF(G106="Y","✔",IF(G106="X","✔",IF(G106="N","✔",tulkojums!A$44))))</f>
        <v/>
      </c>
      <c r="P106" s="2" t="str">
        <f>IF(ISBLANK(H106),"",IF(INDEX(DB_materiali!$E$2:$E$5000,MATCH($C106,DB_materiali!$A$2:$A$5000,0))&gt;=INDEX(DB_malas!$C$2:$C$5000,MATCH(H106,DB_malas!$A$2:$A$5000,0)),IF(INDEX(DB_materiali!$E$2:$E$5000,MATCH($C106,DB_materiali!$A$2:$A$5000,0))&lt;=INDEX(DB_malas!$D$2:$D$5000,MATCH(H106,DB_malas!$A$2:$A$5000,0)),IF(OR(INDEX(DB_materiali!$B$2:$B$5000,MATCH($C106,DB_materiali!$A$2:$A$5000,0))=INDEX(DB_malas!$B$2:$B$5000,MATCH(H106,DB_malas!$A$2:$A$5000,0)),$H106="ORG"),"✔",tulkojums!$A$38),tulkojums!$A$39),tulkojums!$A$39))</f>
        <v/>
      </c>
      <c r="Q106" s="2" t="str">
        <f>IF(ISBLANK(I106),"",IF(INDEX(DB_materiali!$E$2:$E$5000,MATCH($C106,DB_materiali!$A$2:$A$5000,0))&gt;=INDEX(DB_malas!$C$2:$C$5000,MATCH(I106,DB_malas!$A$2:$A$5000,0)),IF(INDEX(DB_materiali!$E$2:$E$5000,MATCH($C106,DB_materiali!$A$2:$A$5000,0))&lt;=INDEX(DB_malas!$D$2:$D$5000,MATCH(I106,DB_malas!$A$2:$A$5000,0)),IF(OR(INDEX(DB_materiali!$B$2:$B$5000,MATCH($C106,DB_materiali!$A$2:$A$5000,0))=INDEX(DB_malas!$B$2:$B$5000,MATCH(I106,DB_malas!$A$2:$A$5000,0)),$H106="ORG"),"✔",tulkojums!$A$38),tulkojums!$A$39),tulkojums!$A$39))</f>
        <v/>
      </c>
      <c r="R106" s="2" t="str">
        <f>IF(ISBLANK(J106),"",IF(INDEX(DB_materiali!$E$2:$E$5000,MATCH($C106,DB_materiali!$A$2:$A$5000,0))&gt;=INDEX(DB_malas!$C$2:$C$5000,MATCH(J106,DB_malas!$A$2:$A$5000,0)),IF(INDEX(DB_materiali!$E$2:$E$5000,MATCH($C106,DB_materiali!$A$2:$A$5000,0))&lt;=INDEX(DB_malas!$D$2:$D$5000,MATCH(J106,DB_malas!$A$2:$A$5000,0)),IF(INDEX(DB_materiali!$B$2:$B$5000,MATCH($C106,DB_materiali!$A$2:$A$5000,0))=INDEX(DB_malas!$B$2:$B$5000,MATCH(J106,DB_malas!$A$2:$A$5000,0)),"✔",tulkojums!$A$38),tulkojums!$A$39),tulkojums!$A$39))</f>
        <v/>
      </c>
      <c r="S106" s="2" t="str">
        <f>IF(ISBLANK(K106),"",IF(INDEX(DB_materiali!$E$2:$E$5000,MATCH($C106,DB_materiali!$A$2:$A$5000,0))&gt;=INDEX(DB_malas!$C$2:$C$5000,MATCH(K106,DB_malas!$A$2:$A$5000,0)),IF(INDEX(DB_materiali!$E$2:$E$5000,MATCH($C106,DB_materiali!$A$2:$A$5000,0))&lt;=INDEX(DB_malas!$D$2:$D$5000,MATCH(K106,DB_malas!$A$2:$A$5000,0)),IF(INDEX(DB_materiali!$B$2:$B$5000,MATCH($C106,DB_materiali!$A$2:$A$5000,0))=INDEX(DB_malas!$B$2:$B$5000,MATCH(K106,DB_malas!$A$2:$A$5000,0)),"✔",tulkojums!$A$38),tulkojums!$A$39),tulkojums!$A$39))</f>
        <v/>
      </c>
      <c r="T106" s="2"/>
      <c r="U106" s="2"/>
      <c r="V106" s="2"/>
      <c r="W106" s="2"/>
      <c r="X106" s="2"/>
      <c r="Y106" s="2"/>
      <c r="Z106" s="2"/>
    </row>
    <row r="107" spans="1:26" ht="15.75" customHeight="1">
      <c r="A107" s="17"/>
      <c r="B107" s="18"/>
      <c r="C107" s="19"/>
      <c r="D107" s="55"/>
      <c r="E107" s="55"/>
      <c r="F107" s="56"/>
      <c r="G107" s="57" t="str">
        <f>IF(ISBLANK(C107),"",
   IFERROR(
      IF(
         INDEX(DB_materiali!C$2:C$5000,
               MATCH(C107, DB_materiali!A$2:A$5000, 0)
         )="FALSE",
         "N",
         "Y"
      ),
   "")
)</f>
        <v/>
      </c>
      <c r="H107" s="20"/>
      <c r="I107" s="20"/>
      <c r="J107" s="20"/>
      <c r="K107" s="20"/>
      <c r="M107" s="2" t="str">
        <f>IF(ISBLANK(C107),"",IF(IFERROR(VLOOKUP(C107,DB_materiali!$A$2:$A$5000,1,FALSE),"Kļūda artikulā")=C107,"✔",tulkojums!A$42))</f>
        <v/>
      </c>
      <c r="N107" s="2" t="str">
        <f>IF(ISBLANK(C107),"",IF(ISNUMBER(F107)=TRUE,"✔",tulkojums!A$43))</f>
        <v/>
      </c>
      <c r="O107" s="2" t="str">
        <f>IF(ISBLANK(C107),"",IF(G107="Y","✔",IF(G107="X","✔",IF(G107="N","✔",tulkojums!A$44))))</f>
        <v/>
      </c>
      <c r="P107" s="2" t="str">
        <f>IF(ISBLANK(H107),"",IF(INDEX(DB_materiali!$E$2:$E$5000,MATCH($C107,DB_materiali!$A$2:$A$5000,0))&gt;=INDEX(DB_malas!$C$2:$C$5000,MATCH(H107,DB_malas!$A$2:$A$5000,0)),IF(INDEX(DB_materiali!$E$2:$E$5000,MATCH($C107,DB_materiali!$A$2:$A$5000,0))&lt;=INDEX(DB_malas!$D$2:$D$5000,MATCH(H107,DB_malas!$A$2:$A$5000,0)),IF(OR(INDEX(DB_materiali!$B$2:$B$5000,MATCH($C107,DB_materiali!$A$2:$A$5000,0))=INDEX(DB_malas!$B$2:$B$5000,MATCH(H107,DB_malas!$A$2:$A$5000,0)),$H107="ORG"),"✔",tulkojums!$A$38),tulkojums!$A$39),tulkojums!$A$39))</f>
        <v/>
      </c>
      <c r="Q107" s="2" t="str">
        <f>IF(ISBLANK(I107),"",IF(INDEX(DB_materiali!$E$2:$E$5000,MATCH($C107,DB_materiali!$A$2:$A$5000,0))&gt;=INDEX(DB_malas!$C$2:$C$5000,MATCH(I107,DB_malas!$A$2:$A$5000,0)),IF(INDEX(DB_materiali!$E$2:$E$5000,MATCH($C107,DB_materiali!$A$2:$A$5000,0))&lt;=INDEX(DB_malas!$D$2:$D$5000,MATCH(I107,DB_malas!$A$2:$A$5000,0)),IF(OR(INDEX(DB_materiali!$B$2:$B$5000,MATCH($C107,DB_materiali!$A$2:$A$5000,0))=INDEX(DB_malas!$B$2:$B$5000,MATCH(I107,DB_malas!$A$2:$A$5000,0)),$H107="ORG"),"✔",tulkojums!$A$38),tulkojums!$A$39),tulkojums!$A$39))</f>
        <v/>
      </c>
      <c r="R107" s="2" t="str">
        <f>IF(ISBLANK(J107),"",IF(INDEX(DB_materiali!$E$2:$E$5000,MATCH($C107,DB_materiali!$A$2:$A$5000,0))&gt;=INDEX(DB_malas!$C$2:$C$5000,MATCH(J107,DB_malas!$A$2:$A$5000,0)),IF(INDEX(DB_materiali!$E$2:$E$5000,MATCH($C107,DB_materiali!$A$2:$A$5000,0))&lt;=INDEX(DB_malas!$D$2:$D$5000,MATCH(J107,DB_malas!$A$2:$A$5000,0)),IF(INDEX(DB_materiali!$B$2:$B$5000,MATCH($C107,DB_materiali!$A$2:$A$5000,0))=INDEX(DB_malas!$B$2:$B$5000,MATCH(J107,DB_malas!$A$2:$A$5000,0)),"✔",tulkojums!$A$38),tulkojums!$A$39),tulkojums!$A$39))</f>
        <v/>
      </c>
      <c r="S107" s="2" t="str">
        <f>IF(ISBLANK(K107),"",IF(INDEX(DB_materiali!$E$2:$E$5000,MATCH($C107,DB_materiali!$A$2:$A$5000,0))&gt;=INDEX(DB_malas!$C$2:$C$5000,MATCH(K107,DB_malas!$A$2:$A$5000,0)),IF(INDEX(DB_materiali!$E$2:$E$5000,MATCH($C107,DB_materiali!$A$2:$A$5000,0))&lt;=INDEX(DB_malas!$D$2:$D$5000,MATCH(K107,DB_malas!$A$2:$A$5000,0)),IF(INDEX(DB_materiali!$B$2:$B$5000,MATCH($C107,DB_materiali!$A$2:$A$5000,0))=INDEX(DB_malas!$B$2:$B$5000,MATCH(K107,DB_malas!$A$2:$A$5000,0)),"✔",tulkojums!$A$38),tulkojums!$A$39),tulkojums!$A$39))</f>
        <v/>
      </c>
      <c r="T107" s="2"/>
      <c r="U107" s="2"/>
      <c r="V107" s="2"/>
      <c r="W107" s="2"/>
      <c r="X107" s="2"/>
      <c r="Y107" s="2"/>
      <c r="Z107" s="2"/>
    </row>
    <row r="108" spans="1:26" ht="15.75" customHeight="1">
      <c r="A108" s="17"/>
      <c r="B108" s="18"/>
      <c r="C108" s="19"/>
      <c r="D108" s="55"/>
      <c r="E108" s="55"/>
      <c r="F108" s="56"/>
      <c r="G108" s="57" t="str">
        <f>IF(ISBLANK(C108),"",
   IFERROR(
      IF(
         INDEX(DB_materiali!C$2:C$5000,
               MATCH(C108, DB_materiali!A$2:A$5000, 0)
         )="FALSE",
         "N",
         "Y"
      ),
   "")
)</f>
        <v/>
      </c>
      <c r="H108" s="20"/>
      <c r="I108" s="20"/>
      <c r="J108" s="20"/>
      <c r="K108" s="20"/>
      <c r="M108" s="2" t="str">
        <f>IF(ISBLANK(C108),"",IF(IFERROR(VLOOKUP(C108,DB_materiali!$A$2:$A$5000,1,FALSE),"Kļūda artikulā")=C108,"✔",tulkojums!A$42))</f>
        <v/>
      </c>
      <c r="N108" s="2" t="str">
        <f>IF(ISBLANK(C108),"",IF(ISNUMBER(F108)=TRUE,"✔",tulkojums!A$43))</f>
        <v/>
      </c>
      <c r="O108" s="2" t="str">
        <f>IF(ISBLANK(C108),"",IF(G108="Y","✔",IF(G108="X","✔",IF(G108="N","✔",tulkojums!A$44))))</f>
        <v/>
      </c>
      <c r="P108" s="2" t="str">
        <f>IF(ISBLANK(H108),"",IF(INDEX(DB_materiali!$E$2:$E$5000,MATCH($C108,DB_materiali!$A$2:$A$5000,0))&gt;=INDEX(DB_malas!$C$2:$C$5000,MATCH(H108,DB_malas!$A$2:$A$5000,0)),IF(INDEX(DB_materiali!$E$2:$E$5000,MATCH($C108,DB_materiali!$A$2:$A$5000,0))&lt;=INDEX(DB_malas!$D$2:$D$5000,MATCH(H108,DB_malas!$A$2:$A$5000,0)),IF(OR(INDEX(DB_materiali!$B$2:$B$5000,MATCH($C108,DB_materiali!$A$2:$A$5000,0))=INDEX(DB_malas!$B$2:$B$5000,MATCH(H108,DB_malas!$A$2:$A$5000,0)),$H108="ORG"),"✔",tulkojums!$A$38),tulkojums!$A$39),tulkojums!$A$39))</f>
        <v/>
      </c>
      <c r="Q108" s="2" t="str">
        <f>IF(ISBLANK(I108),"",IF(INDEX(DB_materiali!$E$2:$E$5000,MATCH($C108,DB_materiali!$A$2:$A$5000,0))&gt;=INDEX(DB_malas!$C$2:$C$5000,MATCH(I108,DB_malas!$A$2:$A$5000,0)),IF(INDEX(DB_materiali!$E$2:$E$5000,MATCH($C108,DB_materiali!$A$2:$A$5000,0))&lt;=INDEX(DB_malas!$D$2:$D$5000,MATCH(I108,DB_malas!$A$2:$A$5000,0)),IF(OR(INDEX(DB_materiali!$B$2:$B$5000,MATCH($C108,DB_materiali!$A$2:$A$5000,0))=INDEX(DB_malas!$B$2:$B$5000,MATCH(I108,DB_malas!$A$2:$A$5000,0)),$H108="ORG"),"✔",tulkojums!$A$38),tulkojums!$A$39),tulkojums!$A$39))</f>
        <v/>
      </c>
      <c r="R108" s="2" t="str">
        <f>IF(ISBLANK(J108),"",IF(INDEX(DB_materiali!$E$2:$E$5000,MATCH($C108,DB_materiali!$A$2:$A$5000,0))&gt;=INDEX(DB_malas!$C$2:$C$5000,MATCH(J108,DB_malas!$A$2:$A$5000,0)),IF(INDEX(DB_materiali!$E$2:$E$5000,MATCH($C108,DB_materiali!$A$2:$A$5000,0))&lt;=INDEX(DB_malas!$D$2:$D$5000,MATCH(J108,DB_malas!$A$2:$A$5000,0)),IF(INDEX(DB_materiali!$B$2:$B$5000,MATCH($C108,DB_materiali!$A$2:$A$5000,0))=INDEX(DB_malas!$B$2:$B$5000,MATCH(J108,DB_malas!$A$2:$A$5000,0)),"✔",tulkojums!$A$38),tulkojums!$A$39),tulkojums!$A$39))</f>
        <v/>
      </c>
      <c r="S108" s="2" t="str">
        <f>IF(ISBLANK(K108),"",IF(INDEX(DB_materiali!$E$2:$E$5000,MATCH($C108,DB_materiali!$A$2:$A$5000,0))&gt;=INDEX(DB_malas!$C$2:$C$5000,MATCH(K108,DB_malas!$A$2:$A$5000,0)),IF(INDEX(DB_materiali!$E$2:$E$5000,MATCH($C108,DB_materiali!$A$2:$A$5000,0))&lt;=INDEX(DB_malas!$D$2:$D$5000,MATCH(K108,DB_malas!$A$2:$A$5000,0)),IF(INDEX(DB_materiali!$B$2:$B$5000,MATCH($C108,DB_materiali!$A$2:$A$5000,0))=INDEX(DB_malas!$B$2:$B$5000,MATCH(K108,DB_malas!$A$2:$A$5000,0)),"✔",tulkojums!$A$38),tulkojums!$A$39),tulkojums!$A$39))</f>
        <v/>
      </c>
      <c r="T108" s="2"/>
      <c r="U108" s="2"/>
      <c r="V108" s="2"/>
      <c r="W108" s="2"/>
      <c r="X108" s="2"/>
      <c r="Y108" s="2"/>
      <c r="Z108" s="2"/>
    </row>
    <row r="109" spans="1:26" ht="15.75" customHeight="1">
      <c r="A109" s="17"/>
      <c r="B109" s="18"/>
      <c r="C109" s="19"/>
      <c r="D109" s="55"/>
      <c r="E109" s="55"/>
      <c r="F109" s="56"/>
      <c r="G109" s="57" t="str">
        <f>IF(ISBLANK(C109),"",
   IFERROR(
      IF(
         INDEX(DB_materiali!C$2:C$5000,
               MATCH(C109, DB_materiali!A$2:A$5000, 0)
         )="FALSE",
         "N",
         "Y"
      ),
   "")
)</f>
        <v/>
      </c>
      <c r="H109" s="20"/>
      <c r="I109" s="20"/>
      <c r="J109" s="20"/>
      <c r="K109" s="20"/>
      <c r="M109" s="2" t="str">
        <f>IF(ISBLANK(C109),"",IF(IFERROR(VLOOKUP(C109,DB_materiali!$A$2:$A$5000,1,FALSE),"Kļūda artikulā")=C109,"✔",tulkojums!A$42))</f>
        <v/>
      </c>
      <c r="N109" s="2" t="str">
        <f>IF(ISBLANK(C109),"",IF(ISNUMBER(F109)=TRUE,"✔",tulkojums!A$43))</f>
        <v/>
      </c>
      <c r="O109" s="2" t="str">
        <f>IF(ISBLANK(C109),"",IF(G109="Y","✔",IF(G109="X","✔",IF(G109="N","✔",tulkojums!A$44))))</f>
        <v/>
      </c>
      <c r="P109" s="2" t="str">
        <f>IF(ISBLANK(H109),"",IF(INDEX(DB_materiali!$E$2:$E$5000,MATCH($C109,DB_materiali!$A$2:$A$5000,0))&gt;=INDEX(DB_malas!$C$2:$C$5000,MATCH(H109,DB_malas!$A$2:$A$5000,0)),IF(INDEX(DB_materiali!$E$2:$E$5000,MATCH($C109,DB_materiali!$A$2:$A$5000,0))&lt;=INDEX(DB_malas!$D$2:$D$5000,MATCH(H109,DB_malas!$A$2:$A$5000,0)),IF(OR(INDEX(DB_materiali!$B$2:$B$5000,MATCH($C109,DB_materiali!$A$2:$A$5000,0))=INDEX(DB_malas!$B$2:$B$5000,MATCH(H109,DB_malas!$A$2:$A$5000,0)),$H109="ORG"),"✔",tulkojums!$A$38),tulkojums!$A$39),tulkojums!$A$39))</f>
        <v/>
      </c>
      <c r="Q109" s="2" t="str">
        <f>IF(ISBLANK(I109),"",IF(INDEX(DB_materiali!$E$2:$E$5000,MATCH($C109,DB_materiali!$A$2:$A$5000,0))&gt;=INDEX(DB_malas!$C$2:$C$5000,MATCH(I109,DB_malas!$A$2:$A$5000,0)),IF(INDEX(DB_materiali!$E$2:$E$5000,MATCH($C109,DB_materiali!$A$2:$A$5000,0))&lt;=INDEX(DB_malas!$D$2:$D$5000,MATCH(I109,DB_malas!$A$2:$A$5000,0)),IF(OR(INDEX(DB_materiali!$B$2:$B$5000,MATCH($C109,DB_materiali!$A$2:$A$5000,0))=INDEX(DB_malas!$B$2:$B$5000,MATCH(I109,DB_malas!$A$2:$A$5000,0)),$H109="ORG"),"✔",tulkojums!$A$38),tulkojums!$A$39),tulkojums!$A$39))</f>
        <v/>
      </c>
      <c r="R109" s="2" t="str">
        <f>IF(ISBLANK(J109),"",IF(INDEX(DB_materiali!$E$2:$E$5000,MATCH($C109,DB_materiali!$A$2:$A$5000,0))&gt;=INDEX(DB_malas!$C$2:$C$5000,MATCH(J109,DB_malas!$A$2:$A$5000,0)),IF(INDEX(DB_materiali!$E$2:$E$5000,MATCH($C109,DB_materiali!$A$2:$A$5000,0))&lt;=INDEX(DB_malas!$D$2:$D$5000,MATCH(J109,DB_malas!$A$2:$A$5000,0)),IF(INDEX(DB_materiali!$B$2:$B$5000,MATCH($C109,DB_materiali!$A$2:$A$5000,0))=INDEX(DB_malas!$B$2:$B$5000,MATCH(J109,DB_malas!$A$2:$A$5000,0)),"✔",tulkojums!$A$38),tulkojums!$A$39),tulkojums!$A$39))</f>
        <v/>
      </c>
      <c r="S109" s="2" t="str">
        <f>IF(ISBLANK(K109),"",IF(INDEX(DB_materiali!$E$2:$E$5000,MATCH($C109,DB_materiali!$A$2:$A$5000,0))&gt;=INDEX(DB_malas!$C$2:$C$5000,MATCH(K109,DB_malas!$A$2:$A$5000,0)),IF(INDEX(DB_materiali!$E$2:$E$5000,MATCH($C109,DB_materiali!$A$2:$A$5000,0))&lt;=INDEX(DB_malas!$D$2:$D$5000,MATCH(K109,DB_malas!$A$2:$A$5000,0)),IF(INDEX(DB_materiali!$B$2:$B$5000,MATCH($C109,DB_materiali!$A$2:$A$5000,0))=INDEX(DB_malas!$B$2:$B$5000,MATCH(K109,DB_malas!$A$2:$A$5000,0)),"✔",tulkojums!$A$38),tulkojums!$A$39),tulkojums!$A$39))</f>
        <v/>
      </c>
      <c r="T109" s="2"/>
      <c r="U109" s="2"/>
      <c r="V109" s="2"/>
      <c r="W109" s="2"/>
      <c r="X109" s="2"/>
      <c r="Y109" s="2"/>
      <c r="Z109" s="2"/>
    </row>
    <row r="110" spans="1:26" ht="15.75" customHeight="1">
      <c r="A110" s="17"/>
      <c r="B110" s="18"/>
      <c r="C110" s="19"/>
      <c r="D110" s="55"/>
      <c r="E110" s="55"/>
      <c r="F110" s="56"/>
      <c r="G110" s="57" t="str">
        <f>IF(ISBLANK(C110),"",
   IFERROR(
      IF(
         INDEX(DB_materiali!C$2:C$5000,
               MATCH(C110, DB_materiali!A$2:A$5000, 0)
         )="FALSE",
         "N",
         "Y"
      ),
   "")
)</f>
        <v/>
      </c>
      <c r="H110" s="20"/>
      <c r="I110" s="20"/>
      <c r="J110" s="20"/>
      <c r="K110" s="20"/>
      <c r="M110" s="2" t="str">
        <f>IF(ISBLANK(C110),"",IF(IFERROR(VLOOKUP(C110,DB_materiali!$A$2:$A$5000,1,FALSE),"Kļūda artikulā")=C110,"✔",tulkojums!A$42))</f>
        <v/>
      </c>
      <c r="N110" s="2" t="str">
        <f>IF(ISBLANK(C110),"",IF(ISNUMBER(F110)=TRUE,"✔",tulkojums!A$43))</f>
        <v/>
      </c>
      <c r="O110" s="2" t="str">
        <f>IF(ISBLANK(C110),"",IF(G110="Y","✔",IF(G110="X","✔",IF(G110="N","✔",tulkojums!A$44))))</f>
        <v/>
      </c>
      <c r="P110" s="2" t="str">
        <f>IF(ISBLANK(H110),"",IF(INDEX(DB_materiali!$E$2:$E$5000,MATCH($C110,DB_materiali!$A$2:$A$5000,0))&gt;=INDEX(DB_malas!$C$2:$C$5000,MATCH(H110,DB_malas!$A$2:$A$5000,0)),IF(INDEX(DB_materiali!$E$2:$E$5000,MATCH($C110,DB_materiali!$A$2:$A$5000,0))&lt;=INDEX(DB_malas!$D$2:$D$5000,MATCH(H110,DB_malas!$A$2:$A$5000,0)),IF(OR(INDEX(DB_materiali!$B$2:$B$5000,MATCH($C110,DB_materiali!$A$2:$A$5000,0))=INDEX(DB_malas!$B$2:$B$5000,MATCH(H110,DB_malas!$A$2:$A$5000,0)),$H110="ORG"),"✔",tulkojums!$A$38),tulkojums!$A$39),tulkojums!$A$39))</f>
        <v/>
      </c>
      <c r="Q110" s="2" t="str">
        <f>IF(ISBLANK(I110),"",IF(INDEX(DB_materiali!$E$2:$E$5000,MATCH($C110,DB_materiali!$A$2:$A$5000,0))&gt;=INDEX(DB_malas!$C$2:$C$5000,MATCH(I110,DB_malas!$A$2:$A$5000,0)),IF(INDEX(DB_materiali!$E$2:$E$5000,MATCH($C110,DB_materiali!$A$2:$A$5000,0))&lt;=INDEX(DB_malas!$D$2:$D$5000,MATCH(I110,DB_malas!$A$2:$A$5000,0)),IF(OR(INDEX(DB_materiali!$B$2:$B$5000,MATCH($C110,DB_materiali!$A$2:$A$5000,0))=INDEX(DB_malas!$B$2:$B$5000,MATCH(I110,DB_malas!$A$2:$A$5000,0)),$H110="ORG"),"✔",tulkojums!$A$38),tulkojums!$A$39),tulkojums!$A$39))</f>
        <v/>
      </c>
      <c r="R110" s="2" t="str">
        <f>IF(ISBLANK(J110),"",IF(INDEX(DB_materiali!$E$2:$E$5000,MATCH($C110,DB_materiali!$A$2:$A$5000,0))&gt;=INDEX(DB_malas!$C$2:$C$5000,MATCH(J110,DB_malas!$A$2:$A$5000,0)),IF(INDEX(DB_materiali!$E$2:$E$5000,MATCH($C110,DB_materiali!$A$2:$A$5000,0))&lt;=INDEX(DB_malas!$D$2:$D$5000,MATCH(J110,DB_malas!$A$2:$A$5000,0)),IF(INDEX(DB_materiali!$B$2:$B$5000,MATCH($C110,DB_materiali!$A$2:$A$5000,0))=INDEX(DB_malas!$B$2:$B$5000,MATCH(J110,DB_malas!$A$2:$A$5000,0)),"✔",tulkojums!$A$38),tulkojums!$A$39),tulkojums!$A$39))</f>
        <v/>
      </c>
      <c r="S110" s="2" t="str">
        <f>IF(ISBLANK(K110),"",IF(INDEX(DB_materiali!$E$2:$E$5000,MATCH($C110,DB_materiali!$A$2:$A$5000,0))&gt;=INDEX(DB_malas!$C$2:$C$5000,MATCH(K110,DB_malas!$A$2:$A$5000,0)),IF(INDEX(DB_materiali!$E$2:$E$5000,MATCH($C110,DB_materiali!$A$2:$A$5000,0))&lt;=INDEX(DB_malas!$D$2:$D$5000,MATCH(K110,DB_malas!$A$2:$A$5000,0)),IF(INDEX(DB_materiali!$B$2:$B$5000,MATCH($C110,DB_materiali!$A$2:$A$5000,0))=INDEX(DB_malas!$B$2:$B$5000,MATCH(K110,DB_malas!$A$2:$A$5000,0)),"✔",tulkojums!$A$38),tulkojums!$A$39),tulkojums!$A$39))</f>
        <v/>
      </c>
      <c r="T110" s="2"/>
      <c r="U110" s="2"/>
      <c r="V110" s="2"/>
      <c r="W110" s="2"/>
      <c r="X110" s="2"/>
      <c r="Y110" s="2"/>
      <c r="Z110" s="2"/>
    </row>
    <row r="111" spans="1:26" ht="15.75" customHeight="1">
      <c r="A111" s="17"/>
      <c r="B111" s="18"/>
      <c r="C111" s="19"/>
      <c r="D111" s="55"/>
      <c r="E111" s="55"/>
      <c r="F111" s="56"/>
      <c r="G111" s="57" t="str">
        <f>IF(ISBLANK(C111),"",
   IFERROR(
      IF(
         INDEX(DB_materiali!C$2:C$5000,
               MATCH(C111, DB_materiali!A$2:A$5000, 0)
         )="FALSE",
         "N",
         "Y"
      ),
   "")
)</f>
        <v/>
      </c>
      <c r="H111" s="20"/>
      <c r="I111" s="20"/>
      <c r="J111" s="20"/>
      <c r="K111" s="20"/>
      <c r="M111" s="2" t="str">
        <f>IF(ISBLANK(C111),"",IF(IFERROR(VLOOKUP(C111,DB_materiali!$A$2:$A$5000,1,FALSE),"Kļūda artikulā")=C111,"✔",tulkojums!A$42))</f>
        <v/>
      </c>
      <c r="N111" s="2" t="str">
        <f>IF(ISBLANK(C111),"",IF(ISNUMBER(F111)=TRUE,"✔",tulkojums!A$43))</f>
        <v/>
      </c>
      <c r="O111" s="2" t="str">
        <f>IF(ISBLANK(C111),"",IF(G111="Y","✔",IF(G111="X","✔",IF(G111="N","✔",tulkojums!A$44))))</f>
        <v/>
      </c>
      <c r="P111" s="2" t="str">
        <f>IF(ISBLANK(H111),"",IF(INDEX(DB_materiali!$E$2:$E$5000,MATCH($C111,DB_materiali!$A$2:$A$5000,0))&gt;=INDEX(DB_malas!$C$2:$C$5000,MATCH(H111,DB_malas!$A$2:$A$5000,0)),IF(INDEX(DB_materiali!$E$2:$E$5000,MATCH($C111,DB_materiali!$A$2:$A$5000,0))&lt;=INDEX(DB_malas!$D$2:$D$5000,MATCH(H111,DB_malas!$A$2:$A$5000,0)),IF(OR(INDEX(DB_materiali!$B$2:$B$5000,MATCH($C111,DB_materiali!$A$2:$A$5000,0))=INDEX(DB_malas!$B$2:$B$5000,MATCH(H111,DB_malas!$A$2:$A$5000,0)),$H111="ORG"),"✔",tulkojums!$A$38),tulkojums!$A$39),tulkojums!$A$39))</f>
        <v/>
      </c>
      <c r="Q111" s="2" t="str">
        <f>IF(ISBLANK(I111),"",IF(INDEX(DB_materiali!$E$2:$E$5000,MATCH($C111,DB_materiali!$A$2:$A$5000,0))&gt;=INDEX(DB_malas!$C$2:$C$5000,MATCH(I111,DB_malas!$A$2:$A$5000,0)),IF(INDEX(DB_materiali!$E$2:$E$5000,MATCH($C111,DB_materiali!$A$2:$A$5000,0))&lt;=INDEX(DB_malas!$D$2:$D$5000,MATCH(I111,DB_malas!$A$2:$A$5000,0)),IF(OR(INDEX(DB_materiali!$B$2:$B$5000,MATCH($C111,DB_materiali!$A$2:$A$5000,0))=INDEX(DB_malas!$B$2:$B$5000,MATCH(I111,DB_malas!$A$2:$A$5000,0)),$H111="ORG"),"✔",tulkojums!$A$38),tulkojums!$A$39),tulkojums!$A$39))</f>
        <v/>
      </c>
      <c r="R111" s="2" t="str">
        <f>IF(ISBLANK(J111),"",IF(INDEX(DB_materiali!$E$2:$E$5000,MATCH($C111,DB_materiali!$A$2:$A$5000,0))&gt;=INDEX(DB_malas!$C$2:$C$5000,MATCH(J111,DB_malas!$A$2:$A$5000,0)),IF(INDEX(DB_materiali!$E$2:$E$5000,MATCH($C111,DB_materiali!$A$2:$A$5000,0))&lt;=INDEX(DB_malas!$D$2:$D$5000,MATCH(J111,DB_malas!$A$2:$A$5000,0)),IF(INDEX(DB_materiali!$B$2:$B$5000,MATCH($C111,DB_materiali!$A$2:$A$5000,0))=INDEX(DB_malas!$B$2:$B$5000,MATCH(J111,DB_malas!$A$2:$A$5000,0)),"✔",tulkojums!$A$38),tulkojums!$A$39),tulkojums!$A$39))</f>
        <v/>
      </c>
      <c r="S111" s="2" t="str">
        <f>IF(ISBLANK(K111),"",IF(INDEX(DB_materiali!$E$2:$E$5000,MATCH($C111,DB_materiali!$A$2:$A$5000,0))&gt;=INDEX(DB_malas!$C$2:$C$5000,MATCH(K111,DB_malas!$A$2:$A$5000,0)),IF(INDEX(DB_materiali!$E$2:$E$5000,MATCH($C111,DB_materiali!$A$2:$A$5000,0))&lt;=INDEX(DB_malas!$D$2:$D$5000,MATCH(K111,DB_malas!$A$2:$A$5000,0)),IF(INDEX(DB_materiali!$B$2:$B$5000,MATCH($C111,DB_materiali!$A$2:$A$5000,0))=INDEX(DB_malas!$B$2:$B$5000,MATCH(K111,DB_malas!$A$2:$A$5000,0)),"✔",tulkojums!$A$38),tulkojums!$A$39),tulkojums!$A$39))</f>
        <v/>
      </c>
      <c r="T111" s="2"/>
      <c r="U111" s="2"/>
      <c r="V111" s="2"/>
      <c r="W111" s="2"/>
      <c r="X111" s="2"/>
      <c r="Y111" s="2"/>
      <c r="Z111" s="2"/>
    </row>
    <row r="112" spans="1:26" ht="15.75" customHeight="1">
      <c r="A112" s="17"/>
      <c r="B112" s="18"/>
      <c r="C112" s="19"/>
      <c r="D112" s="55"/>
      <c r="E112" s="55"/>
      <c r="F112" s="56"/>
      <c r="G112" s="57" t="str">
        <f>IF(ISBLANK(C112),"",
   IFERROR(
      IF(
         INDEX(DB_materiali!C$2:C$5000,
               MATCH(C112, DB_materiali!A$2:A$5000, 0)
         )="FALSE",
         "N",
         "Y"
      ),
   "")
)</f>
        <v/>
      </c>
      <c r="H112" s="20"/>
      <c r="I112" s="20"/>
      <c r="J112" s="20"/>
      <c r="K112" s="20"/>
      <c r="M112" s="2" t="str">
        <f>IF(ISBLANK(C112),"",IF(IFERROR(VLOOKUP(C112,DB_materiali!$A$2:$A$5000,1,FALSE),"Kļūda artikulā")=C112,"✔",tulkojums!A$42))</f>
        <v/>
      </c>
      <c r="N112" s="2" t="str">
        <f>IF(ISBLANK(C112),"",IF(ISNUMBER(F112)=TRUE,"✔",tulkojums!A$43))</f>
        <v/>
      </c>
      <c r="O112" s="2" t="str">
        <f>IF(ISBLANK(C112),"",IF(G112="Y","✔",IF(G112="X","✔",IF(G112="N","✔",tulkojums!A$44))))</f>
        <v/>
      </c>
      <c r="P112" s="2" t="str">
        <f>IF(ISBLANK(H112),"",IF(INDEX(DB_materiali!$E$2:$E$5000,MATCH($C112,DB_materiali!$A$2:$A$5000,0))&gt;=INDEX(DB_malas!$C$2:$C$5000,MATCH(H112,DB_malas!$A$2:$A$5000,0)),IF(INDEX(DB_materiali!$E$2:$E$5000,MATCH($C112,DB_materiali!$A$2:$A$5000,0))&lt;=INDEX(DB_malas!$D$2:$D$5000,MATCH(H112,DB_malas!$A$2:$A$5000,0)),IF(OR(INDEX(DB_materiali!$B$2:$B$5000,MATCH($C112,DB_materiali!$A$2:$A$5000,0))=INDEX(DB_malas!$B$2:$B$5000,MATCH(H112,DB_malas!$A$2:$A$5000,0)),$H112="ORG"),"✔",tulkojums!$A$38),tulkojums!$A$39),tulkojums!$A$39))</f>
        <v/>
      </c>
      <c r="Q112" s="2" t="str">
        <f>IF(ISBLANK(I112),"",IF(INDEX(DB_materiali!$E$2:$E$5000,MATCH($C112,DB_materiali!$A$2:$A$5000,0))&gt;=INDEX(DB_malas!$C$2:$C$5000,MATCH(I112,DB_malas!$A$2:$A$5000,0)),IF(INDEX(DB_materiali!$E$2:$E$5000,MATCH($C112,DB_materiali!$A$2:$A$5000,0))&lt;=INDEX(DB_malas!$D$2:$D$5000,MATCH(I112,DB_malas!$A$2:$A$5000,0)),IF(OR(INDEX(DB_materiali!$B$2:$B$5000,MATCH($C112,DB_materiali!$A$2:$A$5000,0))=INDEX(DB_malas!$B$2:$B$5000,MATCH(I112,DB_malas!$A$2:$A$5000,0)),$H112="ORG"),"✔",tulkojums!$A$38),tulkojums!$A$39),tulkojums!$A$39))</f>
        <v/>
      </c>
      <c r="R112" s="2" t="str">
        <f>IF(ISBLANK(J112),"",IF(INDEX(DB_materiali!$E$2:$E$5000,MATCH($C112,DB_materiali!$A$2:$A$5000,0))&gt;=INDEX(DB_malas!$C$2:$C$5000,MATCH(J112,DB_malas!$A$2:$A$5000,0)),IF(INDEX(DB_materiali!$E$2:$E$5000,MATCH($C112,DB_materiali!$A$2:$A$5000,0))&lt;=INDEX(DB_malas!$D$2:$D$5000,MATCH(J112,DB_malas!$A$2:$A$5000,0)),IF(INDEX(DB_materiali!$B$2:$B$5000,MATCH($C112,DB_materiali!$A$2:$A$5000,0))=INDEX(DB_malas!$B$2:$B$5000,MATCH(J112,DB_malas!$A$2:$A$5000,0)),"✔",tulkojums!$A$38),tulkojums!$A$39),tulkojums!$A$39))</f>
        <v/>
      </c>
      <c r="S112" s="2" t="str">
        <f>IF(ISBLANK(K112),"",IF(INDEX(DB_materiali!$E$2:$E$5000,MATCH($C112,DB_materiali!$A$2:$A$5000,0))&gt;=INDEX(DB_malas!$C$2:$C$5000,MATCH(K112,DB_malas!$A$2:$A$5000,0)),IF(INDEX(DB_materiali!$E$2:$E$5000,MATCH($C112,DB_materiali!$A$2:$A$5000,0))&lt;=INDEX(DB_malas!$D$2:$D$5000,MATCH(K112,DB_malas!$A$2:$A$5000,0)),IF(INDEX(DB_materiali!$B$2:$B$5000,MATCH($C112,DB_materiali!$A$2:$A$5000,0))=INDEX(DB_malas!$B$2:$B$5000,MATCH(K112,DB_malas!$A$2:$A$5000,0)),"✔",tulkojums!$A$38),tulkojums!$A$39),tulkojums!$A$39))</f>
        <v/>
      </c>
      <c r="T112" s="2"/>
      <c r="U112" s="2"/>
      <c r="V112" s="2"/>
      <c r="W112" s="2"/>
      <c r="X112" s="2"/>
      <c r="Y112" s="2"/>
      <c r="Z112" s="2"/>
    </row>
    <row r="113" spans="1:26" ht="15.75" customHeight="1">
      <c r="A113" s="17"/>
      <c r="B113" s="18"/>
      <c r="C113" s="19"/>
      <c r="D113" s="55"/>
      <c r="E113" s="55"/>
      <c r="F113" s="56"/>
      <c r="G113" s="57" t="str">
        <f>IF(ISBLANK(C113),"",
   IFERROR(
      IF(
         INDEX(DB_materiali!C$2:C$5000,
               MATCH(C113, DB_materiali!A$2:A$5000, 0)
         )="FALSE",
         "N",
         "Y"
      ),
   "")
)</f>
        <v/>
      </c>
      <c r="H113" s="20"/>
      <c r="I113" s="20"/>
      <c r="J113" s="20"/>
      <c r="K113" s="20"/>
      <c r="M113" s="2" t="str">
        <f>IF(ISBLANK(C113),"",IF(IFERROR(VLOOKUP(C113,DB_materiali!$A$2:$A$5000,1,FALSE),"Kļūda artikulā")=C113,"✔",tulkojums!A$42))</f>
        <v/>
      </c>
      <c r="N113" s="2" t="str">
        <f>IF(ISBLANK(C113),"",IF(ISNUMBER(F113)=TRUE,"✔",tulkojums!A$43))</f>
        <v/>
      </c>
      <c r="O113" s="2" t="str">
        <f>IF(ISBLANK(C113),"",IF(G113="Y","✔",IF(G113="X","✔",IF(G113="N","✔",tulkojums!A$44))))</f>
        <v/>
      </c>
      <c r="P113" s="2" t="str">
        <f>IF(ISBLANK(H113),"",IF(INDEX(DB_materiali!$E$2:$E$5000,MATCH($C113,DB_materiali!$A$2:$A$5000,0))&gt;=INDEX(DB_malas!$C$2:$C$5000,MATCH(H113,DB_malas!$A$2:$A$5000,0)),IF(INDEX(DB_materiali!$E$2:$E$5000,MATCH($C113,DB_materiali!$A$2:$A$5000,0))&lt;=INDEX(DB_malas!$D$2:$D$5000,MATCH(H113,DB_malas!$A$2:$A$5000,0)),IF(OR(INDEX(DB_materiali!$B$2:$B$5000,MATCH($C113,DB_materiali!$A$2:$A$5000,0))=INDEX(DB_malas!$B$2:$B$5000,MATCH(H113,DB_malas!$A$2:$A$5000,0)),$H113="ORG"),"✔",tulkojums!$A$38),tulkojums!$A$39),tulkojums!$A$39))</f>
        <v/>
      </c>
      <c r="Q113" s="2" t="str">
        <f>IF(ISBLANK(I113),"",IF(INDEX(DB_materiali!$E$2:$E$5000,MATCH($C113,DB_materiali!$A$2:$A$5000,0))&gt;=INDEX(DB_malas!$C$2:$C$5000,MATCH(I113,DB_malas!$A$2:$A$5000,0)),IF(INDEX(DB_materiali!$E$2:$E$5000,MATCH($C113,DB_materiali!$A$2:$A$5000,0))&lt;=INDEX(DB_malas!$D$2:$D$5000,MATCH(I113,DB_malas!$A$2:$A$5000,0)),IF(OR(INDEX(DB_materiali!$B$2:$B$5000,MATCH($C113,DB_materiali!$A$2:$A$5000,0))=INDEX(DB_malas!$B$2:$B$5000,MATCH(I113,DB_malas!$A$2:$A$5000,0)),$H113="ORG"),"✔",tulkojums!$A$38),tulkojums!$A$39),tulkojums!$A$39))</f>
        <v/>
      </c>
      <c r="R113" s="2" t="str">
        <f>IF(ISBLANK(J113),"",IF(INDEX(DB_materiali!$E$2:$E$5000,MATCH($C113,DB_materiali!$A$2:$A$5000,0))&gt;=INDEX(DB_malas!$C$2:$C$5000,MATCH(J113,DB_malas!$A$2:$A$5000,0)),IF(INDEX(DB_materiali!$E$2:$E$5000,MATCH($C113,DB_materiali!$A$2:$A$5000,0))&lt;=INDEX(DB_malas!$D$2:$D$5000,MATCH(J113,DB_malas!$A$2:$A$5000,0)),IF(INDEX(DB_materiali!$B$2:$B$5000,MATCH($C113,DB_materiali!$A$2:$A$5000,0))=INDEX(DB_malas!$B$2:$B$5000,MATCH(J113,DB_malas!$A$2:$A$5000,0)),"✔",tulkojums!$A$38),tulkojums!$A$39),tulkojums!$A$39))</f>
        <v/>
      </c>
      <c r="S113" s="2" t="str">
        <f>IF(ISBLANK(K113),"",IF(INDEX(DB_materiali!$E$2:$E$5000,MATCH($C113,DB_materiali!$A$2:$A$5000,0))&gt;=INDEX(DB_malas!$C$2:$C$5000,MATCH(K113,DB_malas!$A$2:$A$5000,0)),IF(INDEX(DB_materiali!$E$2:$E$5000,MATCH($C113,DB_materiali!$A$2:$A$5000,0))&lt;=INDEX(DB_malas!$D$2:$D$5000,MATCH(K113,DB_malas!$A$2:$A$5000,0)),IF(INDEX(DB_materiali!$B$2:$B$5000,MATCH($C113,DB_materiali!$A$2:$A$5000,0))=INDEX(DB_malas!$B$2:$B$5000,MATCH(K113,DB_malas!$A$2:$A$5000,0)),"✔",tulkojums!$A$38),tulkojums!$A$39),tulkojums!$A$39))</f>
        <v/>
      </c>
      <c r="T113" s="2"/>
      <c r="U113" s="2"/>
      <c r="V113" s="2"/>
      <c r="W113" s="2"/>
      <c r="X113" s="2"/>
      <c r="Y113" s="2"/>
      <c r="Z113" s="2"/>
    </row>
    <row r="114" spans="1:26" ht="15.75" customHeight="1">
      <c r="A114" s="17"/>
      <c r="B114" s="18"/>
      <c r="C114" s="19"/>
      <c r="D114" s="55"/>
      <c r="E114" s="55"/>
      <c r="F114" s="56"/>
      <c r="G114" s="57" t="str">
        <f>IF(ISBLANK(C114),"",
   IFERROR(
      IF(
         INDEX(DB_materiali!C$2:C$5000,
               MATCH(C114, DB_materiali!A$2:A$5000, 0)
         )="FALSE",
         "N",
         "Y"
      ),
   "")
)</f>
        <v/>
      </c>
      <c r="H114" s="20"/>
      <c r="I114" s="20"/>
      <c r="J114" s="20"/>
      <c r="K114" s="20"/>
      <c r="M114" s="2" t="str">
        <f>IF(ISBLANK(C114),"",IF(IFERROR(VLOOKUP(C114,DB_materiali!$A$2:$A$5000,1,FALSE),"Kļūda artikulā")=C114,"✔",tulkojums!A$42))</f>
        <v/>
      </c>
      <c r="N114" s="2" t="str">
        <f>IF(ISBLANK(C114),"",IF(ISNUMBER(F114)=TRUE,"✔",tulkojums!A$43))</f>
        <v/>
      </c>
      <c r="O114" s="2" t="str">
        <f>IF(ISBLANK(C114),"",IF(G114="Y","✔",IF(G114="X","✔",IF(G114="N","✔",tulkojums!A$44))))</f>
        <v/>
      </c>
      <c r="P114" s="2" t="str">
        <f>IF(ISBLANK(H114),"",IF(INDEX(DB_materiali!$E$2:$E$5000,MATCH($C114,DB_materiali!$A$2:$A$5000,0))&gt;=INDEX(DB_malas!$C$2:$C$5000,MATCH(H114,DB_malas!$A$2:$A$5000,0)),IF(INDEX(DB_materiali!$E$2:$E$5000,MATCH($C114,DB_materiali!$A$2:$A$5000,0))&lt;=INDEX(DB_malas!$D$2:$D$5000,MATCH(H114,DB_malas!$A$2:$A$5000,0)),IF(OR(INDEX(DB_materiali!$B$2:$B$5000,MATCH($C114,DB_materiali!$A$2:$A$5000,0))=INDEX(DB_malas!$B$2:$B$5000,MATCH(H114,DB_malas!$A$2:$A$5000,0)),$H114="ORG"),"✔",tulkojums!$A$38),tulkojums!$A$39),tulkojums!$A$39))</f>
        <v/>
      </c>
      <c r="Q114" s="2" t="str">
        <f>IF(ISBLANK(I114),"",IF(INDEX(DB_materiali!$E$2:$E$5000,MATCH($C114,DB_materiali!$A$2:$A$5000,0))&gt;=INDEX(DB_malas!$C$2:$C$5000,MATCH(I114,DB_malas!$A$2:$A$5000,0)),IF(INDEX(DB_materiali!$E$2:$E$5000,MATCH($C114,DB_materiali!$A$2:$A$5000,0))&lt;=INDEX(DB_malas!$D$2:$D$5000,MATCH(I114,DB_malas!$A$2:$A$5000,0)),IF(OR(INDEX(DB_materiali!$B$2:$B$5000,MATCH($C114,DB_materiali!$A$2:$A$5000,0))=INDEX(DB_malas!$B$2:$B$5000,MATCH(I114,DB_malas!$A$2:$A$5000,0)),$H114="ORG"),"✔",tulkojums!$A$38),tulkojums!$A$39),tulkojums!$A$39))</f>
        <v/>
      </c>
      <c r="R114" s="2" t="str">
        <f>IF(ISBLANK(J114),"",IF(INDEX(DB_materiali!$E$2:$E$5000,MATCH($C114,DB_materiali!$A$2:$A$5000,0))&gt;=INDEX(DB_malas!$C$2:$C$5000,MATCH(J114,DB_malas!$A$2:$A$5000,0)),IF(INDEX(DB_materiali!$E$2:$E$5000,MATCH($C114,DB_materiali!$A$2:$A$5000,0))&lt;=INDEX(DB_malas!$D$2:$D$5000,MATCH(J114,DB_malas!$A$2:$A$5000,0)),IF(INDEX(DB_materiali!$B$2:$B$5000,MATCH($C114,DB_materiali!$A$2:$A$5000,0))=INDEX(DB_malas!$B$2:$B$5000,MATCH(J114,DB_malas!$A$2:$A$5000,0)),"✔",tulkojums!$A$38),tulkojums!$A$39),tulkojums!$A$39))</f>
        <v/>
      </c>
      <c r="S114" s="2" t="str">
        <f>IF(ISBLANK(K114),"",IF(INDEX(DB_materiali!$E$2:$E$5000,MATCH($C114,DB_materiali!$A$2:$A$5000,0))&gt;=INDEX(DB_malas!$C$2:$C$5000,MATCH(K114,DB_malas!$A$2:$A$5000,0)),IF(INDEX(DB_materiali!$E$2:$E$5000,MATCH($C114,DB_materiali!$A$2:$A$5000,0))&lt;=INDEX(DB_malas!$D$2:$D$5000,MATCH(K114,DB_malas!$A$2:$A$5000,0)),IF(INDEX(DB_materiali!$B$2:$B$5000,MATCH($C114,DB_materiali!$A$2:$A$5000,0))=INDEX(DB_malas!$B$2:$B$5000,MATCH(K114,DB_malas!$A$2:$A$5000,0)),"✔",tulkojums!$A$38),tulkojums!$A$39),tulkojums!$A$39))</f>
        <v/>
      </c>
      <c r="T114" s="2"/>
      <c r="U114" s="2"/>
      <c r="V114" s="2"/>
      <c r="W114" s="2"/>
      <c r="X114" s="2"/>
      <c r="Y114" s="2"/>
      <c r="Z114" s="2"/>
    </row>
    <row r="115" spans="1:26" ht="15.75" customHeight="1">
      <c r="A115" s="17"/>
      <c r="B115" s="18"/>
      <c r="C115" s="19"/>
      <c r="D115" s="55"/>
      <c r="E115" s="55"/>
      <c r="F115" s="56"/>
      <c r="G115" s="57" t="str">
        <f>IF(ISBLANK(C115),"",
   IFERROR(
      IF(
         INDEX(DB_materiali!C$2:C$5000,
               MATCH(C115, DB_materiali!A$2:A$5000, 0)
         )="FALSE",
         "N",
         "Y"
      ),
   "")
)</f>
        <v/>
      </c>
      <c r="H115" s="20"/>
      <c r="I115" s="20"/>
      <c r="J115" s="20"/>
      <c r="K115" s="20"/>
      <c r="M115" s="2" t="str">
        <f>IF(ISBLANK(C115),"",IF(IFERROR(VLOOKUP(C115,DB_materiali!$A$2:$A$5000,1,FALSE),"Kļūda artikulā")=C115,"✔",tulkojums!A$42))</f>
        <v/>
      </c>
      <c r="N115" s="2" t="str">
        <f>IF(ISBLANK(C115),"",IF(ISNUMBER(F115)=TRUE,"✔",tulkojums!A$43))</f>
        <v/>
      </c>
      <c r="O115" s="2" t="str">
        <f>IF(ISBLANK(C115),"",IF(G115="Y","✔",IF(G115="X","✔",IF(G115="N","✔",tulkojums!A$44))))</f>
        <v/>
      </c>
      <c r="P115" s="2" t="str">
        <f>IF(ISBLANK(H115),"",IF(INDEX(DB_materiali!$E$2:$E$5000,MATCH($C115,DB_materiali!$A$2:$A$5000,0))&gt;=INDEX(DB_malas!$C$2:$C$5000,MATCH(H115,DB_malas!$A$2:$A$5000,0)),IF(INDEX(DB_materiali!$E$2:$E$5000,MATCH($C115,DB_materiali!$A$2:$A$5000,0))&lt;=INDEX(DB_malas!$D$2:$D$5000,MATCH(H115,DB_malas!$A$2:$A$5000,0)),IF(OR(INDEX(DB_materiali!$B$2:$B$5000,MATCH($C115,DB_materiali!$A$2:$A$5000,0))=INDEX(DB_malas!$B$2:$B$5000,MATCH(H115,DB_malas!$A$2:$A$5000,0)),$H115="ORG"),"✔",tulkojums!$A$38),tulkojums!$A$39),tulkojums!$A$39))</f>
        <v/>
      </c>
      <c r="Q115" s="2" t="str">
        <f>IF(ISBLANK(I115),"",IF(INDEX(DB_materiali!$E$2:$E$5000,MATCH($C115,DB_materiali!$A$2:$A$5000,0))&gt;=INDEX(DB_malas!$C$2:$C$5000,MATCH(I115,DB_malas!$A$2:$A$5000,0)),IF(INDEX(DB_materiali!$E$2:$E$5000,MATCH($C115,DB_materiali!$A$2:$A$5000,0))&lt;=INDEX(DB_malas!$D$2:$D$5000,MATCH(I115,DB_malas!$A$2:$A$5000,0)),IF(OR(INDEX(DB_materiali!$B$2:$B$5000,MATCH($C115,DB_materiali!$A$2:$A$5000,0))=INDEX(DB_malas!$B$2:$B$5000,MATCH(I115,DB_malas!$A$2:$A$5000,0)),$H115="ORG"),"✔",tulkojums!$A$38),tulkojums!$A$39),tulkojums!$A$39))</f>
        <v/>
      </c>
      <c r="R115" s="2" t="str">
        <f>IF(ISBLANK(J115),"",IF(INDEX(DB_materiali!$E$2:$E$5000,MATCH($C115,DB_materiali!$A$2:$A$5000,0))&gt;=INDEX(DB_malas!$C$2:$C$5000,MATCH(J115,DB_malas!$A$2:$A$5000,0)),IF(INDEX(DB_materiali!$E$2:$E$5000,MATCH($C115,DB_materiali!$A$2:$A$5000,0))&lt;=INDEX(DB_malas!$D$2:$D$5000,MATCH(J115,DB_malas!$A$2:$A$5000,0)),IF(INDEX(DB_materiali!$B$2:$B$5000,MATCH($C115,DB_materiali!$A$2:$A$5000,0))=INDEX(DB_malas!$B$2:$B$5000,MATCH(J115,DB_malas!$A$2:$A$5000,0)),"✔",tulkojums!$A$38),tulkojums!$A$39),tulkojums!$A$39))</f>
        <v/>
      </c>
      <c r="S115" s="2" t="str">
        <f>IF(ISBLANK(K115),"",IF(INDEX(DB_materiali!$E$2:$E$5000,MATCH($C115,DB_materiali!$A$2:$A$5000,0))&gt;=INDEX(DB_malas!$C$2:$C$5000,MATCH(K115,DB_malas!$A$2:$A$5000,0)),IF(INDEX(DB_materiali!$E$2:$E$5000,MATCH($C115,DB_materiali!$A$2:$A$5000,0))&lt;=INDEX(DB_malas!$D$2:$D$5000,MATCH(K115,DB_malas!$A$2:$A$5000,0)),IF(INDEX(DB_materiali!$B$2:$B$5000,MATCH($C115,DB_materiali!$A$2:$A$5000,0))=INDEX(DB_malas!$B$2:$B$5000,MATCH(K115,DB_malas!$A$2:$A$5000,0)),"✔",tulkojums!$A$38),tulkojums!$A$39),tulkojums!$A$39))</f>
        <v/>
      </c>
      <c r="T115" s="2"/>
      <c r="U115" s="2"/>
      <c r="V115" s="2"/>
      <c r="W115" s="2"/>
      <c r="X115" s="2"/>
      <c r="Y115" s="2"/>
      <c r="Z115" s="2"/>
    </row>
    <row r="116" spans="1:26" ht="15.75" customHeight="1">
      <c r="A116" s="17"/>
      <c r="B116" s="18"/>
      <c r="C116" s="19"/>
      <c r="D116" s="55"/>
      <c r="E116" s="55"/>
      <c r="F116" s="56"/>
      <c r="G116" s="57" t="str">
        <f>IF(ISBLANK(C116),"",
   IFERROR(
      IF(
         INDEX(DB_materiali!C$2:C$5000,
               MATCH(C116, DB_materiali!A$2:A$5000, 0)
         )="FALSE",
         "N",
         "Y"
      ),
   "")
)</f>
        <v/>
      </c>
      <c r="H116" s="20"/>
      <c r="I116" s="20"/>
      <c r="J116" s="20"/>
      <c r="K116" s="20"/>
      <c r="M116" s="2" t="str">
        <f>IF(ISBLANK(C116),"",IF(IFERROR(VLOOKUP(C116,DB_materiali!$A$2:$A$5000,1,FALSE),"Kļūda artikulā")=C116,"✔",tulkojums!A$42))</f>
        <v/>
      </c>
      <c r="N116" s="2" t="str">
        <f>IF(ISBLANK(C116),"",IF(ISNUMBER(F116)=TRUE,"✔",tulkojums!A$43))</f>
        <v/>
      </c>
      <c r="O116" s="2" t="str">
        <f>IF(ISBLANK(C116),"",IF(G116="Y","✔",IF(G116="X","✔",IF(G116="N","✔",tulkojums!A$44))))</f>
        <v/>
      </c>
      <c r="P116" s="2" t="str">
        <f>IF(ISBLANK(H116),"",IF(INDEX(DB_materiali!$E$2:$E$5000,MATCH($C116,DB_materiali!$A$2:$A$5000,0))&gt;=INDEX(DB_malas!$C$2:$C$5000,MATCH(H116,DB_malas!$A$2:$A$5000,0)),IF(INDEX(DB_materiali!$E$2:$E$5000,MATCH($C116,DB_materiali!$A$2:$A$5000,0))&lt;=INDEX(DB_malas!$D$2:$D$5000,MATCH(H116,DB_malas!$A$2:$A$5000,0)),IF(OR(INDEX(DB_materiali!$B$2:$B$5000,MATCH($C116,DB_materiali!$A$2:$A$5000,0))=INDEX(DB_malas!$B$2:$B$5000,MATCH(H116,DB_malas!$A$2:$A$5000,0)),$H116="ORG"),"✔",tulkojums!$A$38),tulkojums!$A$39),tulkojums!$A$39))</f>
        <v/>
      </c>
      <c r="Q116" s="2" t="str">
        <f>IF(ISBLANK(I116),"",IF(INDEX(DB_materiali!$E$2:$E$5000,MATCH($C116,DB_materiali!$A$2:$A$5000,0))&gt;=INDEX(DB_malas!$C$2:$C$5000,MATCH(I116,DB_malas!$A$2:$A$5000,0)),IF(INDEX(DB_materiali!$E$2:$E$5000,MATCH($C116,DB_materiali!$A$2:$A$5000,0))&lt;=INDEX(DB_malas!$D$2:$D$5000,MATCH(I116,DB_malas!$A$2:$A$5000,0)),IF(OR(INDEX(DB_materiali!$B$2:$B$5000,MATCH($C116,DB_materiali!$A$2:$A$5000,0))=INDEX(DB_malas!$B$2:$B$5000,MATCH(I116,DB_malas!$A$2:$A$5000,0)),$H116="ORG"),"✔",tulkojums!$A$38),tulkojums!$A$39),tulkojums!$A$39))</f>
        <v/>
      </c>
      <c r="R116" s="2" t="str">
        <f>IF(ISBLANK(J116),"",IF(INDEX(DB_materiali!$E$2:$E$5000,MATCH($C116,DB_materiali!$A$2:$A$5000,0))&gt;=INDEX(DB_malas!$C$2:$C$5000,MATCH(J116,DB_malas!$A$2:$A$5000,0)),IF(INDEX(DB_materiali!$E$2:$E$5000,MATCH($C116,DB_materiali!$A$2:$A$5000,0))&lt;=INDEX(DB_malas!$D$2:$D$5000,MATCH(J116,DB_malas!$A$2:$A$5000,0)),IF(INDEX(DB_materiali!$B$2:$B$5000,MATCH($C116,DB_materiali!$A$2:$A$5000,0))=INDEX(DB_malas!$B$2:$B$5000,MATCH(J116,DB_malas!$A$2:$A$5000,0)),"✔",tulkojums!$A$38),tulkojums!$A$39),tulkojums!$A$39))</f>
        <v/>
      </c>
      <c r="S116" s="2" t="str">
        <f>IF(ISBLANK(K116),"",IF(INDEX(DB_materiali!$E$2:$E$5000,MATCH($C116,DB_materiali!$A$2:$A$5000,0))&gt;=INDEX(DB_malas!$C$2:$C$5000,MATCH(K116,DB_malas!$A$2:$A$5000,0)),IF(INDEX(DB_materiali!$E$2:$E$5000,MATCH($C116,DB_materiali!$A$2:$A$5000,0))&lt;=INDEX(DB_malas!$D$2:$D$5000,MATCH(K116,DB_malas!$A$2:$A$5000,0)),IF(INDEX(DB_materiali!$B$2:$B$5000,MATCH($C116,DB_materiali!$A$2:$A$5000,0))=INDEX(DB_malas!$B$2:$B$5000,MATCH(K116,DB_malas!$A$2:$A$5000,0)),"✔",tulkojums!$A$38),tulkojums!$A$39),tulkojums!$A$39))</f>
        <v/>
      </c>
      <c r="T116" s="2"/>
      <c r="U116" s="2"/>
      <c r="V116" s="2"/>
      <c r="W116" s="2"/>
      <c r="X116" s="2"/>
      <c r="Y116" s="2"/>
      <c r="Z116" s="2"/>
    </row>
    <row r="117" spans="1:26" ht="15.75" customHeight="1">
      <c r="A117" s="17"/>
      <c r="B117" s="18"/>
      <c r="C117" s="19"/>
      <c r="D117" s="55"/>
      <c r="E117" s="55"/>
      <c r="F117" s="56"/>
      <c r="G117" s="57" t="str">
        <f>IF(ISBLANK(C117),"",
   IFERROR(
      IF(
         INDEX(DB_materiali!C$2:C$5000,
               MATCH(C117, DB_materiali!A$2:A$5000, 0)
         )="FALSE",
         "N",
         "Y"
      ),
   "")
)</f>
        <v/>
      </c>
      <c r="H117" s="20"/>
      <c r="I117" s="20"/>
      <c r="J117" s="20"/>
      <c r="K117" s="20"/>
      <c r="M117" s="2" t="str">
        <f>IF(ISBLANK(C117),"",IF(IFERROR(VLOOKUP(C117,DB_materiali!$A$2:$A$5000,1,FALSE),"Kļūda artikulā")=C117,"✔",tulkojums!A$42))</f>
        <v/>
      </c>
      <c r="N117" s="2" t="str">
        <f>IF(ISBLANK(C117),"",IF(ISNUMBER(F117)=TRUE,"✔",tulkojums!A$43))</f>
        <v/>
      </c>
      <c r="O117" s="2" t="str">
        <f>IF(ISBLANK(C117),"",IF(G117="Y","✔",IF(G117="X","✔",IF(G117="N","✔",tulkojums!A$44))))</f>
        <v/>
      </c>
      <c r="P117" s="2" t="str">
        <f>IF(ISBLANK(H117),"",IF(INDEX(DB_materiali!$E$2:$E$5000,MATCH($C117,DB_materiali!$A$2:$A$5000,0))&gt;=INDEX(DB_malas!$C$2:$C$5000,MATCH(H117,DB_malas!$A$2:$A$5000,0)),IF(INDEX(DB_materiali!$E$2:$E$5000,MATCH($C117,DB_materiali!$A$2:$A$5000,0))&lt;=INDEX(DB_malas!$D$2:$D$5000,MATCH(H117,DB_malas!$A$2:$A$5000,0)),IF(OR(INDEX(DB_materiali!$B$2:$B$5000,MATCH($C117,DB_materiali!$A$2:$A$5000,0))=INDEX(DB_malas!$B$2:$B$5000,MATCH(H117,DB_malas!$A$2:$A$5000,0)),$H117="ORG"),"✔",tulkojums!$A$38),tulkojums!$A$39),tulkojums!$A$39))</f>
        <v/>
      </c>
      <c r="Q117" s="2" t="str">
        <f>IF(ISBLANK(I117),"",IF(INDEX(DB_materiali!$E$2:$E$5000,MATCH($C117,DB_materiali!$A$2:$A$5000,0))&gt;=INDEX(DB_malas!$C$2:$C$5000,MATCH(I117,DB_malas!$A$2:$A$5000,0)),IF(INDEX(DB_materiali!$E$2:$E$5000,MATCH($C117,DB_materiali!$A$2:$A$5000,0))&lt;=INDEX(DB_malas!$D$2:$D$5000,MATCH(I117,DB_malas!$A$2:$A$5000,0)),IF(OR(INDEX(DB_materiali!$B$2:$B$5000,MATCH($C117,DB_materiali!$A$2:$A$5000,0))=INDEX(DB_malas!$B$2:$B$5000,MATCH(I117,DB_malas!$A$2:$A$5000,0)),$H117="ORG"),"✔",tulkojums!$A$38),tulkojums!$A$39),tulkojums!$A$39))</f>
        <v/>
      </c>
      <c r="R117" s="2" t="str">
        <f>IF(ISBLANK(J117),"",IF(INDEX(DB_materiali!$E$2:$E$5000,MATCH($C117,DB_materiali!$A$2:$A$5000,0))&gt;=INDEX(DB_malas!$C$2:$C$5000,MATCH(J117,DB_malas!$A$2:$A$5000,0)),IF(INDEX(DB_materiali!$E$2:$E$5000,MATCH($C117,DB_materiali!$A$2:$A$5000,0))&lt;=INDEX(DB_malas!$D$2:$D$5000,MATCH(J117,DB_malas!$A$2:$A$5000,0)),IF(INDEX(DB_materiali!$B$2:$B$5000,MATCH($C117,DB_materiali!$A$2:$A$5000,0))=INDEX(DB_malas!$B$2:$B$5000,MATCH(J117,DB_malas!$A$2:$A$5000,0)),"✔",tulkojums!$A$38),tulkojums!$A$39),tulkojums!$A$39))</f>
        <v/>
      </c>
      <c r="S117" s="2" t="str">
        <f>IF(ISBLANK(K117),"",IF(INDEX(DB_materiali!$E$2:$E$5000,MATCH($C117,DB_materiali!$A$2:$A$5000,0))&gt;=INDEX(DB_malas!$C$2:$C$5000,MATCH(K117,DB_malas!$A$2:$A$5000,0)),IF(INDEX(DB_materiali!$E$2:$E$5000,MATCH($C117,DB_materiali!$A$2:$A$5000,0))&lt;=INDEX(DB_malas!$D$2:$D$5000,MATCH(K117,DB_malas!$A$2:$A$5000,0)),IF(INDEX(DB_materiali!$B$2:$B$5000,MATCH($C117,DB_materiali!$A$2:$A$5000,0))=INDEX(DB_malas!$B$2:$B$5000,MATCH(K117,DB_malas!$A$2:$A$5000,0)),"✔",tulkojums!$A$38),tulkojums!$A$39),tulkojums!$A$39))</f>
        <v/>
      </c>
      <c r="T117" s="2"/>
      <c r="U117" s="2"/>
      <c r="V117" s="2"/>
      <c r="W117" s="2"/>
      <c r="X117" s="2"/>
      <c r="Y117" s="2"/>
      <c r="Z117" s="2"/>
    </row>
    <row r="118" spans="1:26" ht="15.75" customHeight="1">
      <c r="A118" s="17"/>
      <c r="B118" s="18"/>
      <c r="C118" s="19"/>
      <c r="D118" s="55"/>
      <c r="E118" s="55"/>
      <c r="F118" s="56"/>
      <c r="G118" s="57" t="str">
        <f>IF(ISBLANK(C118),"",
   IFERROR(
      IF(
         INDEX(DB_materiali!C$2:C$5000,
               MATCH(C118, DB_materiali!A$2:A$5000, 0)
         )="FALSE",
         "N",
         "Y"
      ),
   "")
)</f>
        <v/>
      </c>
      <c r="H118" s="20"/>
      <c r="I118" s="20"/>
      <c r="J118" s="20"/>
      <c r="K118" s="20"/>
      <c r="M118" s="2" t="str">
        <f>IF(ISBLANK(C118),"",IF(IFERROR(VLOOKUP(C118,DB_materiali!$A$2:$A$5000,1,FALSE),"Kļūda artikulā")=C118,"✔",tulkojums!A$42))</f>
        <v/>
      </c>
      <c r="N118" s="2" t="str">
        <f>IF(ISBLANK(C118),"",IF(ISNUMBER(F118)=TRUE,"✔",tulkojums!A$43))</f>
        <v/>
      </c>
      <c r="O118" s="2" t="str">
        <f>IF(ISBLANK(C118),"",IF(G118="Y","✔",IF(G118="X","✔",IF(G118="N","✔",tulkojums!A$44))))</f>
        <v/>
      </c>
      <c r="P118" s="2" t="str">
        <f>IF(ISBLANK(H118),"",IF(INDEX(DB_materiali!$E$2:$E$5000,MATCH($C118,DB_materiali!$A$2:$A$5000,0))&gt;=INDEX(DB_malas!$C$2:$C$5000,MATCH(H118,DB_malas!$A$2:$A$5000,0)),IF(INDEX(DB_materiali!$E$2:$E$5000,MATCH($C118,DB_materiali!$A$2:$A$5000,0))&lt;=INDEX(DB_malas!$D$2:$D$5000,MATCH(H118,DB_malas!$A$2:$A$5000,0)),IF(OR(INDEX(DB_materiali!$B$2:$B$5000,MATCH($C118,DB_materiali!$A$2:$A$5000,0))=INDEX(DB_malas!$B$2:$B$5000,MATCH(H118,DB_malas!$A$2:$A$5000,0)),$H118="ORG"),"✔",tulkojums!$A$38),tulkojums!$A$39),tulkojums!$A$39))</f>
        <v/>
      </c>
      <c r="Q118" s="2" t="str">
        <f>IF(ISBLANK(I118),"",IF(INDEX(DB_materiali!$E$2:$E$5000,MATCH($C118,DB_materiali!$A$2:$A$5000,0))&gt;=INDEX(DB_malas!$C$2:$C$5000,MATCH(I118,DB_malas!$A$2:$A$5000,0)),IF(INDEX(DB_materiali!$E$2:$E$5000,MATCH($C118,DB_materiali!$A$2:$A$5000,0))&lt;=INDEX(DB_malas!$D$2:$D$5000,MATCH(I118,DB_malas!$A$2:$A$5000,0)),IF(OR(INDEX(DB_materiali!$B$2:$B$5000,MATCH($C118,DB_materiali!$A$2:$A$5000,0))=INDEX(DB_malas!$B$2:$B$5000,MATCH(I118,DB_malas!$A$2:$A$5000,0)),$H118="ORG"),"✔",tulkojums!$A$38),tulkojums!$A$39),tulkojums!$A$39))</f>
        <v/>
      </c>
      <c r="R118" s="2" t="str">
        <f>IF(ISBLANK(J118),"",IF(INDEX(DB_materiali!$E$2:$E$5000,MATCH($C118,DB_materiali!$A$2:$A$5000,0))&gt;=INDEX(DB_malas!$C$2:$C$5000,MATCH(J118,DB_malas!$A$2:$A$5000,0)),IF(INDEX(DB_materiali!$E$2:$E$5000,MATCH($C118,DB_materiali!$A$2:$A$5000,0))&lt;=INDEX(DB_malas!$D$2:$D$5000,MATCH(J118,DB_malas!$A$2:$A$5000,0)),IF(INDEX(DB_materiali!$B$2:$B$5000,MATCH($C118,DB_materiali!$A$2:$A$5000,0))=INDEX(DB_malas!$B$2:$B$5000,MATCH(J118,DB_malas!$A$2:$A$5000,0)),"✔",tulkojums!$A$38),tulkojums!$A$39),tulkojums!$A$39))</f>
        <v/>
      </c>
      <c r="S118" s="2" t="str">
        <f>IF(ISBLANK(K118),"",IF(INDEX(DB_materiali!$E$2:$E$5000,MATCH($C118,DB_materiali!$A$2:$A$5000,0))&gt;=INDEX(DB_malas!$C$2:$C$5000,MATCH(K118,DB_malas!$A$2:$A$5000,0)),IF(INDEX(DB_materiali!$E$2:$E$5000,MATCH($C118,DB_materiali!$A$2:$A$5000,0))&lt;=INDEX(DB_malas!$D$2:$D$5000,MATCH(K118,DB_malas!$A$2:$A$5000,0)),IF(INDEX(DB_materiali!$B$2:$B$5000,MATCH($C118,DB_materiali!$A$2:$A$5000,0))=INDEX(DB_malas!$B$2:$B$5000,MATCH(K118,DB_malas!$A$2:$A$5000,0)),"✔",tulkojums!$A$38),tulkojums!$A$39),tulkojums!$A$39))</f>
        <v/>
      </c>
      <c r="T118" s="2"/>
      <c r="U118" s="2"/>
      <c r="V118" s="2"/>
      <c r="W118" s="2"/>
      <c r="X118" s="2"/>
      <c r="Y118" s="2"/>
      <c r="Z118" s="2"/>
    </row>
    <row r="119" spans="1:26" ht="15.75" customHeight="1">
      <c r="A119" s="17"/>
      <c r="B119" s="18"/>
      <c r="C119" s="19"/>
      <c r="D119" s="55"/>
      <c r="E119" s="55"/>
      <c r="F119" s="56"/>
      <c r="G119" s="57" t="str">
        <f>IF(ISBLANK(C119),"",
   IFERROR(
      IF(
         INDEX(DB_materiali!C$2:C$5000,
               MATCH(C119, DB_materiali!A$2:A$5000, 0)
         )="FALSE",
         "N",
         "Y"
      ),
   "")
)</f>
        <v/>
      </c>
      <c r="H119" s="20"/>
      <c r="I119" s="20"/>
      <c r="J119" s="20"/>
      <c r="K119" s="20"/>
      <c r="M119" s="2" t="str">
        <f>IF(ISBLANK(C119),"",IF(IFERROR(VLOOKUP(C119,DB_materiali!$A$2:$A$5000,1,FALSE),"Kļūda artikulā")=C119,"✔",tulkojums!A$42))</f>
        <v/>
      </c>
      <c r="N119" s="2" t="str">
        <f>IF(ISBLANK(C119),"",IF(ISNUMBER(F119)=TRUE,"✔",tulkojums!A$43))</f>
        <v/>
      </c>
      <c r="O119" s="2" t="str">
        <f>IF(ISBLANK(C119),"",IF(G119="Y","✔",IF(G119="X","✔",IF(G119="N","✔",tulkojums!A$44))))</f>
        <v/>
      </c>
      <c r="P119" s="2" t="str">
        <f>IF(ISBLANK(H119),"",IF(INDEX(DB_materiali!$E$2:$E$5000,MATCH($C119,DB_materiali!$A$2:$A$5000,0))&gt;=INDEX(DB_malas!$C$2:$C$5000,MATCH(H119,DB_malas!$A$2:$A$5000,0)),IF(INDEX(DB_materiali!$E$2:$E$5000,MATCH($C119,DB_materiali!$A$2:$A$5000,0))&lt;=INDEX(DB_malas!$D$2:$D$5000,MATCH(H119,DB_malas!$A$2:$A$5000,0)),IF(OR(INDEX(DB_materiali!$B$2:$B$5000,MATCH($C119,DB_materiali!$A$2:$A$5000,0))=INDEX(DB_malas!$B$2:$B$5000,MATCH(H119,DB_malas!$A$2:$A$5000,0)),$H119="ORG"),"✔",tulkojums!$A$38),tulkojums!$A$39),tulkojums!$A$39))</f>
        <v/>
      </c>
      <c r="Q119" s="2" t="str">
        <f>IF(ISBLANK(I119),"",IF(INDEX(DB_materiali!$E$2:$E$5000,MATCH($C119,DB_materiali!$A$2:$A$5000,0))&gt;=INDEX(DB_malas!$C$2:$C$5000,MATCH(I119,DB_malas!$A$2:$A$5000,0)),IF(INDEX(DB_materiali!$E$2:$E$5000,MATCH($C119,DB_materiali!$A$2:$A$5000,0))&lt;=INDEX(DB_malas!$D$2:$D$5000,MATCH(I119,DB_malas!$A$2:$A$5000,0)),IF(OR(INDEX(DB_materiali!$B$2:$B$5000,MATCH($C119,DB_materiali!$A$2:$A$5000,0))=INDEX(DB_malas!$B$2:$B$5000,MATCH(I119,DB_malas!$A$2:$A$5000,0)),$H119="ORG"),"✔",tulkojums!$A$38),tulkojums!$A$39),tulkojums!$A$39))</f>
        <v/>
      </c>
      <c r="R119" s="2" t="str">
        <f>IF(ISBLANK(J119),"",IF(INDEX(DB_materiali!$E$2:$E$5000,MATCH($C119,DB_materiali!$A$2:$A$5000,0))&gt;=INDEX(DB_malas!$C$2:$C$5000,MATCH(J119,DB_malas!$A$2:$A$5000,0)),IF(INDEX(DB_materiali!$E$2:$E$5000,MATCH($C119,DB_materiali!$A$2:$A$5000,0))&lt;=INDEX(DB_malas!$D$2:$D$5000,MATCH(J119,DB_malas!$A$2:$A$5000,0)),IF(INDEX(DB_materiali!$B$2:$B$5000,MATCH($C119,DB_materiali!$A$2:$A$5000,0))=INDEX(DB_malas!$B$2:$B$5000,MATCH(J119,DB_malas!$A$2:$A$5000,0)),"✔",tulkojums!$A$38),tulkojums!$A$39),tulkojums!$A$39))</f>
        <v/>
      </c>
      <c r="S119" s="2" t="str">
        <f>IF(ISBLANK(K119),"",IF(INDEX(DB_materiali!$E$2:$E$5000,MATCH($C119,DB_materiali!$A$2:$A$5000,0))&gt;=INDEX(DB_malas!$C$2:$C$5000,MATCH(K119,DB_malas!$A$2:$A$5000,0)),IF(INDEX(DB_materiali!$E$2:$E$5000,MATCH($C119,DB_materiali!$A$2:$A$5000,0))&lt;=INDEX(DB_malas!$D$2:$D$5000,MATCH(K119,DB_malas!$A$2:$A$5000,0)),IF(INDEX(DB_materiali!$B$2:$B$5000,MATCH($C119,DB_materiali!$A$2:$A$5000,0))=INDEX(DB_malas!$B$2:$B$5000,MATCH(K119,DB_malas!$A$2:$A$5000,0)),"✔",tulkojums!$A$38),tulkojums!$A$39),tulkojums!$A$39))</f>
        <v/>
      </c>
      <c r="T119" s="2"/>
      <c r="U119" s="2"/>
      <c r="V119" s="2"/>
      <c r="W119" s="2"/>
      <c r="X119" s="2"/>
      <c r="Y119" s="2"/>
      <c r="Z119" s="2"/>
    </row>
    <row r="120" spans="1:26" ht="15.75" customHeight="1">
      <c r="A120" s="17"/>
      <c r="B120" s="18"/>
      <c r="C120" s="19"/>
      <c r="D120" s="55"/>
      <c r="E120" s="55"/>
      <c r="F120" s="56"/>
      <c r="G120" s="57" t="str">
        <f>IF(ISBLANK(C120),"",
   IFERROR(
      IF(
         INDEX(DB_materiali!C$2:C$5000,
               MATCH(C120, DB_materiali!A$2:A$5000, 0)
         )="FALSE",
         "N",
         "Y"
      ),
   "")
)</f>
        <v/>
      </c>
      <c r="H120" s="20"/>
      <c r="I120" s="20"/>
      <c r="J120" s="20"/>
      <c r="K120" s="20"/>
      <c r="M120" s="2" t="str">
        <f>IF(ISBLANK(C120),"",IF(IFERROR(VLOOKUP(C120,DB_materiali!$A$2:$A$5000,1,FALSE),"Kļūda artikulā")=C120,"✔",tulkojums!A$42))</f>
        <v/>
      </c>
      <c r="N120" s="2" t="str">
        <f>IF(ISBLANK(C120),"",IF(ISNUMBER(F120)=TRUE,"✔",tulkojums!A$43))</f>
        <v/>
      </c>
      <c r="O120" s="2" t="str">
        <f>IF(ISBLANK(C120),"",IF(G120="Y","✔",IF(G120="X","✔",IF(G120="N","✔",tulkojums!A$44))))</f>
        <v/>
      </c>
      <c r="P120" s="2" t="str">
        <f>IF(ISBLANK(H120),"",IF(INDEX(DB_materiali!$E$2:$E$5000,MATCH($C120,DB_materiali!$A$2:$A$5000,0))&gt;=INDEX(DB_malas!$C$2:$C$5000,MATCH(H120,DB_malas!$A$2:$A$5000,0)),IF(INDEX(DB_materiali!$E$2:$E$5000,MATCH($C120,DB_materiali!$A$2:$A$5000,0))&lt;=INDEX(DB_malas!$D$2:$D$5000,MATCH(H120,DB_malas!$A$2:$A$5000,0)),IF(OR(INDEX(DB_materiali!$B$2:$B$5000,MATCH($C120,DB_materiali!$A$2:$A$5000,0))=INDEX(DB_malas!$B$2:$B$5000,MATCH(H120,DB_malas!$A$2:$A$5000,0)),$H120="ORG"),"✔",tulkojums!$A$38),tulkojums!$A$39),tulkojums!$A$39))</f>
        <v/>
      </c>
      <c r="Q120" s="2" t="str">
        <f>IF(ISBLANK(I120),"",IF(INDEX(DB_materiali!$E$2:$E$5000,MATCH($C120,DB_materiali!$A$2:$A$5000,0))&gt;=INDEX(DB_malas!$C$2:$C$5000,MATCH(I120,DB_malas!$A$2:$A$5000,0)),IF(INDEX(DB_materiali!$E$2:$E$5000,MATCH($C120,DB_materiali!$A$2:$A$5000,0))&lt;=INDEX(DB_malas!$D$2:$D$5000,MATCH(I120,DB_malas!$A$2:$A$5000,0)),IF(OR(INDEX(DB_materiali!$B$2:$B$5000,MATCH($C120,DB_materiali!$A$2:$A$5000,0))=INDEX(DB_malas!$B$2:$B$5000,MATCH(I120,DB_malas!$A$2:$A$5000,0)),$H120="ORG"),"✔",tulkojums!$A$38),tulkojums!$A$39),tulkojums!$A$39))</f>
        <v/>
      </c>
      <c r="R120" s="2" t="str">
        <f>IF(ISBLANK(J120),"",IF(INDEX(DB_materiali!$E$2:$E$5000,MATCH($C120,DB_materiali!$A$2:$A$5000,0))&gt;=INDEX(DB_malas!$C$2:$C$5000,MATCH(J120,DB_malas!$A$2:$A$5000,0)),IF(INDEX(DB_materiali!$E$2:$E$5000,MATCH($C120,DB_materiali!$A$2:$A$5000,0))&lt;=INDEX(DB_malas!$D$2:$D$5000,MATCH(J120,DB_malas!$A$2:$A$5000,0)),IF(INDEX(DB_materiali!$B$2:$B$5000,MATCH($C120,DB_materiali!$A$2:$A$5000,0))=INDEX(DB_malas!$B$2:$B$5000,MATCH(J120,DB_malas!$A$2:$A$5000,0)),"✔",tulkojums!$A$38),tulkojums!$A$39),tulkojums!$A$39))</f>
        <v/>
      </c>
      <c r="S120" s="2" t="str">
        <f>IF(ISBLANK(K120),"",IF(INDEX(DB_materiali!$E$2:$E$5000,MATCH($C120,DB_materiali!$A$2:$A$5000,0))&gt;=INDEX(DB_malas!$C$2:$C$5000,MATCH(K120,DB_malas!$A$2:$A$5000,0)),IF(INDEX(DB_materiali!$E$2:$E$5000,MATCH($C120,DB_materiali!$A$2:$A$5000,0))&lt;=INDEX(DB_malas!$D$2:$D$5000,MATCH(K120,DB_malas!$A$2:$A$5000,0)),IF(INDEX(DB_materiali!$B$2:$B$5000,MATCH($C120,DB_materiali!$A$2:$A$5000,0))=INDEX(DB_malas!$B$2:$B$5000,MATCH(K120,DB_malas!$A$2:$A$5000,0)),"✔",tulkojums!$A$38),tulkojums!$A$39),tulkojums!$A$39))</f>
        <v/>
      </c>
      <c r="T120" s="2"/>
      <c r="U120" s="2"/>
      <c r="V120" s="2"/>
      <c r="W120" s="2"/>
      <c r="X120" s="2"/>
      <c r="Y120" s="2"/>
      <c r="Z120" s="2"/>
    </row>
    <row r="121" spans="1:26" ht="15.75" customHeight="1">
      <c r="A121" s="17"/>
      <c r="B121" s="18"/>
      <c r="C121" s="19"/>
      <c r="D121" s="55"/>
      <c r="E121" s="55"/>
      <c r="F121" s="56"/>
      <c r="G121" s="57" t="str">
        <f>IF(ISBLANK(C121),"",
   IFERROR(
      IF(
         INDEX(DB_materiali!C$2:C$5000,
               MATCH(C121, DB_materiali!A$2:A$5000, 0)
         )="FALSE",
         "N",
         "Y"
      ),
   "")
)</f>
        <v/>
      </c>
      <c r="H121" s="20"/>
      <c r="I121" s="20"/>
      <c r="J121" s="20"/>
      <c r="K121" s="20"/>
      <c r="M121" s="2" t="str">
        <f>IF(ISBLANK(C121),"",IF(IFERROR(VLOOKUP(C121,DB_materiali!$A$2:$A$5000,1,FALSE),"Kļūda artikulā")=C121,"✔",tulkojums!A$42))</f>
        <v/>
      </c>
      <c r="N121" s="2" t="str">
        <f>IF(ISBLANK(C121),"",IF(ISNUMBER(F121)=TRUE,"✔",tulkojums!A$43))</f>
        <v/>
      </c>
      <c r="O121" s="2" t="str">
        <f>IF(ISBLANK(C121),"",IF(G121="Y","✔",IF(G121="X","✔",IF(G121="N","✔",tulkojums!A$44))))</f>
        <v/>
      </c>
      <c r="P121" s="2" t="str">
        <f>IF(ISBLANK(H121),"",IF(INDEX(DB_materiali!$E$2:$E$5000,MATCH($C121,DB_materiali!$A$2:$A$5000,0))&gt;=INDEX(DB_malas!$C$2:$C$5000,MATCH(H121,DB_malas!$A$2:$A$5000,0)),IF(INDEX(DB_materiali!$E$2:$E$5000,MATCH($C121,DB_materiali!$A$2:$A$5000,0))&lt;=INDEX(DB_malas!$D$2:$D$5000,MATCH(H121,DB_malas!$A$2:$A$5000,0)),IF(OR(INDEX(DB_materiali!$B$2:$B$5000,MATCH($C121,DB_materiali!$A$2:$A$5000,0))=INDEX(DB_malas!$B$2:$B$5000,MATCH(H121,DB_malas!$A$2:$A$5000,0)),$H121="ORG"),"✔",tulkojums!$A$38),tulkojums!$A$39),tulkojums!$A$39))</f>
        <v/>
      </c>
      <c r="Q121" s="2" t="str">
        <f>IF(ISBLANK(I121),"",IF(INDEX(DB_materiali!$E$2:$E$5000,MATCH($C121,DB_materiali!$A$2:$A$5000,0))&gt;=INDEX(DB_malas!$C$2:$C$5000,MATCH(I121,DB_malas!$A$2:$A$5000,0)),IF(INDEX(DB_materiali!$E$2:$E$5000,MATCH($C121,DB_materiali!$A$2:$A$5000,0))&lt;=INDEX(DB_malas!$D$2:$D$5000,MATCH(I121,DB_malas!$A$2:$A$5000,0)),IF(OR(INDEX(DB_materiali!$B$2:$B$5000,MATCH($C121,DB_materiali!$A$2:$A$5000,0))=INDEX(DB_malas!$B$2:$B$5000,MATCH(I121,DB_malas!$A$2:$A$5000,0)),$H121="ORG"),"✔",tulkojums!$A$38),tulkojums!$A$39),tulkojums!$A$39))</f>
        <v/>
      </c>
      <c r="R121" s="2" t="str">
        <f>IF(ISBLANK(J121),"",IF(INDEX(DB_materiali!$E$2:$E$5000,MATCH($C121,DB_materiali!$A$2:$A$5000,0))&gt;=INDEX(DB_malas!$C$2:$C$5000,MATCH(J121,DB_malas!$A$2:$A$5000,0)),IF(INDEX(DB_materiali!$E$2:$E$5000,MATCH($C121,DB_materiali!$A$2:$A$5000,0))&lt;=INDEX(DB_malas!$D$2:$D$5000,MATCH(J121,DB_malas!$A$2:$A$5000,0)),IF(INDEX(DB_materiali!$B$2:$B$5000,MATCH($C121,DB_materiali!$A$2:$A$5000,0))=INDEX(DB_malas!$B$2:$B$5000,MATCH(J121,DB_malas!$A$2:$A$5000,0)),"✔",tulkojums!$A$38),tulkojums!$A$39),tulkojums!$A$39))</f>
        <v/>
      </c>
      <c r="S121" s="2" t="str">
        <f>IF(ISBLANK(K121),"",IF(INDEX(DB_materiali!$E$2:$E$5000,MATCH($C121,DB_materiali!$A$2:$A$5000,0))&gt;=INDEX(DB_malas!$C$2:$C$5000,MATCH(K121,DB_malas!$A$2:$A$5000,0)),IF(INDEX(DB_materiali!$E$2:$E$5000,MATCH($C121,DB_materiali!$A$2:$A$5000,0))&lt;=INDEX(DB_malas!$D$2:$D$5000,MATCH(K121,DB_malas!$A$2:$A$5000,0)),IF(INDEX(DB_materiali!$B$2:$B$5000,MATCH($C121,DB_materiali!$A$2:$A$5000,0))=INDEX(DB_malas!$B$2:$B$5000,MATCH(K121,DB_malas!$A$2:$A$5000,0)),"✔",tulkojums!$A$38),tulkojums!$A$39),tulkojums!$A$39))</f>
        <v/>
      </c>
      <c r="T121" s="2"/>
      <c r="U121" s="2"/>
      <c r="V121" s="2"/>
      <c r="W121" s="2"/>
      <c r="X121" s="2"/>
      <c r="Y121" s="2"/>
      <c r="Z121" s="2"/>
    </row>
    <row r="122" spans="1:26" ht="15.75" customHeight="1">
      <c r="A122" s="17"/>
      <c r="B122" s="18"/>
      <c r="C122" s="19"/>
      <c r="D122" s="55"/>
      <c r="E122" s="55"/>
      <c r="F122" s="56"/>
      <c r="G122" s="57" t="str">
        <f>IF(ISBLANK(C122),"",
   IFERROR(
      IF(
         INDEX(DB_materiali!C$2:C$5000,
               MATCH(C122, DB_materiali!A$2:A$5000, 0)
         )="FALSE",
         "N",
         "Y"
      ),
   "")
)</f>
        <v/>
      </c>
      <c r="H122" s="20"/>
      <c r="I122" s="20"/>
      <c r="J122" s="20"/>
      <c r="K122" s="20"/>
      <c r="M122" s="2" t="str">
        <f>IF(ISBLANK(C122),"",IF(IFERROR(VLOOKUP(C122,DB_materiali!$A$2:$A$5000,1,FALSE),"Kļūda artikulā")=C122,"✔",tulkojums!A$42))</f>
        <v/>
      </c>
      <c r="N122" s="2" t="str">
        <f>IF(ISBLANK(C122),"",IF(ISNUMBER(F122)=TRUE,"✔",tulkojums!A$43))</f>
        <v/>
      </c>
      <c r="O122" s="2" t="str">
        <f>IF(ISBLANK(C122),"",IF(G122="Y","✔",IF(G122="X","✔",IF(G122="N","✔",tulkojums!A$44))))</f>
        <v/>
      </c>
      <c r="P122" s="2" t="str">
        <f>IF(ISBLANK(H122),"",IF(INDEX(DB_materiali!$E$2:$E$5000,MATCH($C122,DB_materiali!$A$2:$A$5000,0))&gt;=INDEX(DB_malas!$C$2:$C$5000,MATCH(H122,DB_malas!$A$2:$A$5000,0)),IF(INDEX(DB_materiali!$E$2:$E$5000,MATCH($C122,DB_materiali!$A$2:$A$5000,0))&lt;=INDEX(DB_malas!$D$2:$D$5000,MATCH(H122,DB_malas!$A$2:$A$5000,0)),IF(OR(INDEX(DB_materiali!$B$2:$B$5000,MATCH($C122,DB_materiali!$A$2:$A$5000,0))=INDEX(DB_malas!$B$2:$B$5000,MATCH(H122,DB_malas!$A$2:$A$5000,0)),$H122="ORG"),"✔",tulkojums!$A$38),tulkojums!$A$39),tulkojums!$A$39))</f>
        <v/>
      </c>
      <c r="Q122" s="2" t="str">
        <f>IF(ISBLANK(I122),"",IF(INDEX(DB_materiali!$E$2:$E$5000,MATCH($C122,DB_materiali!$A$2:$A$5000,0))&gt;=INDEX(DB_malas!$C$2:$C$5000,MATCH(I122,DB_malas!$A$2:$A$5000,0)),IF(INDEX(DB_materiali!$E$2:$E$5000,MATCH($C122,DB_materiali!$A$2:$A$5000,0))&lt;=INDEX(DB_malas!$D$2:$D$5000,MATCH(I122,DB_malas!$A$2:$A$5000,0)),IF(OR(INDEX(DB_materiali!$B$2:$B$5000,MATCH($C122,DB_materiali!$A$2:$A$5000,0))=INDEX(DB_malas!$B$2:$B$5000,MATCH(I122,DB_malas!$A$2:$A$5000,0)),$H122="ORG"),"✔",tulkojums!$A$38),tulkojums!$A$39),tulkojums!$A$39))</f>
        <v/>
      </c>
      <c r="R122" s="2" t="str">
        <f>IF(ISBLANK(J122),"",IF(INDEX(DB_materiali!$E$2:$E$5000,MATCH($C122,DB_materiali!$A$2:$A$5000,0))&gt;=INDEX(DB_malas!$C$2:$C$5000,MATCH(J122,DB_malas!$A$2:$A$5000,0)),IF(INDEX(DB_materiali!$E$2:$E$5000,MATCH($C122,DB_materiali!$A$2:$A$5000,0))&lt;=INDEX(DB_malas!$D$2:$D$5000,MATCH(J122,DB_malas!$A$2:$A$5000,0)),IF(INDEX(DB_materiali!$B$2:$B$5000,MATCH($C122,DB_materiali!$A$2:$A$5000,0))=INDEX(DB_malas!$B$2:$B$5000,MATCH(J122,DB_malas!$A$2:$A$5000,0)),"✔",tulkojums!$A$38),tulkojums!$A$39),tulkojums!$A$39))</f>
        <v/>
      </c>
      <c r="S122" s="2" t="str">
        <f>IF(ISBLANK(K122),"",IF(INDEX(DB_materiali!$E$2:$E$5000,MATCH($C122,DB_materiali!$A$2:$A$5000,0))&gt;=INDEX(DB_malas!$C$2:$C$5000,MATCH(K122,DB_malas!$A$2:$A$5000,0)),IF(INDEX(DB_materiali!$E$2:$E$5000,MATCH($C122,DB_materiali!$A$2:$A$5000,0))&lt;=INDEX(DB_malas!$D$2:$D$5000,MATCH(K122,DB_malas!$A$2:$A$5000,0)),IF(INDEX(DB_materiali!$B$2:$B$5000,MATCH($C122,DB_materiali!$A$2:$A$5000,0))=INDEX(DB_malas!$B$2:$B$5000,MATCH(K122,DB_malas!$A$2:$A$5000,0)),"✔",tulkojums!$A$38),tulkojums!$A$39),tulkojums!$A$39))</f>
        <v/>
      </c>
      <c r="T122" s="2"/>
      <c r="U122" s="2"/>
      <c r="V122" s="2"/>
      <c r="W122" s="2"/>
      <c r="X122" s="2"/>
      <c r="Y122" s="2"/>
      <c r="Z122" s="2"/>
    </row>
    <row r="123" spans="1:26" ht="15.75" customHeight="1">
      <c r="A123" s="17"/>
      <c r="B123" s="18"/>
      <c r="C123" s="19"/>
      <c r="D123" s="55"/>
      <c r="E123" s="55"/>
      <c r="F123" s="56"/>
      <c r="G123" s="57" t="str">
        <f>IF(ISBLANK(C123),"",
   IFERROR(
      IF(
         INDEX(DB_materiali!C$2:C$5000,
               MATCH(C123, DB_materiali!A$2:A$5000, 0)
         )="FALSE",
         "N",
         "Y"
      ),
   "")
)</f>
        <v/>
      </c>
      <c r="H123" s="20"/>
      <c r="I123" s="20"/>
      <c r="J123" s="20"/>
      <c r="K123" s="20"/>
      <c r="M123" s="2" t="str">
        <f>IF(ISBLANK(C123),"",IF(IFERROR(VLOOKUP(C123,DB_materiali!$A$2:$A$5000,1,FALSE),"Kļūda artikulā")=C123,"✔",tulkojums!A$42))</f>
        <v/>
      </c>
      <c r="N123" s="2" t="str">
        <f>IF(ISBLANK(C123),"",IF(ISNUMBER(F123)=TRUE,"✔",tulkojums!A$43))</f>
        <v/>
      </c>
      <c r="O123" s="2" t="str">
        <f>IF(ISBLANK(C123),"",IF(G123="Y","✔",IF(G123="X","✔",IF(G123="N","✔",tulkojums!A$44))))</f>
        <v/>
      </c>
      <c r="P123" s="2" t="str">
        <f>IF(ISBLANK(H123),"",IF(INDEX(DB_materiali!$E$2:$E$5000,MATCH($C123,DB_materiali!$A$2:$A$5000,0))&gt;=INDEX(DB_malas!$C$2:$C$5000,MATCH(H123,DB_malas!$A$2:$A$5000,0)),IF(INDEX(DB_materiali!$E$2:$E$5000,MATCH($C123,DB_materiali!$A$2:$A$5000,0))&lt;=INDEX(DB_malas!$D$2:$D$5000,MATCH(H123,DB_malas!$A$2:$A$5000,0)),IF(OR(INDEX(DB_materiali!$B$2:$B$5000,MATCH($C123,DB_materiali!$A$2:$A$5000,0))=INDEX(DB_malas!$B$2:$B$5000,MATCH(H123,DB_malas!$A$2:$A$5000,0)),$H123="ORG"),"✔",tulkojums!$A$38),tulkojums!$A$39),tulkojums!$A$39))</f>
        <v/>
      </c>
      <c r="Q123" s="2" t="str">
        <f>IF(ISBLANK(I123),"",IF(INDEX(DB_materiali!$E$2:$E$5000,MATCH($C123,DB_materiali!$A$2:$A$5000,0))&gt;=INDEX(DB_malas!$C$2:$C$5000,MATCH(I123,DB_malas!$A$2:$A$5000,0)),IF(INDEX(DB_materiali!$E$2:$E$5000,MATCH($C123,DB_materiali!$A$2:$A$5000,0))&lt;=INDEX(DB_malas!$D$2:$D$5000,MATCH(I123,DB_malas!$A$2:$A$5000,0)),IF(OR(INDEX(DB_materiali!$B$2:$B$5000,MATCH($C123,DB_materiali!$A$2:$A$5000,0))=INDEX(DB_malas!$B$2:$B$5000,MATCH(I123,DB_malas!$A$2:$A$5000,0)),$H123="ORG"),"✔",tulkojums!$A$38),tulkojums!$A$39),tulkojums!$A$39))</f>
        <v/>
      </c>
      <c r="R123" s="2" t="str">
        <f>IF(ISBLANK(J123),"",IF(INDEX(DB_materiali!$E$2:$E$5000,MATCH($C123,DB_materiali!$A$2:$A$5000,0))&gt;=INDEX(DB_malas!$C$2:$C$5000,MATCH(J123,DB_malas!$A$2:$A$5000,0)),IF(INDEX(DB_materiali!$E$2:$E$5000,MATCH($C123,DB_materiali!$A$2:$A$5000,0))&lt;=INDEX(DB_malas!$D$2:$D$5000,MATCH(J123,DB_malas!$A$2:$A$5000,0)),IF(INDEX(DB_materiali!$B$2:$B$5000,MATCH($C123,DB_materiali!$A$2:$A$5000,0))=INDEX(DB_malas!$B$2:$B$5000,MATCH(J123,DB_malas!$A$2:$A$5000,0)),"✔",tulkojums!$A$38),tulkojums!$A$39),tulkojums!$A$39))</f>
        <v/>
      </c>
      <c r="S123" s="2" t="str">
        <f>IF(ISBLANK(K123),"",IF(INDEX(DB_materiali!$E$2:$E$5000,MATCH($C123,DB_materiali!$A$2:$A$5000,0))&gt;=INDEX(DB_malas!$C$2:$C$5000,MATCH(K123,DB_malas!$A$2:$A$5000,0)),IF(INDEX(DB_materiali!$E$2:$E$5000,MATCH($C123,DB_materiali!$A$2:$A$5000,0))&lt;=INDEX(DB_malas!$D$2:$D$5000,MATCH(K123,DB_malas!$A$2:$A$5000,0)),IF(INDEX(DB_materiali!$B$2:$B$5000,MATCH($C123,DB_materiali!$A$2:$A$5000,0))=INDEX(DB_malas!$B$2:$B$5000,MATCH(K123,DB_malas!$A$2:$A$5000,0)),"✔",tulkojums!$A$38),tulkojums!$A$39),tulkojums!$A$39))</f>
        <v/>
      </c>
      <c r="T123" s="2"/>
      <c r="U123" s="2"/>
      <c r="V123" s="2"/>
      <c r="W123" s="2"/>
      <c r="X123" s="2"/>
      <c r="Y123" s="2"/>
      <c r="Z123" s="2"/>
    </row>
    <row r="124" spans="1:26" ht="15.75" customHeight="1">
      <c r="A124" s="17"/>
      <c r="B124" s="18"/>
      <c r="C124" s="19"/>
      <c r="D124" s="55"/>
      <c r="E124" s="55"/>
      <c r="F124" s="56"/>
      <c r="G124" s="57" t="str">
        <f>IF(ISBLANK(C124),"",
   IFERROR(
      IF(
         INDEX(DB_materiali!C$2:C$5000,
               MATCH(C124, DB_materiali!A$2:A$5000, 0)
         )="FALSE",
         "N",
         "Y"
      ),
   "")
)</f>
        <v/>
      </c>
      <c r="H124" s="20"/>
      <c r="I124" s="20"/>
      <c r="J124" s="20"/>
      <c r="K124" s="20"/>
      <c r="M124" s="2" t="str">
        <f>IF(ISBLANK(C124),"",IF(IFERROR(VLOOKUP(C124,DB_materiali!$A$2:$A$5000,1,FALSE),"Kļūda artikulā")=C124,"✔",tulkojums!A$42))</f>
        <v/>
      </c>
      <c r="N124" s="2" t="str">
        <f>IF(ISBLANK(C124),"",IF(ISNUMBER(F124)=TRUE,"✔",tulkojums!A$43))</f>
        <v/>
      </c>
      <c r="O124" s="2" t="str">
        <f>IF(ISBLANK(C124),"",IF(G124="Y","✔",IF(G124="X","✔",IF(G124="N","✔",tulkojums!A$44))))</f>
        <v/>
      </c>
      <c r="P124" s="2" t="str">
        <f>IF(ISBLANK(H124),"",IF(INDEX(DB_materiali!$E$2:$E$5000,MATCH($C124,DB_materiali!$A$2:$A$5000,0))&gt;=INDEX(DB_malas!$C$2:$C$5000,MATCH(H124,DB_malas!$A$2:$A$5000,0)),IF(INDEX(DB_materiali!$E$2:$E$5000,MATCH($C124,DB_materiali!$A$2:$A$5000,0))&lt;=INDEX(DB_malas!$D$2:$D$5000,MATCH(H124,DB_malas!$A$2:$A$5000,0)),IF(OR(INDEX(DB_materiali!$B$2:$B$5000,MATCH($C124,DB_materiali!$A$2:$A$5000,0))=INDEX(DB_malas!$B$2:$B$5000,MATCH(H124,DB_malas!$A$2:$A$5000,0)),$H124="ORG"),"✔",tulkojums!$A$38),tulkojums!$A$39),tulkojums!$A$39))</f>
        <v/>
      </c>
      <c r="Q124" s="2" t="str">
        <f>IF(ISBLANK(I124),"",IF(INDEX(DB_materiali!$E$2:$E$5000,MATCH($C124,DB_materiali!$A$2:$A$5000,0))&gt;=INDEX(DB_malas!$C$2:$C$5000,MATCH(I124,DB_malas!$A$2:$A$5000,0)),IF(INDEX(DB_materiali!$E$2:$E$5000,MATCH($C124,DB_materiali!$A$2:$A$5000,0))&lt;=INDEX(DB_malas!$D$2:$D$5000,MATCH(I124,DB_malas!$A$2:$A$5000,0)),IF(OR(INDEX(DB_materiali!$B$2:$B$5000,MATCH($C124,DB_materiali!$A$2:$A$5000,0))=INDEX(DB_malas!$B$2:$B$5000,MATCH(I124,DB_malas!$A$2:$A$5000,0)),$H124="ORG"),"✔",tulkojums!$A$38),tulkojums!$A$39),tulkojums!$A$39))</f>
        <v/>
      </c>
      <c r="R124" s="2" t="str">
        <f>IF(ISBLANK(J124),"",IF(INDEX(DB_materiali!$E$2:$E$5000,MATCH($C124,DB_materiali!$A$2:$A$5000,0))&gt;=INDEX(DB_malas!$C$2:$C$5000,MATCH(J124,DB_malas!$A$2:$A$5000,0)),IF(INDEX(DB_materiali!$E$2:$E$5000,MATCH($C124,DB_materiali!$A$2:$A$5000,0))&lt;=INDEX(DB_malas!$D$2:$D$5000,MATCH(J124,DB_malas!$A$2:$A$5000,0)),IF(INDEX(DB_materiali!$B$2:$B$5000,MATCH($C124,DB_materiali!$A$2:$A$5000,0))=INDEX(DB_malas!$B$2:$B$5000,MATCH(J124,DB_malas!$A$2:$A$5000,0)),"✔",tulkojums!$A$38),tulkojums!$A$39),tulkojums!$A$39))</f>
        <v/>
      </c>
      <c r="S124" s="2" t="str">
        <f>IF(ISBLANK(K124),"",IF(INDEX(DB_materiali!$E$2:$E$5000,MATCH($C124,DB_materiali!$A$2:$A$5000,0))&gt;=INDEX(DB_malas!$C$2:$C$5000,MATCH(K124,DB_malas!$A$2:$A$5000,0)),IF(INDEX(DB_materiali!$E$2:$E$5000,MATCH($C124,DB_materiali!$A$2:$A$5000,0))&lt;=INDEX(DB_malas!$D$2:$D$5000,MATCH(K124,DB_malas!$A$2:$A$5000,0)),IF(INDEX(DB_materiali!$B$2:$B$5000,MATCH($C124,DB_materiali!$A$2:$A$5000,0))=INDEX(DB_malas!$B$2:$B$5000,MATCH(K124,DB_malas!$A$2:$A$5000,0)),"✔",tulkojums!$A$38),tulkojums!$A$39),tulkojums!$A$39))</f>
        <v/>
      </c>
      <c r="T124" s="2"/>
      <c r="U124" s="2"/>
      <c r="V124" s="2"/>
      <c r="W124" s="2"/>
      <c r="X124" s="2"/>
      <c r="Y124" s="2"/>
      <c r="Z124" s="2"/>
    </row>
    <row r="125" spans="1:26" ht="15.75" customHeight="1">
      <c r="A125" s="17"/>
      <c r="B125" s="18"/>
      <c r="C125" s="19"/>
      <c r="D125" s="55"/>
      <c r="E125" s="55"/>
      <c r="F125" s="56"/>
      <c r="G125" s="57" t="str">
        <f>IF(ISBLANK(C125),"",
   IFERROR(
      IF(
         INDEX(DB_materiali!C$2:C$5000,
               MATCH(C125, DB_materiali!A$2:A$5000, 0)
         )="FALSE",
         "N",
         "Y"
      ),
   "")
)</f>
        <v/>
      </c>
      <c r="H125" s="20"/>
      <c r="I125" s="20"/>
      <c r="J125" s="20"/>
      <c r="K125" s="20"/>
      <c r="M125" s="2" t="str">
        <f>IF(ISBLANK(C125),"",IF(IFERROR(VLOOKUP(C125,DB_materiali!$A$2:$A$5000,1,FALSE),"Kļūda artikulā")=C125,"✔",tulkojums!A$42))</f>
        <v/>
      </c>
      <c r="N125" s="2" t="str">
        <f>IF(ISBLANK(C125),"",IF(ISNUMBER(F125)=TRUE,"✔",tulkojums!A$43))</f>
        <v/>
      </c>
      <c r="O125" s="2" t="str">
        <f>IF(ISBLANK(C125),"",IF(G125="Y","✔",IF(G125="X","✔",IF(G125="N","✔",tulkojums!A$44))))</f>
        <v/>
      </c>
      <c r="P125" s="2" t="str">
        <f>IF(ISBLANK(H125),"",IF(INDEX(DB_materiali!$E$2:$E$5000,MATCH($C125,DB_materiali!$A$2:$A$5000,0))&gt;=INDEX(DB_malas!$C$2:$C$5000,MATCH(H125,DB_malas!$A$2:$A$5000,0)),IF(INDEX(DB_materiali!$E$2:$E$5000,MATCH($C125,DB_materiali!$A$2:$A$5000,0))&lt;=INDEX(DB_malas!$D$2:$D$5000,MATCH(H125,DB_malas!$A$2:$A$5000,0)),IF(OR(INDEX(DB_materiali!$B$2:$B$5000,MATCH($C125,DB_materiali!$A$2:$A$5000,0))=INDEX(DB_malas!$B$2:$B$5000,MATCH(H125,DB_malas!$A$2:$A$5000,0)),$H125="ORG"),"✔",tulkojums!$A$38),tulkojums!$A$39),tulkojums!$A$39))</f>
        <v/>
      </c>
      <c r="Q125" s="2" t="str">
        <f>IF(ISBLANK(I125),"",IF(INDEX(DB_materiali!$E$2:$E$5000,MATCH($C125,DB_materiali!$A$2:$A$5000,0))&gt;=INDEX(DB_malas!$C$2:$C$5000,MATCH(I125,DB_malas!$A$2:$A$5000,0)),IF(INDEX(DB_materiali!$E$2:$E$5000,MATCH($C125,DB_materiali!$A$2:$A$5000,0))&lt;=INDEX(DB_malas!$D$2:$D$5000,MATCH(I125,DB_malas!$A$2:$A$5000,0)),IF(OR(INDEX(DB_materiali!$B$2:$B$5000,MATCH($C125,DB_materiali!$A$2:$A$5000,0))=INDEX(DB_malas!$B$2:$B$5000,MATCH(I125,DB_malas!$A$2:$A$5000,0)),$H125="ORG"),"✔",tulkojums!$A$38),tulkojums!$A$39),tulkojums!$A$39))</f>
        <v/>
      </c>
      <c r="R125" s="2" t="str">
        <f>IF(ISBLANK(J125),"",IF(INDEX(DB_materiali!$E$2:$E$5000,MATCH($C125,DB_materiali!$A$2:$A$5000,0))&gt;=INDEX(DB_malas!$C$2:$C$5000,MATCH(J125,DB_malas!$A$2:$A$5000,0)),IF(INDEX(DB_materiali!$E$2:$E$5000,MATCH($C125,DB_materiali!$A$2:$A$5000,0))&lt;=INDEX(DB_malas!$D$2:$D$5000,MATCH(J125,DB_malas!$A$2:$A$5000,0)),IF(INDEX(DB_materiali!$B$2:$B$5000,MATCH($C125,DB_materiali!$A$2:$A$5000,0))=INDEX(DB_malas!$B$2:$B$5000,MATCH(J125,DB_malas!$A$2:$A$5000,0)),"✔",tulkojums!$A$38),tulkojums!$A$39),tulkojums!$A$39))</f>
        <v/>
      </c>
      <c r="S125" s="2" t="str">
        <f>IF(ISBLANK(K125),"",IF(INDEX(DB_materiali!$E$2:$E$5000,MATCH($C125,DB_materiali!$A$2:$A$5000,0))&gt;=INDEX(DB_malas!$C$2:$C$5000,MATCH(K125,DB_malas!$A$2:$A$5000,0)),IF(INDEX(DB_materiali!$E$2:$E$5000,MATCH($C125,DB_materiali!$A$2:$A$5000,0))&lt;=INDEX(DB_malas!$D$2:$D$5000,MATCH(K125,DB_malas!$A$2:$A$5000,0)),IF(INDEX(DB_materiali!$B$2:$B$5000,MATCH($C125,DB_materiali!$A$2:$A$5000,0))=INDEX(DB_malas!$B$2:$B$5000,MATCH(K125,DB_malas!$A$2:$A$5000,0)),"✔",tulkojums!$A$38),tulkojums!$A$39),tulkojums!$A$39))</f>
        <v/>
      </c>
      <c r="T125" s="2"/>
      <c r="U125" s="2"/>
      <c r="V125" s="2"/>
      <c r="W125" s="2"/>
      <c r="X125" s="2"/>
      <c r="Y125" s="2"/>
      <c r="Z125" s="2"/>
    </row>
    <row r="126" spans="1:26" ht="15.75" customHeight="1">
      <c r="A126" s="17"/>
      <c r="B126" s="18"/>
      <c r="C126" s="19"/>
      <c r="D126" s="55"/>
      <c r="E126" s="55"/>
      <c r="F126" s="56"/>
      <c r="G126" s="57" t="str">
        <f>IF(ISBLANK(C126),"",
   IFERROR(
      IF(
         INDEX(DB_materiali!C$2:C$5000,
               MATCH(C126, DB_materiali!A$2:A$5000, 0)
         )="FALSE",
         "N",
         "Y"
      ),
   "")
)</f>
        <v/>
      </c>
      <c r="H126" s="20"/>
      <c r="I126" s="20"/>
      <c r="J126" s="20"/>
      <c r="K126" s="20"/>
      <c r="M126" s="2" t="str">
        <f>IF(ISBLANK(C126),"",IF(IFERROR(VLOOKUP(C126,DB_materiali!$A$2:$A$5000,1,FALSE),"Kļūda artikulā")=C126,"✔",tulkojums!A$42))</f>
        <v/>
      </c>
      <c r="N126" s="2" t="str">
        <f>IF(ISBLANK(C126),"",IF(ISNUMBER(F126)=TRUE,"✔",tulkojums!A$43))</f>
        <v/>
      </c>
      <c r="O126" s="2" t="str">
        <f>IF(ISBLANK(C126),"",IF(G126="Y","✔",IF(G126="X","✔",IF(G126="N","✔",tulkojums!A$44))))</f>
        <v/>
      </c>
      <c r="P126" s="2" t="str">
        <f>IF(ISBLANK(H126),"",IF(INDEX(DB_materiali!$E$2:$E$5000,MATCH($C126,DB_materiali!$A$2:$A$5000,0))&gt;=INDEX(DB_malas!$C$2:$C$5000,MATCH(H126,DB_malas!$A$2:$A$5000,0)),IF(INDEX(DB_materiali!$E$2:$E$5000,MATCH($C126,DB_materiali!$A$2:$A$5000,0))&lt;=INDEX(DB_malas!$D$2:$D$5000,MATCH(H126,DB_malas!$A$2:$A$5000,0)),IF(OR(INDEX(DB_materiali!$B$2:$B$5000,MATCH($C126,DB_materiali!$A$2:$A$5000,0))=INDEX(DB_malas!$B$2:$B$5000,MATCH(H126,DB_malas!$A$2:$A$5000,0)),$H126="ORG"),"✔",tulkojums!$A$38),tulkojums!$A$39),tulkojums!$A$39))</f>
        <v/>
      </c>
      <c r="Q126" s="2" t="str">
        <f>IF(ISBLANK(I126),"",IF(INDEX(DB_materiali!$E$2:$E$5000,MATCH($C126,DB_materiali!$A$2:$A$5000,0))&gt;=INDEX(DB_malas!$C$2:$C$5000,MATCH(I126,DB_malas!$A$2:$A$5000,0)),IF(INDEX(DB_materiali!$E$2:$E$5000,MATCH($C126,DB_materiali!$A$2:$A$5000,0))&lt;=INDEX(DB_malas!$D$2:$D$5000,MATCH(I126,DB_malas!$A$2:$A$5000,0)),IF(OR(INDEX(DB_materiali!$B$2:$B$5000,MATCH($C126,DB_materiali!$A$2:$A$5000,0))=INDEX(DB_malas!$B$2:$B$5000,MATCH(I126,DB_malas!$A$2:$A$5000,0)),$H126="ORG"),"✔",tulkojums!$A$38),tulkojums!$A$39),tulkojums!$A$39))</f>
        <v/>
      </c>
      <c r="R126" s="2" t="str">
        <f>IF(ISBLANK(J126),"",IF(INDEX(DB_materiali!$E$2:$E$5000,MATCH($C126,DB_materiali!$A$2:$A$5000,0))&gt;=INDEX(DB_malas!$C$2:$C$5000,MATCH(J126,DB_malas!$A$2:$A$5000,0)),IF(INDEX(DB_materiali!$E$2:$E$5000,MATCH($C126,DB_materiali!$A$2:$A$5000,0))&lt;=INDEX(DB_malas!$D$2:$D$5000,MATCH(J126,DB_malas!$A$2:$A$5000,0)),IF(INDEX(DB_materiali!$B$2:$B$5000,MATCH($C126,DB_materiali!$A$2:$A$5000,0))=INDEX(DB_malas!$B$2:$B$5000,MATCH(J126,DB_malas!$A$2:$A$5000,0)),"✔",tulkojums!$A$38),tulkojums!$A$39),tulkojums!$A$39))</f>
        <v/>
      </c>
      <c r="S126" s="2" t="str">
        <f>IF(ISBLANK(K126),"",IF(INDEX(DB_materiali!$E$2:$E$5000,MATCH($C126,DB_materiali!$A$2:$A$5000,0))&gt;=INDEX(DB_malas!$C$2:$C$5000,MATCH(K126,DB_malas!$A$2:$A$5000,0)),IF(INDEX(DB_materiali!$E$2:$E$5000,MATCH($C126,DB_materiali!$A$2:$A$5000,0))&lt;=INDEX(DB_malas!$D$2:$D$5000,MATCH(K126,DB_malas!$A$2:$A$5000,0)),IF(INDEX(DB_materiali!$B$2:$B$5000,MATCH($C126,DB_materiali!$A$2:$A$5000,0))=INDEX(DB_malas!$B$2:$B$5000,MATCH(K126,DB_malas!$A$2:$A$5000,0)),"✔",tulkojums!$A$38),tulkojums!$A$39),tulkojums!$A$39))</f>
        <v/>
      </c>
      <c r="T126" s="2"/>
      <c r="U126" s="2"/>
      <c r="V126" s="2"/>
      <c r="W126" s="2"/>
      <c r="X126" s="2"/>
      <c r="Y126" s="2"/>
      <c r="Z126" s="2"/>
    </row>
    <row r="127" spans="1:26" ht="15.75" customHeight="1">
      <c r="A127" s="17"/>
      <c r="B127" s="18"/>
      <c r="C127" s="19"/>
      <c r="D127" s="55"/>
      <c r="E127" s="55"/>
      <c r="F127" s="56"/>
      <c r="G127" s="57" t="str">
        <f>IF(ISBLANK(C127),"",
   IFERROR(
      IF(
         INDEX(DB_materiali!C$2:C$5000,
               MATCH(C127, DB_materiali!A$2:A$5000, 0)
         )="FALSE",
         "N",
         "Y"
      ),
   "")
)</f>
        <v/>
      </c>
      <c r="H127" s="20"/>
      <c r="I127" s="20"/>
      <c r="J127" s="20"/>
      <c r="K127" s="20"/>
      <c r="M127" s="2" t="str">
        <f>IF(ISBLANK(C127),"",IF(IFERROR(VLOOKUP(C127,DB_materiali!$A$2:$A$5000,1,FALSE),"Kļūda artikulā")=C127,"✔",tulkojums!A$42))</f>
        <v/>
      </c>
      <c r="N127" s="2" t="str">
        <f>IF(ISBLANK(C127),"",IF(ISNUMBER(F127)=TRUE,"✔",tulkojums!A$43))</f>
        <v/>
      </c>
      <c r="O127" s="2" t="str">
        <f>IF(ISBLANK(C127),"",IF(G127="Y","✔",IF(G127="X","✔",IF(G127="N","✔",tulkojums!A$44))))</f>
        <v/>
      </c>
      <c r="P127" s="2" t="str">
        <f>IF(ISBLANK(H127),"",IF(INDEX(DB_materiali!$E$2:$E$5000,MATCH($C127,DB_materiali!$A$2:$A$5000,0))&gt;=INDEX(DB_malas!$C$2:$C$5000,MATCH(H127,DB_malas!$A$2:$A$5000,0)),IF(INDEX(DB_materiali!$E$2:$E$5000,MATCH($C127,DB_materiali!$A$2:$A$5000,0))&lt;=INDEX(DB_malas!$D$2:$D$5000,MATCH(H127,DB_malas!$A$2:$A$5000,0)),IF(OR(INDEX(DB_materiali!$B$2:$B$5000,MATCH($C127,DB_materiali!$A$2:$A$5000,0))=INDEX(DB_malas!$B$2:$B$5000,MATCH(H127,DB_malas!$A$2:$A$5000,0)),$H127="ORG"),"✔",tulkojums!$A$38),tulkojums!$A$39),tulkojums!$A$39))</f>
        <v/>
      </c>
      <c r="Q127" s="2" t="str">
        <f>IF(ISBLANK(I127),"",IF(INDEX(DB_materiali!$E$2:$E$5000,MATCH($C127,DB_materiali!$A$2:$A$5000,0))&gt;=INDEX(DB_malas!$C$2:$C$5000,MATCH(I127,DB_malas!$A$2:$A$5000,0)),IF(INDEX(DB_materiali!$E$2:$E$5000,MATCH($C127,DB_materiali!$A$2:$A$5000,0))&lt;=INDEX(DB_malas!$D$2:$D$5000,MATCH(I127,DB_malas!$A$2:$A$5000,0)),IF(OR(INDEX(DB_materiali!$B$2:$B$5000,MATCH($C127,DB_materiali!$A$2:$A$5000,0))=INDEX(DB_malas!$B$2:$B$5000,MATCH(I127,DB_malas!$A$2:$A$5000,0)),$H127="ORG"),"✔",tulkojums!$A$38),tulkojums!$A$39),tulkojums!$A$39))</f>
        <v/>
      </c>
      <c r="R127" s="2" t="str">
        <f>IF(ISBLANK(J127),"",IF(INDEX(DB_materiali!$E$2:$E$5000,MATCH($C127,DB_materiali!$A$2:$A$5000,0))&gt;=INDEX(DB_malas!$C$2:$C$5000,MATCH(J127,DB_malas!$A$2:$A$5000,0)),IF(INDEX(DB_materiali!$E$2:$E$5000,MATCH($C127,DB_materiali!$A$2:$A$5000,0))&lt;=INDEX(DB_malas!$D$2:$D$5000,MATCH(J127,DB_malas!$A$2:$A$5000,0)),IF(INDEX(DB_materiali!$B$2:$B$5000,MATCH($C127,DB_materiali!$A$2:$A$5000,0))=INDEX(DB_malas!$B$2:$B$5000,MATCH(J127,DB_malas!$A$2:$A$5000,0)),"✔",tulkojums!$A$38),tulkojums!$A$39),tulkojums!$A$39))</f>
        <v/>
      </c>
      <c r="S127" s="2" t="str">
        <f>IF(ISBLANK(K127),"",IF(INDEX(DB_materiali!$E$2:$E$5000,MATCH($C127,DB_materiali!$A$2:$A$5000,0))&gt;=INDEX(DB_malas!$C$2:$C$5000,MATCH(K127,DB_malas!$A$2:$A$5000,0)),IF(INDEX(DB_materiali!$E$2:$E$5000,MATCH($C127,DB_materiali!$A$2:$A$5000,0))&lt;=INDEX(DB_malas!$D$2:$D$5000,MATCH(K127,DB_malas!$A$2:$A$5000,0)),IF(INDEX(DB_materiali!$B$2:$B$5000,MATCH($C127,DB_materiali!$A$2:$A$5000,0))=INDEX(DB_malas!$B$2:$B$5000,MATCH(K127,DB_malas!$A$2:$A$5000,0)),"✔",tulkojums!$A$38),tulkojums!$A$39),tulkojums!$A$39))</f>
        <v/>
      </c>
      <c r="T127" s="2"/>
      <c r="U127" s="2"/>
      <c r="V127" s="2"/>
      <c r="W127" s="2"/>
      <c r="X127" s="2"/>
      <c r="Y127" s="2"/>
      <c r="Z127" s="2"/>
    </row>
    <row r="128" spans="1:26" ht="15.75" customHeight="1">
      <c r="A128" s="17"/>
      <c r="B128" s="18"/>
      <c r="C128" s="19"/>
      <c r="D128" s="55"/>
      <c r="E128" s="55"/>
      <c r="F128" s="56"/>
      <c r="G128" s="57" t="str">
        <f>IF(ISBLANK(C128),"",
   IFERROR(
      IF(
         INDEX(DB_materiali!C$2:C$5000,
               MATCH(C128, DB_materiali!A$2:A$5000, 0)
         )="FALSE",
         "N",
         "Y"
      ),
   "")
)</f>
        <v/>
      </c>
      <c r="H128" s="20"/>
      <c r="I128" s="20"/>
      <c r="J128" s="20"/>
      <c r="K128" s="20"/>
      <c r="M128" s="2" t="str">
        <f>IF(ISBLANK(C128),"",IF(IFERROR(VLOOKUP(C128,DB_materiali!$A$2:$A$5000,1,FALSE),"Kļūda artikulā")=C128,"✔",tulkojums!A$42))</f>
        <v/>
      </c>
      <c r="N128" s="2" t="str">
        <f>IF(ISBLANK(C128),"",IF(ISNUMBER(F128)=TRUE,"✔",tulkojums!A$43))</f>
        <v/>
      </c>
      <c r="O128" s="2" t="str">
        <f>IF(ISBLANK(C128),"",IF(G128="Y","✔",IF(G128="X","✔",IF(G128="N","✔",tulkojums!A$44))))</f>
        <v/>
      </c>
      <c r="P128" s="2" t="str">
        <f>IF(ISBLANK(H128),"",IF(INDEX(DB_materiali!$E$2:$E$5000,MATCH($C128,DB_materiali!$A$2:$A$5000,0))&gt;=INDEX(DB_malas!$C$2:$C$5000,MATCH(H128,DB_malas!$A$2:$A$5000,0)),IF(INDEX(DB_materiali!$E$2:$E$5000,MATCH($C128,DB_materiali!$A$2:$A$5000,0))&lt;=INDEX(DB_malas!$D$2:$D$5000,MATCH(H128,DB_malas!$A$2:$A$5000,0)),IF(OR(INDEX(DB_materiali!$B$2:$B$5000,MATCH($C128,DB_materiali!$A$2:$A$5000,0))=INDEX(DB_malas!$B$2:$B$5000,MATCH(H128,DB_malas!$A$2:$A$5000,0)),$H128="ORG"),"✔",tulkojums!$A$38),tulkojums!$A$39),tulkojums!$A$39))</f>
        <v/>
      </c>
      <c r="Q128" s="2" t="str">
        <f>IF(ISBLANK(I128),"",IF(INDEX(DB_materiali!$E$2:$E$5000,MATCH($C128,DB_materiali!$A$2:$A$5000,0))&gt;=INDEX(DB_malas!$C$2:$C$5000,MATCH(I128,DB_malas!$A$2:$A$5000,0)),IF(INDEX(DB_materiali!$E$2:$E$5000,MATCH($C128,DB_materiali!$A$2:$A$5000,0))&lt;=INDEX(DB_malas!$D$2:$D$5000,MATCH(I128,DB_malas!$A$2:$A$5000,0)),IF(OR(INDEX(DB_materiali!$B$2:$B$5000,MATCH($C128,DB_materiali!$A$2:$A$5000,0))=INDEX(DB_malas!$B$2:$B$5000,MATCH(I128,DB_malas!$A$2:$A$5000,0)),$H128="ORG"),"✔",tulkojums!$A$38),tulkojums!$A$39),tulkojums!$A$39))</f>
        <v/>
      </c>
      <c r="R128" s="2" t="str">
        <f>IF(ISBLANK(J128),"",IF(INDEX(DB_materiali!$E$2:$E$5000,MATCH($C128,DB_materiali!$A$2:$A$5000,0))&gt;=INDEX(DB_malas!$C$2:$C$5000,MATCH(J128,DB_malas!$A$2:$A$5000,0)),IF(INDEX(DB_materiali!$E$2:$E$5000,MATCH($C128,DB_materiali!$A$2:$A$5000,0))&lt;=INDEX(DB_malas!$D$2:$D$5000,MATCH(J128,DB_malas!$A$2:$A$5000,0)),IF(INDEX(DB_materiali!$B$2:$B$5000,MATCH($C128,DB_materiali!$A$2:$A$5000,0))=INDEX(DB_malas!$B$2:$B$5000,MATCH(J128,DB_malas!$A$2:$A$5000,0)),"✔",tulkojums!$A$38),tulkojums!$A$39),tulkojums!$A$39))</f>
        <v/>
      </c>
      <c r="S128" s="2" t="str">
        <f>IF(ISBLANK(K128),"",IF(INDEX(DB_materiali!$E$2:$E$5000,MATCH($C128,DB_materiali!$A$2:$A$5000,0))&gt;=INDEX(DB_malas!$C$2:$C$5000,MATCH(K128,DB_malas!$A$2:$A$5000,0)),IF(INDEX(DB_materiali!$E$2:$E$5000,MATCH($C128,DB_materiali!$A$2:$A$5000,0))&lt;=INDEX(DB_malas!$D$2:$D$5000,MATCH(K128,DB_malas!$A$2:$A$5000,0)),IF(INDEX(DB_materiali!$B$2:$B$5000,MATCH($C128,DB_materiali!$A$2:$A$5000,0))=INDEX(DB_malas!$B$2:$B$5000,MATCH(K128,DB_malas!$A$2:$A$5000,0)),"✔",tulkojums!$A$38),tulkojums!$A$39),tulkojums!$A$39))</f>
        <v/>
      </c>
      <c r="T128" s="2"/>
      <c r="U128" s="2"/>
      <c r="V128" s="2"/>
      <c r="W128" s="2"/>
      <c r="X128" s="2"/>
      <c r="Y128" s="2"/>
      <c r="Z128" s="2"/>
    </row>
    <row r="129" spans="1:26" ht="15.75" customHeight="1">
      <c r="A129" s="17"/>
      <c r="B129" s="18"/>
      <c r="C129" s="19"/>
      <c r="D129" s="55"/>
      <c r="E129" s="55"/>
      <c r="F129" s="56"/>
      <c r="G129" s="57" t="str">
        <f>IF(ISBLANK(C129),"",
   IFERROR(
      IF(
         INDEX(DB_materiali!C$2:C$5000,
               MATCH(C129, DB_materiali!A$2:A$5000, 0)
         )="FALSE",
         "N",
         "Y"
      ),
   "")
)</f>
        <v/>
      </c>
      <c r="H129" s="20"/>
      <c r="I129" s="20"/>
      <c r="J129" s="20"/>
      <c r="K129" s="20"/>
      <c r="M129" s="2" t="str">
        <f>IF(ISBLANK(C129),"",IF(IFERROR(VLOOKUP(C129,DB_materiali!$A$2:$A$5000,1,FALSE),"Kļūda artikulā")=C129,"✔",tulkojums!A$42))</f>
        <v/>
      </c>
      <c r="N129" s="2" t="str">
        <f>IF(ISBLANK(C129),"",IF(ISNUMBER(F129)=TRUE,"✔",tulkojums!A$43))</f>
        <v/>
      </c>
      <c r="O129" s="2" t="str">
        <f>IF(ISBLANK(C129),"",IF(G129="Y","✔",IF(G129="X","✔",IF(G129="N","✔",tulkojums!A$44))))</f>
        <v/>
      </c>
      <c r="P129" s="2" t="str">
        <f>IF(ISBLANK(H129),"",IF(INDEX(DB_materiali!$E$2:$E$5000,MATCH($C129,DB_materiali!$A$2:$A$5000,0))&gt;=INDEX(DB_malas!$C$2:$C$5000,MATCH(H129,DB_malas!$A$2:$A$5000,0)),IF(INDEX(DB_materiali!$E$2:$E$5000,MATCH($C129,DB_materiali!$A$2:$A$5000,0))&lt;=INDEX(DB_malas!$D$2:$D$5000,MATCH(H129,DB_malas!$A$2:$A$5000,0)),IF(OR(INDEX(DB_materiali!$B$2:$B$5000,MATCH($C129,DB_materiali!$A$2:$A$5000,0))=INDEX(DB_malas!$B$2:$B$5000,MATCH(H129,DB_malas!$A$2:$A$5000,0)),$H129="ORG"),"✔",tulkojums!$A$38),tulkojums!$A$39),tulkojums!$A$39))</f>
        <v/>
      </c>
      <c r="Q129" s="2" t="str">
        <f>IF(ISBLANK(I129),"",IF(INDEX(DB_materiali!$E$2:$E$5000,MATCH($C129,DB_materiali!$A$2:$A$5000,0))&gt;=INDEX(DB_malas!$C$2:$C$5000,MATCH(I129,DB_malas!$A$2:$A$5000,0)),IF(INDEX(DB_materiali!$E$2:$E$5000,MATCH($C129,DB_materiali!$A$2:$A$5000,0))&lt;=INDEX(DB_malas!$D$2:$D$5000,MATCH(I129,DB_malas!$A$2:$A$5000,0)),IF(OR(INDEX(DB_materiali!$B$2:$B$5000,MATCH($C129,DB_materiali!$A$2:$A$5000,0))=INDEX(DB_malas!$B$2:$B$5000,MATCH(I129,DB_malas!$A$2:$A$5000,0)),$H129="ORG"),"✔",tulkojums!$A$38),tulkojums!$A$39),tulkojums!$A$39))</f>
        <v/>
      </c>
      <c r="R129" s="2" t="str">
        <f>IF(ISBLANK(J129),"",IF(INDEX(DB_materiali!$E$2:$E$5000,MATCH($C129,DB_materiali!$A$2:$A$5000,0))&gt;=INDEX(DB_malas!$C$2:$C$5000,MATCH(J129,DB_malas!$A$2:$A$5000,0)),IF(INDEX(DB_materiali!$E$2:$E$5000,MATCH($C129,DB_materiali!$A$2:$A$5000,0))&lt;=INDEX(DB_malas!$D$2:$D$5000,MATCH(J129,DB_malas!$A$2:$A$5000,0)),IF(INDEX(DB_materiali!$B$2:$B$5000,MATCH($C129,DB_materiali!$A$2:$A$5000,0))=INDEX(DB_malas!$B$2:$B$5000,MATCH(J129,DB_malas!$A$2:$A$5000,0)),"✔",tulkojums!$A$38),tulkojums!$A$39),tulkojums!$A$39))</f>
        <v/>
      </c>
      <c r="S129" s="2" t="str">
        <f>IF(ISBLANK(K129),"",IF(INDEX(DB_materiali!$E$2:$E$5000,MATCH($C129,DB_materiali!$A$2:$A$5000,0))&gt;=INDEX(DB_malas!$C$2:$C$5000,MATCH(K129,DB_malas!$A$2:$A$5000,0)),IF(INDEX(DB_materiali!$E$2:$E$5000,MATCH($C129,DB_materiali!$A$2:$A$5000,0))&lt;=INDEX(DB_malas!$D$2:$D$5000,MATCH(K129,DB_malas!$A$2:$A$5000,0)),IF(INDEX(DB_materiali!$B$2:$B$5000,MATCH($C129,DB_materiali!$A$2:$A$5000,0))=INDEX(DB_malas!$B$2:$B$5000,MATCH(K129,DB_malas!$A$2:$A$5000,0)),"✔",tulkojums!$A$38),tulkojums!$A$39),tulkojums!$A$39))</f>
        <v/>
      </c>
      <c r="T129" s="2"/>
      <c r="U129" s="2"/>
      <c r="V129" s="2"/>
      <c r="W129" s="2"/>
      <c r="X129" s="2"/>
      <c r="Y129" s="2"/>
      <c r="Z129" s="2"/>
    </row>
    <row r="130" spans="1:26" ht="15.75" customHeight="1">
      <c r="A130" s="17"/>
      <c r="B130" s="18"/>
      <c r="C130" s="19"/>
      <c r="D130" s="55"/>
      <c r="E130" s="55"/>
      <c r="F130" s="56"/>
      <c r="G130" s="57" t="str">
        <f>IF(ISBLANK(C130),"",
   IFERROR(
      IF(
         INDEX(DB_materiali!C$2:C$5000,
               MATCH(C130, DB_materiali!A$2:A$5000, 0)
         )="FALSE",
         "N",
         "Y"
      ),
   "")
)</f>
        <v/>
      </c>
      <c r="H130" s="20"/>
      <c r="I130" s="20"/>
      <c r="J130" s="20"/>
      <c r="K130" s="20"/>
      <c r="M130" s="2" t="str">
        <f>IF(ISBLANK(C130),"",IF(IFERROR(VLOOKUP(C130,DB_materiali!$A$2:$A$5000,1,FALSE),"Kļūda artikulā")=C130,"✔",tulkojums!A$42))</f>
        <v/>
      </c>
      <c r="N130" s="2" t="str">
        <f>IF(ISBLANK(C130),"",IF(ISNUMBER(F130)=TRUE,"✔",tulkojums!A$43))</f>
        <v/>
      </c>
      <c r="O130" s="2" t="str">
        <f>IF(ISBLANK(C130),"",IF(G130="Y","✔",IF(G130="X","✔",IF(G130="N","✔",tulkojums!A$44))))</f>
        <v/>
      </c>
      <c r="P130" s="2" t="str">
        <f>IF(ISBLANK(H130),"",IF(INDEX(DB_materiali!$E$2:$E$5000,MATCH($C130,DB_materiali!$A$2:$A$5000,0))&gt;=INDEX(DB_malas!$C$2:$C$5000,MATCH(H130,DB_malas!$A$2:$A$5000,0)),IF(INDEX(DB_materiali!$E$2:$E$5000,MATCH($C130,DB_materiali!$A$2:$A$5000,0))&lt;=INDEX(DB_malas!$D$2:$D$5000,MATCH(H130,DB_malas!$A$2:$A$5000,0)),IF(OR(INDEX(DB_materiali!$B$2:$B$5000,MATCH($C130,DB_materiali!$A$2:$A$5000,0))=INDEX(DB_malas!$B$2:$B$5000,MATCH(H130,DB_malas!$A$2:$A$5000,0)),$H130="ORG"),"✔",tulkojums!$A$38),tulkojums!$A$39),tulkojums!$A$39))</f>
        <v/>
      </c>
      <c r="Q130" s="2" t="str">
        <f>IF(ISBLANK(I130),"",IF(INDEX(DB_materiali!$E$2:$E$5000,MATCH($C130,DB_materiali!$A$2:$A$5000,0))&gt;=INDEX(DB_malas!$C$2:$C$5000,MATCH(I130,DB_malas!$A$2:$A$5000,0)),IF(INDEX(DB_materiali!$E$2:$E$5000,MATCH($C130,DB_materiali!$A$2:$A$5000,0))&lt;=INDEX(DB_malas!$D$2:$D$5000,MATCH(I130,DB_malas!$A$2:$A$5000,0)),IF(OR(INDEX(DB_materiali!$B$2:$B$5000,MATCH($C130,DB_materiali!$A$2:$A$5000,0))=INDEX(DB_malas!$B$2:$B$5000,MATCH(I130,DB_malas!$A$2:$A$5000,0)),$H130="ORG"),"✔",tulkojums!$A$38),tulkojums!$A$39),tulkojums!$A$39))</f>
        <v/>
      </c>
      <c r="R130" s="2" t="str">
        <f>IF(ISBLANK(J130),"",IF(INDEX(DB_materiali!$E$2:$E$5000,MATCH($C130,DB_materiali!$A$2:$A$5000,0))&gt;=INDEX(DB_malas!$C$2:$C$5000,MATCH(J130,DB_malas!$A$2:$A$5000,0)),IF(INDEX(DB_materiali!$E$2:$E$5000,MATCH($C130,DB_materiali!$A$2:$A$5000,0))&lt;=INDEX(DB_malas!$D$2:$D$5000,MATCH(J130,DB_malas!$A$2:$A$5000,0)),IF(INDEX(DB_materiali!$B$2:$B$5000,MATCH($C130,DB_materiali!$A$2:$A$5000,0))=INDEX(DB_malas!$B$2:$B$5000,MATCH(J130,DB_malas!$A$2:$A$5000,0)),"✔",tulkojums!$A$38),tulkojums!$A$39),tulkojums!$A$39))</f>
        <v/>
      </c>
      <c r="S130" s="2" t="str">
        <f>IF(ISBLANK(K130),"",IF(INDEX(DB_materiali!$E$2:$E$5000,MATCH($C130,DB_materiali!$A$2:$A$5000,0))&gt;=INDEX(DB_malas!$C$2:$C$5000,MATCH(K130,DB_malas!$A$2:$A$5000,0)),IF(INDEX(DB_materiali!$E$2:$E$5000,MATCH($C130,DB_materiali!$A$2:$A$5000,0))&lt;=INDEX(DB_malas!$D$2:$D$5000,MATCH(K130,DB_malas!$A$2:$A$5000,0)),IF(INDEX(DB_materiali!$B$2:$B$5000,MATCH($C130,DB_materiali!$A$2:$A$5000,0))=INDEX(DB_malas!$B$2:$B$5000,MATCH(K130,DB_malas!$A$2:$A$5000,0)),"✔",tulkojums!$A$38),tulkojums!$A$39),tulkojums!$A$39))</f>
        <v/>
      </c>
      <c r="T130" s="2"/>
      <c r="U130" s="2"/>
      <c r="V130" s="2"/>
      <c r="W130" s="2"/>
      <c r="X130" s="2"/>
      <c r="Y130" s="2"/>
      <c r="Z130" s="2"/>
    </row>
    <row r="131" spans="1:26" ht="15.75" customHeight="1">
      <c r="A131" s="17"/>
      <c r="B131" s="18"/>
      <c r="C131" s="19"/>
      <c r="D131" s="55"/>
      <c r="E131" s="55"/>
      <c r="F131" s="56"/>
      <c r="G131" s="57" t="str">
        <f>IF(ISBLANK(C131),"",
   IFERROR(
      IF(
         INDEX(DB_materiali!C$2:C$5000,
               MATCH(C131, DB_materiali!A$2:A$5000, 0)
         )="FALSE",
         "N",
         "Y"
      ),
   "")
)</f>
        <v/>
      </c>
      <c r="H131" s="20"/>
      <c r="I131" s="20"/>
      <c r="J131" s="20"/>
      <c r="K131" s="20"/>
      <c r="M131" s="2" t="str">
        <f>IF(ISBLANK(C131),"",IF(IFERROR(VLOOKUP(C131,DB_materiali!$A$2:$A$5000,1,FALSE),"Kļūda artikulā")=C131,"✔",tulkojums!A$42))</f>
        <v/>
      </c>
      <c r="N131" s="2" t="str">
        <f>IF(ISBLANK(C131),"",IF(ISNUMBER(F131)=TRUE,"✔",tulkojums!A$43))</f>
        <v/>
      </c>
      <c r="O131" s="2" t="str">
        <f>IF(ISBLANK(C131),"",IF(G131="Y","✔",IF(G131="X","✔",IF(G131="N","✔",tulkojums!A$44))))</f>
        <v/>
      </c>
      <c r="P131" s="2" t="str">
        <f>IF(ISBLANK(H131),"",IF(INDEX(DB_materiali!$E$2:$E$5000,MATCH($C131,DB_materiali!$A$2:$A$5000,0))&gt;=INDEX(DB_malas!$C$2:$C$5000,MATCH(H131,DB_malas!$A$2:$A$5000,0)),IF(INDEX(DB_materiali!$E$2:$E$5000,MATCH($C131,DB_materiali!$A$2:$A$5000,0))&lt;=INDEX(DB_malas!$D$2:$D$5000,MATCH(H131,DB_malas!$A$2:$A$5000,0)),IF(OR(INDEX(DB_materiali!$B$2:$B$5000,MATCH($C131,DB_materiali!$A$2:$A$5000,0))=INDEX(DB_malas!$B$2:$B$5000,MATCH(H131,DB_malas!$A$2:$A$5000,0)),$H131="ORG"),"✔",tulkojums!$A$38),tulkojums!$A$39),tulkojums!$A$39))</f>
        <v/>
      </c>
      <c r="Q131" s="2" t="str">
        <f>IF(ISBLANK(I131),"",IF(INDEX(DB_materiali!$E$2:$E$5000,MATCH($C131,DB_materiali!$A$2:$A$5000,0))&gt;=INDEX(DB_malas!$C$2:$C$5000,MATCH(I131,DB_malas!$A$2:$A$5000,0)),IF(INDEX(DB_materiali!$E$2:$E$5000,MATCH($C131,DB_materiali!$A$2:$A$5000,0))&lt;=INDEX(DB_malas!$D$2:$D$5000,MATCH(I131,DB_malas!$A$2:$A$5000,0)),IF(OR(INDEX(DB_materiali!$B$2:$B$5000,MATCH($C131,DB_materiali!$A$2:$A$5000,0))=INDEX(DB_malas!$B$2:$B$5000,MATCH(I131,DB_malas!$A$2:$A$5000,0)),$H131="ORG"),"✔",tulkojums!$A$38),tulkojums!$A$39),tulkojums!$A$39))</f>
        <v/>
      </c>
      <c r="R131" s="2" t="str">
        <f>IF(ISBLANK(J131),"",IF(INDEX(DB_materiali!$E$2:$E$5000,MATCH($C131,DB_materiali!$A$2:$A$5000,0))&gt;=INDEX(DB_malas!$C$2:$C$5000,MATCH(J131,DB_malas!$A$2:$A$5000,0)),IF(INDEX(DB_materiali!$E$2:$E$5000,MATCH($C131,DB_materiali!$A$2:$A$5000,0))&lt;=INDEX(DB_malas!$D$2:$D$5000,MATCH(J131,DB_malas!$A$2:$A$5000,0)),IF(INDEX(DB_materiali!$B$2:$B$5000,MATCH($C131,DB_materiali!$A$2:$A$5000,0))=INDEX(DB_malas!$B$2:$B$5000,MATCH(J131,DB_malas!$A$2:$A$5000,0)),"✔",tulkojums!$A$38),tulkojums!$A$39),tulkojums!$A$39))</f>
        <v/>
      </c>
      <c r="S131" s="2" t="str">
        <f>IF(ISBLANK(K131),"",IF(INDEX(DB_materiali!$E$2:$E$5000,MATCH($C131,DB_materiali!$A$2:$A$5000,0))&gt;=INDEX(DB_malas!$C$2:$C$5000,MATCH(K131,DB_malas!$A$2:$A$5000,0)),IF(INDEX(DB_materiali!$E$2:$E$5000,MATCH($C131,DB_materiali!$A$2:$A$5000,0))&lt;=INDEX(DB_malas!$D$2:$D$5000,MATCH(K131,DB_malas!$A$2:$A$5000,0)),IF(INDEX(DB_materiali!$B$2:$B$5000,MATCH($C131,DB_materiali!$A$2:$A$5000,0))=INDEX(DB_malas!$B$2:$B$5000,MATCH(K131,DB_malas!$A$2:$A$5000,0)),"✔",tulkojums!$A$38),tulkojums!$A$39),tulkojums!$A$39))</f>
        <v/>
      </c>
      <c r="T131" s="2"/>
      <c r="U131" s="2"/>
      <c r="V131" s="2"/>
      <c r="W131" s="2"/>
      <c r="X131" s="2"/>
      <c r="Y131" s="2"/>
      <c r="Z131" s="2"/>
    </row>
    <row r="132" spans="1:26" ht="15.75" customHeight="1">
      <c r="A132" s="17"/>
      <c r="B132" s="18"/>
      <c r="C132" s="19"/>
      <c r="D132" s="55"/>
      <c r="E132" s="55"/>
      <c r="F132" s="56"/>
      <c r="G132" s="57" t="str">
        <f>IF(ISBLANK(C132),"",
   IFERROR(
      IF(
         INDEX(DB_materiali!C$2:C$5000,
               MATCH(C132, DB_materiali!A$2:A$5000, 0)
         )="FALSE",
         "N",
         "Y"
      ),
   "")
)</f>
        <v/>
      </c>
      <c r="H132" s="20"/>
      <c r="I132" s="20"/>
      <c r="J132" s="20"/>
      <c r="K132" s="20"/>
      <c r="M132" s="2" t="str">
        <f>IF(ISBLANK(C132),"",IF(IFERROR(VLOOKUP(C132,DB_materiali!$A$2:$A$5000,1,FALSE),"Kļūda artikulā")=C132,"✔",tulkojums!A$42))</f>
        <v/>
      </c>
      <c r="N132" s="2" t="str">
        <f>IF(ISBLANK(C132),"",IF(ISNUMBER(F132)=TRUE,"✔",tulkojums!A$43))</f>
        <v/>
      </c>
      <c r="O132" s="2" t="str">
        <f>IF(ISBLANK(C132),"",IF(G132="Y","✔",IF(G132="X","✔",IF(G132="N","✔",tulkojums!A$44))))</f>
        <v/>
      </c>
      <c r="P132" s="2" t="str">
        <f>IF(ISBLANK(H132),"",IF(INDEX(DB_materiali!$E$2:$E$5000,MATCH($C132,DB_materiali!$A$2:$A$5000,0))&gt;=INDEX(DB_malas!$C$2:$C$5000,MATCH(H132,DB_malas!$A$2:$A$5000,0)),IF(INDEX(DB_materiali!$E$2:$E$5000,MATCH($C132,DB_materiali!$A$2:$A$5000,0))&lt;=INDEX(DB_malas!$D$2:$D$5000,MATCH(H132,DB_malas!$A$2:$A$5000,0)),IF(OR(INDEX(DB_materiali!$B$2:$B$5000,MATCH($C132,DB_materiali!$A$2:$A$5000,0))=INDEX(DB_malas!$B$2:$B$5000,MATCH(H132,DB_malas!$A$2:$A$5000,0)),$H132="ORG"),"✔",tulkojums!$A$38),tulkojums!$A$39),tulkojums!$A$39))</f>
        <v/>
      </c>
      <c r="Q132" s="2" t="str">
        <f>IF(ISBLANK(I132),"",IF(INDEX(DB_materiali!$E$2:$E$5000,MATCH($C132,DB_materiali!$A$2:$A$5000,0))&gt;=INDEX(DB_malas!$C$2:$C$5000,MATCH(I132,DB_malas!$A$2:$A$5000,0)),IF(INDEX(DB_materiali!$E$2:$E$5000,MATCH($C132,DB_materiali!$A$2:$A$5000,0))&lt;=INDEX(DB_malas!$D$2:$D$5000,MATCH(I132,DB_malas!$A$2:$A$5000,0)),IF(OR(INDEX(DB_materiali!$B$2:$B$5000,MATCH($C132,DB_materiali!$A$2:$A$5000,0))=INDEX(DB_malas!$B$2:$B$5000,MATCH(I132,DB_malas!$A$2:$A$5000,0)),$H132="ORG"),"✔",tulkojums!$A$38),tulkojums!$A$39),tulkojums!$A$39))</f>
        <v/>
      </c>
      <c r="R132" s="2" t="str">
        <f>IF(ISBLANK(J132),"",IF(INDEX(DB_materiali!$E$2:$E$5000,MATCH($C132,DB_materiali!$A$2:$A$5000,0))&gt;=INDEX(DB_malas!$C$2:$C$5000,MATCH(J132,DB_malas!$A$2:$A$5000,0)),IF(INDEX(DB_materiali!$E$2:$E$5000,MATCH($C132,DB_materiali!$A$2:$A$5000,0))&lt;=INDEX(DB_malas!$D$2:$D$5000,MATCH(J132,DB_malas!$A$2:$A$5000,0)),IF(INDEX(DB_materiali!$B$2:$B$5000,MATCH($C132,DB_materiali!$A$2:$A$5000,0))=INDEX(DB_malas!$B$2:$B$5000,MATCH(J132,DB_malas!$A$2:$A$5000,0)),"✔",tulkojums!$A$38),tulkojums!$A$39),tulkojums!$A$39))</f>
        <v/>
      </c>
      <c r="S132" s="2" t="str">
        <f>IF(ISBLANK(K132),"",IF(INDEX(DB_materiali!$E$2:$E$5000,MATCH($C132,DB_materiali!$A$2:$A$5000,0))&gt;=INDEX(DB_malas!$C$2:$C$5000,MATCH(K132,DB_malas!$A$2:$A$5000,0)),IF(INDEX(DB_materiali!$E$2:$E$5000,MATCH($C132,DB_materiali!$A$2:$A$5000,0))&lt;=INDEX(DB_malas!$D$2:$D$5000,MATCH(K132,DB_malas!$A$2:$A$5000,0)),IF(INDEX(DB_materiali!$B$2:$B$5000,MATCH($C132,DB_materiali!$A$2:$A$5000,0))=INDEX(DB_malas!$B$2:$B$5000,MATCH(K132,DB_malas!$A$2:$A$5000,0)),"✔",tulkojums!$A$38),tulkojums!$A$39),tulkojums!$A$39))</f>
        <v/>
      </c>
      <c r="T132" s="2"/>
      <c r="U132" s="2"/>
      <c r="V132" s="2"/>
      <c r="W132" s="2"/>
      <c r="X132" s="2"/>
      <c r="Y132" s="2"/>
      <c r="Z132" s="2"/>
    </row>
    <row r="133" spans="1:26" ht="15.75" customHeight="1">
      <c r="A133" s="17"/>
      <c r="B133" s="18"/>
      <c r="C133" s="19"/>
      <c r="D133" s="55"/>
      <c r="E133" s="55"/>
      <c r="F133" s="56"/>
      <c r="G133" s="57" t="str">
        <f>IF(ISBLANK(C133),"",
   IFERROR(
      IF(
         INDEX(DB_materiali!C$2:C$5000,
               MATCH(C133, DB_materiali!A$2:A$5000, 0)
         )="FALSE",
         "N",
         "Y"
      ),
   "")
)</f>
        <v/>
      </c>
      <c r="H133" s="20"/>
      <c r="I133" s="20"/>
      <c r="J133" s="20"/>
      <c r="K133" s="20"/>
      <c r="M133" s="2" t="str">
        <f>IF(ISBLANK(C133),"",IF(IFERROR(VLOOKUP(C133,DB_materiali!$A$2:$A$5000,1,FALSE),"Kļūda artikulā")=C133,"✔",tulkojums!A$42))</f>
        <v/>
      </c>
      <c r="N133" s="2" t="str">
        <f>IF(ISBLANK(C133),"",IF(ISNUMBER(F133)=TRUE,"✔",tulkojums!A$43))</f>
        <v/>
      </c>
      <c r="O133" s="2" t="str">
        <f>IF(ISBLANK(C133),"",IF(G133="Y","✔",IF(G133="X","✔",IF(G133="N","✔",tulkojums!A$44))))</f>
        <v/>
      </c>
      <c r="P133" s="2" t="str">
        <f>IF(ISBLANK(H133),"",IF(INDEX(DB_materiali!$E$2:$E$5000,MATCH($C133,DB_materiali!$A$2:$A$5000,0))&gt;=INDEX(DB_malas!$C$2:$C$5000,MATCH(H133,DB_malas!$A$2:$A$5000,0)),IF(INDEX(DB_materiali!$E$2:$E$5000,MATCH($C133,DB_materiali!$A$2:$A$5000,0))&lt;=INDEX(DB_malas!$D$2:$D$5000,MATCH(H133,DB_malas!$A$2:$A$5000,0)),IF(OR(INDEX(DB_materiali!$B$2:$B$5000,MATCH($C133,DB_materiali!$A$2:$A$5000,0))=INDEX(DB_malas!$B$2:$B$5000,MATCH(H133,DB_malas!$A$2:$A$5000,0)),$H133="ORG"),"✔",tulkojums!$A$38),tulkojums!$A$39),tulkojums!$A$39))</f>
        <v/>
      </c>
      <c r="Q133" s="2" t="str">
        <f>IF(ISBLANK(I133),"",IF(INDEX(DB_materiali!$E$2:$E$5000,MATCH($C133,DB_materiali!$A$2:$A$5000,0))&gt;=INDEX(DB_malas!$C$2:$C$5000,MATCH(I133,DB_malas!$A$2:$A$5000,0)),IF(INDEX(DB_materiali!$E$2:$E$5000,MATCH($C133,DB_materiali!$A$2:$A$5000,0))&lt;=INDEX(DB_malas!$D$2:$D$5000,MATCH(I133,DB_malas!$A$2:$A$5000,0)),IF(OR(INDEX(DB_materiali!$B$2:$B$5000,MATCH($C133,DB_materiali!$A$2:$A$5000,0))=INDEX(DB_malas!$B$2:$B$5000,MATCH(I133,DB_malas!$A$2:$A$5000,0)),$H133="ORG"),"✔",tulkojums!$A$38),tulkojums!$A$39),tulkojums!$A$39))</f>
        <v/>
      </c>
      <c r="R133" s="2" t="str">
        <f>IF(ISBLANK(J133),"",IF(INDEX(DB_materiali!$E$2:$E$5000,MATCH($C133,DB_materiali!$A$2:$A$5000,0))&gt;=INDEX(DB_malas!$C$2:$C$5000,MATCH(J133,DB_malas!$A$2:$A$5000,0)),IF(INDEX(DB_materiali!$E$2:$E$5000,MATCH($C133,DB_materiali!$A$2:$A$5000,0))&lt;=INDEX(DB_malas!$D$2:$D$5000,MATCH(J133,DB_malas!$A$2:$A$5000,0)),IF(INDEX(DB_materiali!$B$2:$B$5000,MATCH($C133,DB_materiali!$A$2:$A$5000,0))=INDEX(DB_malas!$B$2:$B$5000,MATCH(J133,DB_malas!$A$2:$A$5000,0)),"✔",tulkojums!$A$38),tulkojums!$A$39),tulkojums!$A$39))</f>
        <v/>
      </c>
      <c r="S133" s="2" t="str">
        <f>IF(ISBLANK(K133),"",IF(INDEX(DB_materiali!$E$2:$E$5000,MATCH($C133,DB_materiali!$A$2:$A$5000,0))&gt;=INDEX(DB_malas!$C$2:$C$5000,MATCH(K133,DB_malas!$A$2:$A$5000,0)),IF(INDEX(DB_materiali!$E$2:$E$5000,MATCH($C133,DB_materiali!$A$2:$A$5000,0))&lt;=INDEX(DB_malas!$D$2:$D$5000,MATCH(K133,DB_malas!$A$2:$A$5000,0)),IF(INDEX(DB_materiali!$B$2:$B$5000,MATCH($C133,DB_materiali!$A$2:$A$5000,0))=INDEX(DB_malas!$B$2:$B$5000,MATCH(K133,DB_malas!$A$2:$A$5000,0)),"✔",tulkojums!$A$38),tulkojums!$A$39),tulkojums!$A$39))</f>
        <v/>
      </c>
      <c r="T133" s="2"/>
      <c r="U133" s="2"/>
      <c r="V133" s="2"/>
      <c r="W133" s="2"/>
      <c r="X133" s="2"/>
      <c r="Y133" s="2"/>
      <c r="Z133" s="2"/>
    </row>
    <row r="134" spans="1:26" ht="15.75" customHeight="1">
      <c r="A134" s="17"/>
      <c r="B134" s="18"/>
      <c r="C134" s="19"/>
      <c r="D134" s="55"/>
      <c r="E134" s="55"/>
      <c r="F134" s="56"/>
      <c r="G134" s="57" t="str">
        <f>IF(ISBLANK(C134),"",
   IFERROR(
      IF(
         INDEX(DB_materiali!C$2:C$5000,
               MATCH(C134, DB_materiali!A$2:A$5000, 0)
         )="FALSE",
         "N",
         "Y"
      ),
   "")
)</f>
        <v/>
      </c>
      <c r="H134" s="20"/>
      <c r="I134" s="20"/>
      <c r="J134" s="20"/>
      <c r="K134" s="20"/>
      <c r="M134" s="2" t="str">
        <f>IF(ISBLANK(C134),"",IF(IFERROR(VLOOKUP(C134,DB_materiali!$A$2:$A$5000,1,FALSE),"Kļūda artikulā")=C134,"✔",tulkojums!A$42))</f>
        <v/>
      </c>
      <c r="N134" s="2" t="str">
        <f>IF(ISBLANK(C134),"",IF(ISNUMBER(F134)=TRUE,"✔",tulkojums!A$43))</f>
        <v/>
      </c>
      <c r="O134" s="2" t="str">
        <f>IF(ISBLANK(C134),"",IF(G134="Y","✔",IF(G134="X","✔",IF(G134="N","✔",tulkojums!A$44))))</f>
        <v/>
      </c>
      <c r="P134" s="2" t="str">
        <f>IF(ISBLANK(H134),"",IF(INDEX(DB_materiali!$E$2:$E$5000,MATCH($C134,DB_materiali!$A$2:$A$5000,0))&gt;=INDEX(DB_malas!$C$2:$C$5000,MATCH(H134,DB_malas!$A$2:$A$5000,0)),IF(INDEX(DB_materiali!$E$2:$E$5000,MATCH($C134,DB_materiali!$A$2:$A$5000,0))&lt;=INDEX(DB_malas!$D$2:$D$5000,MATCH(H134,DB_malas!$A$2:$A$5000,0)),IF(OR(INDEX(DB_materiali!$B$2:$B$5000,MATCH($C134,DB_materiali!$A$2:$A$5000,0))=INDEX(DB_malas!$B$2:$B$5000,MATCH(H134,DB_malas!$A$2:$A$5000,0)),$H134="ORG"),"✔",tulkojums!$A$38),tulkojums!$A$39),tulkojums!$A$39))</f>
        <v/>
      </c>
      <c r="Q134" s="2" t="str">
        <f>IF(ISBLANK(I134),"",IF(INDEX(DB_materiali!$E$2:$E$5000,MATCH($C134,DB_materiali!$A$2:$A$5000,0))&gt;=INDEX(DB_malas!$C$2:$C$5000,MATCH(I134,DB_malas!$A$2:$A$5000,0)),IF(INDEX(DB_materiali!$E$2:$E$5000,MATCH($C134,DB_materiali!$A$2:$A$5000,0))&lt;=INDEX(DB_malas!$D$2:$D$5000,MATCH(I134,DB_malas!$A$2:$A$5000,0)),IF(OR(INDEX(DB_materiali!$B$2:$B$5000,MATCH($C134,DB_materiali!$A$2:$A$5000,0))=INDEX(DB_malas!$B$2:$B$5000,MATCH(I134,DB_malas!$A$2:$A$5000,0)),$H134="ORG"),"✔",tulkojums!$A$38),tulkojums!$A$39),tulkojums!$A$39))</f>
        <v/>
      </c>
      <c r="R134" s="2" t="str">
        <f>IF(ISBLANK(J134),"",IF(INDEX(DB_materiali!$E$2:$E$5000,MATCH($C134,DB_materiali!$A$2:$A$5000,0))&gt;=INDEX(DB_malas!$C$2:$C$5000,MATCH(J134,DB_malas!$A$2:$A$5000,0)),IF(INDEX(DB_materiali!$E$2:$E$5000,MATCH($C134,DB_materiali!$A$2:$A$5000,0))&lt;=INDEX(DB_malas!$D$2:$D$5000,MATCH(J134,DB_malas!$A$2:$A$5000,0)),IF(INDEX(DB_materiali!$B$2:$B$5000,MATCH($C134,DB_materiali!$A$2:$A$5000,0))=INDEX(DB_malas!$B$2:$B$5000,MATCH(J134,DB_malas!$A$2:$A$5000,0)),"✔",tulkojums!$A$38),tulkojums!$A$39),tulkojums!$A$39))</f>
        <v/>
      </c>
      <c r="S134" s="2" t="str">
        <f>IF(ISBLANK(K134),"",IF(INDEX(DB_materiali!$E$2:$E$5000,MATCH($C134,DB_materiali!$A$2:$A$5000,0))&gt;=INDEX(DB_malas!$C$2:$C$5000,MATCH(K134,DB_malas!$A$2:$A$5000,0)),IF(INDEX(DB_materiali!$E$2:$E$5000,MATCH($C134,DB_materiali!$A$2:$A$5000,0))&lt;=INDEX(DB_malas!$D$2:$D$5000,MATCH(K134,DB_malas!$A$2:$A$5000,0)),IF(INDEX(DB_materiali!$B$2:$B$5000,MATCH($C134,DB_materiali!$A$2:$A$5000,0))=INDEX(DB_malas!$B$2:$B$5000,MATCH(K134,DB_malas!$A$2:$A$5000,0)),"✔",tulkojums!$A$38),tulkojums!$A$39),tulkojums!$A$39))</f>
        <v/>
      </c>
      <c r="T134" s="2"/>
      <c r="U134" s="2"/>
      <c r="V134" s="2"/>
      <c r="W134" s="2"/>
      <c r="X134" s="2"/>
      <c r="Y134" s="2"/>
      <c r="Z134" s="2"/>
    </row>
    <row r="135" spans="1:26" ht="15.75" customHeight="1">
      <c r="A135" s="17"/>
      <c r="B135" s="18"/>
      <c r="C135" s="19"/>
      <c r="D135" s="55"/>
      <c r="E135" s="55"/>
      <c r="F135" s="56"/>
      <c r="G135" s="57" t="str">
        <f>IF(ISBLANK(C135),"",
   IFERROR(
      IF(
         INDEX(DB_materiali!C$2:C$5000,
               MATCH(C135, DB_materiali!A$2:A$5000, 0)
         )="FALSE",
         "N",
         "Y"
      ),
   "")
)</f>
        <v/>
      </c>
      <c r="H135" s="20"/>
      <c r="I135" s="20"/>
      <c r="J135" s="20"/>
      <c r="K135" s="20"/>
      <c r="M135" s="2" t="str">
        <f>IF(ISBLANK(C135),"",IF(IFERROR(VLOOKUP(C135,DB_materiali!$A$2:$A$5000,1,FALSE),"Kļūda artikulā")=C135,"✔",tulkojums!A$42))</f>
        <v/>
      </c>
      <c r="N135" s="2" t="str">
        <f>IF(ISBLANK(C135),"",IF(ISNUMBER(F135)=TRUE,"✔",tulkojums!A$43))</f>
        <v/>
      </c>
      <c r="O135" s="2" t="str">
        <f>IF(ISBLANK(C135),"",IF(G135="Y","✔",IF(G135="X","✔",IF(G135="N","✔",tulkojums!A$44))))</f>
        <v/>
      </c>
      <c r="P135" s="2" t="str">
        <f>IF(ISBLANK(H135),"",IF(INDEX(DB_materiali!$E$2:$E$5000,MATCH($C135,DB_materiali!$A$2:$A$5000,0))&gt;=INDEX(DB_malas!$C$2:$C$5000,MATCH(H135,DB_malas!$A$2:$A$5000,0)),IF(INDEX(DB_materiali!$E$2:$E$5000,MATCH($C135,DB_materiali!$A$2:$A$5000,0))&lt;=INDEX(DB_malas!$D$2:$D$5000,MATCH(H135,DB_malas!$A$2:$A$5000,0)),IF(OR(INDEX(DB_materiali!$B$2:$B$5000,MATCH($C135,DB_materiali!$A$2:$A$5000,0))=INDEX(DB_malas!$B$2:$B$5000,MATCH(H135,DB_malas!$A$2:$A$5000,0)),$H135="ORG"),"✔",tulkojums!$A$38),tulkojums!$A$39),tulkojums!$A$39))</f>
        <v/>
      </c>
      <c r="Q135" s="2" t="str">
        <f>IF(ISBLANK(I135),"",IF(INDEX(DB_materiali!$E$2:$E$5000,MATCH($C135,DB_materiali!$A$2:$A$5000,0))&gt;=INDEX(DB_malas!$C$2:$C$5000,MATCH(I135,DB_malas!$A$2:$A$5000,0)),IF(INDEX(DB_materiali!$E$2:$E$5000,MATCH($C135,DB_materiali!$A$2:$A$5000,0))&lt;=INDEX(DB_malas!$D$2:$D$5000,MATCH(I135,DB_malas!$A$2:$A$5000,0)),IF(OR(INDEX(DB_materiali!$B$2:$B$5000,MATCH($C135,DB_materiali!$A$2:$A$5000,0))=INDEX(DB_malas!$B$2:$B$5000,MATCH(I135,DB_malas!$A$2:$A$5000,0)),$H135="ORG"),"✔",tulkojums!$A$38),tulkojums!$A$39),tulkojums!$A$39))</f>
        <v/>
      </c>
      <c r="R135" s="2" t="str">
        <f>IF(ISBLANK(J135),"",IF(INDEX(DB_materiali!$E$2:$E$5000,MATCH($C135,DB_materiali!$A$2:$A$5000,0))&gt;=INDEX(DB_malas!$C$2:$C$5000,MATCH(J135,DB_malas!$A$2:$A$5000,0)),IF(INDEX(DB_materiali!$E$2:$E$5000,MATCH($C135,DB_materiali!$A$2:$A$5000,0))&lt;=INDEX(DB_malas!$D$2:$D$5000,MATCH(J135,DB_malas!$A$2:$A$5000,0)),IF(INDEX(DB_materiali!$B$2:$B$5000,MATCH($C135,DB_materiali!$A$2:$A$5000,0))=INDEX(DB_malas!$B$2:$B$5000,MATCH(J135,DB_malas!$A$2:$A$5000,0)),"✔",tulkojums!$A$38),tulkojums!$A$39),tulkojums!$A$39))</f>
        <v/>
      </c>
      <c r="S135" s="2" t="str">
        <f>IF(ISBLANK(K135),"",IF(INDEX(DB_materiali!$E$2:$E$5000,MATCH($C135,DB_materiali!$A$2:$A$5000,0))&gt;=INDEX(DB_malas!$C$2:$C$5000,MATCH(K135,DB_malas!$A$2:$A$5000,0)),IF(INDEX(DB_materiali!$E$2:$E$5000,MATCH($C135,DB_materiali!$A$2:$A$5000,0))&lt;=INDEX(DB_malas!$D$2:$D$5000,MATCH(K135,DB_malas!$A$2:$A$5000,0)),IF(INDEX(DB_materiali!$B$2:$B$5000,MATCH($C135,DB_materiali!$A$2:$A$5000,0))=INDEX(DB_malas!$B$2:$B$5000,MATCH(K135,DB_malas!$A$2:$A$5000,0)),"✔",tulkojums!$A$38),tulkojums!$A$39),tulkojums!$A$39))</f>
        <v/>
      </c>
      <c r="T135" s="2"/>
      <c r="U135" s="2"/>
      <c r="V135" s="2"/>
      <c r="W135" s="2"/>
      <c r="X135" s="2"/>
      <c r="Y135" s="2"/>
      <c r="Z135" s="2"/>
    </row>
    <row r="136" spans="1:26" ht="15.75" customHeight="1">
      <c r="A136" s="17"/>
      <c r="B136" s="18"/>
      <c r="C136" s="19"/>
      <c r="D136" s="55"/>
      <c r="E136" s="55"/>
      <c r="F136" s="56"/>
      <c r="G136" s="57" t="str">
        <f>IF(ISBLANK(C136),"",
   IFERROR(
      IF(
         INDEX(DB_materiali!C$2:C$5000,
               MATCH(C136, DB_materiali!A$2:A$5000, 0)
         )="FALSE",
         "N",
         "Y"
      ),
   "")
)</f>
        <v/>
      </c>
      <c r="H136" s="20"/>
      <c r="I136" s="20"/>
      <c r="J136" s="20"/>
      <c r="K136" s="20"/>
      <c r="M136" s="2" t="str">
        <f>IF(ISBLANK(C136),"",IF(IFERROR(VLOOKUP(C136,DB_materiali!$A$2:$A$5000,1,FALSE),"Kļūda artikulā")=C136,"✔",tulkojums!A$42))</f>
        <v/>
      </c>
      <c r="N136" s="2" t="str">
        <f>IF(ISBLANK(C136),"",IF(ISNUMBER(F136)=TRUE,"✔",tulkojums!A$43))</f>
        <v/>
      </c>
      <c r="O136" s="2" t="str">
        <f>IF(ISBLANK(C136),"",IF(G136="Y","✔",IF(G136="X","✔",IF(G136="N","✔",tulkojums!A$44))))</f>
        <v/>
      </c>
      <c r="P136" s="2" t="str">
        <f>IF(ISBLANK(H136),"",IF(INDEX(DB_materiali!$E$2:$E$5000,MATCH($C136,DB_materiali!$A$2:$A$5000,0))&gt;=INDEX(DB_malas!$C$2:$C$5000,MATCH(H136,DB_malas!$A$2:$A$5000,0)),IF(INDEX(DB_materiali!$E$2:$E$5000,MATCH($C136,DB_materiali!$A$2:$A$5000,0))&lt;=INDEX(DB_malas!$D$2:$D$5000,MATCH(H136,DB_malas!$A$2:$A$5000,0)),IF(OR(INDEX(DB_materiali!$B$2:$B$5000,MATCH($C136,DB_materiali!$A$2:$A$5000,0))=INDEX(DB_malas!$B$2:$B$5000,MATCH(H136,DB_malas!$A$2:$A$5000,0)),$H136="ORG"),"✔",tulkojums!$A$38),tulkojums!$A$39),tulkojums!$A$39))</f>
        <v/>
      </c>
      <c r="Q136" s="2" t="str">
        <f>IF(ISBLANK(I136),"",IF(INDEX(DB_materiali!$E$2:$E$5000,MATCH($C136,DB_materiali!$A$2:$A$5000,0))&gt;=INDEX(DB_malas!$C$2:$C$5000,MATCH(I136,DB_malas!$A$2:$A$5000,0)),IF(INDEX(DB_materiali!$E$2:$E$5000,MATCH($C136,DB_materiali!$A$2:$A$5000,0))&lt;=INDEX(DB_malas!$D$2:$D$5000,MATCH(I136,DB_malas!$A$2:$A$5000,0)),IF(OR(INDEX(DB_materiali!$B$2:$B$5000,MATCH($C136,DB_materiali!$A$2:$A$5000,0))=INDEX(DB_malas!$B$2:$B$5000,MATCH(I136,DB_malas!$A$2:$A$5000,0)),$H136="ORG"),"✔",tulkojums!$A$38),tulkojums!$A$39),tulkojums!$A$39))</f>
        <v/>
      </c>
      <c r="R136" s="2" t="str">
        <f>IF(ISBLANK(J136),"",IF(INDEX(DB_materiali!$E$2:$E$5000,MATCH($C136,DB_materiali!$A$2:$A$5000,0))&gt;=INDEX(DB_malas!$C$2:$C$5000,MATCH(J136,DB_malas!$A$2:$A$5000,0)),IF(INDEX(DB_materiali!$E$2:$E$5000,MATCH($C136,DB_materiali!$A$2:$A$5000,0))&lt;=INDEX(DB_malas!$D$2:$D$5000,MATCH(J136,DB_malas!$A$2:$A$5000,0)),IF(INDEX(DB_materiali!$B$2:$B$5000,MATCH($C136,DB_materiali!$A$2:$A$5000,0))=INDEX(DB_malas!$B$2:$B$5000,MATCH(J136,DB_malas!$A$2:$A$5000,0)),"✔",tulkojums!$A$38),tulkojums!$A$39),tulkojums!$A$39))</f>
        <v/>
      </c>
      <c r="S136" s="2" t="str">
        <f>IF(ISBLANK(K136),"",IF(INDEX(DB_materiali!$E$2:$E$5000,MATCH($C136,DB_materiali!$A$2:$A$5000,0))&gt;=INDEX(DB_malas!$C$2:$C$5000,MATCH(K136,DB_malas!$A$2:$A$5000,0)),IF(INDEX(DB_materiali!$E$2:$E$5000,MATCH($C136,DB_materiali!$A$2:$A$5000,0))&lt;=INDEX(DB_malas!$D$2:$D$5000,MATCH(K136,DB_malas!$A$2:$A$5000,0)),IF(INDEX(DB_materiali!$B$2:$B$5000,MATCH($C136,DB_materiali!$A$2:$A$5000,0))=INDEX(DB_malas!$B$2:$B$5000,MATCH(K136,DB_malas!$A$2:$A$5000,0)),"✔",tulkojums!$A$38),tulkojums!$A$39),tulkojums!$A$39))</f>
        <v/>
      </c>
      <c r="T136" s="2"/>
      <c r="U136" s="2"/>
      <c r="V136" s="2"/>
      <c r="W136" s="2"/>
      <c r="X136" s="2"/>
      <c r="Y136" s="2"/>
      <c r="Z136" s="2"/>
    </row>
    <row r="137" spans="1:26" ht="15.75" customHeight="1">
      <c r="A137" s="17"/>
      <c r="B137" s="18"/>
      <c r="C137" s="19"/>
      <c r="D137" s="55"/>
      <c r="E137" s="55"/>
      <c r="F137" s="56"/>
      <c r="G137" s="57" t="str">
        <f>IF(ISBLANK(C137),"",
   IFERROR(
      IF(
         INDEX(DB_materiali!C$2:C$5000,
               MATCH(C137, DB_materiali!A$2:A$5000, 0)
         )="FALSE",
         "N",
         "Y"
      ),
   "")
)</f>
        <v/>
      </c>
      <c r="H137" s="20"/>
      <c r="I137" s="20"/>
      <c r="J137" s="20"/>
      <c r="K137" s="20"/>
      <c r="M137" s="2" t="str">
        <f>IF(ISBLANK(C137),"",IF(IFERROR(VLOOKUP(C137,DB_materiali!$A$2:$A$5000,1,FALSE),"Kļūda artikulā")=C137,"✔",tulkojums!A$42))</f>
        <v/>
      </c>
      <c r="N137" s="2" t="str">
        <f>IF(ISBLANK(C137),"",IF(ISNUMBER(F137)=TRUE,"✔",tulkojums!A$43))</f>
        <v/>
      </c>
      <c r="O137" s="2" t="str">
        <f>IF(ISBLANK(C137),"",IF(G137="Y","✔",IF(G137="X","✔",IF(G137="N","✔",tulkojums!A$44))))</f>
        <v/>
      </c>
      <c r="P137" s="2" t="str">
        <f>IF(ISBLANK(H137),"",IF(INDEX(DB_materiali!$E$2:$E$5000,MATCH($C137,DB_materiali!$A$2:$A$5000,0))&gt;=INDEX(DB_malas!$C$2:$C$5000,MATCH(H137,DB_malas!$A$2:$A$5000,0)),IF(INDEX(DB_materiali!$E$2:$E$5000,MATCH($C137,DB_materiali!$A$2:$A$5000,0))&lt;=INDEX(DB_malas!$D$2:$D$5000,MATCH(H137,DB_malas!$A$2:$A$5000,0)),IF(OR(INDEX(DB_materiali!$B$2:$B$5000,MATCH($C137,DB_materiali!$A$2:$A$5000,0))=INDEX(DB_malas!$B$2:$B$5000,MATCH(H137,DB_malas!$A$2:$A$5000,0)),$H137="ORG"),"✔",tulkojums!$A$38),tulkojums!$A$39),tulkojums!$A$39))</f>
        <v/>
      </c>
      <c r="Q137" s="2" t="str">
        <f>IF(ISBLANK(I137),"",IF(INDEX(DB_materiali!$E$2:$E$5000,MATCH($C137,DB_materiali!$A$2:$A$5000,0))&gt;=INDEX(DB_malas!$C$2:$C$5000,MATCH(I137,DB_malas!$A$2:$A$5000,0)),IF(INDEX(DB_materiali!$E$2:$E$5000,MATCH($C137,DB_materiali!$A$2:$A$5000,0))&lt;=INDEX(DB_malas!$D$2:$D$5000,MATCH(I137,DB_malas!$A$2:$A$5000,0)),IF(OR(INDEX(DB_materiali!$B$2:$B$5000,MATCH($C137,DB_materiali!$A$2:$A$5000,0))=INDEX(DB_malas!$B$2:$B$5000,MATCH(I137,DB_malas!$A$2:$A$5000,0)),$H137="ORG"),"✔",tulkojums!$A$38),tulkojums!$A$39),tulkojums!$A$39))</f>
        <v/>
      </c>
      <c r="R137" s="2" t="str">
        <f>IF(ISBLANK(J137),"",IF(INDEX(DB_materiali!$E$2:$E$5000,MATCH($C137,DB_materiali!$A$2:$A$5000,0))&gt;=INDEX(DB_malas!$C$2:$C$5000,MATCH(J137,DB_malas!$A$2:$A$5000,0)),IF(INDEX(DB_materiali!$E$2:$E$5000,MATCH($C137,DB_materiali!$A$2:$A$5000,0))&lt;=INDEX(DB_malas!$D$2:$D$5000,MATCH(J137,DB_malas!$A$2:$A$5000,0)),IF(INDEX(DB_materiali!$B$2:$B$5000,MATCH($C137,DB_materiali!$A$2:$A$5000,0))=INDEX(DB_malas!$B$2:$B$5000,MATCH(J137,DB_malas!$A$2:$A$5000,0)),"✔",tulkojums!$A$38),tulkojums!$A$39),tulkojums!$A$39))</f>
        <v/>
      </c>
      <c r="S137" s="2" t="str">
        <f>IF(ISBLANK(K137),"",IF(INDEX(DB_materiali!$E$2:$E$5000,MATCH($C137,DB_materiali!$A$2:$A$5000,0))&gt;=INDEX(DB_malas!$C$2:$C$5000,MATCH(K137,DB_malas!$A$2:$A$5000,0)),IF(INDEX(DB_materiali!$E$2:$E$5000,MATCH($C137,DB_materiali!$A$2:$A$5000,0))&lt;=INDEX(DB_malas!$D$2:$D$5000,MATCH(K137,DB_malas!$A$2:$A$5000,0)),IF(INDEX(DB_materiali!$B$2:$B$5000,MATCH($C137,DB_materiali!$A$2:$A$5000,0))=INDEX(DB_malas!$B$2:$B$5000,MATCH(K137,DB_malas!$A$2:$A$5000,0)),"✔",tulkojums!$A$38),tulkojums!$A$39),tulkojums!$A$39))</f>
        <v/>
      </c>
      <c r="T137" s="2"/>
      <c r="U137" s="2"/>
      <c r="V137" s="2"/>
      <c r="W137" s="2"/>
      <c r="X137" s="2"/>
      <c r="Y137" s="2"/>
      <c r="Z137" s="2"/>
    </row>
    <row r="138" spans="1:26" ht="15.75" customHeight="1">
      <c r="A138" s="17"/>
      <c r="B138" s="18"/>
      <c r="C138" s="19"/>
      <c r="D138" s="55"/>
      <c r="E138" s="55"/>
      <c r="F138" s="56"/>
      <c r="G138" s="57" t="str">
        <f>IF(ISBLANK(C138),"",
   IFERROR(
      IF(
         INDEX(DB_materiali!C$2:C$5000,
               MATCH(C138, DB_materiali!A$2:A$5000, 0)
         )="FALSE",
         "N",
         "Y"
      ),
   "")
)</f>
        <v/>
      </c>
      <c r="H138" s="20"/>
      <c r="I138" s="20"/>
      <c r="J138" s="20"/>
      <c r="K138" s="20"/>
      <c r="M138" s="2" t="str">
        <f>IF(ISBLANK(C138),"",IF(IFERROR(VLOOKUP(C138,DB_materiali!$A$2:$A$5000,1,FALSE),"Kļūda artikulā")=C138,"✔",tulkojums!A$42))</f>
        <v/>
      </c>
      <c r="N138" s="2" t="str">
        <f>IF(ISBLANK(C138),"",IF(ISNUMBER(F138)=TRUE,"✔",tulkojums!A$43))</f>
        <v/>
      </c>
      <c r="O138" s="2" t="str">
        <f>IF(ISBLANK(C138),"",IF(G138="Y","✔",IF(G138="X","✔",IF(G138="N","✔",tulkojums!A$44))))</f>
        <v/>
      </c>
      <c r="P138" s="2" t="str">
        <f>IF(ISBLANK(H138),"",IF(INDEX(DB_materiali!$E$2:$E$5000,MATCH($C138,DB_materiali!$A$2:$A$5000,0))&gt;=INDEX(DB_malas!$C$2:$C$5000,MATCH(H138,DB_malas!$A$2:$A$5000,0)),IF(INDEX(DB_materiali!$E$2:$E$5000,MATCH($C138,DB_materiali!$A$2:$A$5000,0))&lt;=INDEX(DB_malas!$D$2:$D$5000,MATCH(H138,DB_malas!$A$2:$A$5000,0)),IF(OR(INDEX(DB_materiali!$B$2:$B$5000,MATCH($C138,DB_materiali!$A$2:$A$5000,0))=INDEX(DB_malas!$B$2:$B$5000,MATCH(H138,DB_malas!$A$2:$A$5000,0)),$H138="ORG"),"✔",tulkojums!$A$38),tulkojums!$A$39),tulkojums!$A$39))</f>
        <v/>
      </c>
      <c r="Q138" s="2" t="str">
        <f>IF(ISBLANK(I138),"",IF(INDEX(DB_materiali!$E$2:$E$5000,MATCH($C138,DB_materiali!$A$2:$A$5000,0))&gt;=INDEX(DB_malas!$C$2:$C$5000,MATCH(I138,DB_malas!$A$2:$A$5000,0)),IF(INDEX(DB_materiali!$E$2:$E$5000,MATCH($C138,DB_materiali!$A$2:$A$5000,0))&lt;=INDEX(DB_malas!$D$2:$D$5000,MATCH(I138,DB_malas!$A$2:$A$5000,0)),IF(OR(INDEX(DB_materiali!$B$2:$B$5000,MATCH($C138,DB_materiali!$A$2:$A$5000,0))=INDEX(DB_malas!$B$2:$B$5000,MATCH(I138,DB_malas!$A$2:$A$5000,0)),$H138="ORG"),"✔",tulkojums!$A$38),tulkojums!$A$39),tulkojums!$A$39))</f>
        <v/>
      </c>
      <c r="R138" s="2" t="str">
        <f>IF(ISBLANK(J138),"",IF(INDEX(DB_materiali!$E$2:$E$5000,MATCH($C138,DB_materiali!$A$2:$A$5000,0))&gt;=INDEX(DB_malas!$C$2:$C$5000,MATCH(J138,DB_malas!$A$2:$A$5000,0)),IF(INDEX(DB_materiali!$E$2:$E$5000,MATCH($C138,DB_materiali!$A$2:$A$5000,0))&lt;=INDEX(DB_malas!$D$2:$D$5000,MATCH(J138,DB_malas!$A$2:$A$5000,0)),IF(INDEX(DB_materiali!$B$2:$B$5000,MATCH($C138,DB_materiali!$A$2:$A$5000,0))=INDEX(DB_malas!$B$2:$B$5000,MATCH(J138,DB_malas!$A$2:$A$5000,0)),"✔",tulkojums!$A$38),tulkojums!$A$39),tulkojums!$A$39))</f>
        <v/>
      </c>
      <c r="S138" s="2" t="str">
        <f>IF(ISBLANK(K138),"",IF(INDEX(DB_materiali!$E$2:$E$5000,MATCH($C138,DB_materiali!$A$2:$A$5000,0))&gt;=INDEX(DB_malas!$C$2:$C$5000,MATCH(K138,DB_malas!$A$2:$A$5000,0)),IF(INDEX(DB_materiali!$E$2:$E$5000,MATCH($C138,DB_materiali!$A$2:$A$5000,0))&lt;=INDEX(DB_malas!$D$2:$D$5000,MATCH(K138,DB_malas!$A$2:$A$5000,0)),IF(INDEX(DB_materiali!$B$2:$B$5000,MATCH($C138,DB_materiali!$A$2:$A$5000,0))=INDEX(DB_malas!$B$2:$B$5000,MATCH(K138,DB_malas!$A$2:$A$5000,0)),"✔",tulkojums!$A$38),tulkojums!$A$39),tulkojums!$A$39))</f>
        <v/>
      </c>
      <c r="T138" s="2"/>
      <c r="U138" s="2"/>
      <c r="V138" s="2"/>
      <c r="W138" s="2"/>
      <c r="X138" s="2"/>
      <c r="Y138" s="2"/>
      <c r="Z138" s="2"/>
    </row>
    <row r="139" spans="1:26" ht="15.75" customHeight="1">
      <c r="A139" s="17"/>
      <c r="B139" s="18"/>
      <c r="C139" s="19"/>
      <c r="D139" s="55"/>
      <c r="E139" s="55"/>
      <c r="F139" s="56"/>
      <c r="G139" s="57" t="str">
        <f>IF(ISBLANK(C139),"",
   IFERROR(
      IF(
         INDEX(DB_materiali!C$2:C$5000,
               MATCH(C139, DB_materiali!A$2:A$5000, 0)
         )="FALSE",
         "N",
         "Y"
      ),
   "")
)</f>
        <v/>
      </c>
      <c r="H139" s="20"/>
      <c r="I139" s="20"/>
      <c r="J139" s="20"/>
      <c r="K139" s="20"/>
      <c r="M139" s="2" t="str">
        <f>IF(ISBLANK(C139),"",IF(IFERROR(VLOOKUP(C139,DB_materiali!$A$2:$A$5000,1,FALSE),"Kļūda artikulā")=C139,"✔",tulkojums!A$42))</f>
        <v/>
      </c>
      <c r="N139" s="2" t="str">
        <f>IF(ISBLANK(C139),"",IF(ISNUMBER(F139)=TRUE,"✔",tulkojums!A$43))</f>
        <v/>
      </c>
      <c r="O139" s="2" t="str">
        <f>IF(ISBLANK(C139),"",IF(G139="Y","✔",IF(G139="X","✔",IF(G139="N","✔",tulkojums!A$44))))</f>
        <v/>
      </c>
      <c r="P139" s="2" t="str">
        <f>IF(ISBLANK(H139),"",IF(INDEX(DB_materiali!$E$2:$E$5000,MATCH($C139,DB_materiali!$A$2:$A$5000,0))&gt;=INDEX(DB_malas!$C$2:$C$5000,MATCH(H139,DB_malas!$A$2:$A$5000,0)),IF(INDEX(DB_materiali!$E$2:$E$5000,MATCH($C139,DB_materiali!$A$2:$A$5000,0))&lt;=INDEX(DB_malas!$D$2:$D$5000,MATCH(H139,DB_malas!$A$2:$A$5000,0)),IF(OR(INDEX(DB_materiali!$B$2:$B$5000,MATCH($C139,DB_materiali!$A$2:$A$5000,0))=INDEX(DB_malas!$B$2:$B$5000,MATCH(H139,DB_malas!$A$2:$A$5000,0)),$H139="ORG"),"✔",tulkojums!$A$38),tulkojums!$A$39),tulkojums!$A$39))</f>
        <v/>
      </c>
      <c r="Q139" s="2" t="str">
        <f>IF(ISBLANK(I139),"",IF(INDEX(DB_materiali!$E$2:$E$5000,MATCH($C139,DB_materiali!$A$2:$A$5000,0))&gt;=INDEX(DB_malas!$C$2:$C$5000,MATCH(I139,DB_malas!$A$2:$A$5000,0)),IF(INDEX(DB_materiali!$E$2:$E$5000,MATCH($C139,DB_materiali!$A$2:$A$5000,0))&lt;=INDEX(DB_malas!$D$2:$D$5000,MATCH(I139,DB_malas!$A$2:$A$5000,0)),IF(OR(INDEX(DB_materiali!$B$2:$B$5000,MATCH($C139,DB_materiali!$A$2:$A$5000,0))=INDEX(DB_malas!$B$2:$B$5000,MATCH(I139,DB_malas!$A$2:$A$5000,0)),$H139="ORG"),"✔",tulkojums!$A$38),tulkojums!$A$39),tulkojums!$A$39))</f>
        <v/>
      </c>
      <c r="R139" s="2" t="str">
        <f>IF(ISBLANK(J139),"",IF(INDEX(DB_materiali!$E$2:$E$5000,MATCH($C139,DB_materiali!$A$2:$A$5000,0))&gt;=INDEX(DB_malas!$C$2:$C$5000,MATCH(J139,DB_malas!$A$2:$A$5000,0)),IF(INDEX(DB_materiali!$E$2:$E$5000,MATCH($C139,DB_materiali!$A$2:$A$5000,0))&lt;=INDEX(DB_malas!$D$2:$D$5000,MATCH(J139,DB_malas!$A$2:$A$5000,0)),IF(INDEX(DB_materiali!$B$2:$B$5000,MATCH($C139,DB_materiali!$A$2:$A$5000,0))=INDEX(DB_malas!$B$2:$B$5000,MATCH(J139,DB_malas!$A$2:$A$5000,0)),"✔",tulkojums!$A$38),tulkojums!$A$39),tulkojums!$A$39))</f>
        <v/>
      </c>
      <c r="S139" s="2" t="str">
        <f>IF(ISBLANK(K139),"",IF(INDEX(DB_materiali!$E$2:$E$5000,MATCH($C139,DB_materiali!$A$2:$A$5000,0))&gt;=INDEX(DB_malas!$C$2:$C$5000,MATCH(K139,DB_malas!$A$2:$A$5000,0)),IF(INDEX(DB_materiali!$E$2:$E$5000,MATCH($C139,DB_materiali!$A$2:$A$5000,0))&lt;=INDEX(DB_malas!$D$2:$D$5000,MATCH(K139,DB_malas!$A$2:$A$5000,0)),IF(INDEX(DB_materiali!$B$2:$B$5000,MATCH($C139,DB_materiali!$A$2:$A$5000,0))=INDEX(DB_malas!$B$2:$B$5000,MATCH(K139,DB_malas!$A$2:$A$5000,0)),"✔",tulkojums!$A$38),tulkojums!$A$39),tulkojums!$A$39))</f>
        <v/>
      </c>
      <c r="T139" s="2"/>
      <c r="U139" s="2"/>
      <c r="V139" s="2"/>
      <c r="W139" s="2"/>
      <c r="X139" s="2"/>
      <c r="Y139" s="2"/>
      <c r="Z139" s="2"/>
    </row>
    <row r="140" spans="1:26" ht="15.75" customHeight="1">
      <c r="A140" s="17"/>
      <c r="B140" s="18"/>
      <c r="C140" s="19"/>
      <c r="D140" s="55"/>
      <c r="E140" s="55"/>
      <c r="F140" s="56"/>
      <c r="G140" s="57" t="str">
        <f>IF(ISBLANK(C140),"",
   IFERROR(
      IF(
         INDEX(DB_materiali!C$2:C$5000,
               MATCH(C140, DB_materiali!A$2:A$5000, 0)
         )="FALSE",
         "N",
         "Y"
      ),
   "")
)</f>
        <v/>
      </c>
      <c r="H140" s="20"/>
      <c r="I140" s="20"/>
      <c r="J140" s="20"/>
      <c r="K140" s="20"/>
      <c r="M140" s="2" t="str">
        <f>IF(ISBLANK(C140),"",IF(IFERROR(VLOOKUP(C140,DB_materiali!$A$2:$A$5000,1,FALSE),"Kļūda artikulā")=C140,"✔",tulkojums!A$42))</f>
        <v/>
      </c>
      <c r="N140" s="2" t="str">
        <f>IF(ISBLANK(C140),"",IF(ISNUMBER(F140)=TRUE,"✔",tulkojums!A$43))</f>
        <v/>
      </c>
      <c r="O140" s="2" t="str">
        <f>IF(ISBLANK(C140),"",IF(G140="Y","✔",IF(G140="X","✔",IF(G140="N","✔",tulkojums!A$44))))</f>
        <v/>
      </c>
      <c r="P140" s="2" t="str">
        <f>IF(ISBLANK(H140),"",IF(INDEX(DB_materiali!$E$2:$E$5000,MATCH($C140,DB_materiali!$A$2:$A$5000,0))&gt;=INDEX(DB_malas!$C$2:$C$5000,MATCH(H140,DB_malas!$A$2:$A$5000,0)),IF(INDEX(DB_materiali!$E$2:$E$5000,MATCH($C140,DB_materiali!$A$2:$A$5000,0))&lt;=INDEX(DB_malas!$D$2:$D$5000,MATCH(H140,DB_malas!$A$2:$A$5000,0)),IF(OR(INDEX(DB_materiali!$B$2:$B$5000,MATCH($C140,DB_materiali!$A$2:$A$5000,0))=INDEX(DB_malas!$B$2:$B$5000,MATCH(H140,DB_malas!$A$2:$A$5000,0)),$H140="ORG"),"✔",tulkojums!$A$38),tulkojums!$A$39),tulkojums!$A$39))</f>
        <v/>
      </c>
      <c r="Q140" s="2" t="str">
        <f>IF(ISBLANK(I140),"",IF(INDEX(DB_materiali!$E$2:$E$5000,MATCH($C140,DB_materiali!$A$2:$A$5000,0))&gt;=INDEX(DB_malas!$C$2:$C$5000,MATCH(I140,DB_malas!$A$2:$A$5000,0)),IF(INDEX(DB_materiali!$E$2:$E$5000,MATCH($C140,DB_materiali!$A$2:$A$5000,0))&lt;=INDEX(DB_malas!$D$2:$D$5000,MATCH(I140,DB_malas!$A$2:$A$5000,0)),IF(OR(INDEX(DB_materiali!$B$2:$B$5000,MATCH($C140,DB_materiali!$A$2:$A$5000,0))=INDEX(DB_malas!$B$2:$B$5000,MATCH(I140,DB_malas!$A$2:$A$5000,0)),$H140="ORG"),"✔",tulkojums!$A$38),tulkojums!$A$39),tulkojums!$A$39))</f>
        <v/>
      </c>
      <c r="R140" s="2" t="str">
        <f>IF(ISBLANK(J140),"",IF(INDEX(DB_materiali!$E$2:$E$5000,MATCH($C140,DB_materiali!$A$2:$A$5000,0))&gt;=INDEX(DB_malas!$C$2:$C$5000,MATCH(J140,DB_malas!$A$2:$A$5000,0)),IF(INDEX(DB_materiali!$E$2:$E$5000,MATCH($C140,DB_materiali!$A$2:$A$5000,0))&lt;=INDEX(DB_malas!$D$2:$D$5000,MATCH(J140,DB_malas!$A$2:$A$5000,0)),IF(INDEX(DB_materiali!$B$2:$B$5000,MATCH($C140,DB_materiali!$A$2:$A$5000,0))=INDEX(DB_malas!$B$2:$B$5000,MATCH(J140,DB_malas!$A$2:$A$5000,0)),"✔",tulkojums!$A$38),tulkojums!$A$39),tulkojums!$A$39))</f>
        <v/>
      </c>
      <c r="S140" s="2" t="str">
        <f>IF(ISBLANK(K140),"",IF(INDEX(DB_materiali!$E$2:$E$5000,MATCH($C140,DB_materiali!$A$2:$A$5000,0))&gt;=INDEX(DB_malas!$C$2:$C$5000,MATCH(K140,DB_malas!$A$2:$A$5000,0)),IF(INDEX(DB_materiali!$E$2:$E$5000,MATCH($C140,DB_materiali!$A$2:$A$5000,0))&lt;=INDEX(DB_malas!$D$2:$D$5000,MATCH(K140,DB_malas!$A$2:$A$5000,0)),IF(INDEX(DB_materiali!$B$2:$B$5000,MATCH($C140,DB_materiali!$A$2:$A$5000,0))=INDEX(DB_malas!$B$2:$B$5000,MATCH(K140,DB_malas!$A$2:$A$5000,0)),"✔",tulkojums!$A$38),tulkojums!$A$39),tulkojums!$A$39))</f>
        <v/>
      </c>
      <c r="T140" s="2"/>
      <c r="U140" s="2"/>
      <c r="V140" s="2"/>
      <c r="W140" s="2"/>
      <c r="X140" s="2"/>
      <c r="Y140" s="2"/>
      <c r="Z140" s="2"/>
    </row>
    <row r="141" spans="1:26" ht="15.75" customHeight="1">
      <c r="A141" s="17"/>
      <c r="B141" s="18"/>
      <c r="C141" s="19"/>
      <c r="D141" s="55"/>
      <c r="E141" s="55"/>
      <c r="F141" s="56"/>
      <c r="G141" s="57" t="str">
        <f>IF(ISBLANK(C141),"",
   IFERROR(
      IF(
         INDEX(DB_materiali!C$2:C$5000,
               MATCH(C141, DB_materiali!A$2:A$5000, 0)
         )="FALSE",
         "N",
         "Y"
      ),
   "")
)</f>
        <v/>
      </c>
      <c r="H141" s="20"/>
      <c r="I141" s="20"/>
      <c r="J141" s="20"/>
      <c r="K141" s="20"/>
      <c r="M141" s="2" t="str">
        <f>IF(ISBLANK(C141),"",IF(IFERROR(VLOOKUP(C141,DB_materiali!$A$2:$A$5000,1,FALSE),"Kļūda artikulā")=C141,"✔",tulkojums!A$42))</f>
        <v/>
      </c>
      <c r="N141" s="2" t="str">
        <f>IF(ISBLANK(C141),"",IF(ISNUMBER(F141)=TRUE,"✔",tulkojums!A$43))</f>
        <v/>
      </c>
      <c r="O141" s="2" t="str">
        <f>IF(ISBLANK(C141),"",IF(G141="Y","✔",IF(G141="X","✔",IF(G141="N","✔",tulkojums!A$44))))</f>
        <v/>
      </c>
      <c r="P141" s="2" t="str">
        <f>IF(ISBLANK(H141),"",IF(INDEX(DB_materiali!$E$2:$E$5000,MATCH($C141,DB_materiali!$A$2:$A$5000,0))&gt;=INDEX(DB_malas!$C$2:$C$5000,MATCH(H141,DB_malas!$A$2:$A$5000,0)),IF(INDEX(DB_materiali!$E$2:$E$5000,MATCH($C141,DB_materiali!$A$2:$A$5000,0))&lt;=INDEX(DB_malas!$D$2:$D$5000,MATCH(H141,DB_malas!$A$2:$A$5000,0)),IF(OR(INDEX(DB_materiali!$B$2:$B$5000,MATCH($C141,DB_materiali!$A$2:$A$5000,0))=INDEX(DB_malas!$B$2:$B$5000,MATCH(H141,DB_malas!$A$2:$A$5000,0)),$H141="ORG"),"✔",tulkojums!$A$38),tulkojums!$A$39),tulkojums!$A$39))</f>
        <v/>
      </c>
      <c r="Q141" s="2" t="str">
        <f>IF(ISBLANK(I141),"",IF(INDEX(DB_materiali!$E$2:$E$5000,MATCH($C141,DB_materiali!$A$2:$A$5000,0))&gt;=INDEX(DB_malas!$C$2:$C$5000,MATCH(I141,DB_malas!$A$2:$A$5000,0)),IF(INDEX(DB_materiali!$E$2:$E$5000,MATCH($C141,DB_materiali!$A$2:$A$5000,0))&lt;=INDEX(DB_malas!$D$2:$D$5000,MATCH(I141,DB_malas!$A$2:$A$5000,0)),IF(OR(INDEX(DB_materiali!$B$2:$B$5000,MATCH($C141,DB_materiali!$A$2:$A$5000,0))=INDEX(DB_malas!$B$2:$B$5000,MATCH(I141,DB_malas!$A$2:$A$5000,0)),$H141="ORG"),"✔",tulkojums!$A$38),tulkojums!$A$39),tulkojums!$A$39))</f>
        <v/>
      </c>
      <c r="R141" s="2" t="str">
        <f>IF(ISBLANK(J141),"",IF(INDEX(DB_materiali!$E$2:$E$5000,MATCH($C141,DB_materiali!$A$2:$A$5000,0))&gt;=INDEX(DB_malas!$C$2:$C$5000,MATCH(J141,DB_malas!$A$2:$A$5000,0)),IF(INDEX(DB_materiali!$E$2:$E$5000,MATCH($C141,DB_materiali!$A$2:$A$5000,0))&lt;=INDEX(DB_malas!$D$2:$D$5000,MATCH(J141,DB_malas!$A$2:$A$5000,0)),IF(INDEX(DB_materiali!$B$2:$B$5000,MATCH($C141,DB_materiali!$A$2:$A$5000,0))=INDEX(DB_malas!$B$2:$B$5000,MATCH(J141,DB_malas!$A$2:$A$5000,0)),"✔",tulkojums!$A$38),tulkojums!$A$39),tulkojums!$A$39))</f>
        <v/>
      </c>
      <c r="S141" s="2" t="str">
        <f>IF(ISBLANK(K141),"",IF(INDEX(DB_materiali!$E$2:$E$5000,MATCH($C141,DB_materiali!$A$2:$A$5000,0))&gt;=INDEX(DB_malas!$C$2:$C$5000,MATCH(K141,DB_malas!$A$2:$A$5000,0)),IF(INDEX(DB_materiali!$E$2:$E$5000,MATCH($C141,DB_materiali!$A$2:$A$5000,0))&lt;=INDEX(DB_malas!$D$2:$D$5000,MATCH(K141,DB_malas!$A$2:$A$5000,0)),IF(INDEX(DB_materiali!$B$2:$B$5000,MATCH($C141,DB_materiali!$A$2:$A$5000,0))=INDEX(DB_malas!$B$2:$B$5000,MATCH(K141,DB_malas!$A$2:$A$5000,0)),"✔",tulkojums!$A$38),tulkojums!$A$39),tulkojums!$A$39))</f>
        <v/>
      </c>
      <c r="T141" s="2"/>
      <c r="U141" s="2"/>
      <c r="V141" s="2"/>
      <c r="W141" s="2"/>
      <c r="X141" s="2"/>
      <c r="Y141" s="2"/>
      <c r="Z141" s="2"/>
    </row>
    <row r="142" spans="1:26" ht="15.75" customHeight="1">
      <c r="A142" s="17"/>
      <c r="B142" s="18"/>
      <c r="C142" s="19"/>
      <c r="D142" s="55"/>
      <c r="E142" s="55"/>
      <c r="F142" s="56"/>
      <c r="G142" s="57" t="str">
        <f>IF(ISBLANK(C142),"",
   IFERROR(
      IF(
         INDEX(DB_materiali!C$2:C$5000,
               MATCH(C142, DB_materiali!A$2:A$5000, 0)
         )="FALSE",
         "N",
         "Y"
      ),
   "")
)</f>
        <v/>
      </c>
      <c r="H142" s="20"/>
      <c r="I142" s="20"/>
      <c r="J142" s="20"/>
      <c r="K142" s="20"/>
      <c r="M142" s="2" t="str">
        <f>IF(ISBLANK(C142),"",IF(IFERROR(VLOOKUP(C142,DB_materiali!$A$2:$A$5000,1,FALSE),"Kļūda artikulā")=C142,"✔",tulkojums!A$42))</f>
        <v/>
      </c>
      <c r="N142" s="2" t="str">
        <f>IF(ISBLANK(C142),"",IF(ISNUMBER(F142)=TRUE,"✔",tulkojums!A$43))</f>
        <v/>
      </c>
      <c r="O142" s="2" t="str">
        <f>IF(ISBLANK(C142),"",IF(G142="Y","✔",IF(G142="X","✔",IF(G142="N","✔",tulkojums!A$44))))</f>
        <v/>
      </c>
      <c r="P142" s="2" t="str">
        <f>IF(ISBLANK(H142),"",IF(INDEX(DB_materiali!$E$2:$E$5000,MATCH($C142,DB_materiali!$A$2:$A$5000,0))&gt;=INDEX(DB_malas!$C$2:$C$5000,MATCH(H142,DB_malas!$A$2:$A$5000,0)),IF(INDEX(DB_materiali!$E$2:$E$5000,MATCH($C142,DB_materiali!$A$2:$A$5000,0))&lt;=INDEX(DB_malas!$D$2:$D$5000,MATCH(H142,DB_malas!$A$2:$A$5000,0)),IF(OR(INDEX(DB_materiali!$B$2:$B$5000,MATCH($C142,DB_materiali!$A$2:$A$5000,0))=INDEX(DB_malas!$B$2:$B$5000,MATCH(H142,DB_malas!$A$2:$A$5000,0)),$H142="ORG"),"✔",tulkojums!$A$38),tulkojums!$A$39),tulkojums!$A$39))</f>
        <v/>
      </c>
      <c r="Q142" s="2" t="str">
        <f>IF(ISBLANK(I142),"",IF(INDEX(DB_materiali!$E$2:$E$5000,MATCH($C142,DB_materiali!$A$2:$A$5000,0))&gt;=INDEX(DB_malas!$C$2:$C$5000,MATCH(I142,DB_malas!$A$2:$A$5000,0)),IF(INDEX(DB_materiali!$E$2:$E$5000,MATCH($C142,DB_materiali!$A$2:$A$5000,0))&lt;=INDEX(DB_malas!$D$2:$D$5000,MATCH(I142,DB_malas!$A$2:$A$5000,0)),IF(OR(INDEX(DB_materiali!$B$2:$B$5000,MATCH($C142,DB_materiali!$A$2:$A$5000,0))=INDEX(DB_malas!$B$2:$B$5000,MATCH(I142,DB_malas!$A$2:$A$5000,0)),$H142="ORG"),"✔",tulkojums!$A$38),tulkojums!$A$39),tulkojums!$A$39))</f>
        <v/>
      </c>
      <c r="R142" s="2" t="str">
        <f>IF(ISBLANK(J142),"",IF(INDEX(DB_materiali!$E$2:$E$5000,MATCH($C142,DB_materiali!$A$2:$A$5000,0))&gt;=INDEX(DB_malas!$C$2:$C$5000,MATCH(J142,DB_malas!$A$2:$A$5000,0)),IF(INDEX(DB_materiali!$E$2:$E$5000,MATCH($C142,DB_materiali!$A$2:$A$5000,0))&lt;=INDEX(DB_malas!$D$2:$D$5000,MATCH(J142,DB_malas!$A$2:$A$5000,0)),IF(INDEX(DB_materiali!$B$2:$B$5000,MATCH($C142,DB_materiali!$A$2:$A$5000,0))=INDEX(DB_malas!$B$2:$B$5000,MATCH(J142,DB_malas!$A$2:$A$5000,0)),"✔",tulkojums!$A$38),tulkojums!$A$39),tulkojums!$A$39))</f>
        <v/>
      </c>
      <c r="S142" s="2" t="str">
        <f>IF(ISBLANK(K142),"",IF(INDEX(DB_materiali!$E$2:$E$5000,MATCH($C142,DB_materiali!$A$2:$A$5000,0))&gt;=INDEX(DB_malas!$C$2:$C$5000,MATCH(K142,DB_malas!$A$2:$A$5000,0)),IF(INDEX(DB_materiali!$E$2:$E$5000,MATCH($C142,DB_materiali!$A$2:$A$5000,0))&lt;=INDEX(DB_malas!$D$2:$D$5000,MATCH(K142,DB_malas!$A$2:$A$5000,0)),IF(INDEX(DB_materiali!$B$2:$B$5000,MATCH($C142,DB_materiali!$A$2:$A$5000,0))=INDEX(DB_malas!$B$2:$B$5000,MATCH(K142,DB_malas!$A$2:$A$5000,0)),"✔",tulkojums!$A$38),tulkojums!$A$39),tulkojums!$A$39))</f>
        <v/>
      </c>
      <c r="T142" s="2"/>
      <c r="U142" s="2"/>
      <c r="V142" s="2"/>
      <c r="W142" s="2"/>
      <c r="X142" s="2"/>
      <c r="Y142" s="2"/>
      <c r="Z142" s="2"/>
    </row>
    <row r="143" spans="1:26" ht="15.75" customHeight="1">
      <c r="A143" s="17"/>
      <c r="B143" s="18"/>
      <c r="C143" s="19"/>
      <c r="D143" s="55"/>
      <c r="E143" s="55"/>
      <c r="F143" s="56"/>
      <c r="G143" s="57" t="str">
        <f>IF(ISBLANK(C143),"",
   IFERROR(
      IF(
         INDEX(DB_materiali!C$2:C$5000,
               MATCH(C143, DB_materiali!A$2:A$5000, 0)
         )="FALSE",
         "N",
         "Y"
      ),
   "")
)</f>
        <v/>
      </c>
      <c r="H143" s="20"/>
      <c r="I143" s="20"/>
      <c r="J143" s="20"/>
      <c r="K143" s="20"/>
      <c r="M143" s="2" t="str">
        <f>IF(ISBLANK(C143),"",IF(IFERROR(VLOOKUP(C143,DB_materiali!$A$2:$A$5000,1,FALSE),"Kļūda artikulā")=C143,"✔",tulkojums!A$42))</f>
        <v/>
      </c>
      <c r="N143" s="2" t="str">
        <f>IF(ISBLANK(C143),"",IF(ISNUMBER(F143)=TRUE,"✔",tulkojums!A$43))</f>
        <v/>
      </c>
      <c r="O143" s="2" t="str">
        <f>IF(ISBLANK(C143),"",IF(G143="Y","✔",IF(G143="X","✔",IF(G143="N","✔",tulkojums!A$44))))</f>
        <v/>
      </c>
      <c r="P143" s="2" t="str">
        <f>IF(ISBLANK(H143),"",IF(INDEX(DB_materiali!$E$2:$E$5000,MATCH($C143,DB_materiali!$A$2:$A$5000,0))&gt;=INDEX(DB_malas!$C$2:$C$5000,MATCH(H143,DB_malas!$A$2:$A$5000,0)),IF(INDEX(DB_materiali!$E$2:$E$5000,MATCH($C143,DB_materiali!$A$2:$A$5000,0))&lt;=INDEX(DB_malas!$D$2:$D$5000,MATCH(H143,DB_malas!$A$2:$A$5000,0)),IF(OR(INDEX(DB_materiali!$B$2:$B$5000,MATCH($C143,DB_materiali!$A$2:$A$5000,0))=INDEX(DB_malas!$B$2:$B$5000,MATCH(H143,DB_malas!$A$2:$A$5000,0)),$H143="ORG"),"✔",tulkojums!$A$38),tulkojums!$A$39),tulkojums!$A$39))</f>
        <v/>
      </c>
      <c r="Q143" s="2" t="str">
        <f>IF(ISBLANK(I143),"",IF(INDEX(DB_materiali!$E$2:$E$5000,MATCH($C143,DB_materiali!$A$2:$A$5000,0))&gt;=INDEX(DB_malas!$C$2:$C$5000,MATCH(I143,DB_malas!$A$2:$A$5000,0)),IF(INDEX(DB_materiali!$E$2:$E$5000,MATCH($C143,DB_materiali!$A$2:$A$5000,0))&lt;=INDEX(DB_malas!$D$2:$D$5000,MATCH(I143,DB_malas!$A$2:$A$5000,0)),IF(OR(INDEX(DB_materiali!$B$2:$B$5000,MATCH($C143,DB_materiali!$A$2:$A$5000,0))=INDEX(DB_malas!$B$2:$B$5000,MATCH(I143,DB_malas!$A$2:$A$5000,0)),$H143="ORG"),"✔",tulkojums!$A$38),tulkojums!$A$39),tulkojums!$A$39))</f>
        <v/>
      </c>
      <c r="R143" s="2" t="str">
        <f>IF(ISBLANK(J143),"",IF(INDEX(DB_materiali!$E$2:$E$5000,MATCH($C143,DB_materiali!$A$2:$A$5000,0))&gt;=INDEX(DB_malas!$C$2:$C$5000,MATCH(J143,DB_malas!$A$2:$A$5000,0)),IF(INDEX(DB_materiali!$E$2:$E$5000,MATCH($C143,DB_materiali!$A$2:$A$5000,0))&lt;=INDEX(DB_malas!$D$2:$D$5000,MATCH(J143,DB_malas!$A$2:$A$5000,0)),IF(INDEX(DB_materiali!$B$2:$B$5000,MATCH($C143,DB_materiali!$A$2:$A$5000,0))=INDEX(DB_malas!$B$2:$B$5000,MATCH(J143,DB_malas!$A$2:$A$5000,0)),"✔",tulkojums!$A$38),tulkojums!$A$39),tulkojums!$A$39))</f>
        <v/>
      </c>
      <c r="S143" s="2" t="str">
        <f>IF(ISBLANK(K143),"",IF(INDEX(DB_materiali!$E$2:$E$5000,MATCH($C143,DB_materiali!$A$2:$A$5000,0))&gt;=INDEX(DB_malas!$C$2:$C$5000,MATCH(K143,DB_malas!$A$2:$A$5000,0)),IF(INDEX(DB_materiali!$E$2:$E$5000,MATCH($C143,DB_materiali!$A$2:$A$5000,0))&lt;=INDEX(DB_malas!$D$2:$D$5000,MATCH(K143,DB_malas!$A$2:$A$5000,0)),IF(INDEX(DB_materiali!$B$2:$B$5000,MATCH($C143,DB_materiali!$A$2:$A$5000,0))=INDEX(DB_malas!$B$2:$B$5000,MATCH(K143,DB_malas!$A$2:$A$5000,0)),"✔",tulkojums!$A$38),tulkojums!$A$39),tulkojums!$A$39))</f>
        <v/>
      </c>
      <c r="T143" s="2"/>
      <c r="U143" s="2"/>
      <c r="V143" s="2"/>
      <c r="W143" s="2"/>
      <c r="X143" s="2"/>
      <c r="Y143" s="2"/>
      <c r="Z143" s="2"/>
    </row>
    <row r="144" spans="1:26" ht="15.75" customHeight="1">
      <c r="A144" s="17"/>
      <c r="B144" s="18"/>
      <c r="C144" s="19"/>
      <c r="D144" s="55"/>
      <c r="E144" s="55"/>
      <c r="F144" s="56"/>
      <c r="G144" s="57" t="str">
        <f>IF(ISBLANK(C144),"",
   IFERROR(
      IF(
         INDEX(DB_materiali!C$2:C$5000,
               MATCH(C144, DB_materiali!A$2:A$5000, 0)
         )="FALSE",
         "N",
         "Y"
      ),
   "")
)</f>
        <v/>
      </c>
      <c r="H144" s="20"/>
      <c r="I144" s="20"/>
      <c r="J144" s="20"/>
      <c r="K144" s="20"/>
      <c r="M144" s="2" t="str">
        <f>IF(ISBLANK(C144),"",IF(IFERROR(VLOOKUP(C144,DB_materiali!$A$2:$A$5000,1,FALSE),"Kļūda artikulā")=C144,"✔",tulkojums!A$42))</f>
        <v/>
      </c>
      <c r="N144" s="2" t="str">
        <f>IF(ISBLANK(C144),"",IF(ISNUMBER(F144)=TRUE,"✔",tulkojums!A$43))</f>
        <v/>
      </c>
      <c r="O144" s="2" t="str">
        <f>IF(ISBLANK(C144),"",IF(G144="Y","✔",IF(G144="X","✔",IF(G144="N","✔",tulkojums!A$44))))</f>
        <v/>
      </c>
      <c r="P144" s="2" t="str">
        <f>IF(ISBLANK(H144),"",IF(INDEX(DB_materiali!$E$2:$E$5000,MATCH($C144,DB_materiali!$A$2:$A$5000,0))&gt;=INDEX(DB_malas!$C$2:$C$5000,MATCH(H144,DB_malas!$A$2:$A$5000,0)),IF(INDEX(DB_materiali!$E$2:$E$5000,MATCH($C144,DB_materiali!$A$2:$A$5000,0))&lt;=INDEX(DB_malas!$D$2:$D$5000,MATCH(H144,DB_malas!$A$2:$A$5000,0)),IF(OR(INDEX(DB_materiali!$B$2:$B$5000,MATCH($C144,DB_materiali!$A$2:$A$5000,0))=INDEX(DB_malas!$B$2:$B$5000,MATCH(H144,DB_malas!$A$2:$A$5000,0)),$H144="ORG"),"✔",tulkojums!$A$38),tulkojums!$A$39),tulkojums!$A$39))</f>
        <v/>
      </c>
      <c r="Q144" s="2" t="str">
        <f>IF(ISBLANK(I144),"",IF(INDEX(DB_materiali!$E$2:$E$5000,MATCH($C144,DB_materiali!$A$2:$A$5000,0))&gt;=INDEX(DB_malas!$C$2:$C$5000,MATCH(I144,DB_malas!$A$2:$A$5000,0)),IF(INDEX(DB_materiali!$E$2:$E$5000,MATCH($C144,DB_materiali!$A$2:$A$5000,0))&lt;=INDEX(DB_malas!$D$2:$D$5000,MATCH(I144,DB_malas!$A$2:$A$5000,0)),IF(OR(INDEX(DB_materiali!$B$2:$B$5000,MATCH($C144,DB_materiali!$A$2:$A$5000,0))=INDEX(DB_malas!$B$2:$B$5000,MATCH(I144,DB_malas!$A$2:$A$5000,0)),$H144="ORG"),"✔",tulkojums!$A$38),tulkojums!$A$39),tulkojums!$A$39))</f>
        <v/>
      </c>
      <c r="R144" s="2" t="str">
        <f>IF(ISBLANK(J144),"",IF(INDEX(DB_materiali!$E$2:$E$5000,MATCH($C144,DB_materiali!$A$2:$A$5000,0))&gt;=INDEX(DB_malas!$C$2:$C$5000,MATCH(J144,DB_malas!$A$2:$A$5000,0)),IF(INDEX(DB_materiali!$E$2:$E$5000,MATCH($C144,DB_materiali!$A$2:$A$5000,0))&lt;=INDEX(DB_malas!$D$2:$D$5000,MATCH(J144,DB_malas!$A$2:$A$5000,0)),IF(INDEX(DB_materiali!$B$2:$B$5000,MATCH($C144,DB_materiali!$A$2:$A$5000,0))=INDEX(DB_malas!$B$2:$B$5000,MATCH(J144,DB_malas!$A$2:$A$5000,0)),"✔",tulkojums!$A$38),tulkojums!$A$39),tulkojums!$A$39))</f>
        <v/>
      </c>
      <c r="S144" s="2" t="str">
        <f>IF(ISBLANK(K144),"",IF(INDEX(DB_materiali!$E$2:$E$5000,MATCH($C144,DB_materiali!$A$2:$A$5000,0))&gt;=INDEX(DB_malas!$C$2:$C$5000,MATCH(K144,DB_malas!$A$2:$A$5000,0)),IF(INDEX(DB_materiali!$E$2:$E$5000,MATCH($C144,DB_materiali!$A$2:$A$5000,0))&lt;=INDEX(DB_malas!$D$2:$D$5000,MATCH(K144,DB_malas!$A$2:$A$5000,0)),IF(INDEX(DB_materiali!$B$2:$B$5000,MATCH($C144,DB_materiali!$A$2:$A$5000,0))=INDEX(DB_malas!$B$2:$B$5000,MATCH(K144,DB_malas!$A$2:$A$5000,0)),"✔",tulkojums!$A$38),tulkojums!$A$39),tulkojums!$A$39))</f>
        <v/>
      </c>
      <c r="T144" s="2"/>
      <c r="U144" s="2"/>
      <c r="V144" s="2"/>
      <c r="W144" s="2"/>
      <c r="X144" s="2"/>
      <c r="Y144" s="2"/>
      <c r="Z144" s="2"/>
    </row>
    <row r="145" spans="1:26" ht="15.75" customHeight="1">
      <c r="A145" s="17"/>
      <c r="B145" s="18"/>
      <c r="C145" s="19"/>
      <c r="D145" s="55"/>
      <c r="E145" s="55"/>
      <c r="F145" s="56"/>
      <c r="G145" s="57" t="str">
        <f>IF(ISBLANK(C145),"",
   IFERROR(
      IF(
         INDEX(DB_materiali!C$2:C$5000,
               MATCH(C145, DB_materiali!A$2:A$5000, 0)
         )="FALSE",
         "N",
         "Y"
      ),
   "")
)</f>
        <v/>
      </c>
      <c r="H145" s="20"/>
      <c r="I145" s="20"/>
      <c r="J145" s="20"/>
      <c r="K145" s="20"/>
      <c r="M145" s="2" t="str">
        <f>IF(ISBLANK(C145),"",IF(IFERROR(VLOOKUP(C145,DB_materiali!$A$2:$A$5000,1,FALSE),"Kļūda artikulā")=C145,"✔",tulkojums!A$42))</f>
        <v/>
      </c>
      <c r="N145" s="2" t="str">
        <f>IF(ISBLANK(C145),"",IF(ISNUMBER(F145)=TRUE,"✔",tulkojums!A$43))</f>
        <v/>
      </c>
      <c r="O145" s="2" t="str">
        <f>IF(ISBLANK(C145),"",IF(G145="Y","✔",IF(G145="X","✔",IF(G145="N","✔",tulkojums!A$44))))</f>
        <v/>
      </c>
      <c r="P145" s="2" t="str">
        <f>IF(ISBLANK(H145),"",IF(INDEX(DB_materiali!$E$2:$E$5000,MATCH($C145,DB_materiali!$A$2:$A$5000,0))&gt;=INDEX(DB_malas!$C$2:$C$5000,MATCH(H145,DB_malas!$A$2:$A$5000,0)),IF(INDEX(DB_materiali!$E$2:$E$5000,MATCH($C145,DB_materiali!$A$2:$A$5000,0))&lt;=INDEX(DB_malas!$D$2:$D$5000,MATCH(H145,DB_malas!$A$2:$A$5000,0)),IF(OR(INDEX(DB_materiali!$B$2:$B$5000,MATCH($C145,DB_materiali!$A$2:$A$5000,0))=INDEX(DB_malas!$B$2:$B$5000,MATCH(H145,DB_malas!$A$2:$A$5000,0)),$H145="ORG"),"✔",tulkojums!$A$38),tulkojums!$A$39),tulkojums!$A$39))</f>
        <v/>
      </c>
      <c r="Q145" s="2" t="str">
        <f>IF(ISBLANK(I145),"",IF(INDEX(DB_materiali!$E$2:$E$5000,MATCH($C145,DB_materiali!$A$2:$A$5000,0))&gt;=INDEX(DB_malas!$C$2:$C$5000,MATCH(I145,DB_malas!$A$2:$A$5000,0)),IF(INDEX(DB_materiali!$E$2:$E$5000,MATCH($C145,DB_materiali!$A$2:$A$5000,0))&lt;=INDEX(DB_malas!$D$2:$D$5000,MATCH(I145,DB_malas!$A$2:$A$5000,0)),IF(OR(INDEX(DB_materiali!$B$2:$B$5000,MATCH($C145,DB_materiali!$A$2:$A$5000,0))=INDEX(DB_malas!$B$2:$B$5000,MATCH(I145,DB_malas!$A$2:$A$5000,0)),$H145="ORG"),"✔",tulkojums!$A$38),tulkojums!$A$39),tulkojums!$A$39))</f>
        <v/>
      </c>
      <c r="R145" s="2" t="str">
        <f>IF(ISBLANK(J145),"",IF(INDEX(DB_materiali!$E$2:$E$5000,MATCH($C145,DB_materiali!$A$2:$A$5000,0))&gt;=INDEX(DB_malas!$C$2:$C$5000,MATCH(J145,DB_malas!$A$2:$A$5000,0)),IF(INDEX(DB_materiali!$E$2:$E$5000,MATCH($C145,DB_materiali!$A$2:$A$5000,0))&lt;=INDEX(DB_malas!$D$2:$D$5000,MATCH(J145,DB_malas!$A$2:$A$5000,0)),IF(INDEX(DB_materiali!$B$2:$B$5000,MATCH($C145,DB_materiali!$A$2:$A$5000,0))=INDEX(DB_malas!$B$2:$B$5000,MATCH(J145,DB_malas!$A$2:$A$5000,0)),"✔",tulkojums!$A$38),tulkojums!$A$39),tulkojums!$A$39))</f>
        <v/>
      </c>
      <c r="S145" s="2" t="str">
        <f>IF(ISBLANK(K145),"",IF(INDEX(DB_materiali!$E$2:$E$5000,MATCH($C145,DB_materiali!$A$2:$A$5000,0))&gt;=INDEX(DB_malas!$C$2:$C$5000,MATCH(K145,DB_malas!$A$2:$A$5000,0)),IF(INDEX(DB_materiali!$E$2:$E$5000,MATCH($C145,DB_materiali!$A$2:$A$5000,0))&lt;=INDEX(DB_malas!$D$2:$D$5000,MATCH(K145,DB_malas!$A$2:$A$5000,0)),IF(INDEX(DB_materiali!$B$2:$B$5000,MATCH($C145,DB_materiali!$A$2:$A$5000,0))=INDEX(DB_malas!$B$2:$B$5000,MATCH(K145,DB_malas!$A$2:$A$5000,0)),"✔",tulkojums!$A$38),tulkojums!$A$39),tulkojums!$A$39))</f>
        <v/>
      </c>
      <c r="T145" s="2"/>
      <c r="U145" s="2"/>
      <c r="V145" s="2"/>
      <c r="W145" s="2"/>
      <c r="X145" s="2"/>
      <c r="Y145" s="2"/>
      <c r="Z145" s="2"/>
    </row>
    <row r="146" spans="1:26" ht="15.75" customHeight="1">
      <c r="A146" s="17"/>
      <c r="B146" s="18"/>
      <c r="C146" s="19"/>
      <c r="D146" s="55"/>
      <c r="E146" s="55"/>
      <c r="F146" s="56"/>
      <c r="G146" s="57" t="str">
        <f>IF(ISBLANK(C146),"",
   IFERROR(
      IF(
         INDEX(DB_materiali!C$2:C$5000,
               MATCH(C146, DB_materiali!A$2:A$5000, 0)
         )="FALSE",
         "N",
         "Y"
      ),
   "")
)</f>
        <v/>
      </c>
      <c r="H146" s="20"/>
      <c r="I146" s="20"/>
      <c r="J146" s="20"/>
      <c r="K146" s="20"/>
      <c r="M146" s="2" t="str">
        <f>IF(ISBLANK(C146),"",IF(IFERROR(VLOOKUP(C146,DB_materiali!$A$2:$A$5000,1,FALSE),"Kļūda artikulā")=C146,"✔",tulkojums!A$42))</f>
        <v/>
      </c>
      <c r="N146" s="2" t="str">
        <f>IF(ISBLANK(C146),"",IF(ISNUMBER(F146)=TRUE,"✔",tulkojums!A$43))</f>
        <v/>
      </c>
      <c r="O146" s="2" t="str">
        <f>IF(ISBLANK(C146),"",IF(G146="Y","✔",IF(G146="X","✔",IF(G146="N","✔",tulkojums!A$44))))</f>
        <v/>
      </c>
      <c r="P146" s="2" t="str">
        <f>IF(ISBLANK(H146),"",IF(INDEX(DB_materiali!$E$2:$E$5000,MATCH($C146,DB_materiali!$A$2:$A$5000,0))&gt;=INDEX(DB_malas!$C$2:$C$5000,MATCH(H146,DB_malas!$A$2:$A$5000,0)),IF(INDEX(DB_materiali!$E$2:$E$5000,MATCH($C146,DB_materiali!$A$2:$A$5000,0))&lt;=INDEX(DB_malas!$D$2:$D$5000,MATCH(H146,DB_malas!$A$2:$A$5000,0)),IF(OR(INDEX(DB_materiali!$B$2:$B$5000,MATCH($C146,DB_materiali!$A$2:$A$5000,0))=INDEX(DB_malas!$B$2:$B$5000,MATCH(H146,DB_malas!$A$2:$A$5000,0)),$H146="ORG"),"✔",tulkojums!$A$38),tulkojums!$A$39),tulkojums!$A$39))</f>
        <v/>
      </c>
      <c r="Q146" s="2" t="str">
        <f>IF(ISBLANK(I146),"",IF(INDEX(DB_materiali!$E$2:$E$5000,MATCH($C146,DB_materiali!$A$2:$A$5000,0))&gt;=INDEX(DB_malas!$C$2:$C$5000,MATCH(I146,DB_malas!$A$2:$A$5000,0)),IF(INDEX(DB_materiali!$E$2:$E$5000,MATCH($C146,DB_materiali!$A$2:$A$5000,0))&lt;=INDEX(DB_malas!$D$2:$D$5000,MATCH(I146,DB_malas!$A$2:$A$5000,0)),IF(OR(INDEX(DB_materiali!$B$2:$B$5000,MATCH($C146,DB_materiali!$A$2:$A$5000,0))=INDEX(DB_malas!$B$2:$B$5000,MATCH(I146,DB_malas!$A$2:$A$5000,0)),$H146="ORG"),"✔",tulkojums!$A$38),tulkojums!$A$39),tulkojums!$A$39))</f>
        <v/>
      </c>
      <c r="R146" s="2" t="str">
        <f>IF(ISBLANK(J146),"",IF(INDEX(DB_materiali!$E$2:$E$5000,MATCH($C146,DB_materiali!$A$2:$A$5000,0))&gt;=INDEX(DB_malas!$C$2:$C$5000,MATCH(J146,DB_malas!$A$2:$A$5000,0)),IF(INDEX(DB_materiali!$E$2:$E$5000,MATCH($C146,DB_materiali!$A$2:$A$5000,0))&lt;=INDEX(DB_malas!$D$2:$D$5000,MATCH(J146,DB_malas!$A$2:$A$5000,0)),IF(INDEX(DB_materiali!$B$2:$B$5000,MATCH($C146,DB_materiali!$A$2:$A$5000,0))=INDEX(DB_malas!$B$2:$B$5000,MATCH(J146,DB_malas!$A$2:$A$5000,0)),"✔",tulkojums!$A$38),tulkojums!$A$39),tulkojums!$A$39))</f>
        <v/>
      </c>
      <c r="S146" s="2" t="str">
        <f>IF(ISBLANK(K146),"",IF(INDEX(DB_materiali!$E$2:$E$5000,MATCH($C146,DB_materiali!$A$2:$A$5000,0))&gt;=INDEX(DB_malas!$C$2:$C$5000,MATCH(K146,DB_malas!$A$2:$A$5000,0)),IF(INDEX(DB_materiali!$E$2:$E$5000,MATCH($C146,DB_materiali!$A$2:$A$5000,0))&lt;=INDEX(DB_malas!$D$2:$D$5000,MATCH(K146,DB_malas!$A$2:$A$5000,0)),IF(INDEX(DB_materiali!$B$2:$B$5000,MATCH($C146,DB_materiali!$A$2:$A$5000,0))=INDEX(DB_malas!$B$2:$B$5000,MATCH(K146,DB_malas!$A$2:$A$5000,0)),"✔",tulkojums!$A$38),tulkojums!$A$39),tulkojums!$A$39))</f>
        <v/>
      </c>
      <c r="T146" s="2"/>
      <c r="U146" s="2"/>
      <c r="V146" s="2"/>
      <c r="W146" s="2"/>
      <c r="X146" s="2"/>
      <c r="Y146" s="2"/>
      <c r="Z146" s="2"/>
    </row>
    <row r="147" spans="1:26" ht="15.75" customHeight="1">
      <c r="A147" s="17"/>
      <c r="B147" s="18"/>
      <c r="C147" s="19"/>
      <c r="D147" s="55"/>
      <c r="E147" s="55"/>
      <c r="F147" s="56"/>
      <c r="G147" s="57" t="str">
        <f>IF(ISBLANK(C147),"",
   IFERROR(
      IF(
         INDEX(DB_materiali!C$2:C$5000,
               MATCH(C147, DB_materiali!A$2:A$5000, 0)
         )="FALSE",
         "N",
         "Y"
      ),
   "")
)</f>
        <v/>
      </c>
      <c r="H147" s="20"/>
      <c r="I147" s="20"/>
      <c r="J147" s="20"/>
      <c r="K147" s="20"/>
      <c r="M147" s="2" t="str">
        <f>IF(ISBLANK(C147),"",IF(IFERROR(VLOOKUP(C147,DB_materiali!$A$2:$A$5000,1,FALSE),"Kļūda artikulā")=C147,"✔",tulkojums!A$42))</f>
        <v/>
      </c>
      <c r="N147" s="2" t="str">
        <f>IF(ISBLANK(C147),"",IF(ISNUMBER(F147)=TRUE,"✔",tulkojums!A$43))</f>
        <v/>
      </c>
      <c r="O147" s="2" t="str">
        <f>IF(ISBLANK(C147),"",IF(G147="Y","✔",IF(G147="X","✔",IF(G147="N","✔",tulkojums!A$44))))</f>
        <v/>
      </c>
      <c r="P147" s="2" t="str">
        <f>IF(ISBLANK(H147),"",IF(INDEX(DB_materiali!$E$2:$E$5000,MATCH($C147,DB_materiali!$A$2:$A$5000,0))&gt;=INDEX(DB_malas!$C$2:$C$5000,MATCH(H147,DB_malas!$A$2:$A$5000,0)),IF(INDEX(DB_materiali!$E$2:$E$5000,MATCH($C147,DB_materiali!$A$2:$A$5000,0))&lt;=INDEX(DB_malas!$D$2:$D$5000,MATCH(H147,DB_malas!$A$2:$A$5000,0)),IF(OR(INDEX(DB_materiali!$B$2:$B$5000,MATCH($C147,DB_materiali!$A$2:$A$5000,0))=INDEX(DB_malas!$B$2:$B$5000,MATCH(H147,DB_malas!$A$2:$A$5000,0)),$H147="ORG"),"✔",tulkojums!$A$38),tulkojums!$A$39),tulkojums!$A$39))</f>
        <v/>
      </c>
      <c r="Q147" s="2" t="str">
        <f>IF(ISBLANK(I147),"",IF(INDEX(DB_materiali!$E$2:$E$5000,MATCH($C147,DB_materiali!$A$2:$A$5000,0))&gt;=INDEX(DB_malas!$C$2:$C$5000,MATCH(I147,DB_malas!$A$2:$A$5000,0)),IF(INDEX(DB_materiali!$E$2:$E$5000,MATCH($C147,DB_materiali!$A$2:$A$5000,0))&lt;=INDEX(DB_malas!$D$2:$D$5000,MATCH(I147,DB_malas!$A$2:$A$5000,0)),IF(OR(INDEX(DB_materiali!$B$2:$B$5000,MATCH($C147,DB_materiali!$A$2:$A$5000,0))=INDEX(DB_malas!$B$2:$B$5000,MATCH(I147,DB_malas!$A$2:$A$5000,0)),$H147="ORG"),"✔",tulkojums!$A$38),tulkojums!$A$39),tulkojums!$A$39))</f>
        <v/>
      </c>
      <c r="R147" s="2" t="str">
        <f>IF(ISBLANK(J147),"",IF(INDEX(DB_materiali!$E$2:$E$5000,MATCH($C147,DB_materiali!$A$2:$A$5000,0))&gt;=INDEX(DB_malas!$C$2:$C$5000,MATCH(J147,DB_malas!$A$2:$A$5000,0)),IF(INDEX(DB_materiali!$E$2:$E$5000,MATCH($C147,DB_materiali!$A$2:$A$5000,0))&lt;=INDEX(DB_malas!$D$2:$D$5000,MATCH(J147,DB_malas!$A$2:$A$5000,0)),IF(INDEX(DB_materiali!$B$2:$B$5000,MATCH($C147,DB_materiali!$A$2:$A$5000,0))=INDEX(DB_malas!$B$2:$B$5000,MATCH(J147,DB_malas!$A$2:$A$5000,0)),"✔",tulkojums!$A$38),tulkojums!$A$39),tulkojums!$A$39))</f>
        <v/>
      </c>
      <c r="S147" s="2" t="str">
        <f>IF(ISBLANK(K147),"",IF(INDEX(DB_materiali!$E$2:$E$5000,MATCH($C147,DB_materiali!$A$2:$A$5000,0))&gt;=INDEX(DB_malas!$C$2:$C$5000,MATCH(K147,DB_malas!$A$2:$A$5000,0)),IF(INDEX(DB_materiali!$E$2:$E$5000,MATCH($C147,DB_materiali!$A$2:$A$5000,0))&lt;=INDEX(DB_malas!$D$2:$D$5000,MATCH(K147,DB_malas!$A$2:$A$5000,0)),IF(INDEX(DB_materiali!$B$2:$B$5000,MATCH($C147,DB_materiali!$A$2:$A$5000,0))=INDEX(DB_malas!$B$2:$B$5000,MATCH(K147,DB_malas!$A$2:$A$5000,0)),"✔",tulkojums!$A$38),tulkojums!$A$39),tulkojums!$A$39))</f>
        <v/>
      </c>
      <c r="T147" s="2"/>
      <c r="U147" s="2"/>
      <c r="V147" s="2"/>
      <c r="W147" s="2"/>
      <c r="X147" s="2"/>
      <c r="Y147" s="2"/>
      <c r="Z147" s="2"/>
    </row>
    <row r="148" spans="1:26" ht="15.75" customHeight="1">
      <c r="A148" s="17"/>
      <c r="B148" s="18"/>
      <c r="C148" s="19"/>
      <c r="D148" s="55"/>
      <c r="E148" s="55"/>
      <c r="F148" s="56"/>
      <c r="G148" s="57" t="str">
        <f>IF(ISBLANK(C148),"",
   IFERROR(
      IF(
         INDEX(DB_materiali!C$2:C$5000,
               MATCH(C148, DB_materiali!A$2:A$5000, 0)
         )="FALSE",
         "N",
         "Y"
      ),
   "")
)</f>
        <v/>
      </c>
      <c r="H148" s="20"/>
      <c r="I148" s="20"/>
      <c r="J148" s="20"/>
      <c r="K148" s="20"/>
      <c r="M148" s="2" t="str">
        <f>IF(ISBLANK(C148),"",IF(IFERROR(VLOOKUP(C148,DB_materiali!$A$2:$A$5000,1,FALSE),"Kļūda artikulā")=C148,"✔",tulkojums!A$42))</f>
        <v/>
      </c>
      <c r="N148" s="2" t="str">
        <f>IF(ISBLANK(C148),"",IF(ISNUMBER(F148)=TRUE,"✔",tulkojums!A$43))</f>
        <v/>
      </c>
      <c r="O148" s="2" t="str">
        <f>IF(ISBLANK(C148),"",IF(G148="Y","✔",IF(G148="X","✔",IF(G148="N","✔",tulkojums!A$44))))</f>
        <v/>
      </c>
      <c r="P148" s="2" t="str">
        <f>IF(ISBLANK(H148),"",IF(INDEX(DB_materiali!$E$2:$E$5000,MATCH($C148,DB_materiali!$A$2:$A$5000,0))&gt;=INDEX(DB_malas!$C$2:$C$5000,MATCH(H148,DB_malas!$A$2:$A$5000,0)),IF(INDEX(DB_materiali!$E$2:$E$5000,MATCH($C148,DB_materiali!$A$2:$A$5000,0))&lt;=INDEX(DB_malas!$D$2:$D$5000,MATCH(H148,DB_malas!$A$2:$A$5000,0)),IF(OR(INDEX(DB_materiali!$B$2:$B$5000,MATCH($C148,DB_materiali!$A$2:$A$5000,0))=INDEX(DB_malas!$B$2:$B$5000,MATCH(H148,DB_malas!$A$2:$A$5000,0)),$H148="ORG"),"✔",tulkojums!$A$38),tulkojums!$A$39),tulkojums!$A$39))</f>
        <v/>
      </c>
      <c r="Q148" s="2" t="str">
        <f>IF(ISBLANK(I148),"",IF(INDEX(DB_materiali!$E$2:$E$5000,MATCH($C148,DB_materiali!$A$2:$A$5000,0))&gt;=INDEX(DB_malas!$C$2:$C$5000,MATCH(I148,DB_malas!$A$2:$A$5000,0)),IF(INDEX(DB_materiali!$E$2:$E$5000,MATCH($C148,DB_materiali!$A$2:$A$5000,0))&lt;=INDEX(DB_malas!$D$2:$D$5000,MATCH(I148,DB_malas!$A$2:$A$5000,0)),IF(OR(INDEX(DB_materiali!$B$2:$B$5000,MATCH($C148,DB_materiali!$A$2:$A$5000,0))=INDEX(DB_malas!$B$2:$B$5000,MATCH(I148,DB_malas!$A$2:$A$5000,0)),$H148="ORG"),"✔",tulkojums!$A$38),tulkojums!$A$39),tulkojums!$A$39))</f>
        <v/>
      </c>
      <c r="R148" s="2" t="str">
        <f>IF(ISBLANK(J148),"",IF(INDEX(DB_materiali!$E$2:$E$5000,MATCH($C148,DB_materiali!$A$2:$A$5000,0))&gt;=INDEX(DB_malas!$C$2:$C$5000,MATCH(J148,DB_malas!$A$2:$A$5000,0)),IF(INDEX(DB_materiali!$E$2:$E$5000,MATCH($C148,DB_materiali!$A$2:$A$5000,0))&lt;=INDEX(DB_malas!$D$2:$D$5000,MATCH(J148,DB_malas!$A$2:$A$5000,0)),IF(INDEX(DB_materiali!$B$2:$B$5000,MATCH($C148,DB_materiali!$A$2:$A$5000,0))=INDEX(DB_malas!$B$2:$B$5000,MATCH(J148,DB_malas!$A$2:$A$5000,0)),"✔",tulkojums!$A$38),tulkojums!$A$39),tulkojums!$A$39))</f>
        <v/>
      </c>
      <c r="S148" s="2" t="str">
        <f>IF(ISBLANK(K148),"",IF(INDEX(DB_materiali!$E$2:$E$5000,MATCH($C148,DB_materiali!$A$2:$A$5000,0))&gt;=INDEX(DB_malas!$C$2:$C$5000,MATCH(K148,DB_malas!$A$2:$A$5000,0)),IF(INDEX(DB_materiali!$E$2:$E$5000,MATCH($C148,DB_materiali!$A$2:$A$5000,0))&lt;=INDEX(DB_malas!$D$2:$D$5000,MATCH(K148,DB_malas!$A$2:$A$5000,0)),IF(INDEX(DB_materiali!$B$2:$B$5000,MATCH($C148,DB_materiali!$A$2:$A$5000,0))=INDEX(DB_malas!$B$2:$B$5000,MATCH(K148,DB_malas!$A$2:$A$5000,0)),"✔",tulkojums!$A$38),tulkojums!$A$39),tulkojums!$A$39))</f>
        <v/>
      </c>
      <c r="T148" s="2"/>
      <c r="U148" s="2"/>
      <c r="V148" s="2"/>
      <c r="W148" s="2"/>
      <c r="X148" s="2"/>
      <c r="Y148" s="2"/>
      <c r="Z148" s="2"/>
    </row>
    <row r="149" spans="1:26" ht="15.75" customHeight="1">
      <c r="A149" s="17"/>
      <c r="B149" s="18"/>
      <c r="C149" s="19"/>
      <c r="D149" s="55"/>
      <c r="E149" s="55"/>
      <c r="F149" s="56"/>
      <c r="G149" s="57" t="str">
        <f>IF(ISBLANK(C149),"",
   IFERROR(
      IF(
         INDEX(DB_materiali!C$2:C$5000,
               MATCH(C149, DB_materiali!A$2:A$5000, 0)
         )="FALSE",
         "N",
         "Y"
      ),
   "")
)</f>
        <v/>
      </c>
      <c r="H149" s="20"/>
      <c r="I149" s="20"/>
      <c r="J149" s="20"/>
      <c r="K149" s="20"/>
      <c r="M149" s="2" t="str">
        <f>IF(ISBLANK(C149),"",IF(IFERROR(VLOOKUP(C149,DB_materiali!$A$2:$A$5000,1,FALSE),"Kļūda artikulā")=C149,"✔",tulkojums!A$42))</f>
        <v/>
      </c>
      <c r="N149" s="2" t="str">
        <f>IF(ISBLANK(C149),"",IF(ISNUMBER(F149)=TRUE,"✔",tulkojums!A$43))</f>
        <v/>
      </c>
      <c r="O149" s="2" t="str">
        <f>IF(ISBLANK(C149),"",IF(G149="Y","✔",IF(G149="X","✔",IF(G149="N","✔",tulkojums!A$44))))</f>
        <v/>
      </c>
      <c r="P149" s="2" t="str">
        <f>IF(ISBLANK(H149),"",IF(INDEX(DB_materiali!$E$2:$E$5000,MATCH($C149,DB_materiali!$A$2:$A$5000,0))&gt;=INDEX(DB_malas!$C$2:$C$5000,MATCH(H149,DB_malas!$A$2:$A$5000,0)),IF(INDEX(DB_materiali!$E$2:$E$5000,MATCH($C149,DB_materiali!$A$2:$A$5000,0))&lt;=INDEX(DB_malas!$D$2:$D$5000,MATCH(H149,DB_malas!$A$2:$A$5000,0)),IF(OR(INDEX(DB_materiali!$B$2:$B$5000,MATCH($C149,DB_materiali!$A$2:$A$5000,0))=INDEX(DB_malas!$B$2:$B$5000,MATCH(H149,DB_malas!$A$2:$A$5000,0)),$H149="ORG"),"✔",tulkojums!$A$38),tulkojums!$A$39),tulkojums!$A$39))</f>
        <v/>
      </c>
      <c r="Q149" s="2" t="str">
        <f>IF(ISBLANK(I149),"",IF(INDEX(DB_materiali!$E$2:$E$5000,MATCH($C149,DB_materiali!$A$2:$A$5000,0))&gt;=INDEX(DB_malas!$C$2:$C$5000,MATCH(I149,DB_malas!$A$2:$A$5000,0)),IF(INDEX(DB_materiali!$E$2:$E$5000,MATCH($C149,DB_materiali!$A$2:$A$5000,0))&lt;=INDEX(DB_malas!$D$2:$D$5000,MATCH(I149,DB_malas!$A$2:$A$5000,0)),IF(OR(INDEX(DB_materiali!$B$2:$B$5000,MATCH($C149,DB_materiali!$A$2:$A$5000,0))=INDEX(DB_malas!$B$2:$B$5000,MATCH(I149,DB_malas!$A$2:$A$5000,0)),$H149="ORG"),"✔",tulkojums!$A$38),tulkojums!$A$39),tulkojums!$A$39))</f>
        <v/>
      </c>
      <c r="R149" s="2" t="str">
        <f>IF(ISBLANK(J149),"",IF(INDEX(DB_materiali!$E$2:$E$5000,MATCH($C149,DB_materiali!$A$2:$A$5000,0))&gt;=INDEX(DB_malas!$C$2:$C$5000,MATCH(J149,DB_malas!$A$2:$A$5000,0)),IF(INDEX(DB_materiali!$E$2:$E$5000,MATCH($C149,DB_materiali!$A$2:$A$5000,0))&lt;=INDEX(DB_malas!$D$2:$D$5000,MATCH(J149,DB_malas!$A$2:$A$5000,0)),IF(INDEX(DB_materiali!$B$2:$B$5000,MATCH($C149,DB_materiali!$A$2:$A$5000,0))=INDEX(DB_malas!$B$2:$B$5000,MATCH(J149,DB_malas!$A$2:$A$5000,0)),"✔",tulkojums!$A$38),tulkojums!$A$39),tulkojums!$A$39))</f>
        <v/>
      </c>
      <c r="S149" s="2" t="str">
        <f>IF(ISBLANK(K149),"",IF(INDEX(DB_materiali!$E$2:$E$5000,MATCH($C149,DB_materiali!$A$2:$A$5000,0))&gt;=INDEX(DB_malas!$C$2:$C$5000,MATCH(K149,DB_malas!$A$2:$A$5000,0)),IF(INDEX(DB_materiali!$E$2:$E$5000,MATCH($C149,DB_materiali!$A$2:$A$5000,0))&lt;=INDEX(DB_malas!$D$2:$D$5000,MATCH(K149,DB_malas!$A$2:$A$5000,0)),IF(INDEX(DB_materiali!$B$2:$B$5000,MATCH($C149,DB_materiali!$A$2:$A$5000,0))=INDEX(DB_malas!$B$2:$B$5000,MATCH(K149,DB_malas!$A$2:$A$5000,0)),"✔",tulkojums!$A$38),tulkojums!$A$39),tulkojums!$A$39))</f>
        <v/>
      </c>
      <c r="T149" s="2"/>
      <c r="U149" s="2"/>
      <c r="V149" s="2"/>
      <c r="W149" s="2"/>
      <c r="X149" s="2"/>
      <c r="Y149" s="2"/>
      <c r="Z149" s="2"/>
    </row>
    <row r="150" spans="1:26" ht="15.75" customHeight="1">
      <c r="A150" s="17"/>
      <c r="B150" s="18"/>
      <c r="C150" s="19"/>
      <c r="D150" s="55"/>
      <c r="E150" s="55"/>
      <c r="F150" s="56"/>
      <c r="G150" s="57" t="str">
        <f>IF(ISBLANK(C150),"",
   IFERROR(
      IF(
         INDEX(DB_materiali!C$2:C$5000,
               MATCH(C150, DB_materiali!A$2:A$5000, 0)
         )="FALSE",
         "N",
         "Y"
      ),
   "")
)</f>
        <v/>
      </c>
      <c r="H150" s="20"/>
      <c r="I150" s="20"/>
      <c r="J150" s="20"/>
      <c r="K150" s="20"/>
      <c r="M150" s="2" t="str">
        <f>IF(ISBLANK(C150),"",IF(IFERROR(VLOOKUP(C150,DB_materiali!$A$2:$A$5000,1,FALSE),"Kļūda artikulā")=C150,"✔",tulkojums!A$42))</f>
        <v/>
      </c>
      <c r="N150" s="2" t="str">
        <f>IF(ISBLANK(C150),"",IF(ISNUMBER(F150)=TRUE,"✔",tulkojums!A$43))</f>
        <v/>
      </c>
      <c r="O150" s="2" t="str">
        <f>IF(ISBLANK(C150),"",IF(G150="Y","✔",IF(G150="X","✔",IF(G150="N","✔",tulkojums!A$44))))</f>
        <v/>
      </c>
      <c r="P150" s="2" t="str">
        <f>IF(ISBLANK(H150),"",IF(INDEX(DB_materiali!$E$2:$E$5000,MATCH($C150,DB_materiali!$A$2:$A$5000,0))&gt;=INDEX(DB_malas!$C$2:$C$5000,MATCH(H150,DB_malas!$A$2:$A$5000,0)),IF(INDEX(DB_materiali!$E$2:$E$5000,MATCH($C150,DB_materiali!$A$2:$A$5000,0))&lt;=INDEX(DB_malas!$D$2:$D$5000,MATCH(H150,DB_malas!$A$2:$A$5000,0)),IF(OR(INDEX(DB_materiali!$B$2:$B$5000,MATCH($C150,DB_materiali!$A$2:$A$5000,0))=INDEX(DB_malas!$B$2:$B$5000,MATCH(H150,DB_malas!$A$2:$A$5000,0)),$H150="ORG"),"✔",tulkojums!$A$38),tulkojums!$A$39),tulkojums!$A$39))</f>
        <v/>
      </c>
      <c r="Q150" s="2" t="str">
        <f>IF(ISBLANK(I150),"",IF(INDEX(DB_materiali!$E$2:$E$5000,MATCH($C150,DB_materiali!$A$2:$A$5000,0))&gt;=INDEX(DB_malas!$C$2:$C$5000,MATCH(I150,DB_malas!$A$2:$A$5000,0)),IF(INDEX(DB_materiali!$E$2:$E$5000,MATCH($C150,DB_materiali!$A$2:$A$5000,0))&lt;=INDEX(DB_malas!$D$2:$D$5000,MATCH(I150,DB_malas!$A$2:$A$5000,0)),IF(OR(INDEX(DB_materiali!$B$2:$B$5000,MATCH($C150,DB_materiali!$A$2:$A$5000,0))=INDEX(DB_malas!$B$2:$B$5000,MATCH(I150,DB_malas!$A$2:$A$5000,0)),$H150="ORG"),"✔",tulkojums!$A$38),tulkojums!$A$39),tulkojums!$A$39))</f>
        <v/>
      </c>
      <c r="R150" s="2" t="str">
        <f>IF(ISBLANK(J150),"",IF(INDEX(DB_materiali!$E$2:$E$5000,MATCH($C150,DB_materiali!$A$2:$A$5000,0))&gt;=INDEX(DB_malas!$C$2:$C$5000,MATCH(J150,DB_malas!$A$2:$A$5000,0)),IF(INDEX(DB_materiali!$E$2:$E$5000,MATCH($C150,DB_materiali!$A$2:$A$5000,0))&lt;=INDEX(DB_malas!$D$2:$D$5000,MATCH(J150,DB_malas!$A$2:$A$5000,0)),IF(INDEX(DB_materiali!$B$2:$B$5000,MATCH($C150,DB_materiali!$A$2:$A$5000,0))=INDEX(DB_malas!$B$2:$B$5000,MATCH(J150,DB_malas!$A$2:$A$5000,0)),"✔",tulkojums!$A$38),tulkojums!$A$39),tulkojums!$A$39))</f>
        <v/>
      </c>
      <c r="S150" s="2" t="str">
        <f>IF(ISBLANK(K150),"",IF(INDEX(DB_materiali!$E$2:$E$5000,MATCH($C150,DB_materiali!$A$2:$A$5000,0))&gt;=INDEX(DB_malas!$C$2:$C$5000,MATCH(K150,DB_malas!$A$2:$A$5000,0)),IF(INDEX(DB_materiali!$E$2:$E$5000,MATCH($C150,DB_materiali!$A$2:$A$5000,0))&lt;=INDEX(DB_malas!$D$2:$D$5000,MATCH(K150,DB_malas!$A$2:$A$5000,0)),IF(INDEX(DB_materiali!$B$2:$B$5000,MATCH($C150,DB_materiali!$A$2:$A$5000,0))=INDEX(DB_malas!$B$2:$B$5000,MATCH(K150,DB_malas!$A$2:$A$5000,0)),"✔",tulkojums!$A$38),tulkojums!$A$39),tulkojums!$A$39))</f>
        <v/>
      </c>
      <c r="T150" s="2"/>
      <c r="U150" s="2"/>
      <c r="V150" s="2"/>
      <c r="W150" s="2"/>
      <c r="X150" s="2"/>
      <c r="Y150" s="2"/>
      <c r="Z150" s="2"/>
    </row>
    <row r="151" spans="1:26" ht="15.75" customHeight="1">
      <c r="A151" s="17"/>
      <c r="B151" s="18"/>
      <c r="C151" s="19"/>
      <c r="D151" s="55"/>
      <c r="E151" s="55"/>
      <c r="F151" s="56"/>
      <c r="G151" s="57" t="str">
        <f>IF(ISBLANK(C151),"",
   IFERROR(
      IF(
         INDEX(DB_materiali!C$2:C$5000,
               MATCH(C151, DB_materiali!A$2:A$5000, 0)
         )="FALSE",
         "N",
         "Y"
      ),
   "")
)</f>
        <v/>
      </c>
      <c r="H151" s="20"/>
      <c r="I151" s="20"/>
      <c r="J151" s="20"/>
      <c r="K151" s="20"/>
      <c r="M151" s="2" t="str">
        <f>IF(ISBLANK(C151),"",IF(IFERROR(VLOOKUP(C151,DB_materiali!$A$2:$A$5000,1,FALSE),"Kļūda artikulā")=C151,"✔",tulkojums!A$42))</f>
        <v/>
      </c>
      <c r="N151" s="2" t="str">
        <f>IF(ISBLANK(C151),"",IF(ISNUMBER(F151)=TRUE,"✔",tulkojums!A$43))</f>
        <v/>
      </c>
      <c r="O151" s="2" t="str">
        <f>IF(ISBLANK(C151),"",IF(G151="Y","✔",IF(G151="X","✔",IF(G151="N","✔",tulkojums!A$44))))</f>
        <v/>
      </c>
      <c r="P151" s="2" t="str">
        <f>IF(ISBLANK(H151),"",IF(INDEX(DB_materiali!$E$2:$E$5000,MATCH($C151,DB_materiali!$A$2:$A$5000,0))&gt;=INDEX(DB_malas!$C$2:$C$5000,MATCH(H151,DB_malas!$A$2:$A$5000,0)),IF(INDEX(DB_materiali!$E$2:$E$5000,MATCH($C151,DB_materiali!$A$2:$A$5000,0))&lt;=INDEX(DB_malas!$D$2:$D$5000,MATCH(H151,DB_malas!$A$2:$A$5000,0)),IF(OR(INDEX(DB_materiali!$B$2:$B$5000,MATCH($C151,DB_materiali!$A$2:$A$5000,0))=INDEX(DB_malas!$B$2:$B$5000,MATCH(H151,DB_malas!$A$2:$A$5000,0)),$H151="ORG"),"✔",tulkojums!$A$38),tulkojums!$A$39),tulkojums!$A$39))</f>
        <v/>
      </c>
      <c r="Q151" s="2" t="str">
        <f>IF(ISBLANK(I151),"",IF(INDEX(DB_materiali!$E$2:$E$5000,MATCH($C151,DB_materiali!$A$2:$A$5000,0))&gt;=INDEX(DB_malas!$C$2:$C$5000,MATCH(I151,DB_malas!$A$2:$A$5000,0)),IF(INDEX(DB_materiali!$E$2:$E$5000,MATCH($C151,DB_materiali!$A$2:$A$5000,0))&lt;=INDEX(DB_malas!$D$2:$D$5000,MATCH(I151,DB_malas!$A$2:$A$5000,0)),IF(OR(INDEX(DB_materiali!$B$2:$B$5000,MATCH($C151,DB_materiali!$A$2:$A$5000,0))=INDEX(DB_malas!$B$2:$B$5000,MATCH(I151,DB_malas!$A$2:$A$5000,0)),$H151="ORG"),"✔",tulkojums!$A$38),tulkojums!$A$39),tulkojums!$A$39))</f>
        <v/>
      </c>
      <c r="R151" s="2" t="str">
        <f>IF(ISBLANK(J151),"",IF(INDEX(DB_materiali!$E$2:$E$5000,MATCH($C151,DB_materiali!$A$2:$A$5000,0))&gt;=INDEX(DB_malas!$C$2:$C$5000,MATCH(J151,DB_malas!$A$2:$A$5000,0)),IF(INDEX(DB_materiali!$E$2:$E$5000,MATCH($C151,DB_materiali!$A$2:$A$5000,0))&lt;=INDEX(DB_malas!$D$2:$D$5000,MATCH(J151,DB_malas!$A$2:$A$5000,0)),IF(INDEX(DB_materiali!$B$2:$B$5000,MATCH($C151,DB_materiali!$A$2:$A$5000,0))=INDEX(DB_malas!$B$2:$B$5000,MATCH(J151,DB_malas!$A$2:$A$5000,0)),"✔",tulkojums!$A$38),tulkojums!$A$39),tulkojums!$A$39))</f>
        <v/>
      </c>
      <c r="S151" s="2" t="str">
        <f>IF(ISBLANK(K151),"",IF(INDEX(DB_materiali!$E$2:$E$5000,MATCH($C151,DB_materiali!$A$2:$A$5000,0))&gt;=INDEX(DB_malas!$C$2:$C$5000,MATCH(K151,DB_malas!$A$2:$A$5000,0)),IF(INDEX(DB_materiali!$E$2:$E$5000,MATCH($C151,DB_materiali!$A$2:$A$5000,0))&lt;=INDEX(DB_malas!$D$2:$D$5000,MATCH(K151,DB_malas!$A$2:$A$5000,0)),IF(INDEX(DB_materiali!$B$2:$B$5000,MATCH($C151,DB_materiali!$A$2:$A$5000,0))=INDEX(DB_malas!$B$2:$B$5000,MATCH(K151,DB_malas!$A$2:$A$5000,0)),"✔",tulkojums!$A$38),tulkojums!$A$39),tulkojums!$A$39))</f>
        <v/>
      </c>
      <c r="T151" s="2"/>
      <c r="U151" s="2"/>
      <c r="V151" s="2"/>
      <c r="W151" s="2"/>
      <c r="X151" s="2"/>
      <c r="Y151" s="2"/>
      <c r="Z151" s="2"/>
    </row>
    <row r="152" spans="1:26" ht="15.75" customHeight="1">
      <c r="A152" s="17"/>
      <c r="B152" s="18"/>
      <c r="C152" s="19"/>
      <c r="D152" s="55"/>
      <c r="E152" s="55"/>
      <c r="F152" s="56"/>
      <c r="G152" s="57" t="str">
        <f>IF(ISBLANK(C152),"",
   IFERROR(
      IF(
         INDEX(DB_materiali!C$2:C$5000,
               MATCH(C152, DB_materiali!A$2:A$5000, 0)
         )="FALSE",
         "N",
         "Y"
      ),
   "")
)</f>
        <v/>
      </c>
      <c r="H152" s="20"/>
      <c r="I152" s="20"/>
      <c r="J152" s="20"/>
      <c r="K152" s="20"/>
      <c r="M152" s="2" t="str">
        <f>IF(ISBLANK(C152),"",IF(IFERROR(VLOOKUP(C152,DB_materiali!$A$2:$A$5000,1,FALSE),"Kļūda artikulā")=C152,"✔",tulkojums!A$42))</f>
        <v/>
      </c>
      <c r="N152" s="2" t="str">
        <f>IF(ISBLANK(C152),"",IF(ISNUMBER(F152)=TRUE,"✔",tulkojums!A$43))</f>
        <v/>
      </c>
      <c r="O152" s="2" t="str">
        <f>IF(ISBLANK(C152),"",IF(G152="Y","✔",IF(G152="X","✔",IF(G152="N","✔",tulkojums!A$44))))</f>
        <v/>
      </c>
      <c r="P152" s="2" t="str">
        <f>IF(ISBLANK(H152),"",IF(INDEX(DB_materiali!$E$2:$E$5000,MATCH($C152,DB_materiali!$A$2:$A$5000,0))&gt;=INDEX(DB_malas!$C$2:$C$5000,MATCH(H152,DB_malas!$A$2:$A$5000,0)),IF(INDEX(DB_materiali!$E$2:$E$5000,MATCH($C152,DB_materiali!$A$2:$A$5000,0))&lt;=INDEX(DB_malas!$D$2:$D$5000,MATCH(H152,DB_malas!$A$2:$A$5000,0)),IF(OR(INDEX(DB_materiali!$B$2:$B$5000,MATCH($C152,DB_materiali!$A$2:$A$5000,0))=INDEX(DB_malas!$B$2:$B$5000,MATCH(H152,DB_malas!$A$2:$A$5000,0)),$H152="ORG"),"✔",tulkojums!$A$38),tulkojums!$A$39),tulkojums!$A$39))</f>
        <v/>
      </c>
      <c r="Q152" s="2" t="str">
        <f>IF(ISBLANK(I152),"",IF(INDEX(DB_materiali!$E$2:$E$5000,MATCH($C152,DB_materiali!$A$2:$A$5000,0))&gt;=INDEX(DB_malas!$C$2:$C$5000,MATCH(I152,DB_malas!$A$2:$A$5000,0)),IF(INDEX(DB_materiali!$E$2:$E$5000,MATCH($C152,DB_materiali!$A$2:$A$5000,0))&lt;=INDEX(DB_malas!$D$2:$D$5000,MATCH(I152,DB_malas!$A$2:$A$5000,0)),IF(OR(INDEX(DB_materiali!$B$2:$B$5000,MATCH($C152,DB_materiali!$A$2:$A$5000,0))=INDEX(DB_malas!$B$2:$B$5000,MATCH(I152,DB_malas!$A$2:$A$5000,0)),$H152="ORG"),"✔",tulkojums!$A$38),tulkojums!$A$39),tulkojums!$A$39))</f>
        <v/>
      </c>
      <c r="R152" s="2" t="str">
        <f>IF(ISBLANK(J152),"",IF(INDEX(DB_materiali!$E$2:$E$5000,MATCH($C152,DB_materiali!$A$2:$A$5000,0))&gt;=INDEX(DB_malas!$C$2:$C$5000,MATCH(J152,DB_malas!$A$2:$A$5000,0)),IF(INDEX(DB_materiali!$E$2:$E$5000,MATCH($C152,DB_materiali!$A$2:$A$5000,0))&lt;=INDEX(DB_malas!$D$2:$D$5000,MATCH(J152,DB_malas!$A$2:$A$5000,0)),IF(INDEX(DB_materiali!$B$2:$B$5000,MATCH($C152,DB_materiali!$A$2:$A$5000,0))=INDEX(DB_malas!$B$2:$B$5000,MATCH(J152,DB_malas!$A$2:$A$5000,0)),"✔",tulkojums!$A$38),tulkojums!$A$39),tulkojums!$A$39))</f>
        <v/>
      </c>
      <c r="S152" s="2" t="str">
        <f>IF(ISBLANK(K152),"",IF(INDEX(DB_materiali!$E$2:$E$5000,MATCH($C152,DB_materiali!$A$2:$A$5000,0))&gt;=INDEX(DB_malas!$C$2:$C$5000,MATCH(K152,DB_malas!$A$2:$A$5000,0)),IF(INDEX(DB_materiali!$E$2:$E$5000,MATCH($C152,DB_materiali!$A$2:$A$5000,0))&lt;=INDEX(DB_malas!$D$2:$D$5000,MATCH(K152,DB_malas!$A$2:$A$5000,0)),IF(INDEX(DB_materiali!$B$2:$B$5000,MATCH($C152,DB_materiali!$A$2:$A$5000,0))=INDEX(DB_malas!$B$2:$B$5000,MATCH(K152,DB_malas!$A$2:$A$5000,0)),"✔",tulkojums!$A$38),tulkojums!$A$39),tulkojums!$A$39))</f>
        <v/>
      </c>
      <c r="T152" s="2"/>
      <c r="U152" s="2"/>
      <c r="V152" s="2"/>
      <c r="W152" s="2"/>
      <c r="X152" s="2"/>
      <c r="Y152" s="2"/>
      <c r="Z152" s="2"/>
    </row>
    <row r="153" spans="1:26" ht="15.75" customHeight="1">
      <c r="A153" s="17"/>
      <c r="B153" s="18"/>
      <c r="C153" s="19"/>
      <c r="D153" s="55"/>
      <c r="E153" s="55"/>
      <c r="F153" s="56"/>
      <c r="G153" s="57" t="str">
        <f>IF(ISBLANK(C153),"",
   IFERROR(
      IF(
         INDEX(DB_materiali!C$2:C$5000,
               MATCH(C153, DB_materiali!A$2:A$5000, 0)
         )="FALSE",
         "N",
         "Y"
      ),
   "")
)</f>
        <v/>
      </c>
      <c r="H153" s="20"/>
      <c r="I153" s="20"/>
      <c r="J153" s="20"/>
      <c r="K153" s="20"/>
      <c r="M153" s="2" t="str">
        <f>IF(ISBLANK(C153),"",IF(IFERROR(VLOOKUP(C153,DB_materiali!$A$2:$A$5000,1,FALSE),"Kļūda artikulā")=C153,"✔",tulkojums!A$42))</f>
        <v/>
      </c>
      <c r="N153" s="2" t="str">
        <f>IF(ISBLANK(C153),"",IF(ISNUMBER(F153)=TRUE,"✔",tulkojums!A$43))</f>
        <v/>
      </c>
      <c r="O153" s="2" t="str">
        <f>IF(ISBLANK(C153),"",IF(G153="Y","✔",IF(G153="X","✔",IF(G153="N","✔",tulkojums!A$44))))</f>
        <v/>
      </c>
      <c r="P153" s="2" t="str">
        <f>IF(ISBLANK(H153),"",IF(INDEX(DB_materiali!$E$2:$E$5000,MATCH($C153,DB_materiali!$A$2:$A$5000,0))&gt;=INDEX(DB_malas!$C$2:$C$5000,MATCH(H153,DB_malas!$A$2:$A$5000,0)),IF(INDEX(DB_materiali!$E$2:$E$5000,MATCH($C153,DB_materiali!$A$2:$A$5000,0))&lt;=INDEX(DB_malas!$D$2:$D$5000,MATCH(H153,DB_malas!$A$2:$A$5000,0)),IF(OR(INDEX(DB_materiali!$B$2:$B$5000,MATCH($C153,DB_materiali!$A$2:$A$5000,0))=INDEX(DB_malas!$B$2:$B$5000,MATCH(H153,DB_malas!$A$2:$A$5000,0)),$H153="ORG"),"✔",tulkojums!$A$38),tulkojums!$A$39),tulkojums!$A$39))</f>
        <v/>
      </c>
      <c r="Q153" s="2" t="str">
        <f>IF(ISBLANK(I153),"",IF(INDEX(DB_materiali!$E$2:$E$5000,MATCH($C153,DB_materiali!$A$2:$A$5000,0))&gt;=INDEX(DB_malas!$C$2:$C$5000,MATCH(I153,DB_malas!$A$2:$A$5000,0)),IF(INDEX(DB_materiali!$E$2:$E$5000,MATCH($C153,DB_materiali!$A$2:$A$5000,0))&lt;=INDEX(DB_malas!$D$2:$D$5000,MATCH(I153,DB_malas!$A$2:$A$5000,0)),IF(OR(INDEX(DB_materiali!$B$2:$B$5000,MATCH($C153,DB_materiali!$A$2:$A$5000,0))=INDEX(DB_malas!$B$2:$B$5000,MATCH(I153,DB_malas!$A$2:$A$5000,0)),$H153="ORG"),"✔",tulkojums!$A$38),tulkojums!$A$39),tulkojums!$A$39))</f>
        <v/>
      </c>
      <c r="R153" s="2" t="str">
        <f>IF(ISBLANK(J153),"",IF(INDEX(DB_materiali!$E$2:$E$5000,MATCH($C153,DB_materiali!$A$2:$A$5000,0))&gt;=INDEX(DB_malas!$C$2:$C$5000,MATCH(J153,DB_malas!$A$2:$A$5000,0)),IF(INDEX(DB_materiali!$E$2:$E$5000,MATCH($C153,DB_materiali!$A$2:$A$5000,0))&lt;=INDEX(DB_malas!$D$2:$D$5000,MATCH(J153,DB_malas!$A$2:$A$5000,0)),IF(INDEX(DB_materiali!$B$2:$B$5000,MATCH($C153,DB_materiali!$A$2:$A$5000,0))=INDEX(DB_malas!$B$2:$B$5000,MATCH(J153,DB_malas!$A$2:$A$5000,0)),"✔",tulkojums!$A$38),tulkojums!$A$39),tulkojums!$A$39))</f>
        <v/>
      </c>
      <c r="S153" s="2" t="str">
        <f>IF(ISBLANK(K153),"",IF(INDEX(DB_materiali!$E$2:$E$5000,MATCH($C153,DB_materiali!$A$2:$A$5000,0))&gt;=INDEX(DB_malas!$C$2:$C$5000,MATCH(K153,DB_malas!$A$2:$A$5000,0)),IF(INDEX(DB_materiali!$E$2:$E$5000,MATCH($C153,DB_materiali!$A$2:$A$5000,0))&lt;=INDEX(DB_malas!$D$2:$D$5000,MATCH(K153,DB_malas!$A$2:$A$5000,0)),IF(INDEX(DB_materiali!$B$2:$B$5000,MATCH($C153,DB_materiali!$A$2:$A$5000,0))=INDEX(DB_malas!$B$2:$B$5000,MATCH(K153,DB_malas!$A$2:$A$5000,0)),"✔",tulkojums!$A$38),tulkojums!$A$39),tulkojums!$A$39))</f>
        <v/>
      </c>
      <c r="T153" s="2"/>
      <c r="U153" s="2"/>
      <c r="V153" s="2"/>
      <c r="W153" s="2"/>
      <c r="X153" s="2"/>
      <c r="Y153" s="2"/>
      <c r="Z153" s="2"/>
    </row>
    <row r="154" spans="1:26" ht="15.75" customHeight="1">
      <c r="A154" s="17"/>
      <c r="B154" s="18"/>
      <c r="C154" s="19"/>
      <c r="D154" s="55"/>
      <c r="E154" s="55"/>
      <c r="F154" s="56"/>
      <c r="G154" s="57" t="str">
        <f>IF(ISBLANK(C154),"",
   IFERROR(
      IF(
         INDEX(DB_materiali!C$2:C$5000,
               MATCH(C154, DB_materiali!A$2:A$5000, 0)
         )="FALSE",
         "N",
         "Y"
      ),
   "")
)</f>
        <v/>
      </c>
      <c r="H154" s="20"/>
      <c r="I154" s="20"/>
      <c r="J154" s="20"/>
      <c r="K154" s="20"/>
      <c r="M154" s="2" t="str">
        <f>IF(ISBLANK(C154),"",IF(IFERROR(VLOOKUP(C154,DB_materiali!$A$2:$A$5000,1,FALSE),"Kļūda artikulā")=C154,"✔",tulkojums!A$42))</f>
        <v/>
      </c>
      <c r="N154" s="2" t="str">
        <f>IF(ISBLANK(C154),"",IF(ISNUMBER(F154)=TRUE,"✔",tulkojums!A$43))</f>
        <v/>
      </c>
      <c r="O154" s="2" t="str">
        <f>IF(ISBLANK(C154),"",IF(G154="Y","✔",IF(G154="X","✔",IF(G154="N","✔",tulkojums!A$44))))</f>
        <v/>
      </c>
      <c r="P154" s="2" t="str">
        <f>IF(ISBLANK(H154),"",IF(INDEX(DB_materiali!$E$2:$E$5000,MATCH($C154,DB_materiali!$A$2:$A$5000,0))&gt;=INDEX(DB_malas!$C$2:$C$5000,MATCH(H154,DB_malas!$A$2:$A$5000,0)),IF(INDEX(DB_materiali!$E$2:$E$5000,MATCH($C154,DB_materiali!$A$2:$A$5000,0))&lt;=INDEX(DB_malas!$D$2:$D$5000,MATCH(H154,DB_malas!$A$2:$A$5000,0)),IF(OR(INDEX(DB_materiali!$B$2:$B$5000,MATCH($C154,DB_materiali!$A$2:$A$5000,0))=INDEX(DB_malas!$B$2:$B$5000,MATCH(H154,DB_malas!$A$2:$A$5000,0)),$H154="ORG"),"✔",tulkojums!$A$38),tulkojums!$A$39),tulkojums!$A$39))</f>
        <v/>
      </c>
      <c r="Q154" s="2" t="str">
        <f>IF(ISBLANK(I154),"",IF(INDEX(DB_materiali!$E$2:$E$5000,MATCH($C154,DB_materiali!$A$2:$A$5000,0))&gt;=INDEX(DB_malas!$C$2:$C$5000,MATCH(I154,DB_malas!$A$2:$A$5000,0)),IF(INDEX(DB_materiali!$E$2:$E$5000,MATCH($C154,DB_materiali!$A$2:$A$5000,0))&lt;=INDEX(DB_malas!$D$2:$D$5000,MATCH(I154,DB_malas!$A$2:$A$5000,0)),IF(OR(INDEX(DB_materiali!$B$2:$B$5000,MATCH($C154,DB_materiali!$A$2:$A$5000,0))=INDEX(DB_malas!$B$2:$B$5000,MATCH(I154,DB_malas!$A$2:$A$5000,0)),$H154="ORG"),"✔",tulkojums!$A$38),tulkojums!$A$39),tulkojums!$A$39))</f>
        <v/>
      </c>
      <c r="R154" s="2" t="str">
        <f>IF(ISBLANK(J154),"",IF(INDEX(DB_materiali!$E$2:$E$5000,MATCH($C154,DB_materiali!$A$2:$A$5000,0))&gt;=INDEX(DB_malas!$C$2:$C$5000,MATCH(J154,DB_malas!$A$2:$A$5000,0)),IF(INDEX(DB_materiali!$E$2:$E$5000,MATCH($C154,DB_materiali!$A$2:$A$5000,0))&lt;=INDEX(DB_malas!$D$2:$D$5000,MATCH(J154,DB_malas!$A$2:$A$5000,0)),IF(INDEX(DB_materiali!$B$2:$B$5000,MATCH($C154,DB_materiali!$A$2:$A$5000,0))=INDEX(DB_malas!$B$2:$B$5000,MATCH(J154,DB_malas!$A$2:$A$5000,0)),"✔",tulkojums!$A$38),tulkojums!$A$39),tulkojums!$A$39))</f>
        <v/>
      </c>
      <c r="S154" s="2" t="str">
        <f>IF(ISBLANK(K154),"",IF(INDEX(DB_materiali!$E$2:$E$5000,MATCH($C154,DB_materiali!$A$2:$A$5000,0))&gt;=INDEX(DB_malas!$C$2:$C$5000,MATCH(K154,DB_malas!$A$2:$A$5000,0)),IF(INDEX(DB_materiali!$E$2:$E$5000,MATCH($C154,DB_materiali!$A$2:$A$5000,0))&lt;=INDEX(DB_malas!$D$2:$D$5000,MATCH(K154,DB_malas!$A$2:$A$5000,0)),IF(INDEX(DB_materiali!$B$2:$B$5000,MATCH($C154,DB_materiali!$A$2:$A$5000,0))=INDEX(DB_malas!$B$2:$B$5000,MATCH(K154,DB_malas!$A$2:$A$5000,0)),"✔",tulkojums!$A$38),tulkojums!$A$39),tulkojums!$A$39))</f>
        <v/>
      </c>
      <c r="T154" s="2"/>
      <c r="U154" s="2"/>
      <c r="V154" s="2"/>
      <c r="W154" s="2"/>
      <c r="X154" s="2"/>
      <c r="Y154" s="2"/>
      <c r="Z154" s="2"/>
    </row>
    <row r="155" spans="1:26" ht="15.75" customHeight="1">
      <c r="A155" s="17"/>
      <c r="B155" s="18"/>
      <c r="C155" s="19"/>
      <c r="D155" s="55"/>
      <c r="E155" s="55"/>
      <c r="F155" s="56"/>
      <c r="G155" s="57" t="str">
        <f>IF(ISBLANK(C155),"",
   IFERROR(
      IF(
         INDEX(DB_materiali!C$2:C$5000,
               MATCH(C155, DB_materiali!A$2:A$5000, 0)
         )="FALSE",
         "N",
         "Y"
      ),
   "")
)</f>
        <v/>
      </c>
      <c r="H155" s="20"/>
      <c r="I155" s="20"/>
      <c r="J155" s="20"/>
      <c r="K155" s="20"/>
      <c r="M155" s="2" t="str">
        <f>IF(ISBLANK(C155),"",IF(IFERROR(VLOOKUP(C155,DB_materiali!$A$2:$A$5000,1,FALSE),"Kļūda artikulā")=C155,"✔",tulkojums!A$42))</f>
        <v/>
      </c>
      <c r="N155" s="2" t="str">
        <f>IF(ISBLANK(C155),"",IF(ISNUMBER(F155)=TRUE,"✔",tulkojums!A$43))</f>
        <v/>
      </c>
      <c r="O155" s="2" t="str">
        <f>IF(ISBLANK(C155),"",IF(G155="Y","✔",IF(G155="X","✔",IF(G155="N","✔",tulkojums!A$44))))</f>
        <v/>
      </c>
      <c r="P155" s="2" t="str">
        <f>IF(ISBLANK(H155),"",IF(INDEX(DB_materiali!$E$2:$E$5000,MATCH($C155,DB_materiali!$A$2:$A$5000,0))&gt;=INDEX(DB_malas!$C$2:$C$5000,MATCH(H155,DB_malas!$A$2:$A$5000,0)),IF(INDEX(DB_materiali!$E$2:$E$5000,MATCH($C155,DB_materiali!$A$2:$A$5000,0))&lt;=INDEX(DB_malas!$D$2:$D$5000,MATCH(H155,DB_malas!$A$2:$A$5000,0)),IF(OR(INDEX(DB_materiali!$B$2:$B$5000,MATCH($C155,DB_materiali!$A$2:$A$5000,0))=INDEX(DB_malas!$B$2:$B$5000,MATCH(H155,DB_malas!$A$2:$A$5000,0)),$H155="ORG"),"✔",tulkojums!$A$38),tulkojums!$A$39),tulkojums!$A$39))</f>
        <v/>
      </c>
      <c r="Q155" s="2" t="str">
        <f>IF(ISBLANK(I155),"",IF(INDEX(DB_materiali!$E$2:$E$5000,MATCH($C155,DB_materiali!$A$2:$A$5000,0))&gt;=INDEX(DB_malas!$C$2:$C$5000,MATCH(I155,DB_malas!$A$2:$A$5000,0)),IF(INDEX(DB_materiali!$E$2:$E$5000,MATCH($C155,DB_materiali!$A$2:$A$5000,0))&lt;=INDEX(DB_malas!$D$2:$D$5000,MATCH(I155,DB_malas!$A$2:$A$5000,0)),IF(OR(INDEX(DB_materiali!$B$2:$B$5000,MATCH($C155,DB_materiali!$A$2:$A$5000,0))=INDEX(DB_malas!$B$2:$B$5000,MATCH(I155,DB_malas!$A$2:$A$5000,0)),$H155="ORG"),"✔",tulkojums!$A$38),tulkojums!$A$39),tulkojums!$A$39))</f>
        <v/>
      </c>
      <c r="R155" s="2" t="str">
        <f>IF(ISBLANK(J155),"",IF(INDEX(DB_materiali!$E$2:$E$5000,MATCH($C155,DB_materiali!$A$2:$A$5000,0))&gt;=INDEX(DB_malas!$C$2:$C$5000,MATCH(J155,DB_malas!$A$2:$A$5000,0)),IF(INDEX(DB_materiali!$E$2:$E$5000,MATCH($C155,DB_materiali!$A$2:$A$5000,0))&lt;=INDEX(DB_malas!$D$2:$D$5000,MATCH(J155,DB_malas!$A$2:$A$5000,0)),IF(INDEX(DB_materiali!$B$2:$B$5000,MATCH($C155,DB_materiali!$A$2:$A$5000,0))=INDEX(DB_malas!$B$2:$B$5000,MATCH(J155,DB_malas!$A$2:$A$5000,0)),"✔",tulkojums!$A$38),tulkojums!$A$39),tulkojums!$A$39))</f>
        <v/>
      </c>
      <c r="S155" s="2" t="str">
        <f>IF(ISBLANK(K155),"",IF(INDEX(DB_materiali!$E$2:$E$5000,MATCH($C155,DB_materiali!$A$2:$A$5000,0))&gt;=INDEX(DB_malas!$C$2:$C$5000,MATCH(K155,DB_malas!$A$2:$A$5000,0)),IF(INDEX(DB_materiali!$E$2:$E$5000,MATCH($C155,DB_materiali!$A$2:$A$5000,0))&lt;=INDEX(DB_malas!$D$2:$D$5000,MATCH(K155,DB_malas!$A$2:$A$5000,0)),IF(INDEX(DB_materiali!$B$2:$B$5000,MATCH($C155,DB_materiali!$A$2:$A$5000,0))=INDEX(DB_malas!$B$2:$B$5000,MATCH(K155,DB_malas!$A$2:$A$5000,0)),"✔",tulkojums!$A$38),tulkojums!$A$39),tulkojums!$A$39))</f>
        <v/>
      </c>
      <c r="T155" s="2"/>
      <c r="U155" s="2"/>
      <c r="V155" s="2"/>
      <c r="W155" s="2"/>
      <c r="X155" s="2"/>
      <c r="Y155" s="2"/>
      <c r="Z155" s="2"/>
    </row>
    <row r="156" spans="1:26" ht="15.75" customHeight="1">
      <c r="A156" s="17"/>
      <c r="B156" s="18"/>
      <c r="C156" s="19"/>
      <c r="D156" s="55"/>
      <c r="E156" s="55"/>
      <c r="F156" s="56"/>
      <c r="G156" s="57" t="str">
        <f>IF(ISBLANK(C156),"",
   IFERROR(
      IF(
         INDEX(DB_materiali!C$2:C$5000,
               MATCH(C156, DB_materiali!A$2:A$5000, 0)
         )="FALSE",
         "N",
         "Y"
      ),
   "")
)</f>
        <v/>
      </c>
      <c r="H156" s="20"/>
      <c r="I156" s="20"/>
      <c r="J156" s="20"/>
      <c r="K156" s="20"/>
      <c r="M156" s="2" t="str">
        <f>IF(ISBLANK(C156),"",IF(IFERROR(VLOOKUP(C156,DB_materiali!$A$2:$A$5000,1,FALSE),"Kļūda artikulā")=C156,"✔",tulkojums!A$42))</f>
        <v/>
      </c>
      <c r="N156" s="2" t="str">
        <f>IF(ISBLANK(C156),"",IF(ISNUMBER(F156)=TRUE,"✔",tulkojums!A$43))</f>
        <v/>
      </c>
      <c r="O156" s="2" t="str">
        <f>IF(ISBLANK(C156),"",IF(G156="Y","✔",IF(G156="X","✔",IF(G156="N","✔",tulkojums!A$44))))</f>
        <v/>
      </c>
      <c r="P156" s="2" t="str">
        <f>IF(ISBLANK(H156),"",IF(INDEX(DB_materiali!$E$2:$E$5000,MATCH($C156,DB_materiali!$A$2:$A$5000,0))&gt;=INDEX(DB_malas!$C$2:$C$5000,MATCH(H156,DB_malas!$A$2:$A$5000,0)),IF(INDEX(DB_materiali!$E$2:$E$5000,MATCH($C156,DB_materiali!$A$2:$A$5000,0))&lt;=INDEX(DB_malas!$D$2:$D$5000,MATCH(H156,DB_malas!$A$2:$A$5000,0)),IF(OR(INDEX(DB_materiali!$B$2:$B$5000,MATCH($C156,DB_materiali!$A$2:$A$5000,0))=INDEX(DB_malas!$B$2:$B$5000,MATCH(H156,DB_malas!$A$2:$A$5000,0)),$H156="ORG"),"✔",tulkojums!$A$38),tulkojums!$A$39),tulkojums!$A$39))</f>
        <v/>
      </c>
      <c r="Q156" s="2" t="str">
        <f>IF(ISBLANK(I156),"",IF(INDEX(DB_materiali!$E$2:$E$5000,MATCH($C156,DB_materiali!$A$2:$A$5000,0))&gt;=INDEX(DB_malas!$C$2:$C$5000,MATCH(I156,DB_malas!$A$2:$A$5000,0)),IF(INDEX(DB_materiali!$E$2:$E$5000,MATCH($C156,DB_materiali!$A$2:$A$5000,0))&lt;=INDEX(DB_malas!$D$2:$D$5000,MATCH(I156,DB_malas!$A$2:$A$5000,0)),IF(OR(INDEX(DB_materiali!$B$2:$B$5000,MATCH($C156,DB_materiali!$A$2:$A$5000,0))=INDEX(DB_malas!$B$2:$B$5000,MATCH(I156,DB_malas!$A$2:$A$5000,0)),$H156="ORG"),"✔",tulkojums!$A$38),tulkojums!$A$39),tulkojums!$A$39))</f>
        <v/>
      </c>
      <c r="R156" s="2" t="str">
        <f>IF(ISBLANK(J156),"",IF(INDEX(DB_materiali!$E$2:$E$5000,MATCH($C156,DB_materiali!$A$2:$A$5000,0))&gt;=INDEX(DB_malas!$C$2:$C$5000,MATCH(J156,DB_malas!$A$2:$A$5000,0)),IF(INDEX(DB_materiali!$E$2:$E$5000,MATCH($C156,DB_materiali!$A$2:$A$5000,0))&lt;=INDEX(DB_malas!$D$2:$D$5000,MATCH(J156,DB_malas!$A$2:$A$5000,0)),IF(INDEX(DB_materiali!$B$2:$B$5000,MATCH($C156,DB_materiali!$A$2:$A$5000,0))=INDEX(DB_malas!$B$2:$B$5000,MATCH(J156,DB_malas!$A$2:$A$5000,0)),"✔",tulkojums!$A$38),tulkojums!$A$39),tulkojums!$A$39))</f>
        <v/>
      </c>
      <c r="S156" s="2" t="str">
        <f>IF(ISBLANK(K156),"",IF(INDEX(DB_materiali!$E$2:$E$5000,MATCH($C156,DB_materiali!$A$2:$A$5000,0))&gt;=INDEX(DB_malas!$C$2:$C$5000,MATCH(K156,DB_malas!$A$2:$A$5000,0)),IF(INDEX(DB_materiali!$E$2:$E$5000,MATCH($C156,DB_materiali!$A$2:$A$5000,0))&lt;=INDEX(DB_malas!$D$2:$D$5000,MATCH(K156,DB_malas!$A$2:$A$5000,0)),IF(INDEX(DB_materiali!$B$2:$B$5000,MATCH($C156,DB_materiali!$A$2:$A$5000,0))=INDEX(DB_malas!$B$2:$B$5000,MATCH(K156,DB_malas!$A$2:$A$5000,0)),"✔",tulkojums!$A$38),tulkojums!$A$39),tulkojums!$A$39))</f>
        <v/>
      </c>
      <c r="T156" s="2"/>
      <c r="U156" s="2"/>
      <c r="V156" s="2"/>
      <c r="W156" s="2"/>
      <c r="X156" s="2"/>
      <c r="Y156" s="2"/>
      <c r="Z156" s="2"/>
    </row>
    <row r="157" spans="1:26" ht="15.75" customHeight="1">
      <c r="A157" s="17"/>
      <c r="B157" s="18"/>
      <c r="C157" s="19"/>
      <c r="D157" s="55"/>
      <c r="E157" s="55"/>
      <c r="F157" s="56"/>
      <c r="G157" s="57" t="str">
        <f>IF(ISBLANK(C157),"",
   IFERROR(
      IF(
         INDEX(DB_materiali!C$2:C$5000,
               MATCH(C157, DB_materiali!A$2:A$5000, 0)
         )="FALSE",
         "N",
         "Y"
      ),
   "")
)</f>
        <v/>
      </c>
      <c r="H157" s="20"/>
      <c r="I157" s="20"/>
      <c r="J157" s="20"/>
      <c r="K157" s="20"/>
      <c r="M157" s="2" t="str">
        <f>IF(ISBLANK(C157),"",IF(IFERROR(VLOOKUP(C157,DB_materiali!$A$2:$A$5000,1,FALSE),"Kļūda artikulā")=C157,"✔",tulkojums!A$42))</f>
        <v/>
      </c>
      <c r="N157" s="2" t="str">
        <f>IF(ISBLANK(C157),"",IF(ISNUMBER(F157)=TRUE,"✔",tulkojums!A$43))</f>
        <v/>
      </c>
      <c r="O157" s="2" t="str">
        <f>IF(ISBLANK(C157),"",IF(G157="Y","✔",IF(G157="X","✔",IF(G157="N","✔",tulkojums!A$44))))</f>
        <v/>
      </c>
      <c r="P157" s="2" t="str">
        <f>IF(ISBLANK(H157),"",IF(INDEX(DB_materiali!$E$2:$E$5000,MATCH($C157,DB_materiali!$A$2:$A$5000,0))&gt;=INDEX(DB_malas!$C$2:$C$5000,MATCH(H157,DB_malas!$A$2:$A$5000,0)),IF(INDEX(DB_materiali!$E$2:$E$5000,MATCH($C157,DB_materiali!$A$2:$A$5000,0))&lt;=INDEX(DB_malas!$D$2:$D$5000,MATCH(H157,DB_malas!$A$2:$A$5000,0)),IF(OR(INDEX(DB_materiali!$B$2:$B$5000,MATCH($C157,DB_materiali!$A$2:$A$5000,0))=INDEX(DB_malas!$B$2:$B$5000,MATCH(H157,DB_malas!$A$2:$A$5000,0)),$H157="ORG"),"✔",tulkojums!$A$38),tulkojums!$A$39),tulkojums!$A$39))</f>
        <v/>
      </c>
      <c r="Q157" s="2" t="str">
        <f>IF(ISBLANK(I157),"",IF(INDEX(DB_materiali!$E$2:$E$5000,MATCH($C157,DB_materiali!$A$2:$A$5000,0))&gt;=INDEX(DB_malas!$C$2:$C$5000,MATCH(I157,DB_malas!$A$2:$A$5000,0)),IF(INDEX(DB_materiali!$E$2:$E$5000,MATCH($C157,DB_materiali!$A$2:$A$5000,0))&lt;=INDEX(DB_malas!$D$2:$D$5000,MATCH(I157,DB_malas!$A$2:$A$5000,0)),IF(OR(INDEX(DB_materiali!$B$2:$B$5000,MATCH($C157,DB_materiali!$A$2:$A$5000,0))=INDEX(DB_malas!$B$2:$B$5000,MATCH(I157,DB_malas!$A$2:$A$5000,0)),$H157="ORG"),"✔",tulkojums!$A$38),tulkojums!$A$39),tulkojums!$A$39))</f>
        <v/>
      </c>
      <c r="R157" s="2" t="str">
        <f>IF(ISBLANK(J157),"",IF(INDEX(DB_materiali!$E$2:$E$5000,MATCH($C157,DB_materiali!$A$2:$A$5000,0))&gt;=INDEX(DB_malas!$C$2:$C$5000,MATCH(J157,DB_malas!$A$2:$A$5000,0)),IF(INDEX(DB_materiali!$E$2:$E$5000,MATCH($C157,DB_materiali!$A$2:$A$5000,0))&lt;=INDEX(DB_malas!$D$2:$D$5000,MATCH(J157,DB_malas!$A$2:$A$5000,0)),IF(INDEX(DB_materiali!$B$2:$B$5000,MATCH($C157,DB_materiali!$A$2:$A$5000,0))=INDEX(DB_malas!$B$2:$B$5000,MATCH(J157,DB_malas!$A$2:$A$5000,0)),"✔",tulkojums!$A$38),tulkojums!$A$39),tulkojums!$A$39))</f>
        <v/>
      </c>
      <c r="S157" s="2" t="str">
        <f>IF(ISBLANK(K157),"",IF(INDEX(DB_materiali!$E$2:$E$5000,MATCH($C157,DB_materiali!$A$2:$A$5000,0))&gt;=INDEX(DB_malas!$C$2:$C$5000,MATCH(K157,DB_malas!$A$2:$A$5000,0)),IF(INDEX(DB_materiali!$E$2:$E$5000,MATCH($C157,DB_materiali!$A$2:$A$5000,0))&lt;=INDEX(DB_malas!$D$2:$D$5000,MATCH(K157,DB_malas!$A$2:$A$5000,0)),IF(INDEX(DB_materiali!$B$2:$B$5000,MATCH($C157,DB_materiali!$A$2:$A$5000,0))=INDEX(DB_malas!$B$2:$B$5000,MATCH(K157,DB_malas!$A$2:$A$5000,0)),"✔",tulkojums!$A$38),tulkojums!$A$39),tulkojums!$A$39))</f>
        <v/>
      </c>
      <c r="T157" s="2"/>
      <c r="U157" s="2"/>
      <c r="V157" s="2"/>
      <c r="W157" s="2"/>
      <c r="X157" s="2"/>
      <c r="Y157" s="2"/>
      <c r="Z157" s="2"/>
    </row>
    <row r="158" spans="1:26" ht="15.75" customHeight="1">
      <c r="A158" s="17"/>
      <c r="B158" s="18"/>
      <c r="C158" s="19"/>
      <c r="D158" s="55"/>
      <c r="E158" s="55"/>
      <c r="F158" s="56"/>
      <c r="G158" s="57" t="str">
        <f>IF(ISBLANK(C158),"",
   IFERROR(
      IF(
         INDEX(DB_materiali!C$2:C$5000,
               MATCH(C158, DB_materiali!A$2:A$5000, 0)
         )="FALSE",
         "N",
         "Y"
      ),
   "")
)</f>
        <v/>
      </c>
      <c r="H158" s="20"/>
      <c r="I158" s="20"/>
      <c r="J158" s="20"/>
      <c r="K158" s="20"/>
      <c r="M158" s="2" t="str">
        <f>IF(ISBLANK(C158),"",IF(IFERROR(VLOOKUP(C158,DB_materiali!$A$2:$A$5000,1,FALSE),"Kļūda artikulā")=C158,"✔",tulkojums!A$42))</f>
        <v/>
      </c>
      <c r="N158" s="2" t="str">
        <f>IF(ISBLANK(C158),"",IF(ISNUMBER(F158)=TRUE,"✔",tulkojums!A$43))</f>
        <v/>
      </c>
      <c r="O158" s="2" t="str">
        <f>IF(ISBLANK(C158),"",IF(G158="Y","✔",IF(G158="X","✔",IF(G158="N","✔",tulkojums!A$44))))</f>
        <v/>
      </c>
      <c r="P158" s="2" t="str">
        <f>IF(ISBLANK(H158),"",IF(INDEX(DB_materiali!$E$2:$E$5000,MATCH($C158,DB_materiali!$A$2:$A$5000,0))&gt;=INDEX(DB_malas!$C$2:$C$5000,MATCH(H158,DB_malas!$A$2:$A$5000,0)),IF(INDEX(DB_materiali!$E$2:$E$5000,MATCH($C158,DB_materiali!$A$2:$A$5000,0))&lt;=INDEX(DB_malas!$D$2:$D$5000,MATCH(H158,DB_malas!$A$2:$A$5000,0)),IF(OR(INDEX(DB_materiali!$B$2:$B$5000,MATCH($C158,DB_materiali!$A$2:$A$5000,0))=INDEX(DB_malas!$B$2:$B$5000,MATCH(H158,DB_malas!$A$2:$A$5000,0)),$H158="ORG"),"✔",tulkojums!$A$38),tulkojums!$A$39),tulkojums!$A$39))</f>
        <v/>
      </c>
      <c r="Q158" s="2" t="str">
        <f>IF(ISBLANK(I158),"",IF(INDEX(DB_materiali!$E$2:$E$5000,MATCH($C158,DB_materiali!$A$2:$A$5000,0))&gt;=INDEX(DB_malas!$C$2:$C$5000,MATCH(I158,DB_malas!$A$2:$A$5000,0)),IF(INDEX(DB_materiali!$E$2:$E$5000,MATCH($C158,DB_materiali!$A$2:$A$5000,0))&lt;=INDEX(DB_malas!$D$2:$D$5000,MATCH(I158,DB_malas!$A$2:$A$5000,0)),IF(OR(INDEX(DB_materiali!$B$2:$B$5000,MATCH($C158,DB_materiali!$A$2:$A$5000,0))=INDEX(DB_malas!$B$2:$B$5000,MATCH(I158,DB_malas!$A$2:$A$5000,0)),$H158="ORG"),"✔",tulkojums!$A$38),tulkojums!$A$39),tulkojums!$A$39))</f>
        <v/>
      </c>
      <c r="R158" s="2" t="str">
        <f>IF(ISBLANK(J158),"",IF(INDEX(DB_materiali!$E$2:$E$5000,MATCH($C158,DB_materiali!$A$2:$A$5000,0))&gt;=INDEX(DB_malas!$C$2:$C$5000,MATCH(J158,DB_malas!$A$2:$A$5000,0)),IF(INDEX(DB_materiali!$E$2:$E$5000,MATCH($C158,DB_materiali!$A$2:$A$5000,0))&lt;=INDEX(DB_malas!$D$2:$D$5000,MATCH(J158,DB_malas!$A$2:$A$5000,0)),IF(INDEX(DB_materiali!$B$2:$B$5000,MATCH($C158,DB_materiali!$A$2:$A$5000,0))=INDEX(DB_malas!$B$2:$B$5000,MATCH(J158,DB_malas!$A$2:$A$5000,0)),"✔",tulkojums!$A$38),tulkojums!$A$39),tulkojums!$A$39))</f>
        <v/>
      </c>
      <c r="S158" s="2" t="str">
        <f>IF(ISBLANK(K158),"",IF(INDEX(DB_materiali!$E$2:$E$5000,MATCH($C158,DB_materiali!$A$2:$A$5000,0))&gt;=INDEX(DB_malas!$C$2:$C$5000,MATCH(K158,DB_malas!$A$2:$A$5000,0)),IF(INDEX(DB_materiali!$E$2:$E$5000,MATCH($C158,DB_materiali!$A$2:$A$5000,0))&lt;=INDEX(DB_malas!$D$2:$D$5000,MATCH(K158,DB_malas!$A$2:$A$5000,0)),IF(INDEX(DB_materiali!$B$2:$B$5000,MATCH($C158,DB_materiali!$A$2:$A$5000,0))=INDEX(DB_malas!$B$2:$B$5000,MATCH(K158,DB_malas!$A$2:$A$5000,0)),"✔",tulkojums!$A$38),tulkojums!$A$39),tulkojums!$A$39))</f>
        <v/>
      </c>
      <c r="T158" s="2"/>
      <c r="U158" s="2"/>
      <c r="V158" s="2"/>
      <c r="W158" s="2"/>
      <c r="X158" s="2"/>
      <c r="Y158" s="2"/>
      <c r="Z158" s="2"/>
    </row>
    <row r="159" spans="1:26" ht="15.75" customHeight="1">
      <c r="A159" s="17"/>
      <c r="B159" s="18"/>
      <c r="C159" s="19"/>
      <c r="D159" s="55"/>
      <c r="E159" s="55"/>
      <c r="F159" s="56"/>
      <c r="G159" s="57" t="str">
        <f>IF(ISBLANK(C159),"",
   IFERROR(
      IF(
         INDEX(DB_materiali!C$2:C$5000,
               MATCH(C159, DB_materiali!A$2:A$5000, 0)
         )="FALSE",
         "N",
         "Y"
      ),
   "")
)</f>
        <v/>
      </c>
      <c r="H159" s="20"/>
      <c r="I159" s="20"/>
      <c r="J159" s="20"/>
      <c r="K159" s="20"/>
      <c r="M159" s="2" t="str">
        <f>IF(ISBLANK(C159),"",IF(IFERROR(VLOOKUP(C159,DB_materiali!$A$2:$A$5000,1,FALSE),"Kļūda artikulā")=C159,"✔",tulkojums!A$42))</f>
        <v/>
      </c>
      <c r="N159" s="2" t="str">
        <f>IF(ISBLANK(C159),"",IF(ISNUMBER(F159)=TRUE,"✔",tulkojums!A$43))</f>
        <v/>
      </c>
      <c r="O159" s="2" t="str">
        <f>IF(ISBLANK(C159),"",IF(G159="Y","✔",IF(G159="X","✔",IF(G159="N","✔",tulkojums!A$44))))</f>
        <v/>
      </c>
      <c r="P159" s="2" t="str">
        <f>IF(ISBLANK(H159),"",IF(INDEX(DB_materiali!$E$2:$E$5000,MATCH($C159,DB_materiali!$A$2:$A$5000,0))&gt;=INDEX(DB_malas!$C$2:$C$5000,MATCH(H159,DB_malas!$A$2:$A$5000,0)),IF(INDEX(DB_materiali!$E$2:$E$5000,MATCH($C159,DB_materiali!$A$2:$A$5000,0))&lt;=INDEX(DB_malas!$D$2:$D$5000,MATCH(H159,DB_malas!$A$2:$A$5000,0)),IF(OR(INDEX(DB_materiali!$B$2:$B$5000,MATCH($C159,DB_materiali!$A$2:$A$5000,0))=INDEX(DB_malas!$B$2:$B$5000,MATCH(H159,DB_malas!$A$2:$A$5000,0)),$H159="ORG"),"✔",tulkojums!$A$38),tulkojums!$A$39),tulkojums!$A$39))</f>
        <v/>
      </c>
      <c r="Q159" s="2" t="str">
        <f>IF(ISBLANK(I159),"",IF(INDEX(DB_materiali!$E$2:$E$5000,MATCH($C159,DB_materiali!$A$2:$A$5000,0))&gt;=INDEX(DB_malas!$C$2:$C$5000,MATCH(I159,DB_malas!$A$2:$A$5000,0)),IF(INDEX(DB_materiali!$E$2:$E$5000,MATCH($C159,DB_materiali!$A$2:$A$5000,0))&lt;=INDEX(DB_malas!$D$2:$D$5000,MATCH(I159,DB_malas!$A$2:$A$5000,0)),IF(OR(INDEX(DB_materiali!$B$2:$B$5000,MATCH($C159,DB_materiali!$A$2:$A$5000,0))=INDEX(DB_malas!$B$2:$B$5000,MATCH(I159,DB_malas!$A$2:$A$5000,0)),$H159="ORG"),"✔",tulkojums!$A$38),tulkojums!$A$39),tulkojums!$A$39))</f>
        <v/>
      </c>
      <c r="R159" s="2" t="str">
        <f>IF(ISBLANK(J159),"",IF(INDEX(DB_materiali!$E$2:$E$5000,MATCH($C159,DB_materiali!$A$2:$A$5000,0))&gt;=INDEX(DB_malas!$C$2:$C$5000,MATCH(J159,DB_malas!$A$2:$A$5000,0)),IF(INDEX(DB_materiali!$E$2:$E$5000,MATCH($C159,DB_materiali!$A$2:$A$5000,0))&lt;=INDEX(DB_malas!$D$2:$D$5000,MATCH(J159,DB_malas!$A$2:$A$5000,0)),IF(INDEX(DB_materiali!$B$2:$B$5000,MATCH($C159,DB_materiali!$A$2:$A$5000,0))=INDEX(DB_malas!$B$2:$B$5000,MATCH(J159,DB_malas!$A$2:$A$5000,0)),"✔",tulkojums!$A$38),tulkojums!$A$39),tulkojums!$A$39))</f>
        <v/>
      </c>
      <c r="S159" s="2" t="str">
        <f>IF(ISBLANK(K159),"",IF(INDEX(DB_materiali!$E$2:$E$5000,MATCH($C159,DB_materiali!$A$2:$A$5000,0))&gt;=INDEX(DB_malas!$C$2:$C$5000,MATCH(K159,DB_malas!$A$2:$A$5000,0)),IF(INDEX(DB_materiali!$E$2:$E$5000,MATCH($C159,DB_materiali!$A$2:$A$5000,0))&lt;=INDEX(DB_malas!$D$2:$D$5000,MATCH(K159,DB_malas!$A$2:$A$5000,0)),IF(INDEX(DB_materiali!$B$2:$B$5000,MATCH($C159,DB_materiali!$A$2:$A$5000,0))=INDEX(DB_malas!$B$2:$B$5000,MATCH(K159,DB_malas!$A$2:$A$5000,0)),"✔",tulkojums!$A$38),tulkojums!$A$39),tulkojums!$A$39))</f>
        <v/>
      </c>
      <c r="T159" s="2"/>
      <c r="U159" s="2"/>
      <c r="V159" s="2"/>
      <c r="W159" s="2"/>
      <c r="X159" s="2"/>
      <c r="Y159" s="2"/>
      <c r="Z159" s="2"/>
    </row>
    <row r="160" spans="1:26" ht="15.75" customHeight="1">
      <c r="A160" s="17"/>
      <c r="B160" s="18"/>
      <c r="C160" s="19"/>
      <c r="D160" s="55"/>
      <c r="E160" s="55"/>
      <c r="F160" s="56"/>
      <c r="G160" s="57" t="str">
        <f>IF(ISBLANK(C160),"",
   IFERROR(
      IF(
         INDEX(DB_materiali!C$2:C$5000,
               MATCH(C160, DB_materiali!A$2:A$5000, 0)
         )="FALSE",
         "N",
         "Y"
      ),
   "")
)</f>
        <v/>
      </c>
      <c r="H160" s="20"/>
      <c r="I160" s="20"/>
      <c r="J160" s="20"/>
      <c r="K160" s="20"/>
      <c r="M160" s="2" t="str">
        <f>IF(ISBLANK(C160),"",IF(IFERROR(VLOOKUP(C160,DB_materiali!$A$2:$A$5000,1,FALSE),"Kļūda artikulā")=C160,"✔",tulkojums!A$42))</f>
        <v/>
      </c>
      <c r="N160" s="2" t="str">
        <f>IF(ISBLANK(C160),"",IF(ISNUMBER(F160)=TRUE,"✔",tulkojums!A$43))</f>
        <v/>
      </c>
      <c r="O160" s="2" t="str">
        <f>IF(ISBLANK(C160),"",IF(G160="Y","✔",IF(G160="X","✔",IF(G160="N","✔",tulkojums!A$44))))</f>
        <v/>
      </c>
      <c r="P160" s="2" t="str">
        <f>IF(ISBLANK(H160),"",IF(INDEX(DB_materiali!$E$2:$E$5000,MATCH($C160,DB_materiali!$A$2:$A$5000,0))&gt;=INDEX(DB_malas!$C$2:$C$5000,MATCH(H160,DB_malas!$A$2:$A$5000,0)),IF(INDEX(DB_materiali!$E$2:$E$5000,MATCH($C160,DB_materiali!$A$2:$A$5000,0))&lt;=INDEX(DB_malas!$D$2:$D$5000,MATCH(H160,DB_malas!$A$2:$A$5000,0)),IF(OR(INDEX(DB_materiali!$B$2:$B$5000,MATCH($C160,DB_materiali!$A$2:$A$5000,0))=INDEX(DB_malas!$B$2:$B$5000,MATCH(H160,DB_malas!$A$2:$A$5000,0)),$H160="ORG"),"✔",tulkojums!$A$38),tulkojums!$A$39),tulkojums!$A$39))</f>
        <v/>
      </c>
      <c r="Q160" s="2" t="str">
        <f>IF(ISBLANK(I160),"",IF(INDEX(DB_materiali!$E$2:$E$5000,MATCH($C160,DB_materiali!$A$2:$A$5000,0))&gt;=INDEX(DB_malas!$C$2:$C$5000,MATCH(I160,DB_malas!$A$2:$A$5000,0)),IF(INDEX(DB_materiali!$E$2:$E$5000,MATCH($C160,DB_materiali!$A$2:$A$5000,0))&lt;=INDEX(DB_malas!$D$2:$D$5000,MATCH(I160,DB_malas!$A$2:$A$5000,0)),IF(OR(INDEX(DB_materiali!$B$2:$B$5000,MATCH($C160,DB_materiali!$A$2:$A$5000,0))=INDEX(DB_malas!$B$2:$B$5000,MATCH(I160,DB_malas!$A$2:$A$5000,0)),$H160="ORG"),"✔",tulkojums!$A$38),tulkojums!$A$39),tulkojums!$A$39))</f>
        <v/>
      </c>
      <c r="R160" s="2" t="str">
        <f>IF(ISBLANK(J160),"",IF(INDEX(DB_materiali!$E$2:$E$5000,MATCH($C160,DB_materiali!$A$2:$A$5000,0))&gt;=INDEX(DB_malas!$C$2:$C$5000,MATCH(J160,DB_malas!$A$2:$A$5000,0)),IF(INDEX(DB_materiali!$E$2:$E$5000,MATCH($C160,DB_materiali!$A$2:$A$5000,0))&lt;=INDEX(DB_malas!$D$2:$D$5000,MATCH(J160,DB_malas!$A$2:$A$5000,0)),IF(INDEX(DB_materiali!$B$2:$B$5000,MATCH($C160,DB_materiali!$A$2:$A$5000,0))=INDEX(DB_malas!$B$2:$B$5000,MATCH(J160,DB_malas!$A$2:$A$5000,0)),"✔",tulkojums!$A$38),tulkojums!$A$39),tulkojums!$A$39))</f>
        <v/>
      </c>
      <c r="S160" s="2" t="str">
        <f>IF(ISBLANK(K160),"",IF(INDEX(DB_materiali!$E$2:$E$5000,MATCH($C160,DB_materiali!$A$2:$A$5000,0))&gt;=INDEX(DB_malas!$C$2:$C$5000,MATCH(K160,DB_malas!$A$2:$A$5000,0)),IF(INDEX(DB_materiali!$E$2:$E$5000,MATCH($C160,DB_materiali!$A$2:$A$5000,0))&lt;=INDEX(DB_malas!$D$2:$D$5000,MATCH(K160,DB_malas!$A$2:$A$5000,0)),IF(INDEX(DB_materiali!$B$2:$B$5000,MATCH($C160,DB_materiali!$A$2:$A$5000,0))=INDEX(DB_malas!$B$2:$B$5000,MATCH(K160,DB_malas!$A$2:$A$5000,0)),"✔",tulkojums!$A$38),tulkojums!$A$39),tulkojums!$A$39))</f>
        <v/>
      </c>
      <c r="T160" s="2"/>
      <c r="U160" s="2"/>
      <c r="V160" s="2"/>
      <c r="W160" s="2"/>
      <c r="X160" s="2"/>
      <c r="Y160" s="2"/>
      <c r="Z160" s="2"/>
    </row>
    <row r="161" spans="1:26" ht="15.75" customHeight="1">
      <c r="A161" s="17"/>
      <c r="B161" s="18"/>
      <c r="C161" s="19"/>
      <c r="D161" s="55"/>
      <c r="E161" s="55"/>
      <c r="F161" s="56"/>
      <c r="G161" s="57" t="str">
        <f>IF(ISBLANK(C161),"",
   IFERROR(
      IF(
         INDEX(DB_materiali!C$2:C$5000,
               MATCH(C161, DB_materiali!A$2:A$5000, 0)
         )="FALSE",
         "N",
         "Y"
      ),
   "")
)</f>
        <v/>
      </c>
      <c r="H161" s="20"/>
      <c r="I161" s="20"/>
      <c r="J161" s="20"/>
      <c r="K161" s="20"/>
      <c r="M161" s="2" t="str">
        <f>IF(ISBLANK(C161),"",IF(IFERROR(VLOOKUP(C161,DB_materiali!$A$2:$A$5000,1,FALSE),"Kļūda artikulā")=C161,"✔",tulkojums!A$42))</f>
        <v/>
      </c>
      <c r="N161" s="2" t="str">
        <f>IF(ISBLANK(C161),"",IF(ISNUMBER(F161)=TRUE,"✔",tulkojums!A$43))</f>
        <v/>
      </c>
      <c r="O161" s="2" t="str">
        <f>IF(ISBLANK(C161),"",IF(G161="Y","✔",IF(G161="X","✔",IF(G161="N","✔",tulkojums!A$44))))</f>
        <v/>
      </c>
      <c r="P161" s="2" t="str">
        <f>IF(ISBLANK(H161),"",IF(INDEX(DB_materiali!$E$2:$E$5000,MATCH($C161,DB_materiali!$A$2:$A$5000,0))&gt;=INDEX(DB_malas!$C$2:$C$5000,MATCH(H161,DB_malas!$A$2:$A$5000,0)),IF(INDEX(DB_materiali!$E$2:$E$5000,MATCH($C161,DB_materiali!$A$2:$A$5000,0))&lt;=INDEX(DB_malas!$D$2:$D$5000,MATCH(H161,DB_malas!$A$2:$A$5000,0)),IF(OR(INDEX(DB_materiali!$B$2:$B$5000,MATCH($C161,DB_materiali!$A$2:$A$5000,0))=INDEX(DB_malas!$B$2:$B$5000,MATCH(H161,DB_malas!$A$2:$A$5000,0)),$H161="ORG"),"✔",tulkojums!$A$38),tulkojums!$A$39),tulkojums!$A$39))</f>
        <v/>
      </c>
      <c r="Q161" s="2" t="str">
        <f>IF(ISBLANK(I161),"",IF(INDEX(DB_materiali!$E$2:$E$5000,MATCH($C161,DB_materiali!$A$2:$A$5000,0))&gt;=INDEX(DB_malas!$C$2:$C$5000,MATCH(I161,DB_malas!$A$2:$A$5000,0)),IF(INDEX(DB_materiali!$E$2:$E$5000,MATCH($C161,DB_materiali!$A$2:$A$5000,0))&lt;=INDEX(DB_malas!$D$2:$D$5000,MATCH(I161,DB_malas!$A$2:$A$5000,0)),IF(OR(INDEX(DB_materiali!$B$2:$B$5000,MATCH($C161,DB_materiali!$A$2:$A$5000,0))=INDEX(DB_malas!$B$2:$B$5000,MATCH(I161,DB_malas!$A$2:$A$5000,0)),$H161="ORG"),"✔",tulkojums!$A$38),tulkojums!$A$39),tulkojums!$A$39))</f>
        <v/>
      </c>
      <c r="R161" s="2" t="str">
        <f>IF(ISBLANK(J161),"",IF(INDEX(DB_materiali!$E$2:$E$5000,MATCH($C161,DB_materiali!$A$2:$A$5000,0))&gt;=INDEX(DB_malas!$C$2:$C$5000,MATCH(J161,DB_malas!$A$2:$A$5000,0)),IF(INDEX(DB_materiali!$E$2:$E$5000,MATCH($C161,DB_materiali!$A$2:$A$5000,0))&lt;=INDEX(DB_malas!$D$2:$D$5000,MATCH(J161,DB_malas!$A$2:$A$5000,0)),IF(INDEX(DB_materiali!$B$2:$B$5000,MATCH($C161,DB_materiali!$A$2:$A$5000,0))=INDEX(DB_malas!$B$2:$B$5000,MATCH(J161,DB_malas!$A$2:$A$5000,0)),"✔",tulkojums!$A$38),tulkojums!$A$39),tulkojums!$A$39))</f>
        <v/>
      </c>
      <c r="S161" s="2" t="str">
        <f>IF(ISBLANK(K161),"",IF(INDEX(DB_materiali!$E$2:$E$5000,MATCH($C161,DB_materiali!$A$2:$A$5000,0))&gt;=INDEX(DB_malas!$C$2:$C$5000,MATCH(K161,DB_malas!$A$2:$A$5000,0)),IF(INDEX(DB_materiali!$E$2:$E$5000,MATCH($C161,DB_materiali!$A$2:$A$5000,0))&lt;=INDEX(DB_malas!$D$2:$D$5000,MATCH(K161,DB_malas!$A$2:$A$5000,0)),IF(INDEX(DB_materiali!$B$2:$B$5000,MATCH($C161,DB_materiali!$A$2:$A$5000,0))=INDEX(DB_malas!$B$2:$B$5000,MATCH(K161,DB_malas!$A$2:$A$5000,0)),"✔",tulkojums!$A$38),tulkojums!$A$39),tulkojums!$A$39))</f>
        <v/>
      </c>
      <c r="T161" s="2"/>
      <c r="U161" s="2"/>
      <c r="V161" s="2"/>
      <c r="W161" s="2"/>
      <c r="X161" s="2"/>
      <c r="Y161" s="2"/>
      <c r="Z161" s="2"/>
    </row>
    <row r="162" spans="1:26" ht="15.75" customHeight="1">
      <c r="A162" s="17"/>
      <c r="B162" s="18"/>
      <c r="C162" s="19"/>
      <c r="D162" s="55"/>
      <c r="E162" s="55"/>
      <c r="F162" s="56"/>
      <c r="G162" s="57" t="str">
        <f>IF(ISBLANK(C162),"",
   IFERROR(
      IF(
         INDEX(DB_materiali!C$2:C$5000,
               MATCH(C162, DB_materiali!A$2:A$5000, 0)
         )="FALSE",
         "N",
         "Y"
      ),
   "")
)</f>
        <v/>
      </c>
      <c r="H162" s="20"/>
      <c r="I162" s="20"/>
      <c r="J162" s="20"/>
      <c r="K162" s="20"/>
      <c r="M162" s="2" t="str">
        <f>IF(ISBLANK(C162),"",IF(IFERROR(VLOOKUP(C162,DB_materiali!$A$2:$A$5000,1,FALSE),"Kļūda artikulā")=C162,"✔",tulkojums!A$42))</f>
        <v/>
      </c>
      <c r="N162" s="2" t="str">
        <f>IF(ISBLANK(C162),"",IF(ISNUMBER(F162)=TRUE,"✔",tulkojums!A$43))</f>
        <v/>
      </c>
      <c r="O162" s="2" t="str">
        <f>IF(ISBLANK(C162),"",IF(G162="Y","✔",IF(G162="X","✔",IF(G162="N","✔",tulkojums!A$44))))</f>
        <v/>
      </c>
      <c r="P162" s="2" t="str">
        <f>IF(ISBLANK(H162),"",IF(INDEX(DB_materiali!$E$2:$E$5000,MATCH($C162,DB_materiali!$A$2:$A$5000,0))&gt;=INDEX(DB_malas!$C$2:$C$5000,MATCH(H162,DB_malas!$A$2:$A$5000,0)),IF(INDEX(DB_materiali!$E$2:$E$5000,MATCH($C162,DB_materiali!$A$2:$A$5000,0))&lt;=INDEX(DB_malas!$D$2:$D$5000,MATCH(H162,DB_malas!$A$2:$A$5000,0)),IF(OR(INDEX(DB_materiali!$B$2:$B$5000,MATCH($C162,DB_materiali!$A$2:$A$5000,0))=INDEX(DB_malas!$B$2:$B$5000,MATCH(H162,DB_malas!$A$2:$A$5000,0)),$H162="ORG"),"✔",tulkojums!$A$38),tulkojums!$A$39),tulkojums!$A$39))</f>
        <v/>
      </c>
      <c r="Q162" s="2" t="str">
        <f>IF(ISBLANK(I162),"",IF(INDEX(DB_materiali!$E$2:$E$5000,MATCH($C162,DB_materiali!$A$2:$A$5000,0))&gt;=INDEX(DB_malas!$C$2:$C$5000,MATCH(I162,DB_malas!$A$2:$A$5000,0)),IF(INDEX(DB_materiali!$E$2:$E$5000,MATCH($C162,DB_materiali!$A$2:$A$5000,0))&lt;=INDEX(DB_malas!$D$2:$D$5000,MATCH(I162,DB_malas!$A$2:$A$5000,0)),IF(OR(INDEX(DB_materiali!$B$2:$B$5000,MATCH($C162,DB_materiali!$A$2:$A$5000,0))=INDEX(DB_malas!$B$2:$B$5000,MATCH(I162,DB_malas!$A$2:$A$5000,0)),$H162="ORG"),"✔",tulkojums!$A$38),tulkojums!$A$39),tulkojums!$A$39))</f>
        <v/>
      </c>
      <c r="R162" s="2" t="str">
        <f>IF(ISBLANK(J162),"",IF(INDEX(DB_materiali!$E$2:$E$5000,MATCH($C162,DB_materiali!$A$2:$A$5000,0))&gt;=INDEX(DB_malas!$C$2:$C$5000,MATCH(J162,DB_malas!$A$2:$A$5000,0)),IF(INDEX(DB_materiali!$E$2:$E$5000,MATCH($C162,DB_materiali!$A$2:$A$5000,0))&lt;=INDEX(DB_malas!$D$2:$D$5000,MATCH(J162,DB_malas!$A$2:$A$5000,0)),IF(INDEX(DB_materiali!$B$2:$B$5000,MATCH($C162,DB_materiali!$A$2:$A$5000,0))=INDEX(DB_malas!$B$2:$B$5000,MATCH(J162,DB_malas!$A$2:$A$5000,0)),"✔",tulkojums!$A$38),tulkojums!$A$39),tulkojums!$A$39))</f>
        <v/>
      </c>
      <c r="S162" s="2" t="str">
        <f>IF(ISBLANK(K162),"",IF(INDEX(DB_materiali!$E$2:$E$5000,MATCH($C162,DB_materiali!$A$2:$A$5000,0))&gt;=INDEX(DB_malas!$C$2:$C$5000,MATCH(K162,DB_malas!$A$2:$A$5000,0)),IF(INDEX(DB_materiali!$E$2:$E$5000,MATCH($C162,DB_materiali!$A$2:$A$5000,0))&lt;=INDEX(DB_malas!$D$2:$D$5000,MATCH(K162,DB_malas!$A$2:$A$5000,0)),IF(INDEX(DB_materiali!$B$2:$B$5000,MATCH($C162,DB_materiali!$A$2:$A$5000,0))=INDEX(DB_malas!$B$2:$B$5000,MATCH(K162,DB_malas!$A$2:$A$5000,0)),"✔",tulkojums!$A$38),tulkojums!$A$39),tulkojums!$A$39))</f>
        <v/>
      </c>
      <c r="T162" s="2"/>
      <c r="U162" s="2"/>
      <c r="V162" s="2"/>
      <c r="W162" s="2"/>
      <c r="X162" s="2"/>
      <c r="Y162" s="2"/>
      <c r="Z162" s="2"/>
    </row>
    <row r="163" spans="1:26" ht="15.75" customHeight="1">
      <c r="A163" s="17"/>
      <c r="B163" s="18"/>
      <c r="C163" s="19"/>
      <c r="D163" s="55"/>
      <c r="E163" s="55"/>
      <c r="F163" s="56"/>
      <c r="G163" s="57" t="str">
        <f>IF(ISBLANK(C163),"",
   IFERROR(
      IF(
         INDEX(DB_materiali!C$2:C$5000,
               MATCH(C163, DB_materiali!A$2:A$5000, 0)
         )="FALSE",
         "N",
         "Y"
      ),
   "")
)</f>
        <v/>
      </c>
      <c r="H163" s="20"/>
      <c r="I163" s="20"/>
      <c r="J163" s="20"/>
      <c r="K163" s="20"/>
      <c r="M163" s="2" t="str">
        <f>IF(ISBLANK(C163),"",IF(IFERROR(VLOOKUP(C163,DB_materiali!$A$2:$A$5000,1,FALSE),"Kļūda artikulā")=C163,"✔",tulkojums!A$42))</f>
        <v/>
      </c>
      <c r="N163" s="2" t="str">
        <f>IF(ISBLANK(C163),"",IF(ISNUMBER(F163)=TRUE,"✔",tulkojums!A$43))</f>
        <v/>
      </c>
      <c r="O163" s="2" t="str">
        <f>IF(ISBLANK(C163),"",IF(G163="Y","✔",IF(G163="X","✔",IF(G163="N","✔",tulkojums!A$44))))</f>
        <v/>
      </c>
      <c r="P163" s="2" t="str">
        <f>IF(ISBLANK(H163),"",IF(INDEX(DB_materiali!$E$2:$E$5000,MATCH($C163,DB_materiali!$A$2:$A$5000,0))&gt;=INDEX(DB_malas!$C$2:$C$5000,MATCH(H163,DB_malas!$A$2:$A$5000,0)),IF(INDEX(DB_materiali!$E$2:$E$5000,MATCH($C163,DB_materiali!$A$2:$A$5000,0))&lt;=INDEX(DB_malas!$D$2:$D$5000,MATCH(H163,DB_malas!$A$2:$A$5000,0)),IF(OR(INDEX(DB_materiali!$B$2:$B$5000,MATCH($C163,DB_materiali!$A$2:$A$5000,0))=INDEX(DB_malas!$B$2:$B$5000,MATCH(H163,DB_malas!$A$2:$A$5000,0)),$H163="ORG"),"✔",tulkojums!$A$38),tulkojums!$A$39),tulkojums!$A$39))</f>
        <v/>
      </c>
      <c r="Q163" s="2" t="str">
        <f>IF(ISBLANK(I163),"",IF(INDEX(DB_materiali!$E$2:$E$5000,MATCH($C163,DB_materiali!$A$2:$A$5000,0))&gt;=INDEX(DB_malas!$C$2:$C$5000,MATCH(I163,DB_malas!$A$2:$A$5000,0)),IF(INDEX(DB_materiali!$E$2:$E$5000,MATCH($C163,DB_materiali!$A$2:$A$5000,0))&lt;=INDEX(DB_malas!$D$2:$D$5000,MATCH(I163,DB_malas!$A$2:$A$5000,0)),IF(OR(INDEX(DB_materiali!$B$2:$B$5000,MATCH($C163,DB_materiali!$A$2:$A$5000,0))=INDEX(DB_malas!$B$2:$B$5000,MATCH(I163,DB_malas!$A$2:$A$5000,0)),$H163="ORG"),"✔",tulkojums!$A$38),tulkojums!$A$39),tulkojums!$A$39))</f>
        <v/>
      </c>
      <c r="R163" s="2" t="str">
        <f>IF(ISBLANK(J163),"",IF(INDEX(DB_materiali!$E$2:$E$5000,MATCH($C163,DB_materiali!$A$2:$A$5000,0))&gt;=INDEX(DB_malas!$C$2:$C$5000,MATCH(J163,DB_malas!$A$2:$A$5000,0)),IF(INDEX(DB_materiali!$E$2:$E$5000,MATCH($C163,DB_materiali!$A$2:$A$5000,0))&lt;=INDEX(DB_malas!$D$2:$D$5000,MATCH(J163,DB_malas!$A$2:$A$5000,0)),IF(INDEX(DB_materiali!$B$2:$B$5000,MATCH($C163,DB_materiali!$A$2:$A$5000,0))=INDEX(DB_malas!$B$2:$B$5000,MATCH(J163,DB_malas!$A$2:$A$5000,0)),"✔",tulkojums!$A$38),tulkojums!$A$39),tulkojums!$A$39))</f>
        <v/>
      </c>
      <c r="S163" s="2" t="str">
        <f>IF(ISBLANK(K163),"",IF(INDEX(DB_materiali!$E$2:$E$5000,MATCH($C163,DB_materiali!$A$2:$A$5000,0))&gt;=INDEX(DB_malas!$C$2:$C$5000,MATCH(K163,DB_malas!$A$2:$A$5000,0)),IF(INDEX(DB_materiali!$E$2:$E$5000,MATCH($C163,DB_materiali!$A$2:$A$5000,0))&lt;=INDEX(DB_malas!$D$2:$D$5000,MATCH(K163,DB_malas!$A$2:$A$5000,0)),IF(INDEX(DB_materiali!$B$2:$B$5000,MATCH($C163,DB_materiali!$A$2:$A$5000,0))=INDEX(DB_malas!$B$2:$B$5000,MATCH(K163,DB_malas!$A$2:$A$5000,0)),"✔",tulkojums!$A$38),tulkojums!$A$39),tulkojums!$A$39))</f>
        <v/>
      </c>
      <c r="T163" s="2"/>
      <c r="U163" s="2"/>
      <c r="V163" s="2"/>
      <c r="W163" s="2"/>
      <c r="X163" s="2"/>
      <c r="Y163" s="2"/>
      <c r="Z163" s="2"/>
    </row>
    <row r="164" spans="1:26" ht="15.75" customHeight="1">
      <c r="A164" s="17"/>
      <c r="B164" s="18"/>
      <c r="C164" s="19"/>
      <c r="D164" s="55"/>
      <c r="E164" s="55"/>
      <c r="F164" s="56"/>
      <c r="G164" s="57" t="str">
        <f>IF(ISBLANK(C164),"",
   IFERROR(
      IF(
         INDEX(DB_materiali!C$2:C$5000,
               MATCH(C164, DB_materiali!A$2:A$5000, 0)
         )="FALSE",
         "N",
         "Y"
      ),
   "")
)</f>
        <v/>
      </c>
      <c r="H164" s="20"/>
      <c r="I164" s="20"/>
      <c r="J164" s="20"/>
      <c r="K164" s="20"/>
      <c r="M164" s="2" t="str">
        <f>IF(ISBLANK(C164),"",IF(IFERROR(VLOOKUP(C164,DB_materiali!$A$2:$A$5000,1,FALSE),"Kļūda artikulā")=C164,"✔",tulkojums!A$42))</f>
        <v/>
      </c>
      <c r="N164" s="2" t="str">
        <f>IF(ISBLANK(C164),"",IF(ISNUMBER(F164)=TRUE,"✔",tulkojums!A$43))</f>
        <v/>
      </c>
      <c r="O164" s="2" t="str">
        <f>IF(ISBLANK(C164),"",IF(G164="Y","✔",IF(G164="X","✔",IF(G164="N","✔",tulkojums!A$44))))</f>
        <v/>
      </c>
      <c r="P164" s="2" t="str">
        <f>IF(ISBLANK(H164),"",IF(INDEX(DB_materiali!$E$2:$E$5000,MATCH($C164,DB_materiali!$A$2:$A$5000,0))&gt;=INDEX(DB_malas!$C$2:$C$5000,MATCH(H164,DB_malas!$A$2:$A$5000,0)),IF(INDEX(DB_materiali!$E$2:$E$5000,MATCH($C164,DB_materiali!$A$2:$A$5000,0))&lt;=INDEX(DB_malas!$D$2:$D$5000,MATCH(H164,DB_malas!$A$2:$A$5000,0)),IF(OR(INDEX(DB_materiali!$B$2:$B$5000,MATCH($C164,DB_materiali!$A$2:$A$5000,0))=INDEX(DB_malas!$B$2:$B$5000,MATCH(H164,DB_malas!$A$2:$A$5000,0)),$H164="ORG"),"✔",tulkojums!$A$38),tulkojums!$A$39),tulkojums!$A$39))</f>
        <v/>
      </c>
      <c r="Q164" s="2" t="str">
        <f>IF(ISBLANK(I164),"",IF(INDEX(DB_materiali!$E$2:$E$5000,MATCH($C164,DB_materiali!$A$2:$A$5000,0))&gt;=INDEX(DB_malas!$C$2:$C$5000,MATCH(I164,DB_malas!$A$2:$A$5000,0)),IF(INDEX(DB_materiali!$E$2:$E$5000,MATCH($C164,DB_materiali!$A$2:$A$5000,0))&lt;=INDEX(DB_malas!$D$2:$D$5000,MATCH(I164,DB_malas!$A$2:$A$5000,0)),IF(OR(INDEX(DB_materiali!$B$2:$B$5000,MATCH($C164,DB_materiali!$A$2:$A$5000,0))=INDEX(DB_malas!$B$2:$B$5000,MATCH(I164,DB_malas!$A$2:$A$5000,0)),$H164="ORG"),"✔",tulkojums!$A$38),tulkojums!$A$39),tulkojums!$A$39))</f>
        <v/>
      </c>
      <c r="R164" s="2" t="str">
        <f>IF(ISBLANK(J164),"",IF(INDEX(DB_materiali!$E$2:$E$5000,MATCH($C164,DB_materiali!$A$2:$A$5000,0))&gt;=INDEX(DB_malas!$C$2:$C$5000,MATCH(J164,DB_malas!$A$2:$A$5000,0)),IF(INDEX(DB_materiali!$E$2:$E$5000,MATCH($C164,DB_materiali!$A$2:$A$5000,0))&lt;=INDEX(DB_malas!$D$2:$D$5000,MATCH(J164,DB_malas!$A$2:$A$5000,0)),IF(INDEX(DB_materiali!$B$2:$B$5000,MATCH($C164,DB_materiali!$A$2:$A$5000,0))=INDEX(DB_malas!$B$2:$B$5000,MATCH(J164,DB_malas!$A$2:$A$5000,0)),"✔",tulkojums!$A$38),tulkojums!$A$39),tulkojums!$A$39))</f>
        <v/>
      </c>
      <c r="S164" s="2" t="str">
        <f>IF(ISBLANK(K164),"",IF(INDEX(DB_materiali!$E$2:$E$5000,MATCH($C164,DB_materiali!$A$2:$A$5000,0))&gt;=INDEX(DB_malas!$C$2:$C$5000,MATCH(K164,DB_malas!$A$2:$A$5000,0)),IF(INDEX(DB_materiali!$E$2:$E$5000,MATCH($C164,DB_materiali!$A$2:$A$5000,0))&lt;=INDEX(DB_malas!$D$2:$D$5000,MATCH(K164,DB_malas!$A$2:$A$5000,0)),IF(INDEX(DB_materiali!$B$2:$B$5000,MATCH($C164,DB_materiali!$A$2:$A$5000,0))=INDEX(DB_malas!$B$2:$B$5000,MATCH(K164,DB_malas!$A$2:$A$5000,0)),"✔",tulkojums!$A$38),tulkojums!$A$39),tulkojums!$A$39))</f>
        <v/>
      </c>
      <c r="T164" s="2"/>
      <c r="U164" s="2"/>
      <c r="V164" s="2"/>
      <c r="W164" s="2"/>
      <c r="X164" s="2"/>
      <c r="Y164" s="2"/>
      <c r="Z164" s="2"/>
    </row>
    <row r="165" spans="1:26" ht="15.75" customHeight="1">
      <c r="A165" s="17"/>
      <c r="B165" s="18"/>
      <c r="C165" s="19"/>
      <c r="D165" s="55"/>
      <c r="E165" s="55"/>
      <c r="F165" s="56"/>
      <c r="G165" s="57" t="str">
        <f>IF(ISBLANK(C165),"",
   IFERROR(
      IF(
         INDEX(DB_materiali!C$2:C$5000,
               MATCH(C165, DB_materiali!A$2:A$5000, 0)
         )="FALSE",
         "N",
         "Y"
      ),
   "")
)</f>
        <v/>
      </c>
      <c r="H165" s="20"/>
      <c r="I165" s="20"/>
      <c r="J165" s="20"/>
      <c r="K165" s="20"/>
      <c r="M165" s="2" t="str">
        <f>IF(ISBLANK(C165),"",IF(IFERROR(VLOOKUP(C165,DB_materiali!$A$2:$A$5000,1,FALSE),"Kļūda artikulā")=C165,"✔",tulkojums!A$42))</f>
        <v/>
      </c>
      <c r="N165" s="2" t="str">
        <f>IF(ISBLANK(C165),"",IF(ISNUMBER(F165)=TRUE,"✔",tulkojums!A$43))</f>
        <v/>
      </c>
      <c r="O165" s="2" t="str">
        <f>IF(ISBLANK(C165),"",IF(G165="Y","✔",IF(G165="X","✔",IF(G165="N","✔",tulkojums!A$44))))</f>
        <v/>
      </c>
      <c r="P165" s="2" t="str">
        <f>IF(ISBLANK(H165),"",IF(INDEX(DB_materiali!$E$2:$E$5000,MATCH($C165,DB_materiali!$A$2:$A$5000,0))&gt;=INDEX(DB_malas!$C$2:$C$5000,MATCH(H165,DB_malas!$A$2:$A$5000,0)),IF(INDEX(DB_materiali!$E$2:$E$5000,MATCH($C165,DB_materiali!$A$2:$A$5000,0))&lt;=INDEX(DB_malas!$D$2:$D$5000,MATCH(H165,DB_malas!$A$2:$A$5000,0)),IF(OR(INDEX(DB_materiali!$B$2:$B$5000,MATCH($C165,DB_materiali!$A$2:$A$5000,0))=INDEX(DB_malas!$B$2:$B$5000,MATCH(H165,DB_malas!$A$2:$A$5000,0)),$H165="ORG"),"✔",tulkojums!$A$38),tulkojums!$A$39),tulkojums!$A$39))</f>
        <v/>
      </c>
      <c r="Q165" s="2" t="str">
        <f>IF(ISBLANK(I165),"",IF(INDEX(DB_materiali!$E$2:$E$5000,MATCH($C165,DB_materiali!$A$2:$A$5000,0))&gt;=INDEX(DB_malas!$C$2:$C$5000,MATCH(I165,DB_malas!$A$2:$A$5000,0)),IF(INDEX(DB_materiali!$E$2:$E$5000,MATCH($C165,DB_materiali!$A$2:$A$5000,0))&lt;=INDEX(DB_malas!$D$2:$D$5000,MATCH(I165,DB_malas!$A$2:$A$5000,0)),IF(OR(INDEX(DB_materiali!$B$2:$B$5000,MATCH($C165,DB_materiali!$A$2:$A$5000,0))=INDEX(DB_malas!$B$2:$B$5000,MATCH(I165,DB_malas!$A$2:$A$5000,0)),$H165="ORG"),"✔",tulkojums!$A$38),tulkojums!$A$39),tulkojums!$A$39))</f>
        <v/>
      </c>
      <c r="R165" s="2" t="str">
        <f>IF(ISBLANK(J165),"",IF(INDEX(DB_materiali!$E$2:$E$5000,MATCH($C165,DB_materiali!$A$2:$A$5000,0))&gt;=INDEX(DB_malas!$C$2:$C$5000,MATCH(J165,DB_malas!$A$2:$A$5000,0)),IF(INDEX(DB_materiali!$E$2:$E$5000,MATCH($C165,DB_materiali!$A$2:$A$5000,0))&lt;=INDEX(DB_malas!$D$2:$D$5000,MATCH(J165,DB_malas!$A$2:$A$5000,0)),IF(INDEX(DB_materiali!$B$2:$B$5000,MATCH($C165,DB_materiali!$A$2:$A$5000,0))=INDEX(DB_malas!$B$2:$B$5000,MATCH(J165,DB_malas!$A$2:$A$5000,0)),"✔",tulkojums!$A$38),tulkojums!$A$39),tulkojums!$A$39))</f>
        <v/>
      </c>
      <c r="S165" s="2" t="str">
        <f>IF(ISBLANK(K165),"",IF(INDEX(DB_materiali!$E$2:$E$5000,MATCH($C165,DB_materiali!$A$2:$A$5000,0))&gt;=INDEX(DB_malas!$C$2:$C$5000,MATCH(K165,DB_malas!$A$2:$A$5000,0)),IF(INDEX(DB_materiali!$E$2:$E$5000,MATCH($C165,DB_materiali!$A$2:$A$5000,0))&lt;=INDEX(DB_malas!$D$2:$D$5000,MATCH(K165,DB_malas!$A$2:$A$5000,0)),IF(INDEX(DB_materiali!$B$2:$B$5000,MATCH($C165,DB_materiali!$A$2:$A$5000,0))=INDEX(DB_malas!$B$2:$B$5000,MATCH(K165,DB_malas!$A$2:$A$5000,0)),"✔",tulkojums!$A$38),tulkojums!$A$39),tulkojums!$A$39))</f>
        <v/>
      </c>
      <c r="T165" s="2"/>
      <c r="U165" s="2"/>
      <c r="V165" s="2"/>
      <c r="W165" s="2"/>
      <c r="X165" s="2"/>
      <c r="Y165" s="2"/>
      <c r="Z165" s="2"/>
    </row>
    <row r="166" spans="1:26" ht="15.75" customHeight="1">
      <c r="A166" s="17"/>
      <c r="B166" s="18"/>
      <c r="C166" s="19"/>
      <c r="D166" s="55"/>
      <c r="E166" s="55"/>
      <c r="F166" s="56"/>
      <c r="G166" s="57" t="str">
        <f>IF(ISBLANK(C166),"",
   IFERROR(
      IF(
         INDEX(DB_materiali!C$2:C$5000,
               MATCH(C166, DB_materiali!A$2:A$5000, 0)
         )="FALSE",
         "N",
         "Y"
      ),
   "")
)</f>
        <v/>
      </c>
      <c r="H166" s="20"/>
      <c r="I166" s="20"/>
      <c r="J166" s="20"/>
      <c r="K166" s="20"/>
      <c r="M166" s="2" t="str">
        <f>IF(ISBLANK(C166),"",IF(IFERROR(VLOOKUP(C166,DB_materiali!$A$2:$A$5000,1,FALSE),"Kļūda artikulā")=C166,"✔",tulkojums!A$42))</f>
        <v/>
      </c>
      <c r="N166" s="2" t="str">
        <f>IF(ISBLANK(C166),"",IF(ISNUMBER(F166)=TRUE,"✔",tulkojums!A$43))</f>
        <v/>
      </c>
      <c r="O166" s="2" t="str">
        <f>IF(ISBLANK(C166),"",IF(G166="Y","✔",IF(G166="X","✔",IF(G166="N","✔",tulkojums!A$44))))</f>
        <v/>
      </c>
      <c r="P166" s="2" t="str">
        <f>IF(ISBLANK(H166),"",IF(INDEX(DB_materiali!$E$2:$E$5000,MATCH($C166,DB_materiali!$A$2:$A$5000,0))&gt;=INDEX(DB_malas!$C$2:$C$5000,MATCH(H166,DB_malas!$A$2:$A$5000,0)),IF(INDEX(DB_materiali!$E$2:$E$5000,MATCH($C166,DB_materiali!$A$2:$A$5000,0))&lt;=INDEX(DB_malas!$D$2:$D$5000,MATCH(H166,DB_malas!$A$2:$A$5000,0)),IF(OR(INDEX(DB_materiali!$B$2:$B$5000,MATCH($C166,DB_materiali!$A$2:$A$5000,0))=INDEX(DB_malas!$B$2:$B$5000,MATCH(H166,DB_malas!$A$2:$A$5000,0)),$H166="ORG"),"✔",tulkojums!$A$38),tulkojums!$A$39),tulkojums!$A$39))</f>
        <v/>
      </c>
      <c r="Q166" s="2" t="str">
        <f>IF(ISBLANK(I166),"",IF(INDEX(DB_materiali!$E$2:$E$5000,MATCH($C166,DB_materiali!$A$2:$A$5000,0))&gt;=INDEX(DB_malas!$C$2:$C$5000,MATCH(I166,DB_malas!$A$2:$A$5000,0)),IF(INDEX(DB_materiali!$E$2:$E$5000,MATCH($C166,DB_materiali!$A$2:$A$5000,0))&lt;=INDEX(DB_malas!$D$2:$D$5000,MATCH(I166,DB_malas!$A$2:$A$5000,0)),IF(OR(INDEX(DB_materiali!$B$2:$B$5000,MATCH($C166,DB_materiali!$A$2:$A$5000,0))=INDEX(DB_malas!$B$2:$B$5000,MATCH(I166,DB_malas!$A$2:$A$5000,0)),$H166="ORG"),"✔",tulkojums!$A$38),tulkojums!$A$39),tulkojums!$A$39))</f>
        <v/>
      </c>
      <c r="R166" s="2" t="str">
        <f>IF(ISBLANK(J166),"",IF(INDEX(DB_materiali!$E$2:$E$5000,MATCH($C166,DB_materiali!$A$2:$A$5000,0))&gt;=INDEX(DB_malas!$C$2:$C$5000,MATCH(J166,DB_malas!$A$2:$A$5000,0)),IF(INDEX(DB_materiali!$E$2:$E$5000,MATCH($C166,DB_materiali!$A$2:$A$5000,0))&lt;=INDEX(DB_malas!$D$2:$D$5000,MATCH(J166,DB_malas!$A$2:$A$5000,0)),IF(INDEX(DB_materiali!$B$2:$B$5000,MATCH($C166,DB_materiali!$A$2:$A$5000,0))=INDEX(DB_malas!$B$2:$B$5000,MATCH(J166,DB_malas!$A$2:$A$5000,0)),"✔",tulkojums!$A$38),tulkojums!$A$39),tulkojums!$A$39))</f>
        <v/>
      </c>
      <c r="S166" s="2" t="str">
        <f>IF(ISBLANK(K166),"",IF(INDEX(DB_materiali!$E$2:$E$5000,MATCH($C166,DB_materiali!$A$2:$A$5000,0))&gt;=INDEX(DB_malas!$C$2:$C$5000,MATCH(K166,DB_malas!$A$2:$A$5000,0)),IF(INDEX(DB_materiali!$E$2:$E$5000,MATCH($C166,DB_materiali!$A$2:$A$5000,0))&lt;=INDEX(DB_malas!$D$2:$D$5000,MATCH(K166,DB_malas!$A$2:$A$5000,0)),IF(INDEX(DB_materiali!$B$2:$B$5000,MATCH($C166,DB_materiali!$A$2:$A$5000,0))=INDEX(DB_malas!$B$2:$B$5000,MATCH(K166,DB_malas!$A$2:$A$5000,0)),"✔",tulkojums!$A$38),tulkojums!$A$39),tulkojums!$A$39))</f>
        <v/>
      </c>
      <c r="T166" s="2"/>
      <c r="U166" s="2"/>
      <c r="V166" s="2"/>
      <c r="W166" s="2"/>
      <c r="X166" s="2"/>
      <c r="Y166" s="2"/>
      <c r="Z166" s="2"/>
    </row>
    <row r="167" spans="1:26" ht="15.75" customHeight="1">
      <c r="A167" s="17"/>
      <c r="B167" s="18"/>
      <c r="C167" s="19"/>
      <c r="D167" s="55"/>
      <c r="E167" s="55"/>
      <c r="F167" s="56"/>
      <c r="G167" s="57" t="str">
        <f>IF(ISBLANK(C167),"",
   IFERROR(
      IF(
         INDEX(DB_materiali!C$2:C$5000,
               MATCH(C167, DB_materiali!A$2:A$5000, 0)
         )="FALSE",
         "N",
         "Y"
      ),
   "")
)</f>
        <v/>
      </c>
      <c r="H167" s="20"/>
      <c r="I167" s="20"/>
      <c r="J167" s="20"/>
      <c r="K167" s="20"/>
      <c r="M167" s="2" t="str">
        <f>IF(ISBLANK(C167),"",IF(IFERROR(VLOOKUP(C167,DB_materiali!$A$2:$A$5000,1,FALSE),"Kļūda artikulā")=C167,"✔",tulkojums!A$42))</f>
        <v/>
      </c>
      <c r="N167" s="2" t="str">
        <f>IF(ISBLANK(C167),"",IF(ISNUMBER(F167)=TRUE,"✔",tulkojums!A$43))</f>
        <v/>
      </c>
      <c r="O167" s="2" t="str">
        <f>IF(ISBLANK(C167),"",IF(G167="Y","✔",IF(G167="X","✔",IF(G167="N","✔",tulkojums!A$44))))</f>
        <v/>
      </c>
      <c r="P167" s="2" t="str">
        <f>IF(ISBLANK(H167),"",IF(INDEX(DB_materiali!$E$2:$E$5000,MATCH($C167,DB_materiali!$A$2:$A$5000,0))&gt;=INDEX(DB_malas!$C$2:$C$5000,MATCH(H167,DB_malas!$A$2:$A$5000,0)),IF(INDEX(DB_materiali!$E$2:$E$5000,MATCH($C167,DB_materiali!$A$2:$A$5000,0))&lt;=INDEX(DB_malas!$D$2:$D$5000,MATCH(H167,DB_malas!$A$2:$A$5000,0)),IF(OR(INDEX(DB_materiali!$B$2:$B$5000,MATCH($C167,DB_materiali!$A$2:$A$5000,0))=INDEX(DB_malas!$B$2:$B$5000,MATCH(H167,DB_malas!$A$2:$A$5000,0)),$H167="ORG"),"✔",tulkojums!$A$38),tulkojums!$A$39),tulkojums!$A$39))</f>
        <v/>
      </c>
      <c r="Q167" s="2" t="str">
        <f>IF(ISBLANK(I167),"",IF(INDEX(DB_materiali!$E$2:$E$5000,MATCH($C167,DB_materiali!$A$2:$A$5000,0))&gt;=INDEX(DB_malas!$C$2:$C$5000,MATCH(I167,DB_malas!$A$2:$A$5000,0)),IF(INDEX(DB_materiali!$E$2:$E$5000,MATCH($C167,DB_materiali!$A$2:$A$5000,0))&lt;=INDEX(DB_malas!$D$2:$D$5000,MATCH(I167,DB_malas!$A$2:$A$5000,0)),IF(OR(INDEX(DB_materiali!$B$2:$B$5000,MATCH($C167,DB_materiali!$A$2:$A$5000,0))=INDEX(DB_malas!$B$2:$B$5000,MATCH(I167,DB_malas!$A$2:$A$5000,0)),$H167="ORG"),"✔",tulkojums!$A$38),tulkojums!$A$39),tulkojums!$A$39))</f>
        <v/>
      </c>
      <c r="R167" s="2" t="str">
        <f>IF(ISBLANK(J167),"",IF(INDEX(DB_materiali!$E$2:$E$5000,MATCH($C167,DB_materiali!$A$2:$A$5000,0))&gt;=INDEX(DB_malas!$C$2:$C$5000,MATCH(J167,DB_malas!$A$2:$A$5000,0)),IF(INDEX(DB_materiali!$E$2:$E$5000,MATCH($C167,DB_materiali!$A$2:$A$5000,0))&lt;=INDEX(DB_malas!$D$2:$D$5000,MATCH(J167,DB_malas!$A$2:$A$5000,0)),IF(INDEX(DB_materiali!$B$2:$B$5000,MATCH($C167,DB_materiali!$A$2:$A$5000,0))=INDEX(DB_malas!$B$2:$B$5000,MATCH(J167,DB_malas!$A$2:$A$5000,0)),"✔",tulkojums!$A$38),tulkojums!$A$39),tulkojums!$A$39))</f>
        <v/>
      </c>
      <c r="S167" s="2" t="str">
        <f>IF(ISBLANK(K167),"",IF(INDEX(DB_materiali!$E$2:$E$5000,MATCH($C167,DB_materiali!$A$2:$A$5000,0))&gt;=INDEX(DB_malas!$C$2:$C$5000,MATCH(K167,DB_malas!$A$2:$A$5000,0)),IF(INDEX(DB_materiali!$E$2:$E$5000,MATCH($C167,DB_materiali!$A$2:$A$5000,0))&lt;=INDEX(DB_malas!$D$2:$D$5000,MATCH(K167,DB_malas!$A$2:$A$5000,0)),IF(INDEX(DB_materiali!$B$2:$B$5000,MATCH($C167,DB_materiali!$A$2:$A$5000,0))=INDEX(DB_malas!$B$2:$B$5000,MATCH(K167,DB_malas!$A$2:$A$5000,0)),"✔",tulkojums!$A$38),tulkojums!$A$39),tulkojums!$A$39))</f>
        <v/>
      </c>
      <c r="T167" s="2"/>
      <c r="U167" s="2"/>
      <c r="V167" s="2"/>
      <c r="W167" s="2"/>
      <c r="X167" s="2"/>
      <c r="Y167" s="2"/>
      <c r="Z167" s="2"/>
    </row>
    <row r="168" spans="1:26" ht="15.75" customHeight="1">
      <c r="A168" s="17"/>
      <c r="B168" s="18"/>
      <c r="C168" s="19"/>
      <c r="D168" s="55"/>
      <c r="E168" s="55"/>
      <c r="F168" s="56"/>
      <c r="G168" s="57" t="str">
        <f>IF(ISBLANK(C168),"",
   IFERROR(
      IF(
         INDEX(DB_materiali!C$2:C$5000,
               MATCH(C168, DB_materiali!A$2:A$5000, 0)
         )="FALSE",
         "N",
         "Y"
      ),
   "")
)</f>
        <v/>
      </c>
      <c r="H168" s="20"/>
      <c r="I168" s="20"/>
      <c r="J168" s="20"/>
      <c r="K168" s="20"/>
      <c r="M168" s="2" t="str">
        <f>IF(ISBLANK(C168),"",IF(IFERROR(VLOOKUP(C168,DB_materiali!$A$2:$A$5000,1,FALSE),"Kļūda artikulā")=C168,"✔",tulkojums!A$42))</f>
        <v/>
      </c>
      <c r="N168" s="2" t="str">
        <f>IF(ISBLANK(C168),"",IF(ISNUMBER(F168)=TRUE,"✔",tulkojums!A$43))</f>
        <v/>
      </c>
      <c r="O168" s="2" t="str">
        <f>IF(ISBLANK(C168),"",IF(G168="Y","✔",IF(G168="X","✔",IF(G168="N","✔",tulkojums!A$44))))</f>
        <v/>
      </c>
      <c r="P168" s="2" t="str">
        <f>IF(ISBLANK(H168),"",IF(INDEX(DB_materiali!$E$2:$E$5000,MATCH($C168,DB_materiali!$A$2:$A$5000,0))&gt;=INDEX(DB_malas!$C$2:$C$5000,MATCH(H168,DB_malas!$A$2:$A$5000,0)),IF(INDEX(DB_materiali!$E$2:$E$5000,MATCH($C168,DB_materiali!$A$2:$A$5000,0))&lt;=INDEX(DB_malas!$D$2:$D$5000,MATCH(H168,DB_malas!$A$2:$A$5000,0)),IF(OR(INDEX(DB_materiali!$B$2:$B$5000,MATCH($C168,DB_materiali!$A$2:$A$5000,0))=INDEX(DB_malas!$B$2:$B$5000,MATCH(H168,DB_malas!$A$2:$A$5000,0)),$H168="ORG"),"✔",tulkojums!$A$38),tulkojums!$A$39),tulkojums!$A$39))</f>
        <v/>
      </c>
      <c r="Q168" s="2" t="str">
        <f>IF(ISBLANK(I168),"",IF(INDEX(DB_materiali!$E$2:$E$5000,MATCH($C168,DB_materiali!$A$2:$A$5000,0))&gt;=INDEX(DB_malas!$C$2:$C$5000,MATCH(I168,DB_malas!$A$2:$A$5000,0)),IF(INDEX(DB_materiali!$E$2:$E$5000,MATCH($C168,DB_materiali!$A$2:$A$5000,0))&lt;=INDEX(DB_malas!$D$2:$D$5000,MATCH(I168,DB_malas!$A$2:$A$5000,0)),IF(OR(INDEX(DB_materiali!$B$2:$B$5000,MATCH($C168,DB_materiali!$A$2:$A$5000,0))=INDEX(DB_malas!$B$2:$B$5000,MATCH(I168,DB_malas!$A$2:$A$5000,0)),$H168="ORG"),"✔",tulkojums!$A$38),tulkojums!$A$39),tulkojums!$A$39))</f>
        <v/>
      </c>
      <c r="R168" s="2" t="str">
        <f>IF(ISBLANK(J168),"",IF(INDEX(DB_materiali!$E$2:$E$5000,MATCH($C168,DB_materiali!$A$2:$A$5000,0))&gt;=INDEX(DB_malas!$C$2:$C$5000,MATCH(J168,DB_malas!$A$2:$A$5000,0)),IF(INDEX(DB_materiali!$E$2:$E$5000,MATCH($C168,DB_materiali!$A$2:$A$5000,0))&lt;=INDEX(DB_malas!$D$2:$D$5000,MATCH(J168,DB_malas!$A$2:$A$5000,0)),IF(INDEX(DB_materiali!$B$2:$B$5000,MATCH($C168,DB_materiali!$A$2:$A$5000,0))=INDEX(DB_malas!$B$2:$B$5000,MATCH(J168,DB_malas!$A$2:$A$5000,0)),"✔",tulkojums!$A$38),tulkojums!$A$39),tulkojums!$A$39))</f>
        <v/>
      </c>
      <c r="S168" s="2" t="str">
        <f>IF(ISBLANK(K168),"",IF(INDEX(DB_materiali!$E$2:$E$5000,MATCH($C168,DB_materiali!$A$2:$A$5000,0))&gt;=INDEX(DB_malas!$C$2:$C$5000,MATCH(K168,DB_malas!$A$2:$A$5000,0)),IF(INDEX(DB_materiali!$E$2:$E$5000,MATCH($C168,DB_materiali!$A$2:$A$5000,0))&lt;=INDEX(DB_malas!$D$2:$D$5000,MATCH(K168,DB_malas!$A$2:$A$5000,0)),IF(INDEX(DB_materiali!$B$2:$B$5000,MATCH($C168,DB_materiali!$A$2:$A$5000,0))=INDEX(DB_malas!$B$2:$B$5000,MATCH(K168,DB_malas!$A$2:$A$5000,0)),"✔",tulkojums!$A$38),tulkojums!$A$39),tulkojums!$A$39))</f>
        <v/>
      </c>
      <c r="T168" s="2"/>
      <c r="U168" s="2"/>
      <c r="V168" s="2"/>
      <c r="W168" s="2"/>
      <c r="X168" s="2"/>
      <c r="Y168" s="2"/>
      <c r="Z168" s="2"/>
    </row>
    <row r="169" spans="1:26" ht="15.75" customHeight="1">
      <c r="A169" s="17"/>
      <c r="B169" s="18"/>
      <c r="C169" s="19"/>
      <c r="D169" s="55"/>
      <c r="E169" s="55"/>
      <c r="F169" s="56"/>
      <c r="G169" s="57" t="str">
        <f>IF(ISBLANK(C169),"",
   IFERROR(
      IF(
         INDEX(DB_materiali!C$2:C$5000,
               MATCH(C169, DB_materiali!A$2:A$5000, 0)
         )="FALSE",
         "N",
         "Y"
      ),
   "")
)</f>
        <v/>
      </c>
      <c r="H169" s="20"/>
      <c r="I169" s="20"/>
      <c r="J169" s="20"/>
      <c r="K169" s="20"/>
      <c r="M169" s="2" t="str">
        <f>IF(ISBLANK(C169),"",IF(IFERROR(VLOOKUP(C169,DB_materiali!$A$2:$A$5000,1,FALSE),"Kļūda artikulā")=C169,"✔",tulkojums!A$42))</f>
        <v/>
      </c>
      <c r="N169" s="2" t="str">
        <f>IF(ISBLANK(C169),"",IF(ISNUMBER(F169)=TRUE,"✔",tulkojums!A$43))</f>
        <v/>
      </c>
      <c r="O169" s="2" t="str">
        <f>IF(ISBLANK(C169),"",IF(G169="Y","✔",IF(G169="X","✔",IF(G169="N","✔",tulkojums!A$44))))</f>
        <v/>
      </c>
      <c r="P169" s="2" t="str">
        <f>IF(ISBLANK(H169),"",IF(INDEX(DB_materiali!$E$2:$E$5000,MATCH($C169,DB_materiali!$A$2:$A$5000,0))&gt;=INDEX(DB_malas!$C$2:$C$5000,MATCH(H169,DB_malas!$A$2:$A$5000,0)),IF(INDEX(DB_materiali!$E$2:$E$5000,MATCH($C169,DB_materiali!$A$2:$A$5000,0))&lt;=INDEX(DB_malas!$D$2:$D$5000,MATCH(H169,DB_malas!$A$2:$A$5000,0)),IF(OR(INDEX(DB_materiali!$B$2:$B$5000,MATCH($C169,DB_materiali!$A$2:$A$5000,0))=INDEX(DB_malas!$B$2:$B$5000,MATCH(H169,DB_malas!$A$2:$A$5000,0)),$H169="ORG"),"✔",tulkojums!$A$38),tulkojums!$A$39),tulkojums!$A$39))</f>
        <v/>
      </c>
      <c r="Q169" s="2" t="str">
        <f>IF(ISBLANK(I169),"",IF(INDEX(DB_materiali!$E$2:$E$5000,MATCH($C169,DB_materiali!$A$2:$A$5000,0))&gt;=INDEX(DB_malas!$C$2:$C$5000,MATCH(I169,DB_malas!$A$2:$A$5000,0)),IF(INDEX(DB_materiali!$E$2:$E$5000,MATCH($C169,DB_materiali!$A$2:$A$5000,0))&lt;=INDEX(DB_malas!$D$2:$D$5000,MATCH(I169,DB_malas!$A$2:$A$5000,0)),IF(OR(INDEX(DB_materiali!$B$2:$B$5000,MATCH($C169,DB_materiali!$A$2:$A$5000,0))=INDEX(DB_malas!$B$2:$B$5000,MATCH(I169,DB_malas!$A$2:$A$5000,0)),$H169="ORG"),"✔",tulkojums!$A$38),tulkojums!$A$39),tulkojums!$A$39))</f>
        <v/>
      </c>
      <c r="R169" s="2" t="str">
        <f>IF(ISBLANK(J169),"",IF(INDEX(DB_materiali!$E$2:$E$5000,MATCH($C169,DB_materiali!$A$2:$A$5000,0))&gt;=INDEX(DB_malas!$C$2:$C$5000,MATCH(J169,DB_malas!$A$2:$A$5000,0)),IF(INDEX(DB_materiali!$E$2:$E$5000,MATCH($C169,DB_materiali!$A$2:$A$5000,0))&lt;=INDEX(DB_malas!$D$2:$D$5000,MATCH(J169,DB_malas!$A$2:$A$5000,0)),IF(INDEX(DB_materiali!$B$2:$B$5000,MATCH($C169,DB_materiali!$A$2:$A$5000,0))=INDEX(DB_malas!$B$2:$B$5000,MATCH(J169,DB_malas!$A$2:$A$5000,0)),"✔",tulkojums!$A$38),tulkojums!$A$39),tulkojums!$A$39))</f>
        <v/>
      </c>
      <c r="S169" s="2" t="str">
        <f>IF(ISBLANK(K169),"",IF(INDEX(DB_materiali!$E$2:$E$5000,MATCH($C169,DB_materiali!$A$2:$A$5000,0))&gt;=INDEX(DB_malas!$C$2:$C$5000,MATCH(K169,DB_malas!$A$2:$A$5000,0)),IF(INDEX(DB_materiali!$E$2:$E$5000,MATCH($C169,DB_materiali!$A$2:$A$5000,0))&lt;=INDEX(DB_malas!$D$2:$D$5000,MATCH(K169,DB_malas!$A$2:$A$5000,0)),IF(INDEX(DB_materiali!$B$2:$B$5000,MATCH($C169,DB_materiali!$A$2:$A$5000,0))=INDEX(DB_malas!$B$2:$B$5000,MATCH(K169,DB_malas!$A$2:$A$5000,0)),"✔",tulkojums!$A$38),tulkojums!$A$39),tulkojums!$A$39))</f>
        <v/>
      </c>
      <c r="T169" s="2"/>
      <c r="U169" s="2"/>
      <c r="V169" s="2"/>
      <c r="W169" s="2"/>
      <c r="X169" s="2"/>
      <c r="Y169" s="2"/>
      <c r="Z169" s="2"/>
    </row>
    <row r="170" spans="1:26" ht="15.75" customHeight="1">
      <c r="A170" s="17"/>
      <c r="B170" s="18"/>
      <c r="C170" s="19"/>
      <c r="D170" s="55"/>
      <c r="E170" s="55"/>
      <c r="F170" s="56"/>
      <c r="G170" s="57" t="str">
        <f>IF(ISBLANK(C170),"",
   IFERROR(
      IF(
         INDEX(DB_materiali!C$2:C$5000,
               MATCH(C170, DB_materiali!A$2:A$5000, 0)
         )="FALSE",
         "N",
         "Y"
      ),
   "")
)</f>
        <v/>
      </c>
      <c r="H170" s="20"/>
      <c r="I170" s="20"/>
      <c r="J170" s="20"/>
      <c r="K170" s="20"/>
      <c r="M170" s="2" t="str">
        <f>IF(ISBLANK(C170),"",IF(IFERROR(VLOOKUP(C170,DB_materiali!$A$2:$A$5000,1,FALSE),"Kļūda artikulā")=C170,"✔",tulkojums!A$42))</f>
        <v/>
      </c>
      <c r="N170" s="2" t="str">
        <f>IF(ISBLANK(C170),"",IF(ISNUMBER(F170)=TRUE,"✔",tulkojums!A$43))</f>
        <v/>
      </c>
      <c r="O170" s="2" t="str">
        <f>IF(ISBLANK(C170),"",IF(G170="Y","✔",IF(G170="X","✔",IF(G170="N","✔",tulkojums!A$44))))</f>
        <v/>
      </c>
      <c r="P170" s="2" t="str">
        <f>IF(ISBLANK(H170),"",IF(INDEX(DB_materiali!$E$2:$E$5000,MATCH($C170,DB_materiali!$A$2:$A$5000,0))&gt;=INDEX(DB_malas!$C$2:$C$5000,MATCH(H170,DB_malas!$A$2:$A$5000,0)),IF(INDEX(DB_materiali!$E$2:$E$5000,MATCH($C170,DB_materiali!$A$2:$A$5000,0))&lt;=INDEX(DB_malas!$D$2:$D$5000,MATCH(H170,DB_malas!$A$2:$A$5000,0)),IF(OR(INDEX(DB_materiali!$B$2:$B$5000,MATCH($C170,DB_materiali!$A$2:$A$5000,0))=INDEX(DB_malas!$B$2:$B$5000,MATCH(H170,DB_malas!$A$2:$A$5000,0)),$H170="ORG"),"✔",tulkojums!$A$38),tulkojums!$A$39),tulkojums!$A$39))</f>
        <v/>
      </c>
      <c r="Q170" s="2" t="str">
        <f>IF(ISBLANK(I170),"",IF(INDEX(DB_materiali!$E$2:$E$5000,MATCH($C170,DB_materiali!$A$2:$A$5000,0))&gt;=INDEX(DB_malas!$C$2:$C$5000,MATCH(I170,DB_malas!$A$2:$A$5000,0)),IF(INDEX(DB_materiali!$E$2:$E$5000,MATCH($C170,DB_materiali!$A$2:$A$5000,0))&lt;=INDEX(DB_malas!$D$2:$D$5000,MATCH(I170,DB_malas!$A$2:$A$5000,0)),IF(OR(INDEX(DB_materiali!$B$2:$B$5000,MATCH($C170,DB_materiali!$A$2:$A$5000,0))=INDEX(DB_malas!$B$2:$B$5000,MATCH(I170,DB_malas!$A$2:$A$5000,0)),$H170="ORG"),"✔",tulkojums!$A$38),tulkojums!$A$39),tulkojums!$A$39))</f>
        <v/>
      </c>
      <c r="R170" s="2" t="str">
        <f>IF(ISBLANK(J170),"",IF(INDEX(DB_materiali!$E$2:$E$5000,MATCH($C170,DB_materiali!$A$2:$A$5000,0))&gt;=INDEX(DB_malas!$C$2:$C$5000,MATCH(J170,DB_malas!$A$2:$A$5000,0)),IF(INDEX(DB_materiali!$E$2:$E$5000,MATCH($C170,DB_materiali!$A$2:$A$5000,0))&lt;=INDEX(DB_malas!$D$2:$D$5000,MATCH(J170,DB_malas!$A$2:$A$5000,0)),IF(INDEX(DB_materiali!$B$2:$B$5000,MATCH($C170,DB_materiali!$A$2:$A$5000,0))=INDEX(DB_malas!$B$2:$B$5000,MATCH(J170,DB_malas!$A$2:$A$5000,0)),"✔",tulkojums!$A$38),tulkojums!$A$39),tulkojums!$A$39))</f>
        <v/>
      </c>
      <c r="S170" s="2" t="str">
        <f>IF(ISBLANK(K170),"",IF(INDEX(DB_materiali!$E$2:$E$5000,MATCH($C170,DB_materiali!$A$2:$A$5000,0))&gt;=INDEX(DB_malas!$C$2:$C$5000,MATCH(K170,DB_malas!$A$2:$A$5000,0)),IF(INDEX(DB_materiali!$E$2:$E$5000,MATCH($C170,DB_materiali!$A$2:$A$5000,0))&lt;=INDEX(DB_malas!$D$2:$D$5000,MATCH(K170,DB_malas!$A$2:$A$5000,0)),IF(INDEX(DB_materiali!$B$2:$B$5000,MATCH($C170,DB_materiali!$A$2:$A$5000,0))=INDEX(DB_malas!$B$2:$B$5000,MATCH(K170,DB_malas!$A$2:$A$5000,0)),"✔",tulkojums!$A$38),tulkojums!$A$39),tulkojums!$A$39))</f>
        <v/>
      </c>
      <c r="T170" s="2"/>
      <c r="U170" s="2"/>
      <c r="V170" s="2"/>
      <c r="W170" s="2"/>
      <c r="X170" s="2"/>
      <c r="Y170" s="2"/>
      <c r="Z170" s="2"/>
    </row>
    <row r="171" spans="1:26" ht="15.75" customHeight="1">
      <c r="A171" s="17"/>
      <c r="B171" s="18"/>
      <c r="C171" s="19"/>
      <c r="D171" s="55"/>
      <c r="E171" s="55"/>
      <c r="F171" s="56"/>
      <c r="G171" s="57" t="str">
        <f>IF(ISBLANK(C171),"",
   IFERROR(
      IF(
         INDEX(DB_materiali!C$2:C$5000,
               MATCH(C171, DB_materiali!A$2:A$5000, 0)
         )="FALSE",
         "N",
         "Y"
      ),
   "")
)</f>
        <v/>
      </c>
      <c r="H171" s="20"/>
      <c r="I171" s="20"/>
      <c r="J171" s="20"/>
      <c r="K171" s="20"/>
      <c r="M171" s="2" t="str">
        <f>IF(ISBLANK(C171),"",IF(IFERROR(VLOOKUP(C171,DB_materiali!$A$2:$A$5000,1,FALSE),"Kļūda artikulā")=C171,"✔",tulkojums!A$42))</f>
        <v/>
      </c>
      <c r="N171" s="2" t="str">
        <f>IF(ISBLANK(C171),"",IF(ISNUMBER(F171)=TRUE,"✔",tulkojums!A$43))</f>
        <v/>
      </c>
      <c r="O171" s="2" t="str">
        <f>IF(ISBLANK(C171),"",IF(G171="Y","✔",IF(G171="X","✔",IF(G171="N","✔",tulkojums!A$44))))</f>
        <v/>
      </c>
      <c r="P171" s="2" t="str">
        <f>IF(ISBLANK(H171),"",IF(INDEX(DB_materiali!$E$2:$E$5000,MATCH($C171,DB_materiali!$A$2:$A$5000,0))&gt;=INDEX(DB_malas!$C$2:$C$5000,MATCH(H171,DB_malas!$A$2:$A$5000,0)),IF(INDEX(DB_materiali!$E$2:$E$5000,MATCH($C171,DB_materiali!$A$2:$A$5000,0))&lt;=INDEX(DB_malas!$D$2:$D$5000,MATCH(H171,DB_malas!$A$2:$A$5000,0)),IF(OR(INDEX(DB_materiali!$B$2:$B$5000,MATCH($C171,DB_materiali!$A$2:$A$5000,0))=INDEX(DB_malas!$B$2:$B$5000,MATCH(H171,DB_malas!$A$2:$A$5000,0)),$H171="ORG"),"✔",tulkojums!$A$38),tulkojums!$A$39),tulkojums!$A$39))</f>
        <v/>
      </c>
      <c r="Q171" s="2" t="str">
        <f>IF(ISBLANK(I171),"",IF(INDEX(DB_materiali!$E$2:$E$5000,MATCH($C171,DB_materiali!$A$2:$A$5000,0))&gt;=INDEX(DB_malas!$C$2:$C$5000,MATCH(I171,DB_malas!$A$2:$A$5000,0)),IF(INDEX(DB_materiali!$E$2:$E$5000,MATCH($C171,DB_materiali!$A$2:$A$5000,0))&lt;=INDEX(DB_malas!$D$2:$D$5000,MATCH(I171,DB_malas!$A$2:$A$5000,0)),IF(OR(INDEX(DB_materiali!$B$2:$B$5000,MATCH($C171,DB_materiali!$A$2:$A$5000,0))=INDEX(DB_malas!$B$2:$B$5000,MATCH(I171,DB_malas!$A$2:$A$5000,0)),$H171="ORG"),"✔",tulkojums!$A$38),tulkojums!$A$39),tulkojums!$A$39))</f>
        <v/>
      </c>
      <c r="R171" s="2" t="str">
        <f>IF(ISBLANK(J171),"",IF(INDEX(DB_materiali!$E$2:$E$5000,MATCH($C171,DB_materiali!$A$2:$A$5000,0))&gt;=INDEX(DB_malas!$C$2:$C$5000,MATCH(J171,DB_malas!$A$2:$A$5000,0)),IF(INDEX(DB_materiali!$E$2:$E$5000,MATCH($C171,DB_materiali!$A$2:$A$5000,0))&lt;=INDEX(DB_malas!$D$2:$D$5000,MATCH(J171,DB_malas!$A$2:$A$5000,0)),IF(INDEX(DB_materiali!$B$2:$B$5000,MATCH($C171,DB_materiali!$A$2:$A$5000,0))=INDEX(DB_malas!$B$2:$B$5000,MATCH(J171,DB_malas!$A$2:$A$5000,0)),"✔",tulkojums!$A$38),tulkojums!$A$39),tulkojums!$A$39))</f>
        <v/>
      </c>
      <c r="S171" s="2" t="str">
        <f>IF(ISBLANK(K171),"",IF(INDEX(DB_materiali!$E$2:$E$5000,MATCH($C171,DB_materiali!$A$2:$A$5000,0))&gt;=INDEX(DB_malas!$C$2:$C$5000,MATCH(K171,DB_malas!$A$2:$A$5000,0)),IF(INDEX(DB_materiali!$E$2:$E$5000,MATCH($C171,DB_materiali!$A$2:$A$5000,0))&lt;=INDEX(DB_malas!$D$2:$D$5000,MATCH(K171,DB_malas!$A$2:$A$5000,0)),IF(INDEX(DB_materiali!$B$2:$B$5000,MATCH($C171,DB_materiali!$A$2:$A$5000,0))=INDEX(DB_malas!$B$2:$B$5000,MATCH(K171,DB_malas!$A$2:$A$5000,0)),"✔",tulkojums!$A$38),tulkojums!$A$39),tulkojums!$A$39))</f>
        <v/>
      </c>
      <c r="T171" s="2"/>
      <c r="U171" s="2"/>
      <c r="V171" s="2"/>
      <c r="W171" s="2"/>
      <c r="X171" s="2"/>
      <c r="Y171" s="2"/>
      <c r="Z171" s="2"/>
    </row>
    <row r="172" spans="1:26" ht="15.75" customHeight="1">
      <c r="A172" s="17"/>
      <c r="B172" s="18"/>
      <c r="C172" s="19"/>
      <c r="D172" s="55"/>
      <c r="E172" s="55"/>
      <c r="F172" s="56"/>
      <c r="G172" s="57" t="str">
        <f>IF(ISBLANK(C172),"",
   IFERROR(
      IF(
         INDEX(DB_materiali!C$2:C$5000,
               MATCH(C172, DB_materiali!A$2:A$5000, 0)
         )="FALSE",
         "N",
         "Y"
      ),
   "")
)</f>
        <v/>
      </c>
      <c r="H172" s="20"/>
      <c r="I172" s="20"/>
      <c r="J172" s="20"/>
      <c r="K172" s="20"/>
      <c r="M172" s="2" t="str">
        <f>IF(ISBLANK(C172),"",IF(IFERROR(VLOOKUP(C172,DB_materiali!$A$2:$A$5000,1,FALSE),"Kļūda artikulā")=C172,"✔",tulkojums!A$42))</f>
        <v/>
      </c>
      <c r="N172" s="2" t="str">
        <f>IF(ISBLANK(C172),"",IF(ISNUMBER(F172)=TRUE,"✔",tulkojums!A$43))</f>
        <v/>
      </c>
      <c r="O172" s="2" t="str">
        <f>IF(ISBLANK(C172),"",IF(G172="Y","✔",IF(G172="X","✔",IF(G172="N","✔",tulkojums!A$44))))</f>
        <v/>
      </c>
      <c r="P172" s="2" t="str">
        <f>IF(ISBLANK(H172),"",IF(INDEX(DB_materiali!$E$2:$E$5000,MATCH($C172,DB_materiali!$A$2:$A$5000,0))&gt;=INDEX(DB_malas!$C$2:$C$5000,MATCH(H172,DB_malas!$A$2:$A$5000,0)),IF(INDEX(DB_materiali!$E$2:$E$5000,MATCH($C172,DB_materiali!$A$2:$A$5000,0))&lt;=INDEX(DB_malas!$D$2:$D$5000,MATCH(H172,DB_malas!$A$2:$A$5000,0)),IF(OR(INDEX(DB_materiali!$B$2:$B$5000,MATCH($C172,DB_materiali!$A$2:$A$5000,0))=INDEX(DB_malas!$B$2:$B$5000,MATCH(H172,DB_malas!$A$2:$A$5000,0)),$H172="ORG"),"✔",tulkojums!$A$38),tulkojums!$A$39),tulkojums!$A$39))</f>
        <v/>
      </c>
      <c r="Q172" s="2" t="str">
        <f>IF(ISBLANK(I172),"",IF(INDEX(DB_materiali!$E$2:$E$5000,MATCH($C172,DB_materiali!$A$2:$A$5000,0))&gt;=INDEX(DB_malas!$C$2:$C$5000,MATCH(I172,DB_malas!$A$2:$A$5000,0)),IF(INDEX(DB_materiali!$E$2:$E$5000,MATCH($C172,DB_materiali!$A$2:$A$5000,0))&lt;=INDEX(DB_malas!$D$2:$D$5000,MATCH(I172,DB_malas!$A$2:$A$5000,0)),IF(OR(INDEX(DB_materiali!$B$2:$B$5000,MATCH($C172,DB_materiali!$A$2:$A$5000,0))=INDEX(DB_malas!$B$2:$B$5000,MATCH(I172,DB_malas!$A$2:$A$5000,0)),$H172="ORG"),"✔",tulkojums!$A$38),tulkojums!$A$39),tulkojums!$A$39))</f>
        <v/>
      </c>
      <c r="R172" s="2" t="str">
        <f>IF(ISBLANK(J172),"",IF(INDEX(DB_materiali!$E$2:$E$5000,MATCH($C172,DB_materiali!$A$2:$A$5000,0))&gt;=INDEX(DB_malas!$C$2:$C$5000,MATCH(J172,DB_malas!$A$2:$A$5000,0)),IF(INDEX(DB_materiali!$E$2:$E$5000,MATCH($C172,DB_materiali!$A$2:$A$5000,0))&lt;=INDEX(DB_malas!$D$2:$D$5000,MATCH(J172,DB_malas!$A$2:$A$5000,0)),IF(INDEX(DB_materiali!$B$2:$B$5000,MATCH($C172,DB_materiali!$A$2:$A$5000,0))=INDEX(DB_malas!$B$2:$B$5000,MATCH(J172,DB_malas!$A$2:$A$5000,0)),"✔",tulkojums!$A$38),tulkojums!$A$39),tulkojums!$A$39))</f>
        <v/>
      </c>
      <c r="S172" s="2" t="str">
        <f>IF(ISBLANK(K172),"",IF(INDEX(DB_materiali!$E$2:$E$5000,MATCH($C172,DB_materiali!$A$2:$A$5000,0))&gt;=INDEX(DB_malas!$C$2:$C$5000,MATCH(K172,DB_malas!$A$2:$A$5000,0)),IF(INDEX(DB_materiali!$E$2:$E$5000,MATCH($C172,DB_materiali!$A$2:$A$5000,0))&lt;=INDEX(DB_malas!$D$2:$D$5000,MATCH(K172,DB_malas!$A$2:$A$5000,0)),IF(INDEX(DB_materiali!$B$2:$B$5000,MATCH($C172,DB_materiali!$A$2:$A$5000,0))=INDEX(DB_malas!$B$2:$B$5000,MATCH(K172,DB_malas!$A$2:$A$5000,0)),"✔",tulkojums!$A$38),tulkojums!$A$39),tulkojums!$A$39))</f>
        <v/>
      </c>
      <c r="T172" s="2"/>
      <c r="U172" s="2"/>
      <c r="V172" s="2"/>
      <c r="W172" s="2"/>
      <c r="X172" s="2"/>
      <c r="Y172" s="2"/>
      <c r="Z172" s="2"/>
    </row>
    <row r="173" spans="1:26" ht="15.75" customHeight="1">
      <c r="A173" s="17"/>
      <c r="B173" s="18"/>
      <c r="C173" s="19"/>
      <c r="D173" s="55"/>
      <c r="E173" s="55"/>
      <c r="F173" s="56"/>
      <c r="G173" s="57" t="str">
        <f>IF(ISBLANK(C173),"",
   IFERROR(
      IF(
         INDEX(DB_materiali!C$2:C$5000,
               MATCH(C173, DB_materiali!A$2:A$5000, 0)
         )="FALSE",
         "N",
         "Y"
      ),
   "")
)</f>
        <v/>
      </c>
      <c r="H173" s="20"/>
      <c r="I173" s="20"/>
      <c r="J173" s="20"/>
      <c r="K173" s="20"/>
      <c r="M173" s="2" t="str">
        <f>IF(ISBLANK(C173),"",IF(IFERROR(VLOOKUP(C173,DB_materiali!$A$2:$A$5000,1,FALSE),"Kļūda artikulā")=C173,"✔",tulkojums!A$42))</f>
        <v/>
      </c>
      <c r="N173" s="2" t="str">
        <f>IF(ISBLANK(C173),"",IF(ISNUMBER(F173)=TRUE,"✔",tulkojums!A$43))</f>
        <v/>
      </c>
      <c r="O173" s="2" t="str">
        <f>IF(ISBLANK(C173),"",IF(G173="Y","✔",IF(G173="X","✔",IF(G173="N","✔",tulkojums!A$44))))</f>
        <v/>
      </c>
      <c r="P173" s="2" t="str">
        <f>IF(ISBLANK(H173),"",IF(INDEX(DB_materiali!$E$2:$E$5000,MATCH($C173,DB_materiali!$A$2:$A$5000,0))&gt;=INDEX(DB_malas!$C$2:$C$5000,MATCH(H173,DB_malas!$A$2:$A$5000,0)),IF(INDEX(DB_materiali!$E$2:$E$5000,MATCH($C173,DB_materiali!$A$2:$A$5000,0))&lt;=INDEX(DB_malas!$D$2:$D$5000,MATCH(H173,DB_malas!$A$2:$A$5000,0)),IF(OR(INDEX(DB_materiali!$B$2:$B$5000,MATCH($C173,DB_materiali!$A$2:$A$5000,0))=INDEX(DB_malas!$B$2:$B$5000,MATCH(H173,DB_malas!$A$2:$A$5000,0)),$H173="ORG"),"✔",tulkojums!$A$38),tulkojums!$A$39),tulkojums!$A$39))</f>
        <v/>
      </c>
      <c r="Q173" s="2" t="str">
        <f>IF(ISBLANK(I173),"",IF(INDEX(DB_materiali!$E$2:$E$5000,MATCH($C173,DB_materiali!$A$2:$A$5000,0))&gt;=INDEX(DB_malas!$C$2:$C$5000,MATCH(I173,DB_malas!$A$2:$A$5000,0)),IF(INDEX(DB_materiali!$E$2:$E$5000,MATCH($C173,DB_materiali!$A$2:$A$5000,0))&lt;=INDEX(DB_malas!$D$2:$D$5000,MATCH(I173,DB_malas!$A$2:$A$5000,0)),IF(OR(INDEX(DB_materiali!$B$2:$B$5000,MATCH($C173,DB_materiali!$A$2:$A$5000,0))=INDEX(DB_malas!$B$2:$B$5000,MATCH(I173,DB_malas!$A$2:$A$5000,0)),$H173="ORG"),"✔",tulkojums!$A$38),tulkojums!$A$39),tulkojums!$A$39))</f>
        <v/>
      </c>
      <c r="R173" s="2" t="str">
        <f>IF(ISBLANK(J173),"",IF(INDEX(DB_materiali!$E$2:$E$5000,MATCH($C173,DB_materiali!$A$2:$A$5000,0))&gt;=INDEX(DB_malas!$C$2:$C$5000,MATCH(J173,DB_malas!$A$2:$A$5000,0)),IF(INDEX(DB_materiali!$E$2:$E$5000,MATCH($C173,DB_materiali!$A$2:$A$5000,0))&lt;=INDEX(DB_malas!$D$2:$D$5000,MATCH(J173,DB_malas!$A$2:$A$5000,0)),IF(INDEX(DB_materiali!$B$2:$B$5000,MATCH($C173,DB_materiali!$A$2:$A$5000,0))=INDEX(DB_malas!$B$2:$B$5000,MATCH(J173,DB_malas!$A$2:$A$5000,0)),"✔",tulkojums!$A$38),tulkojums!$A$39),tulkojums!$A$39))</f>
        <v/>
      </c>
      <c r="S173" s="2" t="str">
        <f>IF(ISBLANK(K173),"",IF(INDEX(DB_materiali!$E$2:$E$5000,MATCH($C173,DB_materiali!$A$2:$A$5000,0))&gt;=INDEX(DB_malas!$C$2:$C$5000,MATCH(K173,DB_malas!$A$2:$A$5000,0)),IF(INDEX(DB_materiali!$E$2:$E$5000,MATCH($C173,DB_materiali!$A$2:$A$5000,0))&lt;=INDEX(DB_malas!$D$2:$D$5000,MATCH(K173,DB_malas!$A$2:$A$5000,0)),IF(INDEX(DB_materiali!$B$2:$B$5000,MATCH($C173,DB_materiali!$A$2:$A$5000,0))=INDEX(DB_malas!$B$2:$B$5000,MATCH(K173,DB_malas!$A$2:$A$5000,0)),"✔",tulkojums!$A$38),tulkojums!$A$39),tulkojums!$A$39))</f>
        <v/>
      </c>
      <c r="T173" s="2"/>
      <c r="U173" s="2"/>
      <c r="V173" s="2"/>
      <c r="W173" s="2"/>
      <c r="X173" s="2"/>
      <c r="Y173" s="2"/>
      <c r="Z173" s="2"/>
    </row>
    <row r="174" spans="1:26" ht="15.75" customHeight="1">
      <c r="A174" s="17"/>
      <c r="B174" s="18"/>
      <c r="C174" s="19"/>
      <c r="D174" s="55"/>
      <c r="E174" s="55"/>
      <c r="F174" s="56"/>
      <c r="G174" s="57" t="str">
        <f>IF(ISBLANK(C174),"",
   IFERROR(
      IF(
         INDEX(DB_materiali!C$2:C$5000,
               MATCH(C174, DB_materiali!A$2:A$5000, 0)
         )="FALSE",
         "N",
         "Y"
      ),
   "")
)</f>
        <v/>
      </c>
      <c r="H174" s="20"/>
      <c r="I174" s="20"/>
      <c r="J174" s="20"/>
      <c r="K174" s="20"/>
      <c r="M174" s="2" t="str">
        <f>IF(ISBLANK(C174),"",IF(IFERROR(VLOOKUP(C174,DB_materiali!$A$2:$A$5000,1,FALSE),"Kļūda artikulā")=C174,"✔",tulkojums!A$42))</f>
        <v/>
      </c>
      <c r="N174" s="2" t="str">
        <f>IF(ISBLANK(C174),"",IF(ISNUMBER(F174)=TRUE,"✔",tulkojums!A$43))</f>
        <v/>
      </c>
      <c r="O174" s="2" t="str">
        <f>IF(ISBLANK(C174),"",IF(G174="Y","✔",IF(G174="X","✔",IF(G174="N","✔",tulkojums!A$44))))</f>
        <v/>
      </c>
      <c r="P174" s="2" t="str">
        <f>IF(ISBLANK(H174),"",IF(INDEX(DB_materiali!$E$2:$E$5000,MATCH($C174,DB_materiali!$A$2:$A$5000,0))&gt;=INDEX(DB_malas!$C$2:$C$5000,MATCH(H174,DB_malas!$A$2:$A$5000,0)),IF(INDEX(DB_materiali!$E$2:$E$5000,MATCH($C174,DB_materiali!$A$2:$A$5000,0))&lt;=INDEX(DB_malas!$D$2:$D$5000,MATCH(H174,DB_malas!$A$2:$A$5000,0)),IF(OR(INDEX(DB_materiali!$B$2:$B$5000,MATCH($C174,DB_materiali!$A$2:$A$5000,0))=INDEX(DB_malas!$B$2:$B$5000,MATCH(H174,DB_malas!$A$2:$A$5000,0)),$H174="ORG"),"✔",tulkojums!$A$38),tulkojums!$A$39),tulkojums!$A$39))</f>
        <v/>
      </c>
      <c r="Q174" s="2" t="str">
        <f>IF(ISBLANK(I174),"",IF(INDEX(DB_materiali!$E$2:$E$5000,MATCH($C174,DB_materiali!$A$2:$A$5000,0))&gt;=INDEX(DB_malas!$C$2:$C$5000,MATCH(I174,DB_malas!$A$2:$A$5000,0)),IF(INDEX(DB_materiali!$E$2:$E$5000,MATCH($C174,DB_materiali!$A$2:$A$5000,0))&lt;=INDEX(DB_malas!$D$2:$D$5000,MATCH(I174,DB_malas!$A$2:$A$5000,0)),IF(OR(INDEX(DB_materiali!$B$2:$B$5000,MATCH($C174,DB_materiali!$A$2:$A$5000,0))=INDEX(DB_malas!$B$2:$B$5000,MATCH(I174,DB_malas!$A$2:$A$5000,0)),$H174="ORG"),"✔",tulkojums!$A$38),tulkojums!$A$39),tulkojums!$A$39))</f>
        <v/>
      </c>
      <c r="R174" s="2" t="str">
        <f>IF(ISBLANK(J174),"",IF(INDEX(DB_materiali!$E$2:$E$5000,MATCH($C174,DB_materiali!$A$2:$A$5000,0))&gt;=INDEX(DB_malas!$C$2:$C$5000,MATCH(J174,DB_malas!$A$2:$A$5000,0)),IF(INDEX(DB_materiali!$E$2:$E$5000,MATCH($C174,DB_materiali!$A$2:$A$5000,0))&lt;=INDEX(DB_malas!$D$2:$D$5000,MATCH(J174,DB_malas!$A$2:$A$5000,0)),IF(INDEX(DB_materiali!$B$2:$B$5000,MATCH($C174,DB_materiali!$A$2:$A$5000,0))=INDEX(DB_malas!$B$2:$B$5000,MATCH(J174,DB_malas!$A$2:$A$5000,0)),"✔",tulkojums!$A$38),tulkojums!$A$39),tulkojums!$A$39))</f>
        <v/>
      </c>
      <c r="S174" s="2" t="str">
        <f>IF(ISBLANK(K174),"",IF(INDEX(DB_materiali!$E$2:$E$5000,MATCH($C174,DB_materiali!$A$2:$A$5000,0))&gt;=INDEX(DB_malas!$C$2:$C$5000,MATCH(K174,DB_malas!$A$2:$A$5000,0)),IF(INDEX(DB_materiali!$E$2:$E$5000,MATCH($C174,DB_materiali!$A$2:$A$5000,0))&lt;=INDEX(DB_malas!$D$2:$D$5000,MATCH(K174,DB_malas!$A$2:$A$5000,0)),IF(INDEX(DB_materiali!$B$2:$B$5000,MATCH($C174,DB_materiali!$A$2:$A$5000,0))=INDEX(DB_malas!$B$2:$B$5000,MATCH(K174,DB_malas!$A$2:$A$5000,0)),"✔",tulkojums!$A$38),tulkojums!$A$39),tulkojums!$A$39))</f>
        <v/>
      </c>
      <c r="T174" s="2"/>
      <c r="U174" s="2"/>
      <c r="V174" s="2"/>
      <c r="W174" s="2"/>
      <c r="X174" s="2"/>
      <c r="Y174" s="2"/>
      <c r="Z174" s="2"/>
    </row>
    <row r="175" spans="1:26" ht="15.75" customHeight="1">
      <c r="A175" s="17"/>
      <c r="B175" s="18"/>
      <c r="C175" s="19"/>
      <c r="D175" s="55"/>
      <c r="E175" s="55"/>
      <c r="F175" s="56"/>
      <c r="G175" s="57" t="str">
        <f>IF(ISBLANK(C175),"",
   IFERROR(
      IF(
         INDEX(DB_materiali!C$2:C$5000,
               MATCH(C175, DB_materiali!A$2:A$5000, 0)
         )="FALSE",
         "N",
         "Y"
      ),
   "")
)</f>
        <v/>
      </c>
      <c r="H175" s="20"/>
      <c r="I175" s="20"/>
      <c r="J175" s="20"/>
      <c r="K175" s="20"/>
      <c r="M175" s="2" t="str">
        <f>IF(ISBLANK(C175),"",IF(IFERROR(VLOOKUP(C175,DB_materiali!$A$2:$A$5000,1,FALSE),"Kļūda artikulā")=C175,"✔",tulkojums!A$42))</f>
        <v/>
      </c>
      <c r="N175" s="2" t="str">
        <f>IF(ISBLANK(C175),"",IF(ISNUMBER(F175)=TRUE,"✔",tulkojums!A$43))</f>
        <v/>
      </c>
      <c r="O175" s="2" t="str">
        <f>IF(ISBLANK(C175),"",IF(G175="Y","✔",IF(G175="X","✔",IF(G175="N","✔",tulkojums!A$44))))</f>
        <v/>
      </c>
      <c r="P175" s="2" t="str">
        <f>IF(ISBLANK(H175),"",IF(INDEX(DB_materiali!$E$2:$E$5000,MATCH($C175,DB_materiali!$A$2:$A$5000,0))&gt;=INDEX(DB_malas!$C$2:$C$5000,MATCH(H175,DB_malas!$A$2:$A$5000,0)),IF(INDEX(DB_materiali!$E$2:$E$5000,MATCH($C175,DB_materiali!$A$2:$A$5000,0))&lt;=INDEX(DB_malas!$D$2:$D$5000,MATCH(H175,DB_malas!$A$2:$A$5000,0)),IF(OR(INDEX(DB_materiali!$B$2:$B$5000,MATCH($C175,DB_materiali!$A$2:$A$5000,0))=INDEX(DB_malas!$B$2:$B$5000,MATCH(H175,DB_malas!$A$2:$A$5000,0)),$H175="ORG"),"✔",tulkojums!$A$38),tulkojums!$A$39),tulkojums!$A$39))</f>
        <v/>
      </c>
      <c r="Q175" s="2" t="str">
        <f>IF(ISBLANK(I175),"",IF(INDEX(DB_materiali!$E$2:$E$5000,MATCH($C175,DB_materiali!$A$2:$A$5000,0))&gt;=INDEX(DB_malas!$C$2:$C$5000,MATCH(I175,DB_malas!$A$2:$A$5000,0)),IF(INDEX(DB_materiali!$E$2:$E$5000,MATCH($C175,DB_materiali!$A$2:$A$5000,0))&lt;=INDEX(DB_malas!$D$2:$D$5000,MATCH(I175,DB_malas!$A$2:$A$5000,0)),IF(OR(INDEX(DB_materiali!$B$2:$B$5000,MATCH($C175,DB_materiali!$A$2:$A$5000,0))=INDEX(DB_malas!$B$2:$B$5000,MATCH(I175,DB_malas!$A$2:$A$5000,0)),$H175="ORG"),"✔",tulkojums!$A$38),tulkojums!$A$39),tulkojums!$A$39))</f>
        <v/>
      </c>
      <c r="R175" s="2" t="str">
        <f>IF(ISBLANK(J175),"",IF(INDEX(DB_materiali!$E$2:$E$5000,MATCH($C175,DB_materiali!$A$2:$A$5000,0))&gt;=INDEX(DB_malas!$C$2:$C$5000,MATCH(J175,DB_malas!$A$2:$A$5000,0)),IF(INDEX(DB_materiali!$E$2:$E$5000,MATCH($C175,DB_materiali!$A$2:$A$5000,0))&lt;=INDEX(DB_malas!$D$2:$D$5000,MATCH(J175,DB_malas!$A$2:$A$5000,0)),IF(INDEX(DB_materiali!$B$2:$B$5000,MATCH($C175,DB_materiali!$A$2:$A$5000,0))=INDEX(DB_malas!$B$2:$B$5000,MATCH(J175,DB_malas!$A$2:$A$5000,0)),"✔",tulkojums!$A$38),tulkojums!$A$39),tulkojums!$A$39))</f>
        <v/>
      </c>
      <c r="S175" s="2" t="str">
        <f>IF(ISBLANK(K175),"",IF(INDEX(DB_materiali!$E$2:$E$5000,MATCH($C175,DB_materiali!$A$2:$A$5000,0))&gt;=INDEX(DB_malas!$C$2:$C$5000,MATCH(K175,DB_malas!$A$2:$A$5000,0)),IF(INDEX(DB_materiali!$E$2:$E$5000,MATCH($C175,DB_materiali!$A$2:$A$5000,0))&lt;=INDEX(DB_malas!$D$2:$D$5000,MATCH(K175,DB_malas!$A$2:$A$5000,0)),IF(INDEX(DB_materiali!$B$2:$B$5000,MATCH($C175,DB_materiali!$A$2:$A$5000,0))=INDEX(DB_malas!$B$2:$B$5000,MATCH(K175,DB_malas!$A$2:$A$5000,0)),"✔",tulkojums!$A$38),tulkojums!$A$39),tulkojums!$A$39))</f>
        <v/>
      </c>
      <c r="T175" s="2"/>
      <c r="U175" s="2"/>
      <c r="V175" s="2"/>
      <c r="W175" s="2"/>
      <c r="X175" s="2"/>
      <c r="Y175" s="2"/>
      <c r="Z175" s="2"/>
    </row>
    <row r="176" spans="1:26" ht="15.75" customHeight="1">
      <c r="A176" s="17"/>
      <c r="B176" s="18"/>
      <c r="C176" s="19"/>
      <c r="D176" s="55"/>
      <c r="E176" s="55"/>
      <c r="F176" s="56"/>
      <c r="G176" s="57" t="str">
        <f>IF(ISBLANK(C176),"",
   IFERROR(
      IF(
         INDEX(DB_materiali!C$2:C$5000,
               MATCH(C176, DB_materiali!A$2:A$5000, 0)
         )="FALSE",
         "N",
         "Y"
      ),
   "")
)</f>
        <v/>
      </c>
      <c r="H176" s="20"/>
      <c r="I176" s="20"/>
      <c r="J176" s="20"/>
      <c r="K176" s="20"/>
      <c r="M176" s="2" t="str">
        <f>IF(ISBLANK(C176),"",IF(IFERROR(VLOOKUP(C176,DB_materiali!$A$2:$A$5000,1,FALSE),"Kļūda artikulā")=C176,"✔",tulkojums!A$42))</f>
        <v/>
      </c>
      <c r="N176" s="2" t="str">
        <f>IF(ISBLANK(C176),"",IF(ISNUMBER(F176)=TRUE,"✔",tulkojums!A$43))</f>
        <v/>
      </c>
      <c r="O176" s="2" t="str">
        <f>IF(ISBLANK(C176),"",IF(G176="Y","✔",IF(G176="X","✔",IF(G176="N","✔",tulkojums!A$44))))</f>
        <v/>
      </c>
      <c r="P176" s="2" t="str">
        <f>IF(ISBLANK(H176),"",IF(INDEX(DB_materiali!$E$2:$E$5000,MATCH($C176,DB_materiali!$A$2:$A$5000,0))&gt;=INDEX(DB_malas!$C$2:$C$5000,MATCH(H176,DB_malas!$A$2:$A$5000,0)),IF(INDEX(DB_materiali!$E$2:$E$5000,MATCH($C176,DB_materiali!$A$2:$A$5000,0))&lt;=INDEX(DB_malas!$D$2:$D$5000,MATCH(H176,DB_malas!$A$2:$A$5000,0)),IF(OR(INDEX(DB_materiali!$B$2:$B$5000,MATCH($C176,DB_materiali!$A$2:$A$5000,0))=INDEX(DB_malas!$B$2:$B$5000,MATCH(H176,DB_malas!$A$2:$A$5000,0)),$H176="ORG"),"✔",tulkojums!$A$38),tulkojums!$A$39),tulkojums!$A$39))</f>
        <v/>
      </c>
      <c r="Q176" s="2" t="str">
        <f>IF(ISBLANK(I176),"",IF(INDEX(DB_materiali!$E$2:$E$5000,MATCH($C176,DB_materiali!$A$2:$A$5000,0))&gt;=INDEX(DB_malas!$C$2:$C$5000,MATCH(I176,DB_malas!$A$2:$A$5000,0)),IF(INDEX(DB_materiali!$E$2:$E$5000,MATCH($C176,DB_materiali!$A$2:$A$5000,0))&lt;=INDEX(DB_malas!$D$2:$D$5000,MATCH(I176,DB_malas!$A$2:$A$5000,0)),IF(OR(INDEX(DB_materiali!$B$2:$B$5000,MATCH($C176,DB_materiali!$A$2:$A$5000,0))=INDEX(DB_malas!$B$2:$B$5000,MATCH(I176,DB_malas!$A$2:$A$5000,0)),$H176="ORG"),"✔",tulkojums!$A$38),tulkojums!$A$39),tulkojums!$A$39))</f>
        <v/>
      </c>
      <c r="R176" s="2" t="str">
        <f>IF(ISBLANK(J176),"",IF(INDEX(DB_materiali!$E$2:$E$5000,MATCH($C176,DB_materiali!$A$2:$A$5000,0))&gt;=INDEX(DB_malas!$C$2:$C$5000,MATCH(J176,DB_malas!$A$2:$A$5000,0)),IF(INDEX(DB_materiali!$E$2:$E$5000,MATCH($C176,DB_materiali!$A$2:$A$5000,0))&lt;=INDEX(DB_malas!$D$2:$D$5000,MATCH(J176,DB_malas!$A$2:$A$5000,0)),IF(INDEX(DB_materiali!$B$2:$B$5000,MATCH($C176,DB_materiali!$A$2:$A$5000,0))=INDEX(DB_malas!$B$2:$B$5000,MATCH(J176,DB_malas!$A$2:$A$5000,0)),"✔",tulkojums!$A$38),tulkojums!$A$39),tulkojums!$A$39))</f>
        <v/>
      </c>
      <c r="S176" s="2" t="str">
        <f>IF(ISBLANK(K176),"",IF(INDEX(DB_materiali!$E$2:$E$5000,MATCH($C176,DB_materiali!$A$2:$A$5000,0))&gt;=INDEX(DB_malas!$C$2:$C$5000,MATCH(K176,DB_malas!$A$2:$A$5000,0)),IF(INDEX(DB_materiali!$E$2:$E$5000,MATCH($C176,DB_materiali!$A$2:$A$5000,0))&lt;=INDEX(DB_malas!$D$2:$D$5000,MATCH(K176,DB_malas!$A$2:$A$5000,0)),IF(INDEX(DB_materiali!$B$2:$B$5000,MATCH($C176,DB_materiali!$A$2:$A$5000,0))=INDEX(DB_malas!$B$2:$B$5000,MATCH(K176,DB_malas!$A$2:$A$5000,0)),"✔",tulkojums!$A$38),tulkojums!$A$39),tulkojums!$A$39))</f>
        <v/>
      </c>
      <c r="T176" s="2"/>
      <c r="U176" s="2"/>
      <c r="V176" s="2"/>
      <c r="W176" s="2"/>
      <c r="X176" s="2"/>
      <c r="Y176" s="2"/>
      <c r="Z176" s="2"/>
    </row>
    <row r="177" spans="1:26" ht="15.75" customHeight="1">
      <c r="A177" s="17"/>
      <c r="B177" s="18"/>
      <c r="C177" s="19"/>
      <c r="D177" s="55"/>
      <c r="E177" s="55"/>
      <c r="F177" s="56"/>
      <c r="G177" s="57" t="str">
        <f>IF(ISBLANK(C177),"",
   IFERROR(
      IF(
         INDEX(DB_materiali!C$2:C$5000,
               MATCH(C177, DB_materiali!A$2:A$5000, 0)
         )="FALSE",
         "N",
         "Y"
      ),
   "")
)</f>
        <v/>
      </c>
      <c r="H177" s="20"/>
      <c r="I177" s="20"/>
      <c r="J177" s="20"/>
      <c r="K177" s="20"/>
      <c r="M177" s="2" t="str">
        <f>IF(ISBLANK(C177),"",IF(IFERROR(VLOOKUP(C177,DB_materiali!$A$2:$A$5000,1,FALSE),"Kļūda artikulā")=C177,"✔",tulkojums!A$42))</f>
        <v/>
      </c>
      <c r="N177" s="2" t="str">
        <f>IF(ISBLANK(C177),"",IF(ISNUMBER(F177)=TRUE,"✔",tulkojums!A$43))</f>
        <v/>
      </c>
      <c r="O177" s="2" t="str">
        <f>IF(ISBLANK(C177),"",IF(G177="Y","✔",IF(G177="X","✔",IF(G177="N","✔",tulkojums!A$44))))</f>
        <v/>
      </c>
      <c r="P177" s="2" t="str">
        <f>IF(ISBLANK(H177),"",IF(INDEX(DB_materiali!$E$2:$E$5000,MATCH($C177,DB_materiali!$A$2:$A$5000,0))&gt;=INDEX(DB_malas!$C$2:$C$5000,MATCH(H177,DB_malas!$A$2:$A$5000,0)),IF(INDEX(DB_materiali!$E$2:$E$5000,MATCH($C177,DB_materiali!$A$2:$A$5000,0))&lt;=INDEX(DB_malas!$D$2:$D$5000,MATCH(H177,DB_malas!$A$2:$A$5000,0)),IF(OR(INDEX(DB_materiali!$B$2:$B$5000,MATCH($C177,DB_materiali!$A$2:$A$5000,0))=INDEX(DB_malas!$B$2:$B$5000,MATCH(H177,DB_malas!$A$2:$A$5000,0)),$H177="ORG"),"✔",tulkojums!$A$38),tulkojums!$A$39),tulkojums!$A$39))</f>
        <v/>
      </c>
      <c r="Q177" s="2" t="str">
        <f>IF(ISBLANK(I177),"",IF(INDEX(DB_materiali!$E$2:$E$5000,MATCH($C177,DB_materiali!$A$2:$A$5000,0))&gt;=INDEX(DB_malas!$C$2:$C$5000,MATCH(I177,DB_malas!$A$2:$A$5000,0)),IF(INDEX(DB_materiali!$E$2:$E$5000,MATCH($C177,DB_materiali!$A$2:$A$5000,0))&lt;=INDEX(DB_malas!$D$2:$D$5000,MATCH(I177,DB_malas!$A$2:$A$5000,0)),IF(OR(INDEX(DB_materiali!$B$2:$B$5000,MATCH($C177,DB_materiali!$A$2:$A$5000,0))=INDEX(DB_malas!$B$2:$B$5000,MATCH(I177,DB_malas!$A$2:$A$5000,0)),$H177="ORG"),"✔",tulkojums!$A$38),tulkojums!$A$39),tulkojums!$A$39))</f>
        <v/>
      </c>
      <c r="R177" s="2" t="str">
        <f>IF(ISBLANK(J177),"",IF(INDEX(DB_materiali!$E$2:$E$5000,MATCH($C177,DB_materiali!$A$2:$A$5000,0))&gt;=INDEX(DB_malas!$C$2:$C$5000,MATCH(J177,DB_malas!$A$2:$A$5000,0)),IF(INDEX(DB_materiali!$E$2:$E$5000,MATCH($C177,DB_materiali!$A$2:$A$5000,0))&lt;=INDEX(DB_malas!$D$2:$D$5000,MATCH(J177,DB_malas!$A$2:$A$5000,0)),IF(INDEX(DB_materiali!$B$2:$B$5000,MATCH($C177,DB_materiali!$A$2:$A$5000,0))=INDEX(DB_malas!$B$2:$B$5000,MATCH(J177,DB_malas!$A$2:$A$5000,0)),"✔",tulkojums!$A$38),tulkojums!$A$39),tulkojums!$A$39))</f>
        <v/>
      </c>
      <c r="S177" s="2" t="str">
        <f>IF(ISBLANK(K177),"",IF(INDEX(DB_materiali!$E$2:$E$5000,MATCH($C177,DB_materiali!$A$2:$A$5000,0))&gt;=INDEX(DB_malas!$C$2:$C$5000,MATCH(K177,DB_malas!$A$2:$A$5000,0)),IF(INDEX(DB_materiali!$E$2:$E$5000,MATCH($C177,DB_materiali!$A$2:$A$5000,0))&lt;=INDEX(DB_malas!$D$2:$D$5000,MATCH(K177,DB_malas!$A$2:$A$5000,0)),IF(INDEX(DB_materiali!$B$2:$B$5000,MATCH($C177,DB_materiali!$A$2:$A$5000,0))=INDEX(DB_malas!$B$2:$B$5000,MATCH(K177,DB_malas!$A$2:$A$5000,0)),"✔",tulkojums!$A$38),tulkojums!$A$39),tulkojums!$A$39))</f>
        <v/>
      </c>
      <c r="T177" s="2"/>
      <c r="U177" s="2"/>
      <c r="V177" s="2"/>
      <c r="W177" s="2"/>
      <c r="X177" s="2"/>
      <c r="Y177" s="2"/>
      <c r="Z177" s="2"/>
    </row>
    <row r="178" spans="1:26" ht="15.75" customHeight="1">
      <c r="A178" s="17"/>
      <c r="B178" s="18"/>
      <c r="C178" s="19"/>
      <c r="D178" s="55"/>
      <c r="E178" s="55"/>
      <c r="F178" s="56"/>
      <c r="G178" s="57" t="str">
        <f>IF(ISBLANK(C178),"",
   IFERROR(
      IF(
         INDEX(DB_materiali!C$2:C$5000,
               MATCH(C178, DB_materiali!A$2:A$5000, 0)
         )="FALSE",
         "N",
         "Y"
      ),
   "")
)</f>
        <v/>
      </c>
      <c r="H178" s="20"/>
      <c r="I178" s="20"/>
      <c r="J178" s="20"/>
      <c r="K178" s="20"/>
      <c r="M178" s="2" t="str">
        <f>IF(ISBLANK(C178),"",IF(IFERROR(VLOOKUP(C178,DB_materiali!$A$2:$A$5000,1,FALSE),"Kļūda artikulā")=C178,"✔",tulkojums!A$42))</f>
        <v/>
      </c>
      <c r="N178" s="2" t="str">
        <f>IF(ISBLANK(C178),"",IF(ISNUMBER(F178)=TRUE,"✔",tulkojums!A$43))</f>
        <v/>
      </c>
      <c r="O178" s="2" t="str">
        <f>IF(ISBLANK(C178),"",IF(G178="Y","✔",IF(G178="X","✔",IF(G178="N","✔",tulkojums!A$44))))</f>
        <v/>
      </c>
      <c r="P178" s="2" t="str">
        <f>IF(ISBLANK(H178),"",IF(INDEX(DB_materiali!$E$2:$E$5000,MATCH($C178,DB_materiali!$A$2:$A$5000,0))&gt;=INDEX(DB_malas!$C$2:$C$5000,MATCH(H178,DB_malas!$A$2:$A$5000,0)),IF(INDEX(DB_materiali!$E$2:$E$5000,MATCH($C178,DB_materiali!$A$2:$A$5000,0))&lt;=INDEX(DB_malas!$D$2:$D$5000,MATCH(H178,DB_malas!$A$2:$A$5000,0)),IF(OR(INDEX(DB_materiali!$B$2:$B$5000,MATCH($C178,DB_materiali!$A$2:$A$5000,0))=INDEX(DB_malas!$B$2:$B$5000,MATCH(H178,DB_malas!$A$2:$A$5000,0)),$H178="ORG"),"✔",tulkojums!$A$38),tulkojums!$A$39),tulkojums!$A$39))</f>
        <v/>
      </c>
      <c r="Q178" s="2" t="str">
        <f>IF(ISBLANK(I178),"",IF(INDEX(DB_materiali!$E$2:$E$5000,MATCH($C178,DB_materiali!$A$2:$A$5000,0))&gt;=INDEX(DB_malas!$C$2:$C$5000,MATCH(I178,DB_malas!$A$2:$A$5000,0)),IF(INDEX(DB_materiali!$E$2:$E$5000,MATCH($C178,DB_materiali!$A$2:$A$5000,0))&lt;=INDEX(DB_malas!$D$2:$D$5000,MATCH(I178,DB_malas!$A$2:$A$5000,0)),IF(OR(INDEX(DB_materiali!$B$2:$B$5000,MATCH($C178,DB_materiali!$A$2:$A$5000,0))=INDEX(DB_malas!$B$2:$B$5000,MATCH(I178,DB_malas!$A$2:$A$5000,0)),$H178="ORG"),"✔",tulkojums!$A$38),tulkojums!$A$39),tulkojums!$A$39))</f>
        <v/>
      </c>
      <c r="R178" s="2" t="str">
        <f>IF(ISBLANK(J178),"",IF(INDEX(DB_materiali!$E$2:$E$5000,MATCH($C178,DB_materiali!$A$2:$A$5000,0))&gt;=INDEX(DB_malas!$C$2:$C$5000,MATCH(J178,DB_malas!$A$2:$A$5000,0)),IF(INDEX(DB_materiali!$E$2:$E$5000,MATCH($C178,DB_materiali!$A$2:$A$5000,0))&lt;=INDEX(DB_malas!$D$2:$D$5000,MATCH(J178,DB_malas!$A$2:$A$5000,0)),IF(INDEX(DB_materiali!$B$2:$B$5000,MATCH($C178,DB_materiali!$A$2:$A$5000,0))=INDEX(DB_malas!$B$2:$B$5000,MATCH(J178,DB_malas!$A$2:$A$5000,0)),"✔",tulkojums!$A$38),tulkojums!$A$39),tulkojums!$A$39))</f>
        <v/>
      </c>
      <c r="S178" s="2" t="str">
        <f>IF(ISBLANK(K178),"",IF(INDEX(DB_materiali!$E$2:$E$5000,MATCH($C178,DB_materiali!$A$2:$A$5000,0))&gt;=INDEX(DB_malas!$C$2:$C$5000,MATCH(K178,DB_malas!$A$2:$A$5000,0)),IF(INDEX(DB_materiali!$E$2:$E$5000,MATCH($C178,DB_materiali!$A$2:$A$5000,0))&lt;=INDEX(DB_malas!$D$2:$D$5000,MATCH(K178,DB_malas!$A$2:$A$5000,0)),IF(INDEX(DB_materiali!$B$2:$B$5000,MATCH($C178,DB_materiali!$A$2:$A$5000,0))=INDEX(DB_malas!$B$2:$B$5000,MATCH(K178,DB_malas!$A$2:$A$5000,0)),"✔",tulkojums!$A$38),tulkojums!$A$39),tulkojums!$A$39))</f>
        <v/>
      </c>
      <c r="T178" s="2"/>
      <c r="U178" s="2"/>
      <c r="V178" s="2"/>
      <c r="W178" s="2"/>
      <c r="X178" s="2"/>
      <c r="Y178" s="2"/>
      <c r="Z178" s="2"/>
    </row>
    <row r="179" spans="1:26" ht="15.75" customHeight="1">
      <c r="A179" s="17"/>
      <c r="B179" s="18"/>
      <c r="C179" s="19"/>
      <c r="D179" s="55"/>
      <c r="E179" s="55"/>
      <c r="F179" s="56"/>
      <c r="G179" s="57" t="str">
        <f>IF(ISBLANK(C179),"",
   IFERROR(
      IF(
         INDEX(DB_materiali!C$2:C$5000,
               MATCH(C179, DB_materiali!A$2:A$5000, 0)
         )="FALSE",
         "N",
         "Y"
      ),
   "")
)</f>
        <v/>
      </c>
      <c r="H179" s="20"/>
      <c r="I179" s="20"/>
      <c r="J179" s="20"/>
      <c r="K179" s="20"/>
      <c r="M179" s="2" t="str">
        <f>IF(ISBLANK(C179),"",IF(IFERROR(VLOOKUP(C179,DB_materiali!$A$2:$A$5000,1,FALSE),"Kļūda artikulā")=C179,"✔",tulkojums!A$42))</f>
        <v/>
      </c>
      <c r="N179" s="2" t="str">
        <f>IF(ISBLANK(C179),"",IF(ISNUMBER(F179)=TRUE,"✔",tulkojums!A$43))</f>
        <v/>
      </c>
      <c r="O179" s="2" t="str">
        <f>IF(ISBLANK(C179),"",IF(G179="Y","✔",IF(G179="X","✔",IF(G179="N","✔",tulkojums!A$44))))</f>
        <v/>
      </c>
      <c r="P179" s="2" t="str">
        <f>IF(ISBLANK(H179),"",IF(INDEX(DB_materiali!$E$2:$E$5000,MATCH($C179,DB_materiali!$A$2:$A$5000,0))&gt;=INDEX(DB_malas!$C$2:$C$5000,MATCH(H179,DB_malas!$A$2:$A$5000,0)),IF(INDEX(DB_materiali!$E$2:$E$5000,MATCH($C179,DB_materiali!$A$2:$A$5000,0))&lt;=INDEX(DB_malas!$D$2:$D$5000,MATCH(H179,DB_malas!$A$2:$A$5000,0)),IF(OR(INDEX(DB_materiali!$B$2:$B$5000,MATCH($C179,DB_materiali!$A$2:$A$5000,0))=INDEX(DB_malas!$B$2:$B$5000,MATCH(H179,DB_malas!$A$2:$A$5000,0)),$H179="ORG"),"✔",tulkojums!$A$38),tulkojums!$A$39),tulkojums!$A$39))</f>
        <v/>
      </c>
      <c r="Q179" s="2" t="str">
        <f>IF(ISBLANK(I179),"",IF(INDEX(DB_materiali!$E$2:$E$5000,MATCH($C179,DB_materiali!$A$2:$A$5000,0))&gt;=INDEX(DB_malas!$C$2:$C$5000,MATCH(I179,DB_malas!$A$2:$A$5000,0)),IF(INDEX(DB_materiali!$E$2:$E$5000,MATCH($C179,DB_materiali!$A$2:$A$5000,0))&lt;=INDEX(DB_malas!$D$2:$D$5000,MATCH(I179,DB_malas!$A$2:$A$5000,0)),IF(OR(INDEX(DB_materiali!$B$2:$B$5000,MATCH($C179,DB_materiali!$A$2:$A$5000,0))=INDEX(DB_malas!$B$2:$B$5000,MATCH(I179,DB_malas!$A$2:$A$5000,0)),$H179="ORG"),"✔",tulkojums!$A$38),tulkojums!$A$39),tulkojums!$A$39))</f>
        <v/>
      </c>
      <c r="R179" s="2" t="str">
        <f>IF(ISBLANK(J179),"",IF(INDEX(DB_materiali!$E$2:$E$5000,MATCH($C179,DB_materiali!$A$2:$A$5000,0))&gt;=INDEX(DB_malas!$C$2:$C$5000,MATCH(J179,DB_malas!$A$2:$A$5000,0)),IF(INDEX(DB_materiali!$E$2:$E$5000,MATCH($C179,DB_materiali!$A$2:$A$5000,0))&lt;=INDEX(DB_malas!$D$2:$D$5000,MATCH(J179,DB_malas!$A$2:$A$5000,0)),IF(INDEX(DB_materiali!$B$2:$B$5000,MATCH($C179,DB_materiali!$A$2:$A$5000,0))=INDEX(DB_malas!$B$2:$B$5000,MATCH(J179,DB_malas!$A$2:$A$5000,0)),"✔",tulkojums!$A$38),tulkojums!$A$39),tulkojums!$A$39))</f>
        <v/>
      </c>
      <c r="S179" s="2" t="str">
        <f>IF(ISBLANK(K179),"",IF(INDEX(DB_materiali!$E$2:$E$5000,MATCH($C179,DB_materiali!$A$2:$A$5000,0))&gt;=INDEX(DB_malas!$C$2:$C$5000,MATCH(K179,DB_malas!$A$2:$A$5000,0)),IF(INDEX(DB_materiali!$E$2:$E$5000,MATCH($C179,DB_materiali!$A$2:$A$5000,0))&lt;=INDEX(DB_malas!$D$2:$D$5000,MATCH(K179,DB_malas!$A$2:$A$5000,0)),IF(INDEX(DB_materiali!$B$2:$B$5000,MATCH($C179,DB_materiali!$A$2:$A$5000,0))=INDEX(DB_malas!$B$2:$B$5000,MATCH(K179,DB_malas!$A$2:$A$5000,0)),"✔",tulkojums!$A$38),tulkojums!$A$39),tulkojums!$A$39))</f>
        <v/>
      </c>
      <c r="T179" s="2"/>
      <c r="U179" s="2"/>
      <c r="V179" s="2"/>
      <c r="W179" s="2"/>
      <c r="X179" s="2"/>
      <c r="Y179" s="2"/>
      <c r="Z179" s="2"/>
    </row>
    <row r="180" spans="1:26" ht="15.75" customHeight="1">
      <c r="A180" s="17"/>
      <c r="B180" s="18"/>
      <c r="C180" s="19"/>
      <c r="D180" s="55"/>
      <c r="E180" s="55"/>
      <c r="F180" s="56"/>
      <c r="G180" s="57" t="str">
        <f>IF(ISBLANK(C180),"",
   IFERROR(
      IF(
         INDEX(DB_materiali!C$2:C$5000,
               MATCH(C180, DB_materiali!A$2:A$5000, 0)
         )="FALSE",
         "N",
         "Y"
      ),
   "")
)</f>
        <v/>
      </c>
      <c r="H180" s="20"/>
      <c r="I180" s="20"/>
      <c r="J180" s="20"/>
      <c r="K180" s="20"/>
      <c r="M180" s="2" t="str">
        <f>IF(ISBLANK(C180),"",IF(IFERROR(VLOOKUP(C180,DB_materiali!$A$2:$A$5000,1,FALSE),"Kļūda artikulā")=C180,"✔",tulkojums!A$42))</f>
        <v/>
      </c>
      <c r="N180" s="2" t="str">
        <f>IF(ISBLANK(C180),"",IF(ISNUMBER(F180)=TRUE,"✔",tulkojums!A$43))</f>
        <v/>
      </c>
      <c r="O180" s="2" t="str">
        <f>IF(ISBLANK(C180),"",IF(G180="Y","✔",IF(G180="X","✔",IF(G180="N","✔",tulkojums!A$44))))</f>
        <v/>
      </c>
      <c r="P180" s="2" t="str">
        <f>IF(ISBLANK(H180),"",IF(INDEX(DB_materiali!$E$2:$E$5000,MATCH($C180,DB_materiali!$A$2:$A$5000,0))&gt;=INDEX(DB_malas!$C$2:$C$5000,MATCH(H180,DB_malas!$A$2:$A$5000,0)),IF(INDEX(DB_materiali!$E$2:$E$5000,MATCH($C180,DB_materiali!$A$2:$A$5000,0))&lt;=INDEX(DB_malas!$D$2:$D$5000,MATCH(H180,DB_malas!$A$2:$A$5000,0)),IF(OR(INDEX(DB_materiali!$B$2:$B$5000,MATCH($C180,DB_materiali!$A$2:$A$5000,0))=INDEX(DB_malas!$B$2:$B$5000,MATCH(H180,DB_malas!$A$2:$A$5000,0)),$H180="ORG"),"✔",tulkojums!$A$38),tulkojums!$A$39),tulkojums!$A$39))</f>
        <v/>
      </c>
      <c r="Q180" s="2" t="str">
        <f>IF(ISBLANK(I180),"",IF(INDEX(DB_materiali!$E$2:$E$5000,MATCH($C180,DB_materiali!$A$2:$A$5000,0))&gt;=INDEX(DB_malas!$C$2:$C$5000,MATCH(I180,DB_malas!$A$2:$A$5000,0)),IF(INDEX(DB_materiali!$E$2:$E$5000,MATCH($C180,DB_materiali!$A$2:$A$5000,0))&lt;=INDEX(DB_malas!$D$2:$D$5000,MATCH(I180,DB_malas!$A$2:$A$5000,0)),IF(OR(INDEX(DB_materiali!$B$2:$B$5000,MATCH($C180,DB_materiali!$A$2:$A$5000,0))=INDEX(DB_malas!$B$2:$B$5000,MATCH(I180,DB_malas!$A$2:$A$5000,0)),$H180="ORG"),"✔",tulkojums!$A$38),tulkojums!$A$39),tulkojums!$A$39))</f>
        <v/>
      </c>
      <c r="R180" s="2" t="str">
        <f>IF(ISBLANK(J180),"",IF(INDEX(DB_materiali!$E$2:$E$5000,MATCH($C180,DB_materiali!$A$2:$A$5000,0))&gt;=INDEX(DB_malas!$C$2:$C$5000,MATCH(J180,DB_malas!$A$2:$A$5000,0)),IF(INDEX(DB_materiali!$E$2:$E$5000,MATCH($C180,DB_materiali!$A$2:$A$5000,0))&lt;=INDEX(DB_malas!$D$2:$D$5000,MATCH(J180,DB_malas!$A$2:$A$5000,0)),IF(INDEX(DB_materiali!$B$2:$B$5000,MATCH($C180,DB_materiali!$A$2:$A$5000,0))=INDEX(DB_malas!$B$2:$B$5000,MATCH(J180,DB_malas!$A$2:$A$5000,0)),"✔",tulkojums!$A$38),tulkojums!$A$39),tulkojums!$A$39))</f>
        <v/>
      </c>
      <c r="S180" s="2" t="str">
        <f>IF(ISBLANK(K180),"",IF(INDEX(DB_materiali!$E$2:$E$5000,MATCH($C180,DB_materiali!$A$2:$A$5000,0))&gt;=INDEX(DB_malas!$C$2:$C$5000,MATCH(K180,DB_malas!$A$2:$A$5000,0)),IF(INDEX(DB_materiali!$E$2:$E$5000,MATCH($C180,DB_materiali!$A$2:$A$5000,0))&lt;=INDEX(DB_malas!$D$2:$D$5000,MATCH(K180,DB_malas!$A$2:$A$5000,0)),IF(INDEX(DB_materiali!$B$2:$B$5000,MATCH($C180,DB_materiali!$A$2:$A$5000,0))=INDEX(DB_malas!$B$2:$B$5000,MATCH(K180,DB_malas!$A$2:$A$5000,0)),"✔",tulkojums!$A$38),tulkojums!$A$39),tulkojums!$A$39))</f>
        <v/>
      </c>
      <c r="T180" s="2"/>
      <c r="U180" s="2"/>
      <c r="V180" s="2"/>
      <c r="W180" s="2"/>
      <c r="X180" s="2"/>
      <c r="Y180" s="2"/>
      <c r="Z180" s="2"/>
    </row>
    <row r="181" spans="1:26" ht="15.75" customHeight="1">
      <c r="A181" s="17"/>
      <c r="B181" s="18"/>
      <c r="C181" s="19"/>
      <c r="D181" s="55"/>
      <c r="E181" s="55"/>
      <c r="F181" s="56"/>
      <c r="G181" s="57" t="str">
        <f>IF(ISBLANK(C181),"",
   IFERROR(
      IF(
         INDEX(DB_materiali!C$2:C$5000,
               MATCH(C181, DB_materiali!A$2:A$5000, 0)
         )="FALSE",
         "N",
         "Y"
      ),
   "")
)</f>
        <v/>
      </c>
      <c r="H181" s="20"/>
      <c r="I181" s="20"/>
      <c r="J181" s="20"/>
      <c r="K181" s="20"/>
      <c r="M181" s="2" t="str">
        <f>IF(ISBLANK(C181),"",IF(IFERROR(VLOOKUP(C181,DB_materiali!$A$2:$A$5000,1,FALSE),"Kļūda artikulā")=C181,"✔",tulkojums!A$42))</f>
        <v/>
      </c>
      <c r="N181" s="2" t="str">
        <f>IF(ISBLANK(C181),"",IF(ISNUMBER(F181)=TRUE,"✔",tulkojums!A$43))</f>
        <v/>
      </c>
      <c r="O181" s="2" t="str">
        <f>IF(ISBLANK(C181),"",IF(G181="Y","✔",IF(G181="X","✔",IF(G181="N","✔",tulkojums!A$44))))</f>
        <v/>
      </c>
      <c r="P181" s="2" t="str">
        <f>IF(ISBLANK(H181),"",IF(INDEX(DB_materiali!$E$2:$E$5000,MATCH($C181,DB_materiali!$A$2:$A$5000,0))&gt;=INDEX(DB_malas!$C$2:$C$5000,MATCH(H181,DB_malas!$A$2:$A$5000,0)),IF(INDEX(DB_materiali!$E$2:$E$5000,MATCH($C181,DB_materiali!$A$2:$A$5000,0))&lt;=INDEX(DB_malas!$D$2:$D$5000,MATCH(H181,DB_malas!$A$2:$A$5000,0)),IF(OR(INDEX(DB_materiali!$B$2:$B$5000,MATCH($C181,DB_materiali!$A$2:$A$5000,0))=INDEX(DB_malas!$B$2:$B$5000,MATCH(H181,DB_malas!$A$2:$A$5000,0)),$H181="ORG"),"✔",tulkojums!$A$38),tulkojums!$A$39),tulkojums!$A$39))</f>
        <v/>
      </c>
      <c r="Q181" s="2" t="str">
        <f>IF(ISBLANK(I181),"",IF(INDEX(DB_materiali!$E$2:$E$5000,MATCH($C181,DB_materiali!$A$2:$A$5000,0))&gt;=INDEX(DB_malas!$C$2:$C$5000,MATCH(I181,DB_malas!$A$2:$A$5000,0)),IF(INDEX(DB_materiali!$E$2:$E$5000,MATCH($C181,DB_materiali!$A$2:$A$5000,0))&lt;=INDEX(DB_malas!$D$2:$D$5000,MATCH(I181,DB_malas!$A$2:$A$5000,0)),IF(OR(INDEX(DB_materiali!$B$2:$B$5000,MATCH($C181,DB_materiali!$A$2:$A$5000,0))=INDEX(DB_malas!$B$2:$B$5000,MATCH(I181,DB_malas!$A$2:$A$5000,0)),$H181="ORG"),"✔",tulkojums!$A$38),tulkojums!$A$39),tulkojums!$A$39))</f>
        <v/>
      </c>
      <c r="R181" s="2" t="str">
        <f>IF(ISBLANK(J181),"",IF(INDEX(DB_materiali!$E$2:$E$5000,MATCH($C181,DB_materiali!$A$2:$A$5000,0))&gt;=INDEX(DB_malas!$C$2:$C$5000,MATCH(J181,DB_malas!$A$2:$A$5000,0)),IF(INDEX(DB_materiali!$E$2:$E$5000,MATCH($C181,DB_materiali!$A$2:$A$5000,0))&lt;=INDEX(DB_malas!$D$2:$D$5000,MATCH(J181,DB_malas!$A$2:$A$5000,0)),IF(INDEX(DB_materiali!$B$2:$B$5000,MATCH($C181,DB_materiali!$A$2:$A$5000,0))=INDEX(DB_malas!$B$2:$B$5000,MATCH(J181,DB_malas!$A$2:$A$5000,0)),"✔",tulkojums!$A$38),tulkojums!$A$39),tulkojums!$A$39))</f>
        <v/>
      </c>
      <c r="S181" s="2" t="str">
        <f>IF(ISBLANK(K181),"",IF(INDEX(DB_materiali!$E$2:$E$5000,MATCH($C181,DB_materiali!$A$2:$A$5000,0))&gt;=INDEX(DB_malas!$C$2:$C$5000,MATCH(K181,DB_malas!$A$2:$A$5000,0)),IF(INDEX(DB_materiali!$E$2:$E$5000,MATCH($C181,DB_materiali!$A$2:$A$5000,0))&lt;=INDEX(DB_malas!$D$2:$D$5000,MATCH(K181,DB_malas!$A$2:$A$5000,0)),IF(INDEX(DB_materiali!$B$2:$B$5000,MATCH($C181,DB_materiali!$A$2:$A$5000,0))=INDEX(DB_malas!$B$2:$B$5000,MATCH(K181,DB_malas!$A$2:$A$5000,0)),"✔",tulkojums!$A$38),tulkojums!$A$39),tulkojums!$A$39))</f>
        <v/>
      </c>
      <c r="T181" s="2"/>
      <c r="U181" s="2"/>
      <c r="V181" s="2"/>
      <c r="W181" s="2"/>
      <c r="X181" s="2"/>
      <c r="Y181" s="2"/>
      <c r="Z181" s="2"/>
    </row>
    <row r="182" spans="1:26" ht="15.75" customHeight="1">
      <c r="A182" s="17"/>
      <c r="B182" s="18"/>
      <c r="C182" s="19"/>
      <c r="D182" s="55"/>
      <c r="E182" s="55"/>
      <c r="F182" s="56"/>
      <c r="G182" s="57" t="str">
        <f>IF(ISBLANK(C182),"",
   IFERROR(
      IF(
         INDEX(DB_materiali!C$2:C$5000,
               MATCH(C182, DB_materiali!A$2:A$5000, 0)
         )="FALSE",
         "N",
         "Y"
      ),
   "")
)</f>
        <v/>
      </c>
      <c r="H182" s="20"/>
      <c r="I182" s="20"/>
      <c r="J182" s="20"/>
      <c r="K182" s="20"/>
      <c r="M182" s="2" t="str">
        <f>IF(ISBLANK(C182),"",IF(IFERROR(VLOOKUP(C182,DB_materiali!$A$2:$A$5000,1,FALSE),"Kļūda artikulā")=C182,"✔",tulkojums!A$42))</f>
        <v/>
      </c>
      <c r="N182" s="2" t="str">
        <f>IF(ISBLANK(C182),"",IF(ISNUMBER(F182)=TRUE,"✔",tulkojums!A$43))</f>
        <v/>
      </c>
      <c r="O182" s="2" t="str">
        <f>IF(ISBLANK(C182),"",IF(G182="Y","✔",IF(G182="X","✔",IF(G182="N","✔",tulkojums!A$44))))</f>
        <v/>
      </c>
      <c r="P182" s="2" t="str">
        <f>IF(ISBLANK(H182),"",IF(INDEX(DB_materiali!$E$2:$E$5000,MATCH($C182,DB_materiali!$A$2:$A$5000,0))&gt;=INDEX(DB_malas!$C$2:$C$5000,MATCH(H182,DB_malas!$A$2:$A$5000,0)),IF(INDEX(DB_materiali!$E$2:$E$5000,MATCH($C182,DB_materiali!$A$2:$A$5000,0))&lt;=INDEX(DB_malas!$D$2:$D$5000,MATCH(H182,DB_malas!$A$2:$A$5000,0)),IF(OR(INDEX(DB_materiali!$B$2:$B$5000,MATCH($C182,DB_materiali!$A$2:$A$5000,0))=INDEX(DB_malas!$B$2:$B$5000,MATCH(H182,DB_malas!$A$2:$A$5000,0)),$H182="ORG"),"✔",tulkojums!$A$38),tulkojums!$A$39),tulkojums!$A$39))</f>
        <v/>
      </c>
      <c r="Q182" s="2" t="str">
        <f>IF(ISBLANK(I182),"",IF(INDEX(DB_materiali!$E$2:$E$5000,MATCH($C182,DB_materiali!$A$2:$A$5000,0))&gt;=INDEX(DB_malas!$C$2:$C$5000,MATCH(I182,DB_malas!$A$2:$A$5000,0)),IF(INDEX(DB_materiali!$E$2:$E$5000,MATCH($C182,DB_materiali!$A$2:$A$5000,0))&lt;=INDEX(DB_malas!$D$2:$D$5000,MATCH(I182,DB_malas!$A$2:$A$5000,0)),IF(OR(INDEX(DB_materiali!$B$2:$B$5000,MATCH($C182,DB_materiali!$A$2:$A$5000,0))=INDEX(DB_malas!$B$2:$B$5000,MATCH(I182,DB_malas!$A$2:$A$5000,0)),$H182="ORG"),"✔",tulkojums!$A$38),tulkojums!$A$39),tulkojums!$A$39))</f>
        <v/>
      </c>
      <c r="R182" s="2" t="str">
        <f>IF(ISBLANK(J182),"",IF(INDEX(DB_materiali!$E$2:$E$5000,MATCH($C182,DB_materiali!$A$2:$A$5000,0))&gt;=INDEX(DB_malas!$C$2:$C$5000,MATCH(J182,DB_malas!$A$2:$A$5000,0)),IF(INDEX(DB_materiali!$E$2:$E$5000,MATCH($C182,DB_materiali!$A$2:$A$5000,0))&lt;=INDEX(DB_malas!$D$2:$D$5000,MATCH(J182,DB_malas!$A$2:$A$5000,0)),IF(INDEX(DB_materiali!$B$2:$B$5000,MATCH($C182,DB_materiali!$A$2:$A$5000,0))=INDEX(DB_malas!$B$2:$B$5000,MATCH(J182,DB_malas!$A$2:$A$5000,0)),"✔",tulkojums!$A$38),tulkojums!$A$39),tulkojums!$A$39))</f>
        <v/>
      </c>
      <c r="S182" s="2" t="str">
        <f>IF(ISBLANK(K182),"",IF(INDEX(DB_materiali!$E$2:$E$5000,MATCH($C182,DB_materiali!$A$2:$A$5000,0))&gt;=INDEX(DB_malas!$C$2:$C$5000,MATCH(K182,DB_malas!$A$2:$A$5000,0)),IF(INDEX(DB_materiali!$E$2:$E$5000,MATCH($C182,DB_materiali!$A$2:$A$5000,0))&lt;=INDEX(DB_malas!$D$2:$D$5000,MATCH(K182,DB_malas!$A$2:$A$5000,0)),IF(INDEX(DB_materiali!$B$2:$B$5000,MATCH($C182,DB_materiali!$A$2:$A$5000,0))=INDEX(DB_malas!$B$2:$B$5000,MATCH(K182,DB_malas!$A$2:$A$5000,0)),"✔",tulkojums!$A$38),tulkojums!$A$39),tulkojums!$A$39))</f>
        <v/>
      </c>
      <c r="T182" s="2"/>
      <c r="U182" s="2"/>
      <c r="V182" s="2"/>
      <c r="W182" s="2"/>
      <c r="X182" s="2"/>
      <c r="Y182" s="2"/>
      <c r="Z182" s="2"/>
    </row>
    <row r="183" spans="1:26" ht="15.75" customHeight="1">
      <c r="A183" s="17"/>
      <c r="B183" s="18"/>
      <c r="C183" s="19"/>
      <c r="D183" s="55"/>
      <c r="E183" s="55"/>
      <c r="F183" s="56"/>
      <c r="G183" s="57" t="str">
        <f>IF(ISBLANK(C183),"",
   IFERROR(
      IF(
         INDEX(DB_materiali!C$2:C$5000,
               MATCH(C183, DB_materiali!A$2:A$5000, 0)
         )="FALSE",
         "N",
         "Y"
      ),
   "")
)</f>
        <v/>
      </c>
      <c r="H183" s="20"/>
      <c r="I183" s="20"/>
      <c r="J183" s="20"/>
      <c r="K183" s="20"/>
      <c r="M183" s="2" t="str">
        <f>IF(ISBLANK(C183),"",IF(IFERROR(VLOOKUP(C183,DB_materiali!$A$2:$A$5000,1,FALSE),"Kļūda artikulā")=C183,"✔",tulkojums!A$42))</f>
        <v/>
      </c>
      <c r="N183" s="2" t="str">
        <f>IF(ISBLANK(C183),"",IF(ISNUMBER(F183)=TRUE,"✔",tulkojums!A$43))</f>
        <v/>
      </c>
      <c r="O183" s="2" t="str">
        <f>IF(ISBLANK(C183),"",IF(G183="Y","✔",IF(G183="X","✔",IF(G183="N","✔",tulkojums!A$44))))</f>
        <v/>
      </c>
      <c r="P183" s="2" t="str">
        <f>IF(ISBLANK(H183),"",IF(INDEX(DB_materiali!$E$2:$E$5000,MATCH($C183,DB_materiali!$A$2:$A$5000,0))&gt;=INDEX(DB_malas!$C$2:$C$5000,MATCH(H183,DB_malas!$A$2:$A$5000,0)),IF(INDEX(DB_materiali!$E$2:$E$5000,MATCH($C183,DB_materiali!$A$2:$A$5000,0))&lt;=INDEX(DB_malas!$D$2:$D$5000,MATCH(H183,DB_malas!$A$2:$A$5000,0)),IF(OR(INDEX(DB_materiali!$B$2:$B$5000,MATCH($C183,DB_materiali!$A$2:$A$5000,0))=INDEX(DB_malas!$B$2:$B$5000,MATCH(H183,DB_malas!$A$2:$A$5000,0)),$H183="ORG"),"✔",tulkojums!$A$38),tulkojums!$A$39),tulkojums!$A$39))</f>
        <v/>
      </c>
      <c r="Q183" s="2" t="str">
        <f>IF(ISBLANK(I183),"",IF(INDEX(DB_materiali!$E$2:$E$5000,MATCH($C183,DB_materiali!$A$2:$A$5000,0))&gt;=INDEX(DB_malas!$C$2:$C$5000,MATCH(I183,DB_malas!$A$2:$A$5000,0)),IF(INDEX(DB_materiali!$E$2:$E$5000,MATCH($C183,DB_materiali!$A$2:$A$5000,0))&lt;=INDEX(DB_malas!$D$2:$D$5000,MATCH(I183,DB_malas!$A$2:$A$5000,0)),IF(OR(INDEX(DB_materiali!$B$2:$B$5000,MATCH($C183,DB_materiali!$A$2:$A$5000,0))=INDEX(DB_malas!$B$2:$B$5000,MATCH(I183,DB_malas!$A$2:$A$5000,0)),$H183="ORG"),"✔",tulkojums!$A$38),tulkojums!$A$39),tulkojums!$A$39))</f>
        <v/>
      </c>
      <c r="R183" s="2" t="str">
        <f>IF(ISBLANK(J183),"",IF(INDEX(DB_materiali!$E$2:$E$5000,MATCH($C183,DB_materiali!$A$2:$A$5000,0))&gt;=INDEX(DB_malas!$C$2:$C$5000,MATCH(J183,DB_malas!$A$2:$A$5000,0)),IF(INDEX(DB_materiali!$E$2:$E$5000,MATCH($C183,DB_materiali!$A$2:$A$5000,0))&lt;=INDEX(DB_malas!$D$2:$D$5000,MATCH(J183,DB_malas!$A$2:$A$5000,0)),IF(INDEX(DB_materiali!$B$2:$B$5000,MATCH($C183,DB_materiali!$A$2:$A$5000,0))=INDEX(DB_malas!$B$2:$B$5000,MATCH(J183,DB_malas!$A$2:$A$5000,0)),"✔",tulkojums!$A$38),tulkojums!$A$39),tulkojums!$A$39))</f>
        <v/>
      </c>
      <c r="S183" s="2" t="str">
        <f>IF(ISBLANK(K183),"",IF(INDEX(DB_materiali!$E$2:$E$5000,MATCH($C183,DB_materiali!$A$2:$A$5000,0))&gt;=INDEX(DB_malas!$C$2:$C$5000,MATCH(K183,DB_malas!$A$2:$A$5000,0)),IF(INDEX(DB_materiali!$E$2:$E$5000,MATCH($C183,DB_materiali!$A$2:$A$5000,0))&lt;=INDEX(DB_malas!$D$2:$D$5000,MATCH(K183,DB_malas!$A$2:$A$5000,0)),IF(INDEX(DB_materiali!$B$2:$B$5000,MATCH($C183,DB_materiali!$A$2:$A$5000,0))=INDEX(DB_malas!$B$2:$B$5000,MATCH(K183,DB_malas!$A$2:$A$5000,0)),"✔",tulkojums!$A$38),tulkojums!$A$39),tulkojums!$A$39))</f>
        <v/>
      </c>
      <c r="T183" s="2"/>
      <c r="U183" s="2"/>
      <c r="V183" s="2"/>
      <c r="W183" s="2"/>
      <c r="X183" s="2"/>
      <c r="Y183" s="2"/>
      <c r="Z183" s="2"/>
    </row>
    <row r="184" spans="1:26" ht="15.75" customHeight="1">
      <c r="A184" s="17"/>
      <c r="B184" s="18"/>
      <c r="C184" s="19"/>
      <c r="D184" s="55"/>
      <c r="E184" s="55"/>
      <c r="F184" s="56"/>
      <c r="G184" s="57" t="str">
        <f>IF(ISBLANK(C184),"",
   IFERROR(
      IF(
         INDEX(DB_materiali!C$2:C$5000,
               MATCH(C184, DB_materiali!A$2:A$5000, 0)
         )="FALSE",
         "N",
         "Y"
      ),
   "")
)</f>
        <v/>
      </c>
      <c r="H184" s="20"/>
      <c r="I184" s="20"/>
      <c r="J184" s="20"/>
      <c r="K184" s="20"/>
      <c r="M184" s="2" t="str">
        <f>IF(ISBLANK(C184),"",IF(IFERROR(VLOOKUP(C184,DB_materiali!$A$2:$A$5000,1,FALSE),"Kļūda artikulā")=C184,"✔",tulkojums!A$42))</f>
        <v/>
      </c>
      <c r="N184" s="2" t="str">
        <f>IF(ISBLANK(C184),"",IF(ISNUMBER(F184)=TRUE,"✔",tulkojums!A$43))</f>
        <v/>
      </c>
      <c r="O184" s="2" t="str">
        <f>IF(ISBLANK(C184),"",IF(G184="Y","✔",IF(G184="X","✔",IF(G184="N","✔",tulkojums!A$44))))</f>
        <v/>
      </c>
      <c r="P184" s="2" t="str">
        <f>IF(ISBLANK(H184),"",IF(INDEX(DB_materiali!$E$2:$E$5000,MATCH($C184,DB_materiali!$A$2:$A$5000,0))&gt;=INDEX(DB_malas!$C$2:$C$5000,MATCH(H184,DB_malas!$A$2:$A$5000,0)),IF(INDEX(DB_materiali!$E$2:$E$5000,MATCH($C184,DB_materiali!$A$2:$A$5000,0))&lt;=INDEX(DB_malas!$D$2:$D$5000,MATCH(H184,DB_malas!$A$2:$A$5000,0)),IF(OR(INDEX(DB_materiali!$B$2:$B$5000,MATCH($C184,DB_materiali!$A$2:$A$5000,0))=INDEX(DB_malas!$B$2:$B$5000,MATCH(H184,DB_malas!$A$2:$A$5000,0)),$H184="ORG"),"✔",tulkojums!$A$38),tulkojums!$A$39),tulkojums!$A$39))</f>
        <v/>
      </c>
      <c r="Q184" s="2" t="str">
        <f>IF(ISBLANK(I184),"",IF(INDEX(DB_materiali!$E$2:$E$5000,MATCH($C184,DB_materiali!$A$2:$A$5000,0))&gt;=INDEX(DB_malas!$C$2:$C$5000,MATCH(I184,DB_malas!$A$2:$A$5000,0)),IF(INDEX(DB_materiali!$E$2:$E$5000,MATCH($C184,DB_materiali!$A$2:$A$5000,0))&lt;=INDEX(DB_malas!$D$2:$D$5000,MATCH(I184,DB_malas!$A$2:$A$5000,0)),IF(OR(INDEX(DB_materiali!$B$2:$B$5000,MATCH($C184,DB_materiali!$A$2:$A$5000,0))=INDEX(DB_malas!$B$2:$B$5000,MATCH(I184,DB_malas!$A$2:$A$5000,0)),$H184="ORG"),"✔",tulkojums!$A$38),tulkojums!$A$39),tulkojums!$A$39))</f>
        <v/>
      </c>
      <c r="R184" s="2" t="str">
        <f>IF(ISBLANK(J184),"",IF(INDEX(DB_materiali!$E$2:$E$5000,MATCH($C184,DB_materiali!$A$2:$A$5000,0))&gt;=INDEX(DB_malas!$C$2:$C$5000,MATCH(J184,DB_malas!$A$2:$A$5000,0)),IF(INDEX(DB_materiali!$E$2:$E$5000,MATCH($C184,DB_materiali!$A$2:$A$5000,0))&lt;=INDEX(DB_malas!$D$2:$D$5000,MATCH(J184,DB_malas!$A$2:$A$5000,0)),IF(INDEX(DB_materiali!$B$2:$B$5000,MATCH($C184,DB_materiali!$A$2:$A$5000,0))=INDEX(DB_malas!$B$2:$B$5000,MATCH(J184,DB_malas!$A$2:$A$5000,0)),"✔",tulkojums!$A$38),tulkojums!$A$39),tulkojums!$A$39))</f>
        <v/>
      </c>
      <c r="S184" s="2" t="str">
        <f>IF(ISBLANK(K184),"",IF(INDEX(DB_materiali!$E$2:$E$5000,MATCH($C184,DB_materiali!$A$2:$A$5000,0))&gt;=INDEX(DB_malas!$C$2:$C$5000,MATCH(K184,DB_malas!$A$2:$A$5000,0)),IF(INDEX(DB_materiali!$E$2:$E$5000,MATCH($C184,DB_materiali!$A$2:$A$5000,0))&lt;=INDEX(DB_malas!$D$2:$D$5000,MATCH(K184,DB_malas!$A$2:$A$5000,0)),IF(INDEX(DB_materiali!$B$2:$B$5000,MATCH($C184,DB_materiali!$A$2:$A$5000,0))=INDEX(DB_malas!$B$2:$B$5000,MATCH(K184,DB_malas!$A$2:$A$5000,0)),"✔",tulkojums!$A$38),tulkojums!$A$39),tulkojums!$A$39))</f>
        <v/>
      </c>
      <c r="T184" s="2"/>
      <c r="U184" s="2"/>
      <c r="V184" s="2"/>
      <c r="W184" s="2"/>
      <c r="X184" s="2"/>
      <c r="Y184" s="2"/>
      <c r="Z184" s="2"/>
    </row>
    <row r="185" spans="1:26" ht="15.75" customHeight="1">
      <c r="A185" s="17"/>
      <c r="B185" s="18"/>
      <c r="C185" s="19"/>
      <c r="D185" s="55"/>
      <c r="E185" s="55"/>
      <c r="F185" s="56"/>
      <c r="G185" s="57" t="str">
        <f>IF(ISBLANK(C185),"",
   IFERROR(
      IF(
         INDEX(DB_materiali!C$2:C$5000,
               MATCH(C185, DB_materiali!A$2:A$5000, 0)
         )="FALSE",
         "N",
         "Y"
      ),
   "")
)</f>
        <v/>
      </c>
      <c r="H185" s="20"/>
      <c r="I185" s="20"/>
      <c r="J185" s="20"/>
      <c r="K185" s="20"/>
      <c r="M185" s="2" t="str">
        <f>IF(ISBLANK(C185),"",IF(IFERROR(VLOOKUP(C185,DB_materiali!$A$2:$A$5000,1,FALSE),"Kļūda artikulā")=C185,"✔",tulkojums!A$42))</f>
        <v/>
      </c>
      <c r="N185" s="2" t="str">
        <f>IF(ISBLANK(C185),"",IF(ISNUMBER(F185)=TRUE,"✔",tulkojums!A$43))</f>
        <v/>
      </c>
      <c r="O185" s="2" t="str">
        <f>IF(ISBLANK(C185),"",IF(G185="Y","✔",IF(G185="X","✔",IF(G185="N","✔",tulkojums!A$44))))</f>
        <v/>
      </c>
      <c r="P185" s="2" t="str">
        <f>IF(ISBLANK(H185),"",IF(INDEX(DB_materiali!$E$2:$E$5000,MATCH($C185,DB_materiali!$A$2:$A$5000,0))&gt;=INDEX(DB_malas!$C$2:$C$5000,MATCH(H185,DB_malas!$A$2:$A$5000,0)),IF(INDEX(DB_materiali!$E$2:$E$5000,MATCH($C185,DB_materiali!$A$2:$A$5000,0))&lt;=INDEX(DB_malas!$D$2:$D$5000,MATCH(H185,DB_malas!$A$2:$A$5000,0)),IF(OR(INDEX(DB_materiali!$B$2:$B$5000,MATCH($C185,DB_materiali!$A$2:$A$5000,0))=INDEX(DB_malas!$B$2:$B$5000,MATCH(H185,DB_malas!$A$2:$A$5000,0)),$H185="ORG"),"✔",tulkojums!$A$38),tulkojums!$A$39),tulkojums!$A$39))</f>
        <v/>
      </c>
      <c r="Q185" s="2" t="str">
        <f>IF(ISBLANK(I185),"",IF(INDEX(DB_materiali!$E$2:$E$5000,MATCH($C185,DB_materiali!$A$2:$A$5000,0))&gt;=INDEX(DB_malas!$C$2:$C$5000,MATCH(I185,DB_malas!$A$2:$A$5000,0)),IF(INDEX(DB_materiali!$E$2:$E$5000,MATCH($C185,DB_materiali!$A$2:$A$5000,0))&lt;=INDEX(DB_malas!$D$2:$D$5000,MATCH(I185,DB_malas!$A$2:$A$5000,0)),IF(OR(INDEX(DB_materiali!$B$2:$B$5000,MATCH($C185,DB_materiali!$A$2:$A$5000,0))=INDEX(DB_malas!$B$2:$B$5000,MATCH(I185,DB_malas!$A$2:$A$5000,0)),$H185="ORG"),"✔",tulkojums!$A$38),tulkojums!$A$39),tulkojums!$A$39))</f>
        <v/>
      </c>
      <c r="R185" s="2" t="str">
        <f>IF(ISBLANK(J185),"",IF(INDEX(DB_materiali!$E$2:$E$5000,MATCH($C185,DB_materiali!$A$2:$A$5000,0))&gt;=INDEX(DB_malas!$C$2:$C$5000,MATCH(J185,DB_malas!$A$2:$A$5000,0)),IF(INDEX(DB_materiali!$E$2:$E$5000,MATCH($C185,DB_materiali!$A$2:$A$5000,0))&lt;=INDEX(DB_malas!$D$2:$D$5000,MATCH(J185,DB_malas!$A$2:$A$5000,0)),IF(INDEX(DB_materiali!$B$2:$B$5000,MATCH($C185,DB_materiali!$A$2:$A$5000,0))=INDEX(DB_malas!$B$2:$B$5000,MATCH(J185,DB_malas!$A$2:$A$5000,0)),"✔",tulkojums!$A$38),tulkojums!$A$39),tulkojums!$A$39))</f>
        <v/>
      </c>
      <c r="S185" s="2" t="str">
        <f>IF(ISBLANK(K185),"",IF(INDEX(DB_materiali!$E$2:$E$5000,MATCH($C185,DB_materiali!$A$2:$A$5000,0))&gt;=INDEX(DB_malas!$C$2:$C$5000,MATCH(K185,DB_malas!$A$2:$A$5000,0)),IF(INDEX(DB_materiali!$E$2:$E$5000,MATCH($C185,DB_materiali!$A$2:$A$5000,0))&lt;=INDEX(DB_malas!$D$2:$D$5000,MATCH(K185,DB_malas!$A$2:$A$5000,0)),IF(INDEX(DB_materiali!$B$2:$B$5000,MATCH($C185,DB_materiali!$A$2:$A$5000,0))=INDEX(DB_malas!$B$2:$B$5000,MATCH(K185,DB_malas!$A$2:$A$5000,0)),"✔",tulkojums!$A$38),tulkojums!$A$39),tulkojums!$A$39))</f>
        <v/>
      </c>
      <c r="T185" s="2"/>
      <c r="U185" s="2"/>
      <c r="V185" s="2"/>
      <c r="W185" s="2"/>
      <c r="X185" s="2"/>
      <c r="Y185" s="2"/>
      <c r="Z185" s="2"/>
    </row>
    <row r="186" spans="1:26" ht="15.75" customHeight="1">
      <c r="A186" s="17"/>
      <c r="B186" s="18"/>
      <c r="C186" s="19"/>
      <c r="D186" s="55"/>
      <c r="E186" s="55"/>
      <c r="F186" s="56"/>
      <c r="G186" s="57" t="str">
        <f>IF(ISBLANK(C186),"",
   IFERROR(
      IF(
         INDEX(DB_materiali!C$2:C$5000,
               MATCH(C186, DB_materiali!A$2:A$5000, 0)
         )="FALSE",
         "N",
         "Y"
      ),
   "")
)</f>
        <v/>
      </c>
      <c r="H186" s="20"/>
      <c r="I186" s="20"/>
      <c r="J186" s="20"/>
      <c r="K186" s="20"/>
      <c r="M186" s="2" t="str">
        <f>IF(ISBLANK(C186),"",IF(IFERROR(VLOOKUP(C186,DB_materiali!$A$2:$A$5000,1,FALSE),"Kļūda artikulā")=C186,"✔",tulkojums!A$42))</f>
        <v/>
      </c>
      <c r="N186" s="2" t="str">
        <f>IF(ISBLANK(C186),"",IF(ISNUMBER(F186)=TRUE,"✔",tulkojums!A$43))</f>
        <v/>
      </c>
      <c r="O186" s="2" t="str">
        <f>IF(ISBLANK(C186),"",IF(G186="Y","✔",IF(G186="X","✔",IF(G186="N","✔",tulkojums!A$44))))</f>
        <v/>
      </c>
      <c r="P186" s="2" t="str">
        <f>IF(ISBLANK(H186),"",IF(INDEX(DB_materiali!$E$2:$E$5000,MATCH($C186,DB_materiali!$A$2:$A$5000,0))&gt;=INDEX(DB_malas!$C$2:$C$5000,MATCH(H186,DB_malas!$A$2:$A$5000,0)),IF(INDEX(DB_materiali!$E$2:$E$5000,MATCH($C186,DB_materiali!$A$2:$A$5000,0))&lt;=INDEX(DB_malas!$D$2:$D$5000,MATCH(H186,DB_malas!$A$2:$A$5000,0)),IF(OR(INDEX(DB_materiali!$B$2:$B$5000,MATCH($C186,DB_materiali!$A$2:$A$5000,0))=INDEX(DB_malas!$B$2:$B$5000,MATCH(H186,DB_malas!$A$2:$A$5000,0)),$H186="ORG"),"✔",tulkojums!$A$38),tulkojums!$A$39),tulkojums!$A$39))</f>
        <v/>
      </c>
      <c r="Q186" s="2" t="str">
        <f>IF(ISBLANK(I186),"",IF(INDEX(DB_materiali!$E$2:$E$5000,MATCH($C186,DB_materiali!$A$2:$A$5000,0))&gt;=INDEX(DB_malas!$C$2:$C$5000,MATCH(I186,DB_malas!$A$2:$A$5000,0)),IF(INDEX(DB_materiali!$E$2:$E$5000,MATCH($C186,DB_materiali!$A$2:$A$5000,0))&lt;=INDEX(DB_malas!$D$2:$D$5000,MATCH(I186,DB_malas!$A$2:$A$5000,0)),IF(OR(INDEX(DB_materiali!$B$2:$B$5000,MATCH($C186,DB_materiali!$A$2:$A$5000,0))=INDEX(DB_malas!$B$2:$B$5000,MATCH(I186,DB_malas!$A$2:$A$5000,0)),$H186="ORG"),"✔",tulkojums!$A$38),tulkojums!$A$39),tulkojums!$A$39))</f>
        <v/>
      </c>
      <c r="R186" s="2" t="str">
        <f>IF(ISBLANK(J186),"",IF(INDEX(DB_materiali!$E$2:$E$5000,MATCH($C186,DB_materiali!$A$2:$A$5000,0))&gt;=INDEX(DB_malas!$C$2:$C$5000,MATCH(J186,DB_malas!$A$2:$A$5000,0)),IF(INDEX(DB_materiali!$E$2:$E$5000,MATCH($C186,DB_materiali!$A$2:$A$5000,0))&lt;=INDEX(DB_malas!$D$2:$D$5000,MATCH(J186,DB_malas!$A$2:$A$5000,0)),IF(INDEX(DB_materiali!$B$2:$B$5000,MATCH($C186,DB_materiali!$A$2:$A$5000,0))=INDEX(DB_malas!$B$2:$B$5000,MATCH(J186,DB_malas!$A$2:$A$5000,0)),"✔",tulkojums!$A$38),tulkojums!$A$39),tulkojums!$A$39))</f>
        <v/>
      </c>
      <c r="S186" s="2" t="str">
        <f>IF(ISBLANK(K186),"",IF(INDEX(DB_materiali!$E$2:$E$5000,MATCH($C186,DB_materiali!$A$2:$A$5000,0))&gt;=INDEX(DB_malas!$C$2:$C$5000,MATCH(K186,DB_malas!$A$2:$A$5000,0)),IF(INDEX(DB_materiali!$E$2:$E$5000,MATCH($C186,DB_materiali!$A$2:$A$5000,0))&lt;=INDEX(DB_malas!$D$2:$D$5000,MATCH(K186,DB_malas!$A$2:$A$5000,0)),IF(INDEX(DB_materiali!$B$2:$B$5000,MATCH($C186,DB_materiali!$A$2:$A$5000,0))=INDEX(DB_malas!$B$2:$B$5000,MATCH(K186,DB_malas!$A$2:$A$5000,0)),"✔",tulkojums!$A$38),tulkojums!$A$39),tulkojums!$A$39))</f>
        <v/>
      </c>
      <c r="T186" s="2"/>
      <c r="U186" s="2"/>
      <c r="V186" s="2"/>
      <c r="W186" s="2"/>
      <c r="X186" s="2"/>
      <c r="Y186" s="2"/>
      <c r="Z186" s="2"/>
    </row>
    <row r="187" spans="1:26" ht="15.75" customHeight="1">
      <c r="A187" s="17"/>
      <c r="B187" s="18"/>
      <c r="C187" s="19"/>
      <c r="D187" s="55"/>
      <c r="E187" s="55"/>
      <c r="F187" s="56"/>
      <c r="G187" s="57" t="str">
        <f>IF(ISBLANK(C187),"",
   IFERROR(
      IF(
         INDEX(DB_materiali!C$2:C$5000,
               MATCH(C187, DB_materiali!A$2:A$5000, 0)
         )="FALSE",
         "N",
         "Y"
      ),
   "")
)</f>
        <v/>
      </c>
      <c r="H187" s="20"/>
      <c r="I187" s="20"/>
      <c r="J187" s="20"/>
      <c r="K187" s="20"/>
      <c r="M187" s="2" t="str">
        <f>IF(ISBLANK(C187),"",IF(IFERROR(VLOOKUP(C187,DB_materiali!$A$2:$A$5000,1,FALSE),"Kļūda artikulā")=C187,"✔",tulkojums!A$42))</f>
        <v/>
      </c>
      <c r="N187" s="2" t="str">
        <f>IF(ISBLANK(C187),"",IF(ISNUMBER(F187)=TRUE,"✔",tulkojums!A$43))</f>
        <v/>
      </c>
      <c r="O187" s="2" t="str">
        <f>IF(ISBLANK(C187),"",IF(G187="Y","✔",IF(G187="X","✔",IF(G187="N","✔",tulkojums!A$44))))</f>
        <v/>
      </c>
      <c r="P187" s="2" t="str">
        <f>IF(ISBLANK(H187),"",IF(INDEX(DB_materiali!$E$2:$E$5000,MATCH($C187,DB_materiali!$A$2:$A$5000,0))&gt;=INDEX(DB_malas!$C$2:$C$5000,MATCH(H187,DB_malas!$A$2:$A$5000,0)),IF(INDEX(DB_materiali!$E$2:$E$5000,MATCH($C187,DB_materiali!$A$2:$A$5000,0))&lt;=INDEX(DB_malas!$D$2:$D$5000,MATCH(H187,DB_malas!$A$2:$A$5000,0)),IF(OR(INDEX(DB_materiali!$B$2:$B$5000,MATCH($C187,DB_materiali!$A$2:$A$5000,0))=INDEX(DB_malas!$B$2:$B$5000,MATCH(H187,DB_malas!$A$2:$A$5000,0)),$H187="ORG"),"✔",tulkojums!$A$38),tulkojums!$A$39),tulkojums!$A$39))</f>
        <v/>
      </c>
      <c r="Q187" s="2" t="str">
        <f>IF(ISBLANK(I187),"",IF(INDEX(DB_materiali!$E$2:$E$5000,MATCH($C187,DB_materiali!$A$2:$A$5000,0))&gt;=INDEX(DB_malas!$C$2:$C$5000,MATCH(I187,DB_malas!$A$2:$A$5000,0)),IF(INDEX(DB_materiali!$E$2:$E$5000,MATCH($C187,DB_materiali!$A$2:$A$5000,0))&lt;=INDEX(DB_malas!$D$2:$D$5000,MATCH(I187,DB_malas!$A$2:$A$5000,0)),IF(OR(INDEX(DB_materiali!$B$2:$B$5000,MATCH($C187,DB_materiali!$A$2:$A$5000,0))=INDEX(DB_malas!$B$2:$B$5000,MATCH(I187,DB_malas!$A$2:$A$5000,0)),$H187="ORG"),"✔",tulkojums!$A$38),tulkojums!$A$39),tulkojums!$A$39))</f>
        <v/>
      </c>
      <c r="R187" s="2" t="str">
        <f>IF(ISBLANK(J187),"",IF(INDEX(DB_materiali!$E$2:$E$5000,MATCH($C187,DB_materiali!$A$2:$A$5000,0))&gt;=INDEX(DB_malas!$C$2:$C$5000,MATCH(J187,DB_malas!$A$2:$A$5000,0)),IF(INDEX(DB_materiali!$E$2:$E$5000,MATCH($C187,DB_materiali!$A$2:$A$5000,0))&lt;=INDEX(DB_malas!$D$2:$D$5000,MATCH(J187,DB_malas!$A$2:$A$5000,0)),IF(INDEX(DB_materiali!$B$2:$B$5000,MATCH($C187,DB_materiali!$A$2:$A$5000,0))=INDEX(DB_malas!$B$2:$B$5000,MATCH(J187,DB_malas!$A$2:$A$5000,0)),"✔",tulkojums!$A$38),tulkojums!$A$39),tulkojums!$A$39))</f>
        <v/>
      </c>
      <c r="S187" s="2" t="str">
        <f>IF(ISBLANK(K187),"",IF(INDEX(DB_materiali!$E$2:$E$5000,MATCH($C187,DB_materiali!$A$2:$A$5000,0))&gt;=INDEX(DB_malas!$C$2:$C$5000,MATCH(K187,DB_malas!$A$2:$A$5000,0)),IF(INDEX(DB_materiali!$E$2:$E$5000,MATCH($C187,DB_materiali!$A$2:$A$5000,0))&lt;=INDEX(DB_malas!$D$2:$D$5000,MATCH(K187,DB_malas!$A$2:$A$5000,0)),IF(INDEX(DB_materiali!$B$2:$B$5000,MATCH($C187,DB_materiali!$A$2:$A$5000,0))=INDEX(DB_malas!$B$2:$B$5000,MATCH(K187,DB_malas!$A$2:$A$5000,0)),"✔",tulkojums!$A$38),tulkojums!$A$39),tulkojums!$A$39))</f>
        <v/>
      </c>
      <c r="T187" s="2"/>
      <c r="U187" s="2"/>
      <c r="V187" s="2"/>
      <c r="W187" s="2"/>
      <c r="X187" s="2"/>
      <c r="Y187" s="2"/>
      <c r="Z187" s="2"/>
    </row>
    <row r="188" spans="1:26" ht="15.75" customHeight="1">
      <c r="A188" s="17"/>
      <c r="B188" s="18"/>
      <c r="C188" s="19"/>
      <c r="D188" s="55"/>
      <c r="E188" s="55"/>
      <c r="F188" s="56"/>
      <c r="G188" s="57" t="str">
        <f>IF(ISBLANK(C188),"",
   IFERROR(
      IF(
         INDEX(DB_materiali!C$2:C$5000,
               MATCH(C188, DB_materiali!A$2:A$5000, 0)
         )="FALSE",
         "N",
         "Y"
      ),
   "")
)</f>
        <v/>
      </c>
      <c r="H188" s="20"/>
      <c r="I188" s="20"/>
      <c r="J188" s="20"/>
      <c r="K188" s="20"/>
      <c r="M188" s="2" t="str">
        <f>IF(ISBLANK(C188),"",IF(IFERROR(VLOOKUP(C188,DB_materiali!$A$2:$A$5000,1,FALSE),"Kļūda artikulā")=C188,"✔",tulkojums!A$42))</f>
        <v/>
      </c>
      <c r="N188" s="2" t="str">
        <f>IF(ISBLANK(C188),"",IF(ISNUMBER(F188)=TRUE,"✔",tulkojums!A$43))</f>
        <v/>
      </c>
      <c r="O188" s="2" t="str">
        <f>IF(ISBLANK(C188),"",IF(G188="Y","✔",IF(G188="X","✔",IF(G188="N","✔",tulkojums!A$44))))</f>
        <v/>
      </c>
      <c r="P188" s="2" t="str">
        <f>IF(ISBLANK(H188),"",IF(INDEX(DB_materiali!$E$2:$E$5000,MATCH($C188,DB_materiali!$A$2:$A$5000,0))&gt;=INDEX(DB_malas!$C$2:$C$5000,MATCH(H188,DB_malas!$A$2:$A$5000,0)),IF(INDEX(DB_materiali!$E$2:$E$5000,MATCH($C188,DB_materiali!$A$2:$A$5000,0))&lt;=INDEX(DB_malas!$D$2:$D$5000,MATCH(H188,DB_malas!$A$2:$A$5000,0)),IF(OR(INDEX(DB_materiali!$B$2:$B$5000,MATCH($C188,DB_materiali!$A$2:$A$5000,0))=INDEX(DB_malas!$B$2:$B$5000,MATCH(H188,DB_malas!$A$2:$A$5000,0)),$H188="ORG"),"✔",tulkojums!$A$38),tulkojums!$A$39),tulkojums!$A$39))</f>
        <v/>
      </c>
      <c r="Q188" s="2" t="str">
        <f>IF(ISBLANK(I188),"",IF(INDEX(DB_materiali!$E$2:$E$5000,MATCH($C188,DB_materiali!$A$2:$A$5000,0))&gt;=INDEX(DB_malas!$C$2:$C$5000,MATCH(I188,DB_malas!$A$2:$A$5000,0)),IF(INDEX(DB_materiali!$E$2:$E$5000,MATCH($C188,DB_materiali!$A$2:$A$5000,0))&lt;=INDEX(DB_malas!$D$2:$D$5000,MATCH(I188,DB_malas!$A$2:$A$5000,0)),IF(OR(INDEX(DB_materiali!$B$2:$B$5000,MATCH($C188,DB_materiali!$A$2:$A$5000,0))=INDEX(DB_malas!$B$2:$B$5000,MATCH(I188,DB_malas!$A$2:$A$5000,0)),$H188="ORG"),"✔",tulkojums!$A$38),tulkojums!$A$39),tulkojums!$A$39))</f>
        <v/>
      </c>
      <c r="R188" s="2" t="str">
        <f>IF(ISBLANK(J188),"",IF(INDEX(DB_materiali!$E$2:$E$5000,MATCH($C188,DB_materiali!$A$2:$A$5000,0))&gt;=INDEX(DB_malas!$C$2:$C$5000,MATCH(J188,DB_malas!$A$2:$A$5000,0)),IF(INDEX(DB_materiali!$E$2:$E$5000,MATCH($C188,DB_materiali!$A$2:$A$5000,0))&lt;=INDEX(DB_malas!$D$2:$D$5000,MATCH(J188,DB_malas!$A$2:$A$5000,0)),IF(INDEX(DB_materiali!$B$2:$B$5000,MATCH($C188,DB_materiali!$A$2:$A$5000,0))=INDEX(DB_malas!$B$2:$B$5000,MATCH(J188,DB_malas!$A$2:$A$5000,0)),"✔",tulkojums!$A$38),tulkojums!$A$39),tulkojums!$A$39))</f>
        <v/>
      </c>
      <c r="S188" s="2" t="str">
        <f>IF(ISBLANK(K188),"",IF(INDEX(DB_materiali!$E$2:$E$5000,MATCH($C188,DB_materiali!$A$2:$A$5000,0))&gt;=INDEX(DB_malas!$C$2:$C$5000,MATCH(K188,DB_malas!$A$2:$A$5000,0)),IF(INDEX(DB_materiali!$E$2:$E$5000,MATCH($C188,DB_materiali!$A$2:$A$5000,0))&lt;=INDEX(DB_malas!$D$2:$D$5000,MATCH(K188,DB_malas!$A$2:$A$5000,0)),IF(INDEX(DB_materiali!$B$2:$B$5000,MATCH($C188,DB_materiali!$A$2:$A$5000,0))=INDEX(DB_malas!$B$2:$B$5000,MATCH(K188,DB_malas!$A$2:$A$5000,0)),"✔",tulkojums!$A$38),tulkojums!$A$39),tulkojums!$A$39))</f>
        <v/>
      </c>
      <c r="T188" s="2"/>
      <c r="U188" s="2"/>
      <c r="V188" s="2"/>
      <c r="W188" s="2"/>
      <c r="X188" s="2"/>
      <c r="Y188" s="2"/>
      <c r="Z188" s="2"/>
    </row>
    <row r="189" spans="1:26" ht="15.75" customHeight="1">
      <c r="A189" s="17"/>
      <c r="B189" s="18"/>
      <c r="C189" s="19"/>
      <c r="D189" s="55"/>
      <c r="E189" s="55"/>
      <c r="F189" s="56"/>
      <c r="G189" s="57" t="str">
        <f>IF(ISBLANK(C189),"",
   IFERROR(
      IF(
         INDEX(DB_materiali!C$2:C$5000,
               MATCH(C189, DB_materiali!A$2:A$5000, 0)
         )="FALSE",
         "N",
         "Y"
      ),
   "")
)</f>
        <v/>
      </c>
      <c r="H189" s="20"/>
      <c r="I189" s="20"/>
      <c r="J189" s="20"/>
      <c r="K189" s="20"/>
      <c r="M189" s="2" t="str">
        <f>IF(ISBLANK(C189),"",IF(IFERROR(VLOOKUP(C189,DB_materiali!$A$2:$A$5000,1,FALSE),"Kļūda artikulā")=C189,"✔",tulkojums!A$42))</f>
        <v/>
      </c>
      <c r="N189" s="2" t="str">
        <f>IF(ISBLANK(C189),"",IF(ISNUMBER(F189)=TRUE,"✔",tulkojums!A$43))</f>
        <v/>
      </c>
      <c r="O189" s="2" t="str">
        <f>IF(ISBLANK(C189),"",IF(G189="Y","✔",IF(G189="X","✔",IF(G189="N","✔",tulkojums!A$44))))</f>
        <v/>
      </c>
      <c r="P189" s="2" t="str">
        <f>IF(ISBLANK(H189),"",IF(INDEX(DB_materiali!$E$2:$E$5000,MATCH($C189,DB_materiali!$A$2:$A$5000,0))&gt;=INDEX(DB_malas!$C$2:$C$5000,MATCH(H189,DB_malas!$A$2:$A$5000,0)),IF(INDEX(DB_materiali!$E$2:$E$5000,MATCH($C189,DB_materiali!$A$2:$A$5000,0))&lt;=INDEX(DB_malas!$D$2:$D$5000,MATCH(H189,DB_malas!$A$2:$A$5000,0)),IF(OR(INDEX(DB_materiali!$B$2:$B$5000,MATCH($C189,DB_materiali!$A$2:$A$5000,0))=INDEX(DB_malas!$B$2:$B$5000,MATCH(H189,DB_malas!$A$2:$A$5000,0)),$H189="ORG"),"✔",tulkojums!$A$38),tulkojums!$A$39),tulkojums!$A$39))</f>
        <v/>
      </c>
      <c r="Q189" s="2" t="str">
        <f>IF(ISBLANK(I189),"",IF(INDEX(DB_materiali!$E$2:$E$5000,MATCH($C189,DB_materiali!$A$2:$A$5000,0))&gt;=INDEX(DB_malas!$C$2:$C$5000,MATCH(I189,DB_malas!$A$2:$A$5000,0)),IF(INDEX(DB_materiali!$E$2:$E$5000,MATCH($C189,DB_materiali!$A$2:$A$5000,0))&lt;=INDEX(DB_malas!$D$2:$D$5000,MATCH(I189,DB_malas!$A$2:$A$5000,0)),IF(OR(INDEX(DB_materiali!$B$2:$B$5000,MATCH($C189,DB_materiali!$A$2:$A$5000,0))=INDEX(DB_malas!$B$2:$B$5000,MATCH(I189,DB_malas!$A$2:$A$5000,0)),$H189="ORG"),"✔",tulkojums!$A$38),tulkojums!$A$39),tulkojums!$A$39))</f>
        <v/>
      </c>
      <c r="R189" s="2" t="str">
        <f>IF(ISBLANK(J189),"",IF(INDEX(DB_materiali!$E$2:$E$5000,MATCH($C189,DB_materiali!$A$2:$A$5000,0))&gt;=INDEX(DB_malas!$C$2:$C$5000,MATCH(J189,DB_malas!$A$2:$A$5000,0)),IF(INDEX(DB_materiali!$E$2:$E$5000,MATCH($C189,DB_materiali!$A$2:$A$5000,0))&lt;=INDEX(DB_malas!$D$2:$D$5000,MATCH(J189,DB_malas!$A$2:$A$5000,0)),IF(INDEX(DB_materiali!$B$2:$B$5000,MATCH($C189,DB_materiali!$A$2:$A$5000,0))=INDEX(DB_malas!$B$2:$B$5000,MATCH(J189,DB_malas!$A$2:$A$5000,0)),"✔",tulkojums!$A$38),tulkojums!$A$39),tulkojums!$A$39))</f>
        <v/>
      </c>
      <c r="S189" s="2" t="str">
        <f>IF(ISBLANK(K189),"",IF(INDEX(DB_materiali!$E$2:$E$5000,MATCH($C189,DB_materiali!$A$2:$A$5000,0))&gt;=INDEX(DB_malas!$C$2:$C$5000,MATCH(K189,DB_malas!$A$2:$A$5000,0)),IF(INDEX(DB_materiali!$E$2:$E$5000,MATCH($C189,DB_materiali!$A$2:$A$5000,0))&lt;=INDEX(DB_malas!$D$2:$D$5000,MATCH(K189,DB_malas!$A$2:$A$5000,0)),IF(INDEX(DB_materiali!$B$2:$B$5000,MATCH($C189,DB_materiali!$A$2:$A$5000,0))=INDEX(DB_malas!$B$2:$B$5000,MATCH(K189,DB_malas!$A$2:$A$5000,0)),"✔",tulkojums!$A$38),tulkojums!$A$39),tulkojums!$A$39))</f>
        <v/>
      </c>
      <c r="T189" s="2"/>
      <c r="U189" s="2"/>
      <c r="V189" s="2"/>
      <c r="W189" s="2"/>
      <c r="X189" s="2"/>
      <c r="Y189" s="2"/>
      <c r="Z189" s="2"/>
    </row>
    <row r="190" spans="1:26" ht="15.75" customHeight="1">
      <c r="A190" s="17"/>
      <c r="B190" s="18"/>
      <c r="C190" s="19"/>
      <c r="D190" s="55"/>
      <c r="E190" s="55"/>
      <c r="F190" s="56"/>
      <c r="G190" s="57" t="str">
        <f>IF(ISBLANK(C190),"",
   IFERROR(
      IF(
         INDEX(DB_materiali!C$2:C$5000,
               MATCH(C190, DB_materiali!A$2:A$5000, 0)
         )="FALSE",
         "N",
         "Y"
      ),
   "")
)</f>
        <v/>
      </c>
      <c r="H190" s="20"/>
      <c r="I190" s="20"/>
      <c r="J190" s="20"/>
      <c r="K190" s="20"/>
      <c r="M190" s="2" t="str">
        <f>IF(ISBLANK(C190),"",IF(IFERROR(VLOOKUP(C190,DB_materiali!$A$2:$A$5000,1,FALSE),"Kļūda artikulā")=C190,"✔",tulkojums!A$42))</f>
        <v/>
      </c>
      <c r="N190" s="2" t="str">
        <f>IF(ISBLANK(C190),"",IF(ISNUMBER(F190)=TRUE,"✔",tulkojums!A$43))</f>
        <v/>
      </c>
      <c r="O190" s="2" t="str">
        <f>IF(ISBLANK(C190),"",IF(G190="Y","✔",IF(G190="X","✔",IF(G190="N","✔",tulkojums!A$44))))</f>
        <v/>
      </c>
      <c r="P190" s="2" t="str">
        <f>IF(ISBLANK(H190),"",IF(INDEX(DB_materiali!$E$2:$E$5000,MATCH($C190,DB_materiali!$A$2:$A$5000,0))&gt;=INDEX(DB_malas!$C$2:$C$5000,MATCH(H190,DB_malas!$A$2:$A$5000,0)),IF(INDEX(DB_materiali!$E$2:$E$5000,MATCH($C190,DB_materiali!$A$2:$A$5000,0))&lt;=INDEX(DB_malas!$D$2:$D$5000,MATCH(H190,DB_malas!$A$2:$A$5000,0)),IF(OR(INDEX(DB_materiali!$B$2:$B$5000,MATCH($C190,DB_materiali!$A$2:$A$5000,0))=INDEX(DB_malas!$B$2:$B$5000,MATCH(H190,DB_malas!$A$2:$A$5000,0)),$H190="ORG"),"✔",tulkojums!$A$38),tulkojums!$A$39),tulkojums!$A$39))</f>
        <v/>
      </c>
      <c r="Q190" s="2" t="str">
        <f>IF(ISBLANK(I190),"",IF(INDEX(DB_materiali!$E$2:$E$5000,MATCH($C190,DB_materiali!$A$2:$A$5000,0))&gt;=INDEX(DB_malas!$C$2:$C$5000,MATCH(I190,DB_malas!$A$2:$A$5000,0)),IF(INDEX(DB_materiali!$E$2:$E$5000,MATCH($C190,DB_materiali!$A$2:$A$5000,0))&lt;=INDEX(DB_malas!$D$2:$D$5000,MATCH(I190,DB_malas!$A$2:$A$5000,0)),IF(OR(INDEX(DB_materiali!$B$2:$B$5000,MATCH($C190,DB_materiali!$A$2:$A$5000,0))=INDEX(DB_malas!$B$2:$B$5000,MATCH(I190,DB_malas!$A$2:$A$5000,0)),$H190="ORG"),"✔",tulkojums!$A$38),tulkojums!$A$39),tulkojums!$A$39))</f>
        <v/>
      </c>
      <c r="R190" s="2" t="str">
        <f>IF(ISBLANK(J190),"",IF(INDEX(DB_materiali!$E$2:$E$5000,MATCH($C190,DB_materiali!$A$2:$A$5000,0))&gt;=INDEX(DB_malas!$C$2:$C$5000,MATCH(J190,DB_malas!$A$2:$A$5000,0)),IF(INDEX(DB_materiali!$E$2:$E$5000,MATCH($C190,DB_materiali!$A$2:$A$5000,0))&lt;=INDEX(DB_malas!$D$2:$D$5000,MATCH(J190,DB_malas!$A$2:$A$5000,0)),IF(INDEX(DB_materiali!$B$2:$B$5000,MATCH($C190,DB_materiali!$A$2:$A$5000,0))=INDEX(DB_malas!$B$2:$B$5000,MATCH(J190,DB_malas!$A$2:$A$5000,0)),"✔",tulkojums!$A$38),tulkojums!$A$39),tulkojums!$A$39))</f>
        <v/>
      </c>
      <c r="S190" s="2" t="str">
        <f>IF(ISBLANK(K190),"",IF(INDEX(DB_materiali!$E$2:$E$5000,MATCH($C190,DB_materiali!$A$2:$A$5000,0))&gt;=INDEX(DB_malas!$C$2:$C$5000,MATCH(K190,DB_malas!$A$2:$A$5000,0)),IF(INDEX(DB_materiali!$E$2:$E$5000,MATCH($C190,DB_materiali!$A$2:$A$5000,0))&lt;=INDEX(DB_malas!$D$2:$D$5000,MATCH(K190,DB_malas!$A$2:$A$5000,0)),IF(INDEX(DB_materiali!$B$2:$B$5000,MATCH($C190,DB_materiali!$A$2:$A$5000,0))=INDEX(DB_malas!$B$2:$B$5000,MATCH(K190,DB_malas!$A$2:$A$5000,0)),"✔",tulkojums!$A$38),tulkojums!$A$39),tulkojums!$A$39))</f>
        <v/>
      </c>
      <c r="T190" s="2"/>
      <c r="U190" s="2"/>
      <c r="V190" s="2"/>
      <c r="W190" s="2"/>
      <c r="X190" s="2"/>
      <c r="Y190" s="2"/>
      <c r="Z190" s="2"/>
    </row>
    <row r="191" spans="1:26" ht="15.75" customHeight="1">
      <c r="A191" s="17"/>
      <c r="B191" s="18"/>
      <c r="C191" s="19"/>
      <c r="D191" s="55"/>
      <c r="E191" s="55"/>
      <c r="F191" s="56"/>
      <c r="G191" s="57" t="str">
        <f>IF(ISBLANK(C191),"",
   IFERROR(
      IF(
         INDEX(DB_materiali!C$2:C$5000,
               MATCH(C191, DB_materiali!A$2:A$5000, 0)
         )="FALSE",
         "N",
         "Y"
      ),
   "")
)</f>
        <v/>
      </c>
      <c r="H191" s="20"/>
      <c r="I191" s="20"/>
      <c r="J191" s="20"/>
      <c r="K191" s="20"/>
      <c r="M191" s="2" t="str">
        <f>IF(ISBLANK(C191),"",IF(IFERROR(VLOOKUP(C191,DB_materiali!$A$2:$A$5000,1,FALSE),"Kļūda artikulā")=C191,"✔",tulkojums!A$42))</f>
        <v/>
      </c>
      <c r="N191" s="2" t="str">
        <f>IF(ISBLANK(C191),"",IF(ISNUMBER(F191)=TRUE,"✔",tulkojums!A$43))</f>
        <v/>
      </c>
      <c r="O191" s="2" t="str">
        <f>IF(ISBLANK(C191),"",IF(G191="Y","✔",IF(G191="X","✔",IF(G191="N","✔",tulkojums!A$44))))</f>
        <v/>
      </c>
      <c r="P191" s="2" t="str">
        <f>IF(ISBLANK(H191),"",IF(INDEX(DB_materiali!$E$2:$E$5000,MATCH($C191,DB_materiali!$A$2:$A$5000,0))&gt;=INDEX(DB_malas!$C$2:$C$5000,MATCH(H191,DB_malas!$A$2:$A$5000,0)),IF(INDEX(DB_materiali!$E$2:$E$5000,MATCH($C191,DB_materiali!$A$2:$A$5000,0))&lt;=INDEX(DB_malas!$D$2:$D$5000,MATCH(H191,DB_malas!$A$2:$A$5000,0)),IF(OR(INDEX(DB_materiali!$B$2:$B$5000,MATCH($C191,DB_materiali!$A$2:$A$5000,0))=INDEX(DB_malas!$B$2:$B$5000,MATCH(H191,DB_malas!$A$2:$A$5000,0)),$H191="ORG"),"✔",tulkojums!$A$38),tulkojums!$A$39),tulkojums!$A$39))</f>
        <v/>
      </c>
      <c r="Q191" s="2" t="str">
        <f>IF(ISBLANK(I191),"",IF(INDEX(DB_materiali!$E$2:$E$5000,MATCH($C191,DB_materiali!$A$2:$A$5000,0))&gt;=INDEX(DB_malas!$C$2:$C$5000,MATCH(I191,DB_malas!$A$2:$A$5000,0)),IF(INDEX(DB_materiali!$E$2:$E$5000,MATCH($C191,DB_materiali!$A$2:$A$5000,0))&lt;=INDEX(DB_malas!$D$2:$D$5000,MATCH(I191,DB_malas!$A$2:$A$5000,0)),IF(OR(INDEX(DB_materiali!$B$2:$B$5000,MATCH($C191,DB_materiali!$A$2:$A$5000,0))=INDEX(DB_malas!$B$2:$B$5000,MATCH(I191,DB_malas!$A$2:$A$5000,0)),$H191="ORG"),"✔",tulkojums!$A$38),tulkojums!$A$39),tulkojums!$A$39))</f>
        <v/>
      </c>
      <c r="R191" s="2" t="str">
        <f>IF(ISBLANK(J191),"",IF(INDEX(DB_materiali!$E$2:$E$5000,MATCH($C191,DB_materiali!$A$2:$A$5000,0))&gt;=INDEX(DB_malas!$C$2:$C$5000,MATCH(J191,DB_malas!$A$2:$A$5000,0)),IF(INDEX(DB_materiali!$E$2:$E$5000,MATCH($C191,DB_materiali!$A$2:$A$5000,0))&lt;=INDEX(DB_malas!$D$2:$D$5000,MATCH(J191,DB_malas!$A$2:$A$5000,0)),IF(INDEX(DB_materiali!$B$2:$B$5000,MATCH($C191,DB_materiali!$A$2:$A$5000,0))=INDEX(DB_malas!$B$2:$B$5000,MATCH(J191,DB_malas!$A$2:$A$5000,0)),"✔",tulkojums!$A$38),tulkojums!$A$39),tulkojums!$A$39))</f>
        <v/>
      </c>
      <c r="S191" s="2" t="str">
        <f>IF(ISBLANK(K191),"",IF(INDEX(DB_materiali!$E$2:$E$5000,MATCH($C191,DB_materiali!$A$2:$A$5000,0))&gt;=INDEX(DB_malas!$C$2:$C$5000,MATCH(K191,DB_malas!$A$2:$A$5000,0)),IF(INDEX(DB_materiali!$E$2:$E$5000,MATCH($C191,DB_materiali!$A$2:$A$5000,0))&lt;=INDEX(DB_malas!$D$2:$D$5000,MATCH(K191,DB_malas!$A$2:$A$5000,0)),IF(INDEX(DB_materiali!$B$2:$B$5000,MATCH($C191,DB_materiali!$A$2:$A$5000,0))=INDEX(DB_malas!$B$2:$B$5000,MATCH(K191,DB_malas!$A$2:$A$5000,0)),"✔",tulkojums!$A$38),tulkojums!$A$39),tulkojums!$A$39))</f>
        <v/>
      </c>
      <c r="T191" s="2"/>
      <c r="U191" s="2"/>
      <c r="V191" s="2"/>
      <c r="W191" s="2"/>
      <c r="X191" s="2"/>
      <c r="Y191" s="2"/>
      <c r="Z191" s="2"/>
    </row>
    <row r="192" spans="1:26" ht="15.75" customHeight="1">
      <c r="A192" s="17"/>
      <c r="B192" s="18"/>
      <c r="C192" s="19"/>
      <c r="D192" s="55"/>
      <c r="E192" s="55"/>
      <c r="F192" s="56"/>
      <c r="G192" s="57" t="str">
        <f>IF(ISBLANK(C192),"",
   IFERROR(
      IF(
         INDEX(DB_materiali!C$2:C$5000,
               MATCH(C192, DB_materiali!A$2:A$5000, 0)
         )="FALSE",
         "N",
         "Y"
      ),
   "")
)</f>
        <v/>
      </c>
      <c r="H192" s="20"/>
      <c r="I192" s="20"/>
      <c r="J192" s="20"/>
      <c r="K192" s="20"/>
      <c r="M192" s="2" t="str">
        <f>IF(ISBLANK(C192),"",IF(IFERROR(VLOOKUP(C192,DB_materiali!$A$2:$A$5000,1,FALSE),"Kļūda artikulā")=C192,"✔",tulkojums!A$42))</f>
        <v/>
      </c>
      <c r="N192" s="2" t="str">
        <f>IF(ISBLANK(C192),"",IF(ISNUMBER(F192)=TRUE,"✔",tulkojums!A$43))</f>
        <v/>
      </c>
      <c r="O192" s="2" t="str">
        <f>IF(ISBLANK(C192),"",IF(G192="Y","✔",IF(G192="X","✔",IF(G192="N","✔",tulkojums!A$44))))</f>
        <v/>
      </c>
      <c r="P192" s="2" t="str">
        <f>IF(ISBLANK(H192),"",IF(INDEX(DB_materiali!$E$2:$E$5000,MATCH($C192,DB_materiali!$A$2:$A$5000,0))&gt;=INDEX(DB_malas!$C$2:$C$5000,MATCH(H192,DB_malas!$A$2:$A$5000,0)),IF(INDEX(DB_materiali!$E$2:$E$5000,MATCH($C192,DB_materiali!$A$2:$A$5000,0))&lt;=INDEX(DB_malas!$D$2:$D$5000,MATCH(H192,DB_malas!$A$2:$A$5000,0)),IF(OR(INDEX(DB_materiali!$B$2:$B$5000,MATCH($C192,DB_materiali!$A$2:$A$5000,0))=INDEX(DB_malas!$B$2:$B$5000,MATCH(H192,DB_malas!$A$2:$A$5000,0)),$H192="ORG"),"✔",tulkojums!$A$38),tulkojums!$A$39),tulkojums!$A$39))</f>
        <v/>
      </c>
      <c r="Q192" s="2" t="str">
        <f>IF(ISBLANK(I192),"",IF(INDEX(DB_materiali!$E$2:$E$5000,MATCH($C192,DB_materiali!$A$2:$A$5000,0))&gt;=INDEX(DB_malas!$C$2:$C$5000,MATCH(I192,DB_malas!$A$2:$A$5000,0)),IF(INDEX(DB_materiali!$E$2:$E$5000,MATCH($C192,DB_materiali!$A$2:$A$5000,0))&lt;=INDEX(DB_malas!$D$2:$D$5000,MATCH(I192,DB_malas!$A$2:$A$5000,0)),IF(OR(INDEX(DB_materiali!$B$2:$B$5000,MATCH($C192,DB_materiali!$A$2:$A$5000,0))=INDEX(DB_malas!$B$2:$B$5000,MATCH(I192,DB_malas!$A$2:$A$5000,0)),$H192="ORG"),"✔",tulkojums!$A$38),tulkojums!$A$39),tulkojums!$A$39))</f>
        <v/>
      </c>
      <c r="R192" s="2" t="str">
        <f>IF(ISBLANK(J192),"",IF(INDEX(DB_materiali!$E$2:$E$5000,MATCH($C192,DB_materiali!$A$2:$A$5000,0))&gt;=INDEX(DB_malas!$C$2:$C$5000,MATCH(J192,DB_malas!$A$2:$A$5000,0)),IF(INDEX(DB_materiali!$E$2:$E$5000,MATCH($C192,DB_materiali!$A$2:$A$5000,0))&lt;=INDEX(DB_malas!$D$2:$D$5000,MATCH(J192,DB_malas!$A$2:$A$5000,0)),IF(INDEX(DB_materiali!$B$2:$B$5000,MATCH($C192,DB_materiali!$A$2:$A$5000,0))=INDEX(DB_malas!$B$2:$B$5000,MATCH(J192,DB_malas!$A$2:$A$5000,0)),"✔",tulkojums!$A$38),tulkojums!$A$39),tulkojums!$A$39))</f>
        <v/>
      </c>
      <c r="S192" s="2" t="str">
        <f>IF(ISBLANK(K192),"",IF(INDEX(DB_materiali!$E$2:$E$5000,MATCH($C192,DB_materiali!$A$2:$A$5000,0))&gt;=INDEX(DB_malas!$C$2:$C$5000,MATCH(K192,DB_malas!$A$2:$A$5000,0)),IF(INDEX(DB_materiali!$E$2:$E$5000,MATCH($C192,DB_materiali!$A$2:$A$5000,0))&lt;=INDEX(DB_malas!$D$2:$D$5000,MATCH(K192,DB_malas!$A$2:$A$5000,0)),IF(INDEX(DB_materiali!$B$2:$B$5000,MATCH($C192,DB_materiali!$A$2:$A$5000,0))=INDEX(DB_malas!$B$2:$B$5000,MATCH(K192,DB_malas!$A$2:$A$5000,0)),"✔",tulkojums!$A$38),tulkojums!$A$39),tulkojums!$A$39))</f>
        <v/>
      </c>
      <c r="T192" s="2"/>
      <c r="U192" s="2"/>
      <c r="V192" s="2"/>
      <c r="W192" s="2"/>
      <c r="X192" s="2"/>
      <c r="Y192" s="2"/>
      <c r="Z192" s="2"/>
    </row>
    <row r="193" spans="1:26" ht="15.75" customHeight="1">
      <c r="A193" s="17"/>
      <c r="B193" s="18"/>
      <c r="C193" s="19"/>
      <c r="D193" s="55"/>
      <c r="E193" s="55"/>
      <c r="F193" s="56"/>
      <c r="G193" s="57" t="str">
        <f>IF(ISBLANK(C193),"",
   IFERROR(
      IF(
         INDEX(DB_materiali!C$2:C$5000,
               MATCH(C193, DB_materiali!A$2:A$5000, 0)
         )="FALSE",
         "N",
         "Y"
      ),
   "")
)</f>
        <v/>
      </c>
      <c r="H193" s="20"/>
      <c r="I193" s="20"/>
      <c r="J193" s="20"/>
      <c r="K193" s="20"/>
      <c r="M193" s="2" t="str">
        <f>IF(ISBLANK(C193),"",IF(IFERROR(VLOOKUP(C193,DB_materiali!$A$2:$A$5000,1,FALSE),"Kļūda artikulā")=C193,"✔",tulkojums!A$42))</f>
        <v/>
      </c>
      <c r="N193" s="2" t="str">
        <f>IF(ISBLANK(C193),"",IF(ISNUMBER(F193)=TRUE,"✔",tulkojums!A$43))</f>
        <v/>
      </c>
      <c r="O193" s="2" t="str">
        <f>IF(ISBLANK(C193),"",IF(G193="Y","✔",IF(G193="X","✔",IF(G193="N","✔",tulkojums!A$44))))</f>
        <v/>
      </c>
      <c r="P193" s="2" t="str">
        <f>IF(ISBLANK(H193),"",IF(INDEX(DB_materiali!$E$2:$E$5000,MATCH($C193,DB_materiali!$A$2:$A$5000,0))&gt;=INDEX(DB_malas!$C$2:$C$5000,MATCH(H193,DB_malas!$A$2:$A$5000,0)),IF(INDEX(DB_materiali!$E$2:$E$5000,MATCH($C193,DB_materiali!$A$2:$A$5000,0))&lt;=INDEX(DB_malas!$D$2:$D$5000,MATCH(H193,DB_malas!$A$2:$A$5000,0)),IF(OR(INDEX(DB_materiali!$B$2:$B$5000,MATCH($C193,DB_materiali!$A$2:$A$5000,0))=INDEX(DB_malas!$B$2:$B$5000,MATCH(H193,DB_malas!$A$2:$A$5000,0)),$H193="ORG"),"✔",tulkojums!$A$38),tulkojums!$A$39),tulkojums!$A$39))</f>
        <v/>
      </c>
      <c r="Q193" s="2" t="str">
        <f>IF(ISBLANK(I193),"",IF(INDEX(DB_materiali!$E$2:$E$5000,MATCH($C193,DB_materiali!$A$2:$A$5000,0))&gt;=INDEX(DB_malas!$C$2:$C$5000,MATCH(I193,DB_malas!$A$2:$A$5000,0)),IF(INDEX(DB_materiali!$E$2:$E$5000,MATCH($C193,DB_materiali!$A$2:$A$5000,0))&lt;=INDEX(DB_malas!$D$2:$D$5000,MATCH(I193,DB_malas!$A$2:$A$5000,0)),IF(OR(INDEX(DB_materiali!$B$2:$B$5000,MATCH($C193,DB_materiali!$A$2:$A$5000,0))=INDEX(DB_malas!$B$2:$B$5000,MATCH(I193,DB_malas!$A$2:$A$5000,0)),$H193="ORG"),"✔",tulkojums!$A$38),tulkojums!$A$39),tulkojums!$A$39))</f>
        <v/>
      </c>
      <c r="R193" s="2" t="str">
        <f>IF(ISBLANK(J193),"",IF(INDEX(DB_materiali!$E$2:$E$5000,MATCH($C193,DB_materiali!$A$2:$A$5000,0))&gt;=INDEX(DB_malas!$C$2:$C$5000,MATCH(J193,DB_malas!$A$2:$A$5000,0)),IF(INDEX(DB_materiali!$E$2:$E$5000,MATCH($C193,DB_materiali!$A$2:$A$5000,0))&lt;=INDEX(DB_malas!$D$2:$D$5000,MATCH(J193,DB_malas!$A$2:$A$5000,0)),IF(INDEX(DB_materiali!$B$2:$B$5000,MATCH($C193,DB_materiali!$A$2:$A$5000,0))=INDEX(DB_malas!$B$2:$B$5000,MATCH(J193,DB_malas!$A$2:$A$5000,0)),"✔",tulkojums!$A$38),tulkojums!$A$39),tulkojums!$A$39))</f>
        <v/>
      </c>
      <c r="S193" s="2" t="str">
        <f>IF(ISBLANK(K193),"",IF(INDEX(DB_materiali!$E$2:$E$5000,MATCH($C193,DB_materiali!$A$2:$A$5000,0))&gt;=INDEX(DB_malas!$C$2:$C$5000,MATCH(K193,DB_malas!$A$2:$A$5000,0)),IF(INDEX(DB_materiali!$E$2:$E$5000,MATCH($C193,DB_materiali!$A$2:$A$5000,0))&lt;=INDEX(DB_malas!$D$2:$D$5000,MATCH(K193,DB_malas!$A$2:$A$5000,0)),IF(INDEX(DB_materiali!$B$2:$B$5000,MATCH($C193,DB_materiali!$A$2:$A$5000,0))=INDEX(DB_malas!$B$2:$B$5000,MATCH(K193,DB_malas!$A$2:$A$5000,0)),"✔",tulkojums!$A$38),tulkojums!$A$39),tulkojums!$A$39))</f>
        <v/>
      </c>
      <c r="T193" s="2"/>
      <c r="U193" s="2"/>
      <c r="V193" s="2"/>
      <c r="W193" s="2"/>
      <c r="X193" s="2"/>
      <c r="Y193" s="2"/>
      <c r="Z193" s="2"/>
    </row>
    <row r="194" spans="1:26" ht="15.75" customHeight="1">
      <c r="A194" s="17"/>
      <c r="B194" s="18"/>
      <c r="C194" s="19"/>
      <c r="D194" s="55"/>
      <c r="E194" s="55"/>
      <c r="F194" s="56"/>
      <c r="G194" s="57" t="str">
        <f>IF(ISBLANK(C194),"",
   IFERROR(
      IF(
         INDEX(DB_materiali!C$2:C$5000,
               MATCH(C194, DB_materiali!A$2:A$5000, 0)
         )="FALSE",
         "N",
         "Y"
      ),
   "")
)</f>
        <v/>
      </c>
      <c r="H194" s="20"/>
      <c r="I194" s="20"/>
      <c r="J194" s="20"/>
      <c r="K194" s="20"/>
      <c r="M194" s="2" t="str">
        <f>IF(ISBLANK(C194),"",IF(IFERROR(VLOOKUP(C194,DB_materiali!$A$2:$A$5000,1,FALSE),"Kļūda artikulā")=C194,"✔",tulkojums!A$42))</f>
        <v/>
      </c>
      <c r="N194" s="2" t="str">
        <f>IF(ISBLANK(C194),"",IF(ISNUMBER(F194)=TRUE,"✔",tulkojums!A$43))</f>
        <v/>
      </c>
      <c r="O194" s="2" t="str">
        <f>IF(ISBLANK(C194),"",IF(G194="Y","✔",IF(G194="X","✔",IF(G194="N","✔",tulkojums!A$44))))</f>
        <v/>
      </c>
      <c r="P194" s="2" t="str">
        <f>IF(ISBLANK(H194),"",IF(INDEX(DB_materiali!$E$2:$E$5000,MATCH($C194,DB_materiali!$A$2:$A$5000,0))&gt;=INDEX(DB_malas!$C$2:$C$5000,MATCH(H194,DB_malas!$A$2:$A$5000,0)),IF(INDEX(DB_materiali!$E$2:$E$5000,MATCH($C194,DB_materiali!$A$2:$A$5000,0))&lt;=INDEX(DB_malas!$D$2:$D$5000,MATCH(H194,DB_malas!$A$2:$A$5000,0)),IF(OR(INDEX(DB_materiali!$B$2:$B$5000,MATCH($C194,DB_materiali!$A$2:$A$5000,0))=INDEX(DB_malas!$B$2:$B$5000,MATCH(H194,DB_malas!$A$2:$A$5000,0)),$H194="ORG"),"✔",tulkojums!$A$38),tulkojums!$A$39),tulkojums!$A$39))</f>
        <v/>
      </c>
      <c r="Q194" s="2" t="str">
        <f>IF(ISBLANK(I194),"",IF(INDEX(DB_materiali!$E$2:$E$5000,MATCH($C194,DB_materiali!$A$2:$A$5000,0))&gt;=INDEX(DB_malas!$C$2:$C$5000,MATCH(I194,DB_malas!$A$2:$A$5000,0)),IF(INDEX(DB_materiali!$E$2:$E$5000,MATCH($C194,DB_materiali!$A$2:$A$5000,0))&lt;=INDEX(DB_malas!$D$2:$D$5000,MATCH(I194,DB_malas!$A$2:$A$5000,0)),IF(OR(INDEX(DB_materiali!$B$2:$B$5000,MATCH($C194,DB_materiali!$A$2:$A$5000,0))=INDEX(DB_malas!$B$2:$B$5000,MATCH(I194,DB_malas!$A$2:$A$5000,0)),$H194="ORG"),"✔",tulkojums!$A$38),tulkojums!$A$39),tulkojums!$A$39))</f>
        <v/>
      </c>
      <c r="R194" s="2" t="str">
        <f>IF(ISBLANK(J194),"",IF(INDEX(DB_materiali!$E$2:$E$5000,MATCH($C194,DB_materiali!$A$2:$A$5000,0))&gt;=INDEX(DB_malas!$C$2:$C$5000,MATCH(J194,DB_malas!$A$2:$A$5000,0)),IF(INDEX(DB_materiali!$E$2:$E$5000,MATCH($C194,DB_materiali!$A$2:$A$5000,0))&lt;=INDEX(DB_malas!$D$2:$D$5000,MATCH(J194,DB_malas!$A$2:$A$5000,0)),IF(INDEX(DB_materiali!$B$2:$B$5000,MATCH($C194,DB_materiali!$A$2:$A$5000,0))=INDEX(DB_malas!$B$2:$B$5000,MATCH(J194,DB_malas!$A$2:$A$5000,0)),"✔",tulkojums!$A$38),tulkojums!$A$39),tulkojums!$A$39))</f>
        <v/>
      </c>
      <c r="S194" s="2" t="str">
        <f>IF(ISBLANK(K194),"",IF(INDEX(DB_materiali!$E$2:$E$5000,MATCH($C194,DB_materiali!$A$2:$A$5000,0))&gt;=INDEX(DB_malas!$C$2:$C$5000,MATCH(K194,DB_malas!$A$2:$A$5000,0)),IF(INDEX(DB_materiali!$E$2:$E$5000,MATCH($C194,DB_materiali!$A$2:$A$5000,0))&lt;=INDEX(DB_malas!$D$2:$D$5000,MATCH(K194,DB_malas!$A$2:$A$5000,0)),IF(INDEX(DB_materiali!$B$2:$B$5000,MATCH($C194,DB_materiali!$A$2:$A$5000,0))=INDEX(DB_malas!$B$2:$B$5000,MATCH(K194,DB_malas!$A$2:$A$5000,0)),"✔",tulkojums!$A$38),tulkojums!$A$39),tulkojums!$A$39))</f>
        <v/>
      </c>
      <c r="T194" s="2"/>
      <c r="U194" s="2"/>
      <c r="V194" s="2"/>
      <c r="W194" s="2"/>
      <c r="X194" s="2"/>
      <c r="Y194" s="2"/>
      <c r="Z194" s="2"/>
    </row>
    <row r="195" spans="1:26" ht="15.75" customHeight="1">
      <c r="A195" s="17"/>
      <c r="B195" s="18"/>
      <c r="C195" s="19"/>
      <c r="D195" s="55"/>
      <c r="E195" s="55"/>
      <c r="F195" s="56"/>
      <c r="G195" s="57" t="str">
        <f>IF(ISBLANK(C195),"",
   IFERROR(
      IF(
         INDEX(DB_materiali!C$2:C$5000,
               MATCH(C195, DB_materiali!A$2:A$5000, 0)
         )="FALSE",
         "N",
         "Y"
      ),
   "")
)</f>
        <v/>
      </c>
      <c r="H195" s="20"/>
      <c r="I195" s="20"/>
      <c r="J195" s="20"/>
      <c r="K195" s="20"/>
      <c r="M195" s="2" t="str">
        <f>IF(ISBLANK(C195),"",IF(IFERROR(VLOOKUP(C195,DB_materiali!$A$2:$A$5000,1,FALSE),"Kļūda artikulā")=C195,"✔",tulkojums!A$42))</f>
        <v/>
      </c>
      <c r="N195" s="2" t="str">
        <f>IF(ISBLANK(C195),"",IF(ISNUMBER(F195)=TRUE,"✔",tulkojums!A$43))</f>
        <v/>
      </c>
      <c r="O195" s="2" t="str">
        <f>IF(ISBLANK(C195),"",IF(G195="Y","✔",IF(G195="X","✔",IF(G195="N","✔",tulkojums!A$44))))</f>
        <v/>
      </c>
      <c r="P195" s="2" t="str">
        <f>IF(ISBLANK(H195),"",IF(INDEX(DB_materiali!$E$2:$E$5000,MATCH($C195,DB_materiali!$A$2:$A$5000,0))&gt;=INDEX(DB_malas!$C$2:$C$5000,MATCH(H195,DB_malas!$A$2:$A$5000,0)),IF(INDEX(DB_materiali!$E$2:$E$5000,MATCH($C195,DB_materiali!$A$2:$A$5000,0))&lt;=INDEX(DB_malas!$D$2:$D$5000,MATCH(H195,DB_malas!$A$2:$A$5000,0)),IF(OR(INDEX(DB_materiali!$B$2:$B$5000,MATCH($C195,DB_materiali!$A$2:$A$5000,0))=INDEX(DB_malas!$B$2:$B$5000,MATCH(H195,DB_malas!$A$2:$A$5000,0)),$H195="ORG"),"✔",tulkojums!$A$38),tulkojums!$A$39),tulkojums!$A$39))</f>
        <v/>
      </c>
      <c r="Q195" s="2" t="str">
        <f>IF(ISBLANK(I195),"",IF(INDEX(DB_materiali!$E$2:$E$5000,MATCH($C195,DB_materiali!$A$2:$A$5000,0))&gt;=INDEX(DB_malas!$C$2:$C$5000,MATCH(I195,DB_malas!$A$2:$A$5000,0)),IF(INDEX(DB_materiali!$E$2:$E$5000,MATCH($C195,DB_materiali!$A$2:$A$5000,0))&lt;=INDEX(DB_malas!$D$2:$D$5000,MATCH(I195,DB_malas!$A$2:$A$5000,0)),IF(OR(INDEX(DB_materiali!$B$2:$B$5000,MATCH($C195,DB_materiali!$A$2:$A$5000,0))=INDEX(DB_malas!$B$2:$B$5000,MATCH(I195,DB_malas!$A$2:$A$5000,0)),$H195="ORG"),"✔",tulkojums!$A$38),tulkojums!$A$39),tulkojums!$A$39))</f>
        <v/>
      </c>
      <c r="R195" s="2" t="str">
        <f>IF(ISBLANK(J195),"",IF(INDEX(DB_materiali!$E$2:$E$5000,MATCH($C195,DB_materiali!$A$2:$A$5000,0))&gt;=INDEX(DB_malas!$C$2:$C$5000,MATCH(J195,DB_malas!$A$2:$A$5000,0)),IF(INDEX(DB_materiali!$E$2:$E$5000,MATCH($C195,DB_materiali!$A$2:$A$5000,0))&lt;=INDEX(DB_malas!$D$2:$D$5000,MATCH(J195,DB_malas!$A$2:$A$5000,0)),IF(INDEX(DB_materiali!$B$2:$B$5000,MATCH($C195,DB_materiali!$A$2:$A$5000,0))=INDEX(DB_malas!$B$2:$B$5000,MATCH(J195,DB_malas!$A$2:$A$5000,0)),"✔",tulkojums!$A$38),tulkojums!$A$39),tulkojums!$A$39))</f>
        <v/>
      </c>
      <c r="S195" s="2" t="str">
        <f>IF(ISBLANK(K195),"",IF(INDEX(DB_materiali!$E$2:$E$5000,MATCH($C195,DB_materiali!$A$2:$A$5000,0))&gt;=INDEX(DB_malas!$C$2:$C$5000,MATCH(K195,DB_malas!$A$2:$A$5000,0)),IF(INDEX(DB_materiali!$E$2:$E$5000,MATCH($C195,DB_materiali!$A$2:$A$5000,0))&lt;=INDEX(DB_malas!$D$2:$D$5000,MATCH(K195,DB_malas!$A$2:$A$5000,0)),IF(INDEX(DB_materiali!$B$2:$B$5000,MATCH($C195,DB_materiali!$A$2:$A$5000,0))=INDEX(DB_malas!$B$2:$B$5000,MATCH(K195,DB_malas!$A$2:$A$5000,0)),"✔",tulkojums!$A$38),tulkojums!$A$39),tulkojums!$A$39))</f>
        <v/>
      </c>
      <c r="T195" s="2"/>
      <c r="U195" s="2"/>
      <c r="V195" s="2"/>
      <c r="W195" s="2"/>
      <c r="X195" s="2"/>
      <c r="Y195" s="2"/>
      <c r="Z195" s="2"/>
    </row>
    <row r="196" spans="1:26" ht="15.75" customHeight="1">
      <c r="A196" s="17"/>
      <c r="B196" s="18"/>
      <c r="C196" s="19"/>
      <c r="D196" s="55"/>
      <c r="E196" s="55"/>
      <c r="F196" s="56"/>
      <c r="G196" s="57" t="str">
        <f>IF(ISBLANK(C196),"",
   IFERROR(
      IF(
         INDEX(DB_materiali!C$2:C$5000,
               MATCH(C196, DB_materiali!A$2:A$5000, 0)
         )="FALSE",
         "N",
         "Y"
      ),
   "")
)</f>
        <v/>
      </c>
      <c r="H196" s="20"/>
      <c r="I196" s="20"/>
      <c r="J196" s="20"/>
      <c r="K196" s="20"/>
      <c r="M196" s="2" t="str">
        <f>IF(ISBLANK(C196),"",IF(IFERROR(VLOOKUP(C196,DB_materiali!$A$2:$A$5000,1,FALSE),"Kļūda artikulā")=C196,"✔",tulkojums!A$42))</f>
        <v/>
      </c>
      <c r="N196" s="2" t="str">
        <f>IF(ISBLANK(C196),"",IF(ISNUMBER(F196)=TRUE,"✔",tulkojums!A$43))</f>
        <v/>
      </c>
      <c r="O196" s="2" t="str">
        <f>IF(ISBLANK(C196),"",IF(G196="Y","✔",IF(G196="X","✔",IF(G196="N","✔",tulkojums!A$44))))</f>
        <v/>
      </c>
      <c r="P196" s="2" t="str">
        <f>IF(ISBLANK(H196),"",IF(INDEX(DB_materiali!$E$2:$E$5000,MATCH($C196,DB_materiali!$A$2:$A$5000,0))&gt;=INDEX(DB_malas!$C$2:$C$5000,MATCH(H196,DB_malas!$A$2:$A$5000,0)),IF(INDEX(DB_materiali!$E$2:$E$5000,MATCH($C196,DB_materiali!$A$2:$A$5000,0))&lt;=INDEX(DB_malas!$D$2:$D$5000,MATCH(H196,DB_malas!$A$2:$A$5000,0)),IF(OR(INDEX(DB_materiali!$B$2:$B$5000,MATCH($C196,DB_materiali!$A$2:$A$5000,0))=INDEX(DB_malas!$B$2:$B$5000,MATCH(H196,DB_malas!$A$2:$A$5000,0)),$H196="ORG"),"✔",tulkojums!$A$38),tulkojums!$A$39),tulkojums!$A$39))</f>
        <v/>
      </c>
      <c r="Q196" s="2" t="str">
        <f>IF(ISBLANK(I196),"",IF(INDEX(DB_materiali!$E$2:$E$5000,MATCH($C196,DB_materiali!$A$2:$A$5000,0))&gt;=INDEX(DB_malas!$C$2:$C$5000,MATCH(I196,DB_malas!$A$2:$A$5000,0)),IF(INDEX(DB_materiali!$E$2:$E$5000,MATCH($C196,DB_materiali!$A$2:$A$5000,0))&lt;=INDEX(DB_malas!$D$2:$D$5000,MATCH(I196,DB_malas!$A$2:$A$5000,0)),IF(OR(INDEX(DB_materiali!$B$2:$B$5000,MATCH($C196,DB_materiali!$A$2:$A$5000,0))=INDEX(DB_malas!$B$2:$B$5000,MATCH(I196,DB_malas!$A$2:$A$5000,0)),$H196="ORG"),"✔",tulkojums!$A$38),tulkojums!$A$39),tulkojums!$A$39))</f>
        <v/>
      </c>
      <c r="R196" s="2" t="str">
        <f>IF(ISBLANK(J196),"",IF(INDEX(DB_materiali!$E$2:$E$5000,MATCH($C196,DB_materiali!$A$2:$A$5000,0))&gt;=INDEX(DB_malas!$C$2:$C$5000,MATCH(J196,DB_malas!$A$2:$A$5000,0)),IF(INDEX(DB_materiali!$E$2:$E$5000,MATCH($C196,DB_materiali!$A$2:$A$5000,0))&lt;=INDEX(DB_malas!$D$2:$D$5000,MATCH(J196,DB_malas!$A$2:$A$5000,0)),IF(INDEX(DB_materiali!$B$2:$B$5000,MATCH($C196,DB_materiali!$A$2:$A$5000,0))=INDEX(DB_malas!$B$2:$B$5000,MATCH(J196,DB_malas!$A$2:$A$5000,0)),"✔",tulkojums!$A$38),tulkojums!$A$39),tulkojums!$A$39))</f>
        <v/>
      </c>
      <c r="S196" s="2" t="str">
        <f>IF(ISBLANK(K196),"",IF(INDEX(DB_materiali!$E$2:$E$5000,MATCH($C196,DB_materiali!$A$2:$A$5000,0))&gt;=INDEX(DB_malas!$C$2:$C$5000,MATCH(K196,DB_malas!$A$2:$A$5000,0)),IF(INDEX(DB_materiali!$E$2:$E$5000,MATCH($C196,DB_materiali!$A$2:$A$5000,0))&lt;=INDEX(DB_malas!$D$2:$D$5000,MATCH(K196,DB_malas!$A$2:$A$5000,0)),IF(INDEX(DB_materiali!$B$2:$B$5000,MATCH($C196,DB_materiali!$A$2:$A$5000,0))=INDEX(DB_malas!$B$2:$B$5000,MATCH(K196,DB_malas!$A$2:$A$5000,0)),"✔",tulkojums!$A$38),tulkojums!$A$39),tulkojums!$A$39))</f>
        <v/>
      </c>
      <c r="T196" s="2"/>
      <c r="U196" s="2"/>
      <c r="V196" s="2"/>
      <c r="W196" s="2"/>
      <c r="X196" s="2"/>
      <c r="Y196" s="2"/>
      <c r="Z196" s="2"/>
    </row>
    <row r="197" spans="1:26" ht="15.75" customHeight="1">
      <c r="A197" s="17"/>
      <c r="B197" s="18"/>
      <c r="C197" s="19"/>
      <c r="D197" s="55"/>
      <c r="E197" s="55"/>
      <c r="F197" s="56"/>
      <c r="G197" s="57" t="str">
        <f>IF(ISBLANK(C197),"",
   IFERROR(
      IF(
         INDEX(DB_materiali!C$2:C$5000,
               MATCH(C197, DB_materiali!A$2:A$5000, 0)
         )="FALSE",
         "N",
         "Y"
      ),
   "")
)</f>
        <v/>
      </c>
      <c r="H197" s="20"/>
      <c r="I197" s="20"/>
      <c r="J197" s="20"/>
      <c r="K197" s="20"/>
      <c r="M197" s="2" t="str">
        <f>IF(ISBLANK(C197),"",IF(IFERROR(VLOOKUP(C197,DB_materiali!$A$2:$A$5000,1,FALSE),"Kļūda artikulā")=C197,"✔",tulkojums!A$42))</f>
        <v/>
      </c>
      <c r="N197" s="2" t="str">
        <f>IF(ISBLANK(C197),"",IF(ISNUMBER(F197)=TRUE,"✔",tulkojums!A$43))</f>
        <v/>
      </c>
      <c r="O197" s="2" t="str">
        <f>IF(ISBLANK(C197),"",IF(G197="Y","✔",IF(G197="X","✔",IF(G197="N","✔",tulkojums!A$44))))</f>
        <v/>
      </c>
      <c r="P197" s="2" t="str">
        <f>IF(ISBLANK(H197),"",IF(INDEX(DB_materiali!$E$2:$E$5000,MATCH($C197,DB_materiali!$A$2:$A$5000,0))&gt;=INDEX(DB_malas!$C$2:$C$5000,MATCH(H197,DB_malas!$A$2:$A$5000,0)),IF(INDEX(DB_materiali!$E$2:$E$5000,MATCH($C197,DB_materiali!$A$2:$A$5000,0))&lt;=INDEX(DB_malas!$D$2:$D$5000,MATCH(H197,DB_malas!$A$2:$A$5000,0)),IF(OR(INDEX(DB_materiali!$B$2:$B$5000,MATCH($C197,DB_materiali!$A$2:$A$5000,0))=INDEX(DB_malas!$B$2:$B$5000,MATCH(H197,DB_malas!$A$2:$A$5000,0)),$H197="ORG"),"✔",tulkojums!$A$38),tulkojums!$A$39),tulkojums!$A$39))</f>
        <v/>
      </c>
      <c r="Q197" s="2" t="str">
        <f>IF(ISBLANK(I197),"",IF(INDEX(DB_materiali!$E$2:$E$5000,MATCH($C197,DB_materiali!$A$2:$A$5000,0))&gt;=INDEX(DB_malas!$C$2:$C$5000,MATCH(I197,DB_malas!$A$2:$A$5000,0)),IF(INDEX(DB_materiali!$E$2:$E$5000,MATCH($C197,DB_materiali!$A$2:$A$5000,0))&lt;=INDEX(DB_malas!$D$2:$D$5000,MATCH(I197,DB_malas!$A$2:$A$5000,0)),IF(OR(INDEX(DB_materiali!$B$2:$B$5000,MATCH($C197,DB_materiali!$A$2:$A$5000,0))=INDEX(DB_malas!$B$2:$B$5000,MATCH(I197,DB_malas!$A$2:$A$5000,0)),$H197="ORG"),"✔",tulkojums!$A$38),tulkojums!$A$39),tulkojums!$A$39))</f>
        <v/>
      </c>
      <c r="R197" s="2" t="str">
        <f>IF(ISBLANK(J197),"",IF(INDEX(DB_materiali!$E$2:$E$5000,MATCH($C197,DB_materiali!$A$2:$A$5000,0))&gt;=INDEX(DB_malas!$C$2:$C$5000,MATCH(J197,DB_malas!$A$2:$A$5000,0)),IF(INDEX(DB_materiali!$E$2:$E$5000,MATCH($C197,DB_materiali!$A$2:$A$5000,0))&lt;=INDEX(DB_malas!$D$2:$D$5000,MATCH(J197,DB_malas!$A$2:$A$5000,0)),IF(INDEX(DB_materiali!$B$2:$B$5000,MATCH($C197,DB_materiali!$A$2:$A$5000,0))=INDEX(DB_malas!$B$2:$B$5000,MATCH(J197,DB_malas!$A$2:$A$5000,0)),"✔",tulkojums!$A$38),tulkojums!$A$39),tulkojums!$A$39))</f>
        <v/>
      </c>
      <c r="S197" s="2" t="str">
        <f>IF(ISBLANK(K197),"",IF(INDEX(DB_materiali!$E$2:$E$5000,MATCH($C197,DB_materiali!$A$2:$A$5000,0))&gt;=INDEX(DB_malas!$C$2:$C$5000,MATCH(K197,DB_malas!$A$2:$A$5000,0)),IF(INDEX(DB_materiali!$E$2:$E$5000,MATCH($C197,DB_materiali!$A$2:$A$5000,0))&lt;=INDEX(DB_malas!$D$2:$D$5000,MATCH(K197,DB_malas!$A$2:$A$5000,0)),IF(INDEX(DB_materiali!$B$2:$B$5000,MATCH($C197,DB_materiali!$A$2:$A$5000,0))=INDEX(DB_malas!$B$2:$B$5000,MATCH(K197,DB_malas!$A$2:$A$5000,0)),"✔",tulkojums!$A$38),tulkojums!$A$39),tulkojums!$A$39))</f>
        <v/>
      </c>
      <c r="T197" s="2"/>
      <c r="U197" s="2"/>
      <c r="V197" s="2"/>
      <c r="W197" s="2"/>
      <c r="X197" s="2"/>
      <c r="Y197" s="2"/>
      <c r="Z197" s="2"/>
    </row>
    <row r="198" spans="1:26" ht="15.75" customHeight="1">
      <c r="A198" s="17"/>
      <c r="B198" s="18"/>
      <c r="C198" s="19"/>
      <c r="D198" s="55"/>
      <c r="E198" s="55"/>
      <c r="F198" s="56"/>
      <c r="G198" s="57" t="str">
        <f>IF(ISBLANK(C198),"",
   IFERROR(
      IF(
         INDEX(DB_materiali!C$2:C$5000,
               MATCH(C198, DB_materiali!A$2:A$5000, 0)
         )="FALSE",
         "N",
         "Y"
      ),
   "")
)</f>
        <v/>
      </c>
      <c r="H198" s="20"/>
      <c r="I198" s="20"/>
      <c r="J198" s="20"/>
      <c r="K198" s="20"/>
      <c r="M198" s="2" t="str">
        <f>IF(ISBLANK(C198),"",IF(IFERROR(VLOOKUP(C198,DB_materiali!$A$2:$A$5000,1,FALSE),"Kļūda artikulā")=C198,"✔",tulkojums!A$42))</f>
        <v/>
      </c>
      <c r="N198" s="2" t="str">
        <f>IF(ISBLANK(C198),"",IF(ISNUMBER(F198)=TRUE,"✔",tulkojums!A$43))</f>
        <v/>
      </c>
      <c r="O198" s="2" t="str">
        <f>IF(ISBLANK(C198),"",IF(G198="Y","✔",IF(G198="X","✔",IF(G198="N","✔",tulkojums!A$44))))</f>
        <v/>
      </c>
      <c r="P198" s="2" t="str">
        <f>IF(ISBLANK(H198),"",IF(INDEX(DB_materiali!$E$2:$E$5000,MATCH($C198,DB_materiali!$A$2:$A$5000,0))&gt;=INDEX(DB_malas!$C$2:$C$5000,MATCH(H198,DB_malas!$A$2:$A$5000,0)),IF(INDEX(DB_materiali!$E$2:$E$5000,MATCH($C198,DB_materiali!$A$2:$A$5000,0))&lt;=INDEX(DB_malas!$D$2:$D$5000,MATCH(H198,DB_malas!$A$2:$A$5000,0)),IF(OR(INDEX(DB_materiali!$B$2:$B$5000,MATCH($C198,DB_materiali!$A$2:$A$5000,0))=INDEX(DB_malas!$B$2:$B$5000,MATCH(H198,DB_malas!$A$2:$A$5000,0)),$H198="ORG"),"✔",tulkojums!$A$38),tulkojums!$A$39),tulkojums!$A$39))</f>
        <v/>
      </c>
      <c r="Q198" s="2" t="str">
        <f>IF(ISBLANK(I198),"",IF(INDEX(DB_materiali!$E$2:$E$5000,MATCH($C198,DB_materiali!$A$2:$A$5000,0))&gt;=INDEX(DB_malas!$C$2:$C$5000,MATCH(I198,DB_malas!$A$2:$A$5000,0)),IF(INDEX(DB_materiali!$E$2:$E$5000,MATCH($C198,DB_materiali!$A$2:$A$5000,0))&lt;=INDEX(DB_malas!$D$2:$D$5000,MATCH(I198,DB_malas!$A$2:$A$5000,0)),IF(OR(INDEX(DB_materiali!$B$2:$B$5000,MATCH($C198,DB_materiali!$A$2:$A$5000,0))=INDEX(DB_malas!$B$2:$B$5000,MATCH(I198,DB_malas!$A$2:$A$5000,0)),$H198="ORG"),"✔",tulkojums!$A$38),tulkojums!$A$39),tulkojums!$A$39))</f>
        <v/>
      </c>
      <c r="R198" s="2" t="str">
        <f>IF(ISBLANK(J198),"",IF(INDEX(DB_materiali!$E$2:$E$5000,MATCH($C198,DB_materiali!$A$2:$A$5000,0))&gt;=INDEX(DB_malas!$C$2:$C$5000,MATCH(J198,DB_malas!$A$2:$A$5000,0)),IF(INDEX(DB_materiali!$E$2:$E$5000,MATCH($C198,DB_materiali!$A$2:$A$5000,0))&lt;=INDEX(DB_malas!$D$2:$D$5000,MATCH(J198,DB_malas!$A$2:$A$5000,0)),IF(INDEX(DB_materiali!$B$2:$B$5000,MATCH($C198,DB_materiali!$A$2:$A$5000,0))=INDEX(DB_malas!$B$2:$B$5000,MATCH(J198,DB_malas!$A$2:$A$5000,0)),"✔",tulkojums!$A$38),tulkojums!$A$39),tulkojums!$A$39))</f>
        <v/>
      </c>
      <c r="S198" s="2" t="str">
        <f>IF(ISBLANK(K198),"",IF(INDEX(DB_materiali!$E$2:$E$5000,MATCH($C198,DB_materiali!$A$2:$A$5000,0))&gt;=INDEX(DB_malas!$C$2:$C$5000,MATCH(K198,DB_malas!$A$2:$A$5000,0)),IF(INDEX(DB_materiali!$E$2:$E$5000,MATCH($C198,DB_materiali!$A$2:$A$5000,0))&lt;=INDEX(DB_malas!$D$2:$D$5000,MATCH(K198,DB_malas!$A$2:$A$5000,0)),IF(INDEX(DB_materiali!$B$2:$B$5000,MATCH($C198,DB_materiali!$A$2:$A$5000,0))=INDEX(DB_malas!$B$2:$B$5000,MATCH(K198,DB_malas!$A$2:$A$5000,0)),"✔",tulkojums!$A$38),tulkojums!$A$39),tulkojums!$A$39))</f>
        <v/>
      </c>
      <c r="T198" s="2"/>
      <c r="U198" s="2"/>
      <c r="V198" s="2"/>
      <c r="W198" s="2"/>
      <c r="X198" s="2"/>
      <c r="Y198" s="2"/>
      <c r="Z198" s="2"/>
    </row>
    <row r="199" spans="1:26" ht="15.75" customHeight="1">
      <c r="A199" s="17"/>
      <c r="B199" s="18"/>
      <c r="C199" s="19"/>
      <c r="D199" s="55"/>
      <c r="E199" s="55"/>
      <c r="F199" s="56"/>
      <c r="G199" s="57" t="str">
        <f>IF(ISBLANK(C199),"",
   IFERROR(
      IF(
         INDEX(DB_materiali!C$2:C$5000,
               MATCH(C199, DB_materiali!A$2:A$5000, 0)
         )="FALSE",
         "N",
         "Y"
      ),
   "")
)</f>
        <v/>
      </c>
      <c r="H199" s="20"/>
      <c r="I199" s="20"/>
      <c r="J199" s="20"/>
      <c r="K199" s="20"/>
      <c r="M199" s="2" t="str">
        <f>IF(ISBLANK(C199),"",IF(IFERROR(VLOOKUP(C199,DB_materiali!$A$2:$A$5000,1,FALSE),"Kļūda artikulā")=C199,"✔",tulkojums!A$42))</f>
        <v/>
      </c>
      <c r="N199" s="2" t="str">
        <f>IF(ISBLANK(C199),"",IF(ISNUMBER(F199)=TRUE,"✔",tulkojums!A$43))</f>
        <v/>
      </c>
      <c r="O199" s="2" t="str">
        <f>IF(ISBLANK(C199),"",IF(G199="Y","✔",IF(G199="X","✔",IF(G199="N","✔",tulkojums!A$44))))</f>
        <v/>
      </c>
      <c r="P199" s="2" t="str">
        <f>IF(ISBLANK(H199),"",IF(INDEX(DB_materiali!$E$2:$E$5000,MATCH($C199,DB_materiali!$A$2:$A$5000,0))&gt;=INDEX(DB_malas!$C$2:$C$5000,MATCH(H199,DB_malas!$A$2:$A$5000,0)),IF(INDEX(DB_materiali!$E$2:$E$5000,MATCH($C199,DB_materiali!$A$2:$A$5000,0))&lt;=INDEX(DB_malas!$D$2:$D$5000,MATCH(H199,DB_malas!$A$2:$A$5000,0)),IF(OR(INDEX(DB_materiali!$B$2:$B$5000,MATCH($C199,DB_materiali!$A$2:$A$5000,0))=INDEX(DB_malas!$B$2:$B$5000,MATCH(H199,DB_malas!$A$2:$A$5000,0)),$H199="ORG"),"✔",tulkojums!$A$38),tulkojums!$A$39),tulkojums!$A$39))</f>
        <v/>
      </c>
      <c r="Q199" s="2" t="str">
        <f>IF(ISBLANK(I199),"",IF(INDEX(DB_materiali!$E$2:$E$5000,MATCH($C199,DB_materiali!$A$2:$A$5000,0))&gt;=INDEX(DB_malas!$C$2:$C$5000,MATCH(I199,DB_malas!$A$2:$A$5000,0)),IF(INDEX(DB_materiali!$E$2:$E$5000,MATCH($C199,DB_materiali!$A$2:$A$5000,0))&lt;=INDEX(DB_malas!$D$2:$D$5000,MATCH(I199,DB_malas!$A$2:$A$5000,0)),IF(OR(INDEX(DB_materiali!$B$2:$B$5000,MATCH($C199,DB_materiali!$A$2:$A$5000,0))=INDEX(DB_malas!$B$2:$B$5000,MATCH(I199,DB_malas!$A$2:$A$5000,0)),$H199="ORG"),"✔",tulkojums!$A$38),tulkojums!$A$39),tulkojums!$A$39))</f>
        <v/>
      </c>
      <c r="R199" s="2" t="str">
        <f>IF(ISBLANK(J199),"",IF(INDEX(DB_materiali!$E$2:$E$5000,MATCH($C199,DB_materiali!$A$2:$A$5000,0))&gt;=INDEX(DB_malas!$C$2:$C$5000,MATCH(J199,DB_malas!$A$2:$A$5000,0)),IF(INDEX(DB_materiali!$E$2:$E$5000,MATCH($C199,DB_materiali!$A$2:$A$5000,0))&lt;=INDEX(DB_malas!$D$2:$D$5000,MATCH(J199,DB_malas!$A$2:$A$5000,0)),IF(INDEX(DB_materiali!$B$2:$B$5000,MATCH($C199,DB_materiali!$A$2:$A$5000,0))=INDEX(DB_malas!$B$2:$B$5000,MATCH(J199,DB_malas!$A$2:$A$5000,0)),"✔",tulkojums!$A$38),tulkojums!$A$39),tulkojums!$A$39))</f>
        <v/>
      </c>
      <c r="S199" s="2" t="str">
        <f>IF(ISBLANK(K199),"",IF(INDEX(DB_materiali!$E$2:$E$5000,MATCH($C199,DB_materiali!$A$2:$A$5000,0))&gt;=INDEX(DB_malas!$C$2:$C$5000,MATCH(K199,DB_malas!$A$2:$A$5000,0)),IF(INDEX(DB_materiali!$E$2:$E$5000,MATCH($C199,DB_materiali!$A$2:$A$5000,0))&lt;=INDEX(DB_malas!$D$2:$D$5000,MATCH(K199,DB_malas!$A$2:$A$5000,0)),IF(INDEX(DB_materiali!$B$2:$B$5000,MATCH($C199,DB_materiali!$A$2:$A$5000,0))=INDEX(DB_malas!$B$2:$B$5000,MATCH(K199,DB_malas!$A$2:$A$5000,0)),"✔",tulkojums!$A$38),tulkojums!$A$39),tulkojums!$A$39))</f>
        <v/>
      </c>
      <c r="T199" s="2"/>
      <c r="U199" s="2"/>
      <c r="V199" s="2"/>
      <c r="W199" s="2"/>
      <c r="X199" s="2"/>
      <c r="Y199" s="2"/>
      <c r="Z199" s="2"/>
    </row>
    <row r="200" spans="1:26" ht="15.75" customHeight="1">
      <c r="A200" s="17"/>
      <c r="B200" s="18"/>
      <c r="C200" s="19"/>
      <c r="D200" s="55"/>
      <c r="E200" s="55"/>
      <c r="F200" s="56"/>
      <c r="G200" s="57" t="str">
        <f>IF(ISBLANK(C200),"",
   IFERROR(
      IF(
         INDEX(DB_materiali!C$2:C$5000,
               MATCH(C200, DB_materiali!A$2:A$5000, 0)
         )="FALSE",
         "N",
         "Y"
      ),
   "")
)</f>
        <v/>
      </c>
      <c r="H200" s="20"/>
      <c r="I200" s="20"/>
      <c r="J200" s="20"/>
      <c r="K200" s="20"/>
      <c r="M200" s="2" t="str">
        <f>IF(ISBLANK(C200),"",IF(IFERROR(VLOOKUP(C200,DB_materiali!$A$2:$A$5000,1,FALSE),"Kļūda artikulā")=C200,"✔",tulkojums!A$42))</f>
        <v/>
      </c>
      <c r="N200" s="2" t="str">
        <f>IF(ISBLANK(C200),"",IF(ISNUMBER(F200)=TRUE,"✔",tulkojums!A$43))</f>
        <v/>
      </c>
      <c r="O200" s="2" t="str">
        <f>IF(ISBLANK(C200),"",IF(G200="Y","✔",IF(G200="X","✔",IF(G200="N","✔",tulkojums!A$44))))</f>
        <v/>
      </c>
      <c r="P200" s="2" t="str">
        <f>IF(ISBLANK(H200),"",IF(INDEX(DB_materiali!$E$2:$E$5000,MATCH($C200,DB_materiali!$A$2:$A$5000,0))&gt;=INDEX(DB_malas!$C$2:$C$5000,MATCH(H200,DB_malas!$A$2:$A$5000,0)),IF(INDEX(DB_materiali!$E$2:$E$5000,MATCH($C200,DB_materiali!$A$2:$A$5000,0))&lt;=INDEX(DB_malas!$D$2:$D$5000,MATCH(H200,DB_malas!$A$2:$A$5000,0)),IF(OR(INDEX(DB_materiali!$B$2:$B$5000,MATCH($C200,DB_materiali!$A$2:$A$5000,0))=INDEX(DB_malas!$B$2:$B$5000,MATCH(H200,DB_malas!$A$2:$A$5000,0)),$H200="ORG"),"✔",tulkojums!$A$38),tulkojums!$A$39),tulkojums!$A$39))</f>
        <v/>
      </c>
      <c r="Q200" s="2" t="str">
        <f>IF(ISBLANK(I200),"",IF(INDEX(DB_materiali!$E$2:$E$5000,MATCH($C200,DB_materiali!$A$2:$A$5000,0))&gt;=INDEX(DB_malas!$C$2:$C$5000,MATCH(I200,DB_malas!$A$2:$A$5000,0)),IF(INDEX(DB_materiali!$E$2:$E$5000,MATCH($C200,DB_materiali!$A$2:$A$5000,0))&lt;=INDEX(DB_malas!$D$2:$D$5000,MATCH(I200,DB_malas!$A$2:$A$5000,0)),IF(OR(INDEX(DB_materiali!$B$2:$B$5000,MATCH($C200,DB_materiali!$A$2:$A$5000,0))=INDEX(DB_malas!$B$2:$B$5000,MATCH(I200,DB_malas!$A$2:$A$5000,0)),$H200="ORG"),"✔",tulkojums!$A$38),tulkojums!$A$39),tulkojums!$A$39))</f>
        <v/>
      </c>
      <c r="R200" s="2" t="str">
        <f>IF(ISBLANK(J200),"",IF(INDEX(DB_materiali!$E$2:$E$5000,MATCH($C200,DB_materiali!$A$2:$A$5000,0))&gt;=INDEX(DB_malas!$C$2:$C$5000,MATCH(J200,DB_malas!$A$2:$A$5000,0)),IF(INDEX(DB_materiali!$E$2:$E$5000,MATCH($C200,DB_materiali!$A$2:$A$5000,0))&lt;=INDEX(DB_malas!$D$2:$D$5000,MATCH(J200,DB_malas!$A$2:$A$5000,0)),IF(INDEX(DB_materiali!$B$2:$B$5000,MATCH($C200,DB_materiali!$A$2:$A$5000,0))=INDEX(DB_malas!$B$2:$B$5000,MATCH(J200,DB_malas!$A$2:$A$5000,0)),"✔",tulkojums!$A$38),tulkojums!$A$39),tulkojums!$A$39))</f>
        <v/>
      </c>
      <c r="S200" s="2" t="str">
        <f>IF(ISBLANK(K200),"",IF(INDEX(DB_materiali!$E$2:$E$5000,MATCH($C200,DB_materiali!$A$2:$A$5000,0))&gt;=INDEX(DB_malas!$C$2:$C$5000,MATCH(K200,DB_malas!$A$2:$A$5000,0)),IF(INDEX(DB_materiali!$E$2:$E$5000,MATCH($C200,DB_materiali!$A$2:$A$5000,0))&lt;=INDEX(DB_malas!$D$2:$D$5000,MATCH(K200,DB_malas!$A$2:$A$5000,0)),IF(INDEX(DB_materiali!$B$2:$B$5000,MATCH($C200,DB_materiali!$A$2:$A$5000,0))=INDEX(DB_malas!$B$2:$B$5000,MATCH(K200,DB_malas!$A$2:$A$5000,0)),"✔",tulkojums!$A$38),tulkojums!$A$39),tulkojums!$A$39))</f>
        <v/>
      </c>
      <c r="T200" s="2"/>
      <c r="U200" s="2"/>
      <c r="V200" s="2"/>
      <c r="W200" s="2"/>
      <c r="X200" s="2"/>
      <c r="Y200" s="2"/>
      <c r="Z200" s="2"/>
    </row>
    <row r="201" spans="1:26" ht="15.75" customHeight="1">
      <c r="A201" s="17"/>
      <c r="B201" s="18"/>
      <c r="C201" s="19"/>
      <c r="D201" s="55"/>
      <c r="E201" s="55"/>
      <c r="F201" s="56"/>
      <c r="G201" s="57" t="str">
        <f>IF(ISBLANK(C201),"",
   IFERROR(
      IF(
         INDEX(DB_materiali!C$2:C$5000,
               MATCH(C201, DB_materiali!A$2:A$5000, 0)
         )="FALSE",
         "N",
         "Y"
      ),
   "")
)</f>
        <v/>
      </c>
      <c r="H201" s="20"/>
      <c r="I201" s="20"/>
      <c r="J201" s="20"/>
      <c r="K201" s="20"/>
      <c r="M201" s="2" t="str">
        <f>IF(ISBLANK(C201),"",IF(IFERROR(VLOOKUP(C201,DB_materiali!$A$2:$A$5000,1,FALSE),"Kļūda artikulā")=C201,"✔",tulkojums!A$42))</f>
        <v/>
      </c>
      <c r="N201" s="2" t="str">
        <f>IF(ISBLANK(C201),"",IF(ISNUMBER(F201)=TRUE,"✔",tulkojums!A$43))</f>
        <v/>
      </c>
      <c r="O201" s="2" t="str">
        <f>IF(ISBLANK(C201),"",IF(G201="Y","✔",IF(G201="X","✔",IF(G201="N","✔",tulkojums!A$44))))</f>
        <v/>
      </c>
      <c r="P201" s="2" t="str">
        <f>IF(ISBLANK(H201),"",IF(INDEX(DB_materiali!$E$2:$E$5000,MATCH($C201,DB_materiali!$A$2:$A$5000,0))&gt;=INDEX(DB_malas!$C$2:$C$5000,MATCH(H201,DB_malas!$A$2:$A$5000,0)),IF(INDEX(DB_materiali!$E$2:$E$5000,MATCH($C201,DB_materiali!$A$2:$A$5000,0))&lt;=INDEX(DB_malas!$D$2:$D$5000,MATCH(H201,DB_malas!$A$2:$A$5000,0)),IF(OR(INDEX(DB_materiali!$B$2:$B$5000,MATCH($C201,DB_materiali!$A$2:$A$5000,0))=INDEX(DB_malas!$B$2:$B$5000,MATCH(H201,DB_malas!$A$2:$A$5000,0)),$H201="ORG"),"✔",tulkojums!$A$38),tulkojums!$A$39),tulkojums!$A$39))</f>
        <v/>
      </c>
      <c r="Q201" s="2" t="str">
        <f>IF(ISBLANK(I201),"",IF(INDEX(DB_materiali!$E$2:$E$5000,MATCH($C201,DB_materiali!$A$2:$A$5000,0))&gt;=INDEX(DB_malas!$C$2:$C$5000,MATCH(I201,DB_malas!$A$2:$A$5000,0)),IF(INDEX(DB_materiali!$E$2:$E$5000,MATCH($C201,DB_materiali!$A$2:$A$5000,0))&lt;=INDEX(DB_malas!$D$2:$D$5000,MATCH(I201,DB_malas!$A$2:$A$5000,0)),IF(OR(INDEX(DB_materiali!$B$2:$B$5000,MATCH($C201,DB_materiali!$A$2:$A$5000,0))=INDEX(DB_malas!$B$2:$B$5000,MATCH(I201,DB_malas!$A$2:$A$5000,0)),$H201="ORG"),"✔",tulkojums!$A$38),tulkojums!$A$39),tulkojums!$A$39))</f>
        <v/>
      </c>
      <c r="R201" s="2" t="str">
        <f>IF(ISBLANK(J201),"",IF(INDEX(DB_materiali!$E$2:$E$5000,MATCH($C201,DB_materiali!$A$2:$A$5000,0))&gt;=INDEX(DB_malas!$C$2:$C$5000,MATCH(J201,DB_malas!$A$2:$A$5000,0)),IF(INDEX(DB_materiali!$E$2:$E$5000,MATCH($C201,DB_materiali!$A$2:$A$5000,0))&lt;=INDEX(DB_malas!$D$2:$D$5000,MATCH(J201,DB_malas!$A$2:$A$5000,0)),IF(INDEX(DB_materiali!$B$2:$B$5000,MATCH($C201,DB_materiali!$A$2:$A$5000,0))=INDEX(DB_malas!$B$2:$B$5000,MATCH(J201,DB_malas!$A$2:$A$5000,0)),"✔",tulkojums!$A$38),tulkojums!$A$39),tulkojums!$A$39))</f>
        <v/>
      </c>
      <c r="S201" s="2" t="str">
        <f>IF(ISBLANK(K201),"",IF(INDEX(DB_materiali!$E$2:$E$5000,MATCH($C201,DB_materiali!$A$2:$A$5000,0))&gt;=INDEX(DB_malas!$C$2:$C$5000,MATCH(K201,DB_malas!$A$2:$A$5000,0)),IF(INDEX(DB_materiali!$E$2:$E$5000,MATCH($C201,DB_materiali!$A$2:$A$5000,0))&lt;=INDEX(DB_malas!$D$2:$D$5000,MATCH(K201,DB_malas!$A$2:$A$5000,0)),IF(INDEX(DB_materiali!$B$2:$B$5000,MATCH($C201,DB_materiali!$A$2:$A$5000,0))=INDEX(DB_malas!$B$2:$B$5000,MATCH(K201,DB_malas!$A$2:$A$5000,0)),"✔",tulkojums!$A$38),tulkojums!$A$39),tulkojums!$A$39))</f>
        <v/>
      </c>
      <c r="T201" s="2"/>
      <c r="U201" s="2"/>
      <c r="V201" s="2"/>
      <c r="W201" s="2"/>
      <c r="X201" s="2"/>
      <c r="Y201" s="2"/>
      <c r="Z201" s="2"/>
    </row>
    <row r="202" spans="1:26" ht="15.75" customHeight="1">
      <c r="A202" s="17"/>
      <c r="B202" s="18"/>
      <c r="C202" s="19"/>
      <c r="D202" s="55"/>
      <c r="E202" s="55"/>
      <c r="F202" s="56"/>
      <c r="G202" s="57" t="str">
        <f>IF(ISBLANK(C202),"",
   IFERROR(
      IF(
         INDEX(DB_materiali!C$2:C$5000,
               MATCH(C202, DB_materiali!A$2:A$5000, 0)
         )="FALSE",
         "N",
         "Y"
      ),
   "")
)</f>
        <v/>
      </c>
      <c r="H202" s="20"/>
      <c r="I202" s="20"/>
      <c r="J202" s="20"/>
      <c r="K202" s="20"/>
      <c r="M202" s="2" t="str">
        <f>IF(ISBLANK(C202),"",IF(IFERROR(VLOOKUP(C202,DB_materiali!$A$2:$A$5000,1,FALSE),"Kļūda artikulā")=C202,"✔",tulkojums!A$42))</f>
        <v/>
      </c>
      <c r="N202" s="2" t="str">
        <f>IF(ISBLANK(C202),"",IF(ISNUMBER(F202)=TRUE,"✔",tulkojums!A$43))</f>
        <v/>
      </c>
      <c r="O202" s="2" t="str">
        <f>IF(ISBLANK(C202),"",IF(G202="Y","✔",IF(G202="X","✔",IF(G202="N","✔",tulkojums!A$44))))</f>
        <v/>
      </c>
      <c r="P202" s="2" t="str">
        <f>IF(ISBLANK(H202),"",IF(INDEX(DB_materiali!$E$2:$E$5000,MATCH($C202,DB_materiali!$A$2:$A$5000,0))&gt;=INDEX(DB_malas!$C$2:$C$5000,MATCH(H202,DB_malas!$A$2:$A$5000,0)),IF(INDEX(DB_materiali!$E$2:$E$5000,MATCH($C202,DB_materiali!$A$2:$A$5000,0))&lt;=INDEX(DB_malas!$D$2:$D$5000,MATCH(H202,DB_malas!$A$2:$A$5000,0)),IF(OR(INDEX(DB_materiali!$B$2:$B$5000,MATCH($C202,DB_materiali!$A$2:$A$5000,0))=INDEX(DB_malas!$B$2:$B$5000,MATCH(H202,DB_malas!$A$2:$A$5000,0)),$H202="ORG"),"✔",tulkojums!$A$38),tulkojums!$A$39),tulkojums!$A$39))</f>
        <v/>
      </c>
      <c r="Q202" s="2" t="str">
        <f>IF(ISBLANK(I202),"",IF(INDEX(DB_materiali!$E$2:$E$5000,MATCH($C202,DB_materiali!$A$2:$A$5000,0))&gt;=INDEX(DB_malas!$C$2:$C$5000,MATCH(I202,DB_malas!$A$2:$A$5000,0)),IF(INDEX(DB_materiali!$E$2:$E$5000,MATCH($C202,DB_materiali!$A$2:$A$5000,0))&lt;=INDEX(DB_malas!$D$2:$D$5000,MATCH(I202,DB_malas!$A$2:$A$5000,0)),IF(OR(INDEX(DB_materiali!$B$2:$B$5000,MATCH($C202,DB_materiali!$A$2:$A$5000,0))=INDEX(DB_malas!$B$2:$B$5000,MATCH(I202,DB_malas!$A$2:$A$5000,0)),$H202="ORG"),"✔",tulkojums!$A$38),tulkojums!$A$39),tulkojums!$A$39))</f>
        <v/>
      </c>
      <c r="R202" s="2" t="str">
        <f>IF(ISBLANK(J202),"",IF(INDEX(DB_materiali!$E$2:$E$5000,MATCH($C202,DB_materiali!$A$2:$A$5000,0))&gt;=INDEX(DB_malas!$C$2:$C$5000,MATCH(J202,DB_malas!$A$2:$A$5000,0)),IF(INDEX(DB_materiali!$E$2:$E$5000,MATCH($C202,DB_materiali!$A$2:$A$5000,0))&lt;=INDEX(DB_malas!$D$2:$D$5000,MATCH(J202,DB_malas!$A$2:$A$5000,0)),IF(INDEX(DB_materiali!$B$2:$B$5000,MATCH($C202,DB_materiali!$A$2:$A$5000,0))=INDEX(DB_malas!$B$2:$B$5000,MATCH(J202,DB_malas!$A$2:$A$5000,0)),"✔",tulkojums!$A$38),tulkojums!$A$39),tulkojums!$A$39))</f>
        <v/>
      </c>
      <c r="S202" s="2" t="str">
        <f>IF(ISBLANK(K202),"",IF(INDEX(DB_materiali!$E$2:$E$5000,MATCH($C202,DB_materiali!$A$2:$A$5000,0))&gt;=INDEX(DB_malas!$C$2:$C$5000,MATCH(K202,DB_malas!$A$2:$A$5000,0)),IF(INDEX(DB_materiali!$E$2:$E$5000,MATCH($C202,DB_materiali!$A$2:$A$5000,0))&lt;=INDEX(DB_malas!$D$2:$D$5000,MATCH(K202,DB_malas!$A$2:$A$5000,0)),IF(INDEX(DB_materiali!$B$2:$B$5000,MATCH($C202,DB_materiali!$A$2:$A$5000,0))=INDEX(DB_malas!$B$2:$B$5000,MATCH(K202,DB_malas!$A$2:$A$5000,0)),"✔",tulkojums!$A$38),tulkojums!$A$39),tulkojums!$A$39))</f>
        <v/>
      </c>
      <c r="T202" s="2"/>
      <c r="U202" s="2"/>
      <c r="V202" s="2"/>
      <c r="W202" s="2"/>
      <c r="X202" s="2"/>
      <c r="Y202" s="2"/>
      <c r="Z202" s="2"/>
    </row>
    <row r="203" spans="1:26" ht="15.75" customHeight="1">
      <c r="A203" s="17"/>
      <c r="B203" s="18"/>
      <c r="C203" s="19"/>
      <c r="D203" s="55"/>
      <c r="E203" s="55"/>
      <c r="F203" s="56"/>
      <c r="G203" s="57" t="str">
        <f>IF(ISBLANK(C203),"",
   IFERROR(
      IF(
         INDEX(DB_materiali!C$2:C$5000,
               MATCH(C203, DB_materiali!A$2:A$5000, 0)
         )="FALSE",
         "N",
         "Y"
      ),
   "")
)</f>
        <v/>
      </c>
      <c r="H203" s="20"/>
      <c r="I203" s="20"/>
      <c r="J203" s="20"/>
      <c r="K203" s="20"/>
      <c r="M203" s="2" t="str">
        <f>IF(ISBLANK(C203),"",IF(IFERROR(VLOOKUP(C203,DB_materiali!$A$2:$A$5000,1,FALSE),"Kļūda artikulā")=C203,"✔",tulkojums!A$42))</f>
        <v/>
      </c>
      <c r="N203" s="2" t="str">
        <f>IF(ISBLANK(C203),"",IF(ISNUMBER(F203)=TRUE,"✔",tulkojums!A$43))</f>
        <v/>
      </c>
      <c r="O203" s="2" t="str">
        <f>IF(ISBLANK(C203),"",IF(G203="Y","✔",IF(G203="X","✔",IF(G203="N","✔",tulkojums!A$44))))</f>
        <v/>
      </c>
      <c r="P203" s="2" t="str">
        <f>IF(ISBLANK(H203),"",IF(INDEX(DB_materiali!$E$2:$E$5000,MATCH($C203,DB_materiali!$A$2:$A$5000,0))&gt;=INDEX(DB_malas!$C$2:$C$5000,MATCH(H203,DB_malas!$A$2:$A$5000,0)),IF(INDEX(DB_materiali!$E$2:$E$5000,MATCH($C203,DB_materiali!$A$2:$A$5000,0))&lt;=INDEX(DB_malas!$D$2:$D$5000,MATCH(H203,DB_malas!$A$2:$A$5000,0)),IF(OR(INDEX(DB_materiali!$B$2:$B$5000,MATCH($C203,DB_materiali!$A$2:$A$5000,0))=INDEX(DB_malas!$B$2:$B$5000,MATCH(H203,DB_malas!$A$2:$A$5000,0)),$H203="ORG"),"✔",tulkojums!$A$38),tulkojums!$A$39),tulkojums!$A$39))</f>
        <v/>
      </c>
      <c r="Q203" s="2" t="str">
        <f>IF(ISBLANK(I203),"",IF(INDEX(DB_materiali!$E$2:$E$5000,MATCH($C203,DB_materiali!$A$2:$A$5000,0))&gt;=INDEX(DB_malas!$C$2:$C$5000,MATCH(I203,DB_malas!$A$2:$A$5000,0)),IF(INDEX(DB_materiali!$E$2:$E$5000,MATCH($C203,DB_materiali!$A$2:$A$5000,0))&lt;=INDEX(DB_malas!$D$2:$D$5000,MATCH(I203,DB_malas!$A$2:$A$5000,0)),IF(OR(INDEX(DB_materiali!$B$2:$B$5000,MATCH($C203,DB_materiali!$A$2:$A$5000,0))=INDEX(DB_malas!$B$2:$B$5000,MATCH(I203,DB_malas!$A$2:$A$5000,0)),$H203="ORG"),"✔",tulkojums!$A$38),tulkojums!$A$39),tulkojums!$A$39))</f>
        <v/>
      </c>
      <c r="R203" s="2" t="str">
        <f>IF(ISBLANK(J203),"",IF(INDEX(DB_materiali!$E$2:$E$5000,MATCH($C203,DB_materiali!$A$2:$A$5000,0))&gt;=INDEX(DB_malas!$C$2:$C$5000,MATCH(J203,DB_malas!$A$2:$A$5000,0)),IF(INDEX(DB_materiali!$E$2:$E$5000,MATCH($C203,DB_materiali!$A$2:$A$5000,0))&lt;=INDEX(DB_malas!$D$2:$D$5000,MATCH(J203,DB_malas!$A$2:$A$5000,0)),IF(INDEX(DB_materiali!$B$2:$B$5000,MATCH($C203,DB_materiali!$A$2:$A$5000,0))=INDEX(DB_malas!$B$2:$B$5000,MATCH(J203,DB_malas!$A$2:$A$5000,0)),"✔",tulkojums!$A$38),tulkojums!$A$39),tulkojums!$A$39))</f>
        <v/>
      </c>
      <c r="S203" s="2" t="str">
        <f>IF(ISBLANK(K203),"",IF(INDEX(DB_materiali!$E$2:$E$5000,MATCH($C203,DB_materiali!$A$2:$A$5000,0))&gt;=INDEX(DB_malas!$C$2:$C$5000,MATCH(K203,DB_malas!$A$2:$A$5000,0)),IF(INDEX(DB_materiali!$E$2:$E$5000,MATCH($C203,DB_materiali!$A$2:$A$5000,0))&lt;=INDEX(DB_malas!$D$2:$D$5000,MATCH(K203,DB_malas!$A$2:$A$5000,0)),IF(INDEX(DB_materiali!$B$2:$B$5000,MATCH($C203,DB_materiali!$A$2:$A$5000,0))=INDEX(DB_malas!$B$2:$B$5000,MATCH(K203,DB_malas!$A$2:$A$5000,0)),"✔",tulkojums!$A$38),tulkojums!$A$39),tulkojums!$A$39))</f>
        <v/>
      </c>
      <c r="T203" s="2"/>
      <c r="U203" s="2"/>
      <c r="V203" s="2"/>
      <c r="W203" s="2"/>
      <c r="X203" s="2"/>
      <c r="Y203" s="2"/>
      <c r="Z203" s="2"/>
    </row>
    <row r="204" spans="1:26" ht="15.75" customHeight="1">
      <c r="A204" s="17"/>
      <c r="B204" s="18"/>
      <c r="C204" s="19"/>
      <c r="D204" s="55"/>
      <c r="E204" s="55"/>
      <c r="F204" s="56"/>
      <c r="G204" s="57" t="str">
        <f>IF(ISBLANK(C204),"",
   IFERROR(
      IF(
         INDEX(DB_materiali!C$2:C$5000,
               MATCH(C204, DB_materiali!A$2:A$5000, 0)
         )="FALSE",
         "N",
         "Y"
      ),
   "")
)</f>
        <v/>
      </c>
      <c r="H204" s="20"/>
      <c r="I204" s="20"/>
      <c r="J204" s="20"/>
      <c r="K204" s="20"/>
      <c r="M204" s="2" t="str">
        <f>IF(ISBLANK(C204),"",IF(IFERROR(VLOOKUP(C204,DB_materiali!$A$2:$A$5000,1,FALSE),"Kļūda artikulā")=C204,"✔",tulkojums!A$42))</f>
        <v/>
      </c>
      <c r="N204" s="2" t="str">
        <f>IF(ISBLANK(C204),"",IF(ISNUMBER(F204)=TRUE,"✔",tulkojums!A$43))</f>
        <v/>
      </c>
      <c r="O204" s="2" t="str">
        <f>IF(ISBLANK(C204),"",IF(G204="Y","✔",IF(G204="X","✔",IF(G204="N","✔",tulkojums!A$44))))</f>
        <v/>
      </c>
      <c r="P204" s="2" t="str">
        <f>IF(ISBLANK(H204),"",IF(INDEX(DB_materiali!$E$2:$E$5000,MATCH($C204,DB_materiali!$A$2:$A$5000,0))&gt;=INDEX(DB_malas!$C$2:$C$5000,MATCH(H204,DB_malas!$A$2:$A$5000,0)),IF(INDEX(DB_materiali!$E$2:$E$5000,MATCH($C204,DB_materiali!$A$2:$A$5000,0))&lt;=INDEX(DB_malas!$D$2:$D$5000,MATCH(H204,DB_malas!$A$2:$A$5000,0)),IF(OR(INDEX(DB_materiali!$B$2:$B$5000,MATCH($C204,DB_materiali!$A$2:$A$5000,0))=INDEX(DB_malas!$B$2:$B$5000,MATCH(H204,DB_malas!$A$2:$A$5000,0)),$H204="ORG"),"✔",tulkojums!$A$38),tulkojums!$A$39),tulkojums!$A$39))</f>
        <v/>
      </c>
      <c r="Q204" s="2" t="str">
        <f>IF(ISBLANK(I204),"",IF(INDEX(DB_materiali!$E$2:$E$5000,MATCH($C204,DB_materiali!$A$2:$A$5000,0))&gt;=INDEX(DB_malas!$C$2:$C$5000,MATCH(I204,DB_malas!$A$2:$A$5000,0)),IF(INDEX(DB_materiali!$E$2:$E$5000,MATCH($C204,DB_materiali!$A$2:$A$5000,0))&lt;=INDEX(DB_malas!$D$2:$D$5000,MATCH(I204,DB_malas!$A$2:$A$5000,0)),IF(OR(INDEX(DB_materiali!$B$2:$B$5000,MATCH($C204,DB_materiali!$A$2:$A$5000,0))=INDEX(DB_malas!$B$2:$B$5000,MATCH(I204,DB_malas!$A$2:$A$5000,0)),$H204="ORG"),"✔",tulkojums!$A$38),tulkojums!$A$39),tulkojums!$A$39))</f>
        <v/>
      </c>
      <c r="R204" s="2" t="str">
        <f>IF(ISBLANK(J204),"",IF(INDEX(DB_materiali!$E$2:$E$5000,MATCH($C204,DB_materiali!$A$2:$A$5000,0))&gt;=INDEX(DB_malas!$C$2:$C$5000,MATCH(J204,DB_malas!$A$2:$A$5000,0)),IF(INDEX(DB_materiali!$E$2:$E$5000,MATCH($C204,DB_materiali!$A$2:$A$5000,0))&lt;=INDEX(DB_malas!$D$2:$D$5000,MATCH(J204,DB_malas!$A$2:$A$5000,0)),IF(INDEX(DB_materiali!$B$2:$B$5000,MATCH($C204,DB_materiali!$A$2:$A$5000,0))=INDEX(DB_malas!$B$2:$B$5000,MATCH(J204,DB_malas!$A$2:$A$5000,0)),"✔",tulkojums!$A$38),tulkojums!$A$39),tulkojums!$A$39))</f>
        <v/>
      </c>
      <c r="S204" s="2" t="str">
        <f>IF(ISBLANK(K204),"",IF(INDEX(DB_materiali!$E$2:$E$5000,MATCH($C204,DB_materiali!$A$2:$A$5000,0))&gt;=INDEX(DB_malas!$C$2:$C$5000,MATCH(K204,DB_malas!$A$2:$A$5000,0)),IF(INDEX(DB_materiali!$E$2:$E$5000,MATCH($C204,DB_materiali!$A$2:$A$5000,0))&lt;=INDEX(DB_malas!$D$2:$D$5000,MATCH(K204,DB_malas!$A$2:$A$5000,0)),IF(INDEX(DB_materiali!$B$2:$B$5000,MATCH($C204,DB_materiali!$A$2:$A$5000,0))=INDEX(DB_malas!$B$2:$B$5000,MATCH(K204,DB_malas!$A$2:$A$5000,0)),"✔",tulkojums!$A$38),tulkojums!$A$39),tulkojums!$A$39))</f>
        <v/>
      </c>
      <c r="T204" s="2"/>
      <c r="U204" s="2"/>
      <c r="V204" s="2"/>
      <c r="W204" s="2"/>
      <c r="X204" s="2"/>
      <c r="Y204" s="2"/>
      <c r="Z204" s="2"/>
    </row>
    <row r="205" spans="1:26" ht="15.75" customHeight="1">
      <c r="A205" s="17"/>
      <c r="B205" s="18"/>
      <c r="C205" s="19"/>
      <c r="D205" s="55"/>
      <c r="E205" s="55"/>
      <c r="F205" s="56"/>
      <c r="G205" s="57" t="str">
        <f>IF(ISBLANK(C205),"",
   IFERROR(
      IF(
         INDEX(DB_materiali!C$2:C$5000,
               MATCH(C205, DB_materiali!A$2:A$5000, 0)
         )="FALSE",
         "N",
         "Y"
      ),
   "")
)</f>
        <v/>
      </c>
      <c r="H205" s="20"/>
      <c r="I205" s="20"/>
      <c r="J205" s="20"/>
      <c r="K205" s="20"/>
      <c r="M205" s="2" t="str">
        <f>IF(ISBLANK(C205),"",IF(IFERROR(VLOOKUP(C205,DB_materiali!$A$2:$A$5000,1,FALSE),"Kļūda artikulā")=C205,"✔",tulkojums!A$42))</f>
        <v/>
      </c>
      <c r="N205" s="2" t="str">
        <f>IF(ISBLANK(C205),"",IF(ISNUMBER(F205)=TRUE,"✔",tulkojums!A$43))</f>
        <v/>
      </c>
      <c r="O205" s="2" t="str">
        <f>IF(ISBLANK(C205),"",IF(G205="Y","✔",IF(G205="X","✔",IF(G205="N","✔",tulkojums!A$44))))</f>
        <v/>
      </c>
      <c r="P205" s="2" t="str">
        <f>IF(ISBLANK(H205),"",IF(INDEX(DB_materiali!$E$2:$E$5000,MATCH($C205,DB_materiali!$A$2:$A$5000,0))&gt;=INDEX(DB_malas!$C$2:$C$5000,MATCH(H205,DB_malas!$A$2:$A$5000,0)),IF(INDEX(DB_materiali!$E$2:$E$5000,MATCH($C205,DB_materiali!$A$2:$A$5000,0))&lt;=INDEX(DB_malas!$D$2:$D$5000,MATCH(H205,DB_malas!$A$2:$A$5000,0)),IF(OR(INDEX(DB_materiali!$B$2:$B$5000,MATCH($C205,DB_materiali!$A$2:$A$5000,0))=INDEX(DB_malas!$B$2:$B$5000,MATCH(H205,DB_malas!$A$2:$A$5000,0)),$H205="ORG"),"✔",tulkojums!$A$38),tulkojums!$A$39),tulkojums!$A$39))</f>
        <v/>
      </c>
      <c r="Q205" s="2" t="str">
        <f>IF(ISBLANK(I205),"",IF(INDEX(DB_materiali!$E$2:$E$5000,MATCH($C205,DB_materiali!$A$2:$A$5000,0))&gt;=INDEX(DB_malas!$C$2:$C$5000,MATCH(I205,DB_malas!$A$2:$A$5000,0)),IF(INDEX(DB_materiali!$E$2:$E$5000,MATCH($C205,DB_materiali!$A$2:$A$5000,0))&lt;=INDEX(DB_malas!$D$2:$D$5000,MATCH(I205,DB_malas!$A$2:$A$5000,0)),IF(OR(INDEX(DB_materiali!$B$2:$B$5000,MATCH($C205,DB_materiali!$A$2:$A$5000,0))=INDEX(DB_malas!$B$2:$B$5000,MATCH(I205,DB_malas!$A$2:$A$5000,0)),$H205="ORG"),"✔",tulkojums!$A$38),tulkojums!$A$39),tulkojums!$A$39))</f>
        <v/>
      </c>
      <c r="R205" s="2" t="str">
        <f>IF(ISBLANK(J205),"",IF(INDEX(DB_materiali!$E$2:$E$5000,MATCH($C205,DB_materiali!$A$2:$A$5000,0))&gt;=INDEX(DB_malas!$C$2:$C$5000,MATCH(J205,DB_malas!$A$2:$A$5000,0)),IF(INDEX(DB_materiali!$E$2:$E$5000,MATCH($C205,DB_materiali!$A$2:$A$5000,0))&lt;=INDEX(DB_malas!$D$2:$D$5000,MATCH(J205,DB_malas!$A$2:$A$5000,0)),IF(INDEX(DB_materiali!$B$2:$B$5000,MATCH($C205,DB_materiali!$A$2:$A$5000,0))=INDEX(DB_malas!$B$2:$B$5000,MATCH(J205,DB_malas!$A$2:$A$5000,0)),"✔",tulkojums!$A$38),tulkojums!$A$39),tulkojums!$A$39))</f>
        <v/>
      </c>
      <c r="S205" s="2" t="str">
        <f>IF(ISBLANK(K205),"",IF(INDEX(DB_materiali!$E$2:$E$5000,MATCH($C205,DB_materiali!$A$2:$A$5000,0))&gt;=INDEX(DB_malas!$C$2:$C$5000,MATCH(K205,DB_malas!$A$2:$A$5000,0)),IF(INDEX(DB_materiali!$E$2:$E$5000,MATCH($C205,DB_materiali!$A$2:$A$5000,0))&lt;=INDEX(DB_malas!$D$2:$D$5000,MATCH(K205,DB_malas!$A$2:$A$5000,0)),IF(INDEX(DB_materiali!$B$2:$B$5000,MATCH($C205,DB_materiali!$A$2:$A$5000,0))=INDEX(DB_malas!$B$2:$B$5000,MATCH(K205,DB_malas!$A$2:$A$5000,0)),"✔",tulkojums!$A$38),tulkojums!$A$39),tulkojums!$A$39))</f>
        <v/>
      </c>
      <c r="T205" s="2"/>
      <c r="U205" s="2"/>
      <c r="V205" s="2"/>
      <c r="W205" s="2"/>
      <c r="X205" s="2"/>
      <c r="Y205" s="2"/>
      <c r="Z205" s="2"/>
    </row>
    <row r="206" spans="1:26" ht="15.75" customHeight="1">
      <c r="A206" s="17"/>
      <c r="B206" s="18"/>
      <c r="C206" s="19"/>
      <c r="D206" s="55"/>
      <c r="E206" s="55"/>
      <c r="F206" s="56"/>
      <c r="G206" s="57" t="str">
        <f>IF(ISBLANK(C206),"",
   IFERROR(
      IF(
         INDEX(DB_materiali!C$2:C$5000,
               MATCH(C206, DB_materiali!A$2:A$5000, 0)
         )="FALSE",
         "N",
         "Y"
      ),
   "")
)</f>
        <v/>
      </c>
      <c r="H206" s="20"/>
      <c r="I206" s="20"/>
      <c r="J206" s="20"/>
      <c r="K206" s="20"/>
      <c r="M206" s="2" t="str">
        <f>IF(ISBLANK(C206),"",IF(IFERROR(VLOOKUP(C206,DB_materiali!$A$2:$A$5000,1,FALSE),"Kļūda artikulā")=C206,"✔",tulkojums!A$42))</f>
        <v/>
      </c>
      <c r="N206" s="2" t="str">
        <f>IF(ISBLANK(C206),"",IF(ISNUMBER(F206)=TRUE,"✔",tulkojums!A$43))</f>
        <v/>
      </c>
      <c r="O206" s="2" t="str">
        <f>IF(ISBLANK(C206),"",IF(G206="Y","✔",IF(G206="X","✔",IF(G206="N","✔",tulkojums!A$44))))</f>
        <v/>
      </c>
      <c r="P206" s="2" t="str">
        <f>IF(ISBLANK(H206),"",IF(INDEX(DB_materiali!$E$2:$E$5000,MATCH($C206,DB_materiali!$A$2:$A$5000,0))&gt;=INDEX(DB_malas!$C$2:$C$5000,MATCH(H206,DB_malas!$A$2:$A$5000,0)),IF(INDEX(DB_materiali!$E$2:$E$5000,MATCH($C206,DB_materiali!$A$2:$A$5000,0))&lt;=INDEX(DB_malas!$D$2:$D$5000,MATCH(H206,DB_malas!$A$2:$A$5000,0)),IF(OR(INDEX(DB_materiali!$B$2:$B$5000,MATCH($C206,DB_materiali!$A$2:$A$5000,0))=INDEX(DB_malas!$B$2:$B$5000,MATCH(H206,DB_malas!$A$2:$A$5000,0)),$H206="ORG"),"✔",tulkojums!$A$38),tulkojums!$A$39),tulkojums!$A$39))</f>
        <v/>
      </c>
      <c r="Q206" s="2" t="str">
        <f>IF(ISBLANK(I206),"",IF(INDEX(DB_materiali!$E$2:$E$5000,MATCH($C206,DB_materiali!$A$2:$A$5000,0))&gt;=INDEX(DB_malas!$C$2:$C$5000,MATCH(I206,DB_malas!$A$2:$A$5000,0)),IF(INDEX(DB_materiali!$E$2:$E$5000,MATCH($C206,DB_materiali!$A$2:$A$5000,0))&lt;=INDEX(DB_malas!$D$2:$D$5000,MATCH(I206,DB_malas!$A$2:$A$5000,0)),IF(OR(INDEX(DB_materiali!$B$2:$B$5000,MATCH($C206,DB_materiali!$A$2:$A$5000,0))=INDEX(DB_malas!$B$2:$B$5000,MATCH(I206,DB_malas!$A$2:$A$5000,0)),$H206="ORG"),"✔",tulkojums!$A$38),tulkojums!$A$39),tulkojums!$A$39))</f>
        <v/>
      </c>
      <c r="R206" s="2" t="str">
        <f>IF(ISBLANK(J206),"",IF(INDEX(DB_materiali!$E$2:$E$5000,MATCH($C206,DB_materiali!$A$2:$A$5000,0))&gt;=INDEX(DB_malas!$C$2:$C$5000,MATCH(J206,DB_malas!$A$2:$A$5000,0)),IF(INDEX(DB_materiali!$E$2:$E$5000,MATCH($C206,DB_materiali!$A$2:$A$5000,0))&lt;=INDEX(DB_malas!$D$2:$D$5000,MATCH(J206,DB_malas!$A$2:$A$5000,0)),IF(INDEX(DB_materiali!$B$2:$B$5000,MATCH($C206,DB_materiali!$A$2:$A$5000,0))=INDEX(DB_malas!$B$2:$B$5000,MATCH(J206,DB_malas!$A$2:$A$5000,0)),"✔",tulkojums!$A$38),tulkojums!$A$39),tulkojums!$A$39))</f>
        <v/>
      </c>
      <c r="S206" s="2" t="str">
        <f>IF(ISBLANK(K206),"",IF(INDEX(DB_materiali!$E$2:$E$5000,MATCH($C206,DB_materiali!$A$2:$A$5000,0))&gt;=INDEX(DB_malas!$C$2:$C$5000,MATCH(K206,DB_malas!$A$2:$A$5000,0)),IF(INDEX(DB_materiali!$E$2:$E$5000,MATCH($C206,DB_materiali!$A$2:$A$5000,0))&lt;=INDEX(DB_malas!$D$2:$D$5000,MATCH(K206,DB_malas!$A$2:$A$5000,0)),IF(INDEX(DB_materiali!$B$2:$B$5000,MATCH($C206,DB_materiali!$A$2:$A$5000,0))=INDEX(DB_malas!$B$2:$B$5000,MATCH(K206,DB_malas!$A$2:$A$5000,0)),"✔",tulkojums!$A$38),tulkojums!$A$39),tulkojums!$A$39))</f>
        <v/>
      </c>
      <c r="T206" s="2"/>
      <c r="U206" s="2"/>
      <c r="V206" s="2"/>
      <c r="W206" s="2"/>
      <c r="X206" s="2"/>
      <c r="Y206" s="2"/>
      <c r="Z206" s="2"/>
    </row>
    <row r="207" spans="1:26" ht="15.75" customHeight="1">
      <c r="A207" s="17"/>
      <c r="B207" s="18"/>
      <c r="C207" s="19"/>
      <c r="D207" s="55"/>
      <c r="E207" s="55"/>
      <c r="F207" s="56"/>
      <c r="G207" s="57" t="str">
        <f>IF(ISBLANK(C207),"",
   IFERROR(
      IF(
         INDEX(DB_materiali!C$2:C$5000,
               MATCH(C207, DB_materiali!A$2:A$5000, 0)
         )="FALSE",
         "N",
         "Y"
      ),
   "")
)</f>
        <v/>
      </c>
      <c r="H207" s="20"/>
      <c r="I207" s="20"/>
      <c r="J207" s="20"/>
      <c r="K207" s="20"/>
      <c r="M207" s="2" t="str">
        <f>IF(ISBLANK(C207),"",IF(IFERROR(VLOOKUP(C207,DB_materiali!$A$2:$A$5000,1,FALSE),"Kļūda artikulā")=C207,"✔",tulkojums!A$42))</f>
        <v/>
      </c>
      <c r="N207" s="2" t="str">
        <f>IF(ISBLANK(C207),"",IF(ISNUMBER(F207)=TRUE,"✔",tulkojums!A$43))</f>
        <v/>
      </c>
      <c r="O207" s="2" t="str">
        <f>IF(ISBLANK(C207),"",IF(G207="Y","✔",IF(G207="X","✔",IF(G207="N","✔",tulkojums!A$44))))</f>
        <v/>
      </c>
      <c r="P207" s="2" t="str">
        <f>IF(ISBLANK(H207),"",IF(INDEX(DB_materiali!$E$2:$E$5000,MATCH($C207,DB_materiali!$A$2:$A$5000,0))&gt;=INDEX(DB_malas!$C$2:$C$5000,MATCH(H207,DB_malas!$A$2:$A$5000,0)),IF(INDEX(DB_materiali!$E$2:$E$5000,MATCH($C207,DB_materiali!$A$2:$A$5000,0))&lt;=INDEX(DB_malas!$D$2:$D$5000,MATCH(H207,DB_malas!$A$2:$A$5000,0)),IF(OR(INDEX(DB_materiali!$B$2:$B$5000,MATCH($C207,DB_materiali!$A$2:$A$5000,0))=INDEX(DB_malas!$B$2:$B$5000,MATCH(H207,DB_malas!$A$2:$A$5000,0)),$H207="ORG"),"✔",tulkojums!$A$38),tulkojums!$A$39),tulkojums!$A$39))</f>
        <v/>
      </c>
      <c r="Q207" s="2" t="str">
        <f>IF(ISBLANK(I207),"",IF(INDEX(DB_materiali!$E$2:$E$5000,MATCH($C207,DB_materiali!$A$2:$A$5000,0))&gt;=INDEX(DB_malas!$C$2:$C$5000,MATCH(I207,DB_malas!$A$2:$A$5000,0)),IF(INDEX(DB_materiali!$E$2:$E$5000,MATCH($C207,DB_materiali!$A$2:$A$5000,0))&lt;=INDEX(DB_malas!$D$2:$D$5000,MATCH(I207,DB_malas!$A$2:$A$5000,0)),IF(OR(INDEX(DB_materiali!$B$2:$B$5000,MATCH($C207,DB_materiali!$A$2:$A$5000,0))=INDEX(DB_malas!$B$2:$B$5000,MATCH(I207,DB_malas!$A$2:$A$5000,0)),$H207="ORG"),"✔",tulkojums!$A$38),tulkojums!$A$39),tulkojums!$A$39))</f>
        <v/>
      </c>
      <c r="R207" s="2" t="str">
        <f>IF(ISBLANK(J207),"",IF(INDEX(DB_materiali!$E$2:$E$5000,MATCH($C207,DB_materiali!$A$2:$A$5000,0))&gt;=INDEX(DB_malas!$C$2:$C$5000,MATCH(J207,DB_malas!$A$2:$A$5000,0)),IF(INDEX(DB_materiali!$E$2:$E$5000,MATCH($C207,DB_materiali!$A$2:$A$5000,0))&lt;=INDEX(DB_malas!$D$2:$D$5000,MATCH(J207,DB_malas!$A$2:$A$5000,0)),IF(INDEX(DB_materiali!$B$2:$B$5000,MATCH($C207,DB_materiali!$A$2:$A$5000,0))=INDEX(DB_malas!$B$2:$B$5000,MATCH(J207,DB_malas!$A$2:$A$5000,0)),"✔",tulkojums!$A$38),tulkojums!$A$39),tulkojums!$A$39))</f>
        <v/>
      </c>
      <c r="S207" s="2" t="str">
        <f>IF(ISBLANK(K207),"",IF(INDEX(DB_materiali!$E$2:$E$5000,MATCH($C207,DB_materiali!$A$2:$A$5000,0))&gt;=INDEX(DB_malas!$C$2:$C$5000,MATCH(K207,DB_malas!$A$2:$A$5000,0)),IF(INDEX(DB_materiali!$E$2:$E$5000,MATCH($C207,DB_materiali!$A$2:$A$5000,0))&lt;=INDEX(DB_malas!$D$2:$D$5000,MATCH(K207,DB_malas!$A$2:$A$5000,0)),IF(INDEX(DB_materiali!$B$2:$B$5000,MATCH($C207,DB_materiali!$A$2:$A$5000,0))=INDEX(DB_malas!$B$2:$B$5000,MATCH(K207,DB_malas!$A$2:$A$5000,0)),"✔",tulkojums!$A$38),tulkojums!$A$39),tulkojums!$A$39))</f>
        <v/>
      </c>
      <c r="T207" s="2"/>
      <c r="U207" s="2"/>
      <c r="V207" s="2"/>
      <c r="W207" s="2"/>
      <c r="X207" s="2"/>
      <c r="Y207" s="2"/>
      <c r="Z207" s="2"/>
    </row>
    <row r="208" spans="1:26" ht="15.75" customHeight="1">
      <c r="A208" s="17"/>
      <c r="B208" s="18"/>
      <c r="C208" s="19"/>
      <c r="D208" s="55"/>
      <c r="E208" s="55"/>
      <c r="F208" s="56"/>
      <c r="G208" s="57" t="str">
        <f>IF(ISBLANK(C208),"",
   IFERROR(
      IF(
         INDEX(DB_materiali!C$2:C$5000,
               MATCH(C208, DB_materiali!A$2:A$5000, 0)
         )="FALSE",
         "N",
         "Y"
      ),
   "")
)</f>
        <v/>
      </c>
      <c r="H208" s="20"/>
      <c r="I208" s="20"/>
      <c r="J208" s="20"/>
      <c r="K208" s="20"/>
      <c r="M208" s="2" t="str">
        <f>IF(ISBLANK(C208),"",IF(IFERROR(VLOOKUP(C208,DB_materiali!$A$2:$A$5000,1,FALSE),"Kļūda artikulā")=C208,"✔",tulkojums!A$42))</f>
        <v/>
      </c>
      <c r="N208" s="2" t="str">
        <f>IF(ISBLANK(C208),"",IF(ISNUMBER(F208)=TRUE,"✔",tulkojums!A$43))</f>
        <v/>
      </c>
      <c r="O208" s="2" t="str">
        <f>IF(ISBLANK(C208),"",IF(G208="Y","✔",IF(G208="X","✔",IF(G208="N","✔",tulkojums!A$44))))</f>
        <v/>
      </c>
      <c r="P208" s="2" t="str">
        <f>IF(ISBLANK(H208),"",IF(INDEX(DB_materiali!$E$2:$E$5000,MATCH($C208,DB_materiali!$A$2:$A$5000,0))&gt;=INDEX(DB_malas!$C$2:$C$5000,MATCH(H208,DB_malas!$A$2:$A$5000,0)),IF(INDEX(DB_materiali!$E$2:$E$5000,MATCH($C208,DB_materiali!$A$2:$A$5000,0))&lt;=INDEX(DB_malas!$D$2:$D$5000,MATCH(H208,DB_malas!$A$2:$A$5000,0)),IF(OR(INDEX(DB_materiali!$B$2:$B$5000,MATCH($C208,DB_materiali!$A$2:$A$5000,0))=INDEX(DB_malas!$B$2:$B$5000,MATCH(H208,DB_malas!$A$2:$A$5000,0)),$H208="ORG"),"✔",tulkojums!$A$38),tulkojums!$A$39),tulkojums!$A$39))</f>
        <v/>
      </c>
      <c r="Q208" s="2" t="str">
        <f>IF(ISBLANK(I208),"",IF(INDEX(DB_materiali!$E$2:$E$5000,MATCH($C208,DB_materiali!$A$2:$A$5000,0))&gt;=INDEX(DB_malas!$C$2:$C$5000,MATCH(I208,DB_malas!$A$2:$A$5000,0)),IF(INDEX(DB_materiali!$E$2:$E$5000,MATCH($C208,DB_materiali!$A$2:$A$5000,0))&lt;=INDEX(DB_malas!$D$2:$D$5000,MATCH(I208,DB_malas!$A$2:$A$5000,0)),IF(OR(INDEX(DB_materiali!$B$2:$B$5000,MATCH($C208,DB_materiali!$A$2:$A$5000,0))=INDEX(DB_malas!$B$2:$B$5000,MATCH(I208,DB_malas!$A$2:$A$5000,0)),$H208="ORG"),"✔",tulkojums!$A$38),tulkojums!$A$39),tulkojums!$A$39))</f>
        <v/>
      </c>
      <c r="R208" s="2" t="str">
        <f>IF(ISBLANK(J208),"",IF(INDEX(DB_materiali!$E$2:$E$5000,MATCH($C208,DB_materiali!$A$2:$A$5000,0))&gt;=INDEX(DB_malas!$C$2:$C$5000,MATCH(J208,DB_malas!$A$2:$A$5000,0)),IF(INDEX(DB_materiali!$E$2:$E$5000,MATCH($C208,DB_materiali!$A$2:$A$5000,0))&lt;=INDEX(DB_malas!$D$2:$D$5000,MATCH(J208,DB_malas!$A$2:$A$5000,0)),IF(INDEX(DB_materiali!$B$2:$B$5000,MATCH($C208,DB_materiali!$A$2:$A$5000,0))=INDEX(DB_malas!$B$2:$B$5000,MATCH(J208,DB_malas!$A$2:$A$5000,0)),"✔",tulkojums!$A$38),tulkojums!$A$39),tulkojums!$A$39))</f>
        <v/>
      </c>
      <c r="S208" s="2" t="str">
        <f>IF(ISBLANK(K208),"",IF(INDEX(DB_materiali!$E$2:$E$5000,MATCH($C208,DB_materiali!$A$2:$A$5000,0))&gt;=INDEX(DB_malas!$C$2:$C$5000,MATCH(K208,DB_malas!$A$2:$A$5000,0)),IF(INDEX(DB_materiali!$E$2:$E$5000,MATCH($C208,DB_materiali!$A$2:$A$5000,0))&lt;=INDEX(DB_malas!$D$2:$D$5000,MATCH(K208,DB_malas!$A$2:$A$5000,0)),IF(INDEX(DB_materiali!$B$2:$B$5000,MATCH($C208,DB_materiali!$A$2:$A$5000,0))=INDEX(DB_malas!$B$2:$B$5000,MATCH(K208,DB_malas!$A$2:$A$5000,0)),"✔",tulkojums!$A$38),tulkojums!$A$39),tulkojums!$A$39))</f>
        <v/>
      </c>
      <c r="T208" s="2"/>
      <c r="U208" s="2"/>
      <c r="V208" s="2"/>
      <c r="W208" s="2"/>
      <c r="X208" s="2"/>
      <c r="Y208" s="2"/>
      <c r="Z208" s="2"/>
    </row>
    <row r="209" spans="1:26" ht="15.75" customHeight="1">
      <c r="A209" s="17"/>
      <c r="B209" s="18"/>
      <c r="C209" s="19"/>
      <c r="D209" s="55"/>
      <c r="E209" s="55"/>
      <c r="F209" s="56"/>
      <c r="G209" s="57" t="str">
        <f>IF(ISBLANK(C209),"",
   IFERROR(
      IF(
         INDEX(DB_materiali!C$2:C$5000,
               MATCH(C209, DB_materiali!A$2:A$5000, 0)
         )="FALSE",
         "N",
         "Y"
      ),
   "")
)</f>
        <v/>
      </c>
      <c r="H209" s="20"/>
      <c r="I209" s="20"/>
      <c r="J209" s="20"/>
      <c r="K209" s="20"/>
      <c r="M209" s="2" t="str">
        <f>IF(ISBLANK(C209),"",IF(IFERROR(VLOOKUP(C209,DB_materiali!$A$2:$A$5000,1,FALSE),"Kļūda artikulā")=C209,"✔",tulkojums!A$42))</f>
        <v/>
      </c>
      <c r="N209" s="2" t="str">
        <f>IF(ISBLANK(C209),"",IF(ISNUMBER(F209)=TRUE,"✔",tulkojums!A$43))</f>
        <v/>
      </c>
      <c r="O209" s="2" t="str">
        <f>IF(ISBLANK(C209),"",IF(G209="Y","✔",IF(G209="X","✔",IF(G209="N","✔",tulkojums!A$44))))</f>
        <v/>
      </c>
      <c r="P209" s="2" t="str">
        <f>IF(ISBLANK(H209),"",IF(INDEX(DB_materiali!$E$2:$E$5000,MATCH($C209,DB_materiali!$A$2:$A$5000,0))&gt;=INDEX(DB_malas!$C$2:$C$5000,MATCH(H209,DB_malas!$A$2:$A$5000,0)),IF(INDEX(DB_materiali!$E$2:$E$5000,MATCH($C209,DB_materiali!$A$2:$A$5000,0))&lt;=INDEX(DB_malas!$D$2:$D$5000,MATCH(H209,DB_malas!$A$2:$A$5000,0)),IF(OR(INDEX(DB_materiali!$B$2:$B$5000,MATCH($C209,DB_materiali!$A$2:$A$5000,0))=INDEX(DB_malas!$B$2:$B$5000,MATCH(H209,DB_malas!$A$2:$A$5000,0)),$H209="ORG"),"✔",tulkojums!$A$38),tulkojums!$A$39),tulkojums!$A$39))</f>
        <v/>
      </c>
      <c r="Q209" s="2" t="str">
        <f>IF(ISBLANK(I209),"",IF(INDEX(DB_materiali!$E$2:$E$5000,MATCH($C209,DB_materiali!$A$2:$A$5000,0))&gt;=INDEX(DB_malas!$C$2:$C$5000,MATCH(I209,DB_malas!$A$2:$A$5000,0)),IF(INDEX(DB_materiali!$E$2:$E$5000,MATCH($C209,DB_materiali!$A$2:$A$5000,0))&lt;=INDEX(DB_malas!$D$2:$D$5000,MATCH(I209,DB_malas!$A$2:$A$5000,0)),IF(OR(INDEX(DB_materiali!$B$2:$B$5000,MATCH($C209,DB_materiali!$A$2:$A$5000,0))=INDEX(DB_malas!$B$2:$B$5000,MATCH(I209,DB_malas!$A$2:$A$5000,0)),$H209="ORG"),"✔",tulkojums!$A$38),tulkojums!$A$39),tulkojums!$A$39))</f>
        <v/>
      </c>
      <c r="R209" s="2" t="str">
        <f>IF(ISBLANK(J209),"",IF(INDEX(DB_materiali!$E$2:$E$5000,MATCH($C209,DB_materiali!$A$2:$A$5000,0))&gt;=INDEX(DB_malas!$C$2:$C$5000,MATCH(J209,DB_malas!$A$2:$A$5000,0)),IF(INDEX(DB_materiali!$E$2:$E$5000,MATCH($C209,DB_materiali!$A$2:$A$5000,0))&lt;=INDEX(DB_malas!$D$2:$D$5000,MATCH(J209,DB_malas!$A$2:$A$5000,0)),IF(INDEX(DB_materiali!$B$2:$B$5000,MATCH($C209,DB_materiali!$A$2:$A$5000,0))=INDEX(DB_malas!$B$2:$B$5000,MATCH(J209,DB_malas!$A$2:$A$5000,0)),"✔",tulkojums!$A$38),tulkojums!$A$39),tulkojums!$A$39))</f>
        <v/>
      </c>
      <c r="S209" s="2" t="str">
        <f>IF(ISBLANK(K209),"",IF(INDEX(DB_materiali!$E$2:$E$5000,MATCH($C209,DB_materiali!$A$2:$A$5000,0))&gt;=INDEX(DB_malas!$C$2:$C$5000,MATCH(K209,DB_malas!$A$2:$A$5000,0)),IF(INDEX(DB_materiali!$E$2:$E$5000,MATCH($C209,DB_materiali!$A$2:$A$5000,0))&lt;=INDEX(DB_malas!$D$2:$D$5000,MATCH(K209,DB_malas!$A$2:$A$5000,0)),IF(INDEX(DB_materiali!$B$2:$B$5000,MATCH($C209,DB_materiali!$A$2:$A$5000,0))=INDEX(DB_malas!$B$2:$B$5000,MATCH(K209,DB_malas!$A$2:$A$5000,0)),"✔",tulkojums!$A$38),tulkojums!$A$39),tulkojums!$A$39))</f>
        <v/>
      </c>
      <c r="T209" s="2"/>
      <c r="U209" s="2"/>
      <c r="V209" s="2"/>
      <c r="W209" s="2"/>
      <c r="X209" s="2"/>
      <c r="Y209" s="2"/>
      <c r="Z209" s="2"/>
    </row>
    <row r="210" spans="1:26" ht="15.75" customHeight="1">
      <c r="A210" s="17"/>
      <c r="B210" s="18"/>
      <c r="C210" s="19"/>
      <c r="D210" s="55"/>
      <c r="E210" s="55"/>
      <c r="F210" s="56"/>
      <c r="G210" s="57" t="str">
        <f>IF(ISBLANK(C210),"",
   IFERROR(
      IF(
         INDEX(DB_materiali!C$2:C$5000,
               MATCH(C210, DB_materiali!A$2:A$5000, 0)
         )="FALSE",
         "N",
         "Y"
      ),
   "")
)</f>
        <v/>
      </c>
      <c r="H210" s="20"/>
      <c r="I210" s="20"/>
      <c r="J210" s="20"/>
      <c r="K210" s="20"/>
      <c r="M210" s="2" t="str">
        <f>IF(ISBLANK(C210),"",IF(IFERROR(VLOOKUP(C210,DB_materiali!$A$2:$A$5000,1,FALSE),"Kļūda artikulā")=C210,"✔",tulkojums!A$42))</f>
        <v/>
      </c>
      <c r="N210" s="2" t="str">
        <f>IF(ISBLANK(C210),"",IF(ISNUMBER(F210)=TRUE,"✔",tulkojums!A$43))</f>
        <v/>
      </c>
      <c r="O210" s="2" t="str">
        <f>IF(ISBLANK(C210),"",IF(G210="Y","✔",IF(G210="X","✔",IF(G210="N","✔",tulkojums!A$44))))</f>
        <v/>
      </c>
      <c r="P210" s="2" t="str">
        <f>IF(ISBLANK(H210),"",IF(INDEX(DB_materiali!$E$2:$E$5000,MATCH($C210,DB_materiali!$A$2:$A$5000,0))&gt;=INDEX(DB_malas!$C$2:$C$5000,MATCH(H210,DB_malas!$A$2:$A$5000,0)),IF(INDEX(DB_materiali!$E$2:$E$5000,MATCH($C210,DB_materiali!$A$2:$A$5000,0))&lt;=INDEX(DB_malas!$D$2:$D$5000,MATCH(H210,DB_malas!$A$2:$A$5000,0)),IF(OR(INDEX(DB_materiali!$B$2:$B$5000,MATCH($C210,DB_materiali!$A$2:$A$5000,0))=INDEX(DB_malas!$B$2:$B$5000,MATCH(H210,DB_malas!$A$2:$A$5000,0)),$H210="ORG"),"✔",tulkojums!$A$38),tulkojums!$A$39),tulkojums!$A$39))</f>
        <v/>
      </c>
      <c r="Q210" s="2" t="str">
        <f>IF(ISBLANK(I210),"",IF(INDEX(DB_materiali!$E$2:$E$5000,MATCH($C210,DB_materiali!$A$2:$A$5000,0))&gt;=INDEX(DB_malas!$C$2:$C$5000,MATCH(I210,DB_malas!$A$2:$A$5000,0)),IF(INDEX(DB_materiali!$E$2:$E$5000,MATCH($C210,DB_materiali!$A$2:$A$5000,0))&lt;=INDEX(DB_malas!$D$2:$D$5000,MATCH(I210,DB_malas!$A$2:$A$5000,0)),IF(OR(INDEX(DB_materiali!$B$2:$B$5000,MATCH($C210,DB_materiali!$A$2:$A$5000,0))=INDEX(DB_malas!$B$2:$B$5000,MATCH(I210,DB_malas!$A$2:$A$5000,0)),$H210="ORG"),"✔",tulkojums!$A$38),tulkojums!$A$39),tulkojums!$A$39))</f>
        <v/>
      </c>
      <c r="R210" s="2" t="str">
        <f>IF(ISBLANK(J210),"",IF(INDEX(DB_materiali!$E$2:$E$5000,MATCH($C210,DB_materiali!$A$2:$A$5000,0))&gt;=INDEX(DB_malas!$C$2:$C$5000,MATCH(J210,DB_malas!$A$2:$A$5000,0)),IF(INDEX(DB_materiali!$E$2:$E$5000,MATCH($C210,DB_materiali!$A$2:$A$5000,0))&lt;=INDEX(DB_malas!$D$2:$D$5000,MATCH(J210,DB_malas!$A$2:$A$5000,0)),IF(INDEX(DB_materiali!$B$2:$B$5000,MATCH($C210,DB_materiali!$A$2:$A$5000,0))=INDEX(DB_malas!$B$2:$B$5000,MATCH(J210,DB_malas!$A$2:$A$5000,0)),"✔",tulkojums!$A$38),tulkojums!$A$39),tulkojums!$A$39))</f>
        <v/>
      </c>
      <c r="S210" s="2" t="str">
        <f>IF(ISBLANK(K210),"",IF(INDEX(DB_materiali!$E$2:$E$5000,MATCH($C210,DB_materiali!$A$2:$A$5000,0))&gt;=INDEX(DB_malas!$C$2:$C$5000,MATCH(K210,DB_malas!$A$2:$A$5000,0)),IF(INDEX(DB_materiali!$E$2:$E$5000,MATCH($C210,DB_materiali!$A$2:$A$5000,0))&lt;=INDEX(DB_malas!$D$2:$D$5000,MATCH(K210,DB_malas!$A$2:$A$5000,0)),IF(INDEX(DB_materiali!$B$2:$B$5000,MATCH($C210,DB_materiali!$A$2:$A$5000,0))=INDEX(DB_malas!$B$2:$B$5000,MATCH(K210,DB_malas!$A$2:$A$5000,0)),"✔",tulkojums!$A$38),tulkojums!$A$39),tulkojums!$A$39))</f>
        <v/>
      </c>
      <c r="T210" s="2"/>
      <c r="U210" s="2"/>
      <c r="V210" s="2"/>
      <c r="W210" s="2"/>
      <c r="X210" s="2"/>
      <c r="Y210" s="2"/>
      <c r="Z210" s="2"/>
    </row>
    <row r="211" spans="1:26" ht="15.75" customHeight="1">
      <c r="A211" s="17"/>
      <c r="B211" s="18"/>
      <c r="C211" s="19"/>
      <c r="D211" s="55"/>
      <c r="E211" s="55"/>
      <c r="F211" s="56"/>
      <c r="G211" s="57" t="str">
        <f>IF(ISBLANK(C211),"",
   IFERROR(
      IF(
         INDEX(DB_materiali!C$2:C$5000,
               MATCH(C211, DB_materiali!A$2:A$5000, 0)
         )="FALSE",
         "N",
         "Y"
      ),
   "")
)</f>
        <v/>
      </c>
      <c r="H211" s="20"/>
      <c r="I211" s="20"/>
      <c r="J211" s="20"/>
      <c r="K211" s="20"/>
      <c r="M211" s="2" t="str">
        <f>IF(ISBLANK(C211),"",IF(IFERROR(VLOOKUP(C211,DB_materiali!$A$2:$A$5000,1,FALSE),"Kļūda artikulā")=C211,"✔",tulkojums!A$42))</f>
        <v/>
      </c>
      <c r="N211" s="2" t="str">
        <f>IF(ISBLANK(C211),"",IF(ISNUMBER(F211)=TRUE,"✔",tulkojums!A$43))</f>
        <v/>
      </c>
      <c r="O211" s="2" t="str">
        <f>IF(ISBLANK(C211),"",IF(G211="Y","✔",IF(G211="X","✔",IF(G211="N","✔",tulkojums!A$44))))</f>
        <v/>
      </c>
      <c r="P211" s="2" t="str">
        <f>IF(ISBLANK(H211),"",IF(INDEX(DB_materiali!$E$2:$E$5000,MATCH($C211,DB_materiali!$A$2:$A$5000,0))&gt;=INDEX(DB_malas!$C$2:$C$5000,MATCH(H211,DB_malas!$A$2:$A$5000,0)),IF(INDEX(DB_materiali!$E$2:$E$5000,MATCH($C211,DB_materiali!$A$2:$A$5000,0))&lt;=INDEX(DB_malas!$D$2:$D$5000,MATCH(H211,DB_malas!$A$2:$A$5000,0)),IF(OR(INDEX(DB_materiali!$B$2:$B$5000,MATCH($C211,DB_materiali!$A$2:$A$5000,0))=INDEX(DB_malas!$B$2:$B$5000,MATCH(H211,DB_malas!$A$2:$A$5000,0)),$H211="ORG"),"✔",tulkojums!$A$38),tulkojums!$A$39),tulkojums!$A$39))</f>
        <v/>
      </c>
      <c r="Q211" s="2" t="str">
        <f>IF(ISBLANK(I211),"",IF(INDEX(DB_materiali!$E$2:$E$5000,MATCH($C211,DB_materiali!$A$2:$A$5000,0))&gt;=INDEX(DB_malas!$C$2:$C$5000,MATCH(I211,DB_malas!$A$2:$A$5000,0)),IF(INDEX(DB_materiali!$E$2:$E$5000,MATCH($C211,DB_materiali!$A$2:$A$5000,0))&lt;=INDEX(DB_malas!$D$2:$D$5000,MATCH(I211,DB_malas!$A$2:$A$5000,0)),IF(OR(INDEX(DB_materiali!$B$2:$B$5000,MATCH($C211,DB_materiali!$A$2:$A$5000,0))=INDEX(DB_malas!$B$2:$B$5000,MATCH(I211,DB_malas!$A$2:$A$5000,0)),$H211="ORG"),"✔",tulkojums!$A$38),tulkojums!$A$39),tulkojums!$A$39))</f>
        <v/>
      </c>
      <c r="R211" s="2" t="str">
        <f>IF(ISBLANK(J211),"",IF(INDEX(DB_materiali!$E$2:$E$5000,MATCH($C211,DB_materiali!$A$2:$A$5000,0))&gt;=INDEX(DB_malas!$C$2:$C$5000,MATCH(J211,DB_malas!$A$2:$A$5000,0)),IF(INDEX(DB_materiali!$E$2:$E$5000,MATCH($C211,DB_materiali!$A$2:$A$5000,0))&lt;=INDEX(DB_malas!$D$2:$D$5000,MATCH(J211,DB_malas!$A$2:$A$5000,0)),IF(INDEX(DB_materiali!$B$2:$B$5000,MATCH($C211,DB_materiali!$A$2:$A$5000,0))=INDEX(DB_malas!$B$2:$B$5000,MATCH(J211,DB_malas!$A$2:$A$5000,0)),"✔",tulkojums!$A$38),tulkojums!$A$39),tulkojums!$A$39))</f>
        <v/>
      </c>
      <c r="S211" s="2" t="str">
        <f>IF(ISBLANK(K211),"",IF(INDEX(DB_materiali!$E$2:$E$5000,MATCH($C211,DB_materiali!$A$2:$A$5000,0))&gt;=INDEX(DB_malas!$C$2:$C$5000,MATCH(K211,DB_malas!$A$2:$A$5000,0)),IF(INDEX(DB_materiali!$E$2:$E$5000,MATCH($C211,DB_materiali!$A$2:$A$5000,0))&lt;=INDEX(DB_malas!$D$2:$D$5000,MATCH(K211,DB_malas!$A$2:$A$5000,0)),IF(INDEX(DB_materiali!$B$2:$B$5000,MATCH($C211,DB_materiali!$A$2:$A$5000,0))=INDEX(DB_malas!$B$2:$B$5000,MATCH(K211,DB_malas!$A$2:$A$5000,0)),"✔",tulkojums!$A$38),tulkojums!$A$39),tulkojums!$A$39))</f>
        <v/>
      </c>
      <c r="T211" s="2"/>
      <c r="U211" s="2"/>
      <c r="V211" s="2"/>
      <c r="W211" s="2"/>
      <c r="X211" s="2"/>
      <c r="Y211" s="2"/>
      <c r="Z211" s="2"/>
    </row>
    <row r="212" spans="1:26" ht="15.75" customHeight="1">
      <c r="A212" s="17"/>
      <c r="B212" s="18"/>
      <c r="C212" s="19"/>
      <c r="D212" s="55"/>
      <c r="E212" s="55"/>
      <c r="F212" s="56"/>
      <c r="G212" s="57" t="str">
        <f>IF(ISBLANK(C212),"",
   IFERROR(
      IF(
         INDEX(DB_materiali!C$2:C$5000,
               MATCH(C212, DB_materiali!A$2:A$5000, 0)
         )="FALSE",
         "N",
         "Y"
      ),
   "")
)</f>
        <v/>
      </c>
      <c r="H212" s="20"/>
      <c r="I212" s="20"/>
      <c r="J212" s="20"/>
      <c r="K212" s="20"/>
      <c r="M212" s="2" t="str">
        <f>IF(ISBLANK(C212),"",IF(IFERROR(VLOOKUP(C212,DB_materiali!$A$2:$A$5000,1,FALSE),"Kļūda artikulā")=C212,"✔",tulkojums!A$42))</f>
        <v/>
      </c>
      <c r="N212" s="2" t="str">
        <f>IF(ISBLANK(C212),"",IF(ISNUMBER(F212)=TRUE,"✔",tulkojums!A$43))</f>
        <v/>
      </c>
      <c r="O212" s="2" t="str">
        <f>IF(ISBLANK(C212),"",IF(G212="Y","✔",IF(G212="X","✔",IF(G212="N","✔",tulkojums!A$44))))</f>
        <v/>
      </c>
      <c r="P212" s="2" t="str">
        <f>IF(ISBLANK(H212),"",IF(INDEX(DB_materiali!$E$2:$E$5000,MATCH($C212,DB_materiali!$A$2:$A$5000,0))&gt;=INDEX(DB_malas!$C$2:$C$5000,MATCH(H212,DB_malas!$A$2:$A$5000,0)),IF(INDEX(DB_materiali!$E$2:$E$5000,MATCH($C212,DB_materiali!$A$2:$A$5000,0))&lt;=INDEX(DB_malas!$D$2:$D$5000,MATCH(H212,DB_malas!$A$2:$A$5000,0)),IF(OR(INDEX(DB_materiali!$B$2:$B$5000,MATCH($C212,DB_materiali!$A$2:$A$5000,0))=INDEX(DB_malas!$B$2:$B$5000,MATCH(H212,DB_malas!$A$2:$A$5000,0)),$H212="ORG"),"✔",tulkojums!$A$38),tulkojums!$A$39),tulkojums!$A$39))</f>
        <v/>
      </c>
      <c r="Q212" s="2" t="str">
        <f>IF(ISBLANK(I212),"",IF(INDEX(DB_materiali!$E$2:$E$5000,MATCH($C212,DB_materiali!$A$2:$A$5000,0))&gt;=INDEX(DB_malas!$C$2:$C$5000,MATCH(I212,DB_malas!$A$2:$A$5000,0)),IF(INDEX(DB_materiali!$E$2:$E$5000,MATCH($C212,DB_materiali!$A$2:$A$5000,0))&lt;=INDEX(DB_malas!$D$2:$D$5000,MATCH(I212,DB_malas!$A$2:$A$5000,0)),IF(OR(INDEX(DB_materiali!$B$2:$B$5000,MATCH($C212,DB_materiali!$A$2:$A$5000,0))=INDEX(DB_malas!$B$2:$B$5000,MATCH(I212,DB_malas!$A$2:$A$5000,0)),$H212="ORG"),"✔",tulkojums!$A$38),tulkojums!$A$39),tulkojums!$A$39))</f>
        <v/>
      </c>
      <c r="R212" s="2" t="str">
        <f>IF(ISBLANK(J212),"",IF(INDEX(DB_materiali!$E$2:$E$5000,MATCH($C212,DB_materiali!$A$2:$A$5000,0))&gt;=INDEX(DB_malas!$C$2:$C$5000,MATCH(J212,DB_malas!$A$2:$A$5000,0)),IF(INDEX(DB_materiali!$E$2:$E$5000,MATCH($C212,DB_materiali!$A$2:$A$5000,0))&lt;=INDEX(DB_malas!$D$2:$D$5000,MATCH(J212,DB_malas!$A$2:$A$5000,0)),IF(INDEX(DB_materiali!$B$2:$B$5000,MATCH($C212,DB_materiali!$A$2:$A$5000,0))=INDEX(DB_malas!$B$2:$B$5000,MATCH(J212,DB_malas!$A$2:$A$5000,0)),"✔",tulkojums!$A$38),tulkojums!$A$39),tulkojums!$A$39))</f>
        <v/>
      </c>
      <c r="S212" s="2" t="str">
        <f>IF(ISBLANK(K212),"",IF(INDEX(DB_materiali!$E$2:$E$5000,MATCH($C212,DB_materiali!$A$2:$A$5000,0))&gt;=INDEX(DB_malas!$C$2:$C$5000,MATCH(K212,DB_malas!$A$2:$A$5000,0)),IF(INDEX(DB_materiali!$E$2:$E$5000,MATCH($C212,DB_materiali!$A$2:$A$5000,0))&lt;=INDEX(DB_malas!$D$2:$D$5000,MATCH(K212,DB_malas!$A$2:$A$5000,0)),IF(INDEX(DB_materiali!$B$2:$B$5000,MATCH($C212,DB_materiali!$A$2:$A$5000,0))=INDEX(DB_malas!$B$2:$B$5000,MATCH(K212,DB_malas!$A$2:$A$5000,0)),"✔",tulkojums!$A$38),tulkojums!$A$39),tulkojums!$A$39))</f>
        <v/>
      </c>
      <c r="T212" s="2"/>
      <c r="U212" s="2"/>
      <c r="V212" s="2"/>
      <c r="W212" s="2"/>
      <c r="X212" s="2"/>
      <c r="Y212" s="2"/>
      <c r="Z212" s="2"/>
    </row>
    <row r="213" spans="1:26" ht="15.75" customHeight="1">
      <c r="A213" s="17"/>
      <c r="B213" s="18"/>
      <c r="C213" s="19"/>
      <c r="D213" s="55"/>
      <c r="E213" s="55"/>
      <c r="F213" s="56"/>
      <c r="G213" s="57" t="str">
        <f>IF(ISBLANK(C213),"",
   IFERROR(
      IF(
         INDEX(DB_materiali!C$2:C$5000,
               MATCH(C213, DB_materiali!A$2:A$5000, 0)
         )="FALSE",
         "N",
         "Y"
      ),
   "")
)</f>
        <v/>
      </c>
      <c r="H213" s="20"/>
      <c r="I213" s="20"/>
      <c r="J213" s="20"/>
      <c r="K213" s="20"/>
      <c r="M213" s="2" t="str">
        <f>IF(ISBLANK(C213),"",IF(IFERROR(VLOOKUP(C213,DB_materiali!$A$2:$A$5000,1,FALSE),"Kļūda artikulā")=C213,"✔",tulkojums!A$42))</f>
        <v/>
      </c>
      <c r="N213" s="2" t="str">
        <f>IF(ISBLANK(C213),"",IF(ISNUMBER(F213)=TRUE,"✔",tulkojums!A$43))</f>
        <v/>
      </c>
      <c r="O213" s="2" t="str">
        <f>IF(ISBLANK(C213),"",IF(G213="Y","✔",IF(G213="X","✔",IF(G213="N","✔",tulkojums!A$44))))</f>
        <v/>
      </c>
      <c r="P213" s="2" t="str">
        <f>IF(ISBLANK(H213),"",IF(INDEX(DB_materiali!$E$2:$E$5000,MATCH($C213,DB_materiali!$A$2:$A$5000,0))&gt;=INDEX(DB_malas!$C$2:$C$5000,MATCH(H213,DB_malas!$A$2:$A$5000,0)),IF(INDEX(DB_materiali!$E$2:$E$5000,MATCH($C213,DB_materiali!$A$2:$A$5000,0))&lt;=INDEX(DB_malas!$D$2:$D$5000,MATCH(H213,DB_malas!$A$2:$A$5000,0)),IF(OR(INDEX(DB_materiali!$B$2:$B$5000,MATCH($C213,DB_materiali!$A$2:$A$5000,0))=INDEX(DB_malas!$B$2:$B$5000,MATCH(H213,DB_malas!$A$2:$A$5000,0)),$H213="ORG"),"✔",tulkojums!$A$38),tulkojums!$A$39),tulkojums!$A$39))</f>
        <v/>
      </c>
      <c r="Q213" s="2" t="str">
        <f>IF(ISBLANK(I213),"",IF(INDEX(DB_materiali!$E$2:$E$5000,MATCH($C213,DB_materiali!$A$2:$A$5000,0))&gt;=INDEX(DB_malas!$C$2:$C$5000,MATCH(I213,DB_malas!$A$2:$A$5000,0)),IF(INDEX(DB_materiali!$E$2:$E$5000,MATCH($C213,DB_materiali!$A$2:$A$5000,0))&lt;=INDEX(DB_malas!$D$2:$D$5000,MATCH(I213,DB_malas!$A$2:$A$5000,0)),IF(OR(INDEX(DB_materiali!$B$2:$B$5000,MATCH($C213,DB_materiali!$A$2:$A$5000,0))=INDEX(DB_malas!$B$2:$B$5000,MATCH(I213,DB_malas!$A$2:$A$5000,0)),$H213="ORG"),"✔",tulkojums!$A$38),tulkojums!$A$39),tulkojums!$A$39))</f>
        <v/>
      </c>
      <c r="R213" s="2" t="str">
        <f>IF(ISBLANK(J213),"",IF(INDEX(DB_materiali!$E$2:$E$5000,MATCH($C213,DB_materiali!$A$2:$A$5000,0))&gt;=INDEX(DB_malas!$C$2:$C$5000,MATCH(J213,DB_malas!$A$2:$A$5000,0)),IF(INDEX(DB_materiali!$E$2:$E$5000,MATCH($C213,DB_materiali!$A$2:$A$5000,0))&lt;=INDEX(DB_malas!$D$2:$D$5000,MATCH(J213,DB_malas!$A$2:$A$5000,0)),IF(INDEX(DB_materiali!$B$2:$B$5000,MATCH($C213,DB_materiali!$A$2:$A$5000,0))=INDEX(DB_malas!$B$2:$B$5000,MATCH(J213,DB_malas!$A$2:$A$5000,0)),"✔",tulkojums!$A$38),tulkojums!$A$39),tulkojums!$A$39))</f>
        <v/>
      </c>
      <c r="S213" s="2" t="str">
        <f>IF(ISBLANK(K213),"",IF(INDEX(DB_materiali!$E$2:$E$5000,MATCH($C213,DB_materiali!$A$2:$A$5000,0))&gt;=INDEX(DB_malas!$C$2:$C$5000,MATCH(K213,DB_malas!$A$2:$A$5000,0)),IF(INDEX(DB_materiali!$E$2:$E$5000,MATCH($C213,DB_materiali!$A$2:$A$5000,0))&lt;=INDEX(DB_malas!$D$2:$D$5000,MATCH(K213,DB_malas!$A$2:$A$5000,0)),IF(INDEX(DB_materiali!$B$2:$B$5000,MATCH($C213,DB_materiali!$A$2:$A$5000,0))=INDEX(DB_malas!$B$2:$B$5000,MATCH(K213,DB_malas!$A$2:$A$5000,0)),"✔",tulkojums!$A$38),tulkojums!$A$39),tulkojums!$A$39))</f>
        <v/>
      </c>
      <c r="T213" s="2"/>
      <c r="U213" s="2"/>
      <c r="V213" s="2"/>
      <c r="W213" s="2"/>
      <c r="X213" s="2"/>
      <c r="Y213" s="2"/>
      <c r="Z213" s="2"/>
    </row>
    <row r="214" spans="1:26" ht="15.75" customHeight="1">
      <c r="A214" s="17"/>
      <c r="B214" s="18"/>
      <c r="C214" s="19"/>
      <c r="D214" s="55"/>
      <c r="E214" s="55"/>
      <c r="F214" s="56"/>
      <c r="G214" s="57" t="str">
        <f>IF(ISBLANK(C214),"",
   IFERROR(
      IF(
         INDEX(DB_materiali!C$2:C$5000,
               MATCH(C214, DB_materiali!A$2:A$5000, 0)
         )="FALSE",
         "N",
         "Y"
      ),
   "")
)</f>
        <v/>
      </c>
      <c r="H214" s="20"/>
      <c r="I214" s="20"/>
      <c r="J214" s="20"/>
      <c r="K214" s="20"/>
      <c r="M214" s="2" t="str">
        <f>IF(ISBLANK(C214),"",IF(IFERROR(VLOOKUP(C214,DB_materiali!$A$2:$A$5000,1,FALSE),"Kļūda artikulā")=C214,"✔",tulkojums!A$42))</f>
        <v/>
      </c>
      <c r="N214" s="2" t="str">
        <f>IF(ISBLANK(C214),"",IF(ISNUMBER(F214)=TRUE,"✔",tulkojums!A$43))</f>
        <v/>
      </c>
      <c r="O214" s="2" t="str">
        <f>IF(ISBLANK(C214),"",IF(G214="Y","✔",IF(G214="X","✔",IF(G214="N","✔",tulkojums!A$44))))</f>
        <v/>
      </c>
      <c r="P214" s="2" t="str">
        <f>IF(ISBLANK(H214),"",IF(INDEX(DB_materiali!$E$2:$E$5000,MATCH($C214,DB_materiali!$A$2:$A$5000,0))&gt;=INDEX(DB_malas!$C$2:$C$5000,MATCH(H214,DB_malas!$A$2:$A$5000,0)),IF(INDEX(DB_materiali!$E$2:$E$5000,MATCH($C214,DB_materiali!$A$2:$A$5000,0))&lt;=INDEX(DB_malas!$D$2:$D$5000,MATCH(H214,DB_malas!$A$2:$A$5000,0)),IF(OR(INDEX(DB_materiali!$B$2:$B$5000,MATCH($C214,DB_materiali!$A$2:$A$5000,0))=INDEX(DB_malas!$B$2:$B$5000,MATCH(H214,DB_malas!$A$2:$A$5000,0)),$H214="ORG"),"✔",tulkojums!$A$38),tulkojums!$A$39),tulkojums!$A$39))</f>
        <v/>
      </c>
      <c r="Q214" s="2" t="str">
        <f>IF(ISBLANK(I214),"",IF(INDEX(DB_materiali!$E$2:$E$5000,MATCH($C214,DB_materiali!$A$2:$A$5000,0))&gt;=INDEX(DB_malas!$C$2:$C$5000,MATCH(I214,DB_malas!$A$2:$A$5000,0)),IF(INDEX(DB_materiali!$E$2:$E$5000,MATCH($C214,DB_materiali!$A$2:$A$5000,0))&lt;=INDEX(DB_malas!$D$2:$D$5000,MATCH(I214,DB_malas!$A$2:$A$5000,0)),IF(OR(INDEX(DB_materiali!$B$2:$B$5000,MATCH($C214,DB_materiali!$A$2:$A$5000,0))=INDEX(DB_malas!$B$2:$B$5000,MATCH(I214,DB_malas!$A$2:$A$5000,0)),$H214="ORG"),"✔",tulkojums!$A$38),tulkojums!$A$39),tulkojums!$A$39))</f>
        <v/>
      </c>
      <c r="R214" s="2" t="str">
        <f>IF(ISBLANK(J214),"",IF(INDEX(DB_materiali!$E$2:$E$5000,MATCH($C214,DB_materiali!$A$2:$A$5000,0))&gt;=INDEX(DB_malas!$C$2:$C$5000,MATCH(J214,DB_malas!$A$2:$A$5000,0)),IF(INDEX(DB_materiali!$E$2:$E$5000,MATCH($C214,DB_materiali!$A$2:$A$5000,0))&lt;=INDEX(DB_malas!$D$2:$D$5000,MATCH(J214,DB_malas!$A$2:$A$5000,0)),IF(INDEX(DB_materiali!$B$2:$B$5000,MATCH($C214,DB_materiali!$A$2:$A$5000,0))=INDEX(DB_malas!$B$2:$B$5000,MATCH(J214,DB_malas!$A$2:$A$5000,0)),"✔",tulkojums!$A$38),tulkojums!$A$39),tulkojums!$A$39))</f>
        <v/>
      </c>
      <c r="S214" s="2" t="str">
        <f>IF(ISBLANK(K214),"",IF(INDEX(DB_materiali!$E$2:$E$5000,MATCH($C214,DB_materiali!$A$2:$A$5000,0))&gt;=INDEX(DB_malas!$C$2:$C$5000,MATCH(K214,DB_malas!$A$2:$A$5000,0)),IF(INDEX(DB_materiali!$E$2:$E$5000,MATCH($C214,DB_materiali!$A$2:$A$5000,0))&lt;=INDEX(DB_malas!$D$2:$D$5000,MATCH(K214,DB_malas!$A$2:$A$5000,0)),IF(INDEX(DB_materiali!$B$2:$B$5000,MATCH($C214,DB_materiali!$A$2:$A$5000,0))=INDEX(DB_malas!$B$2:$B$5000,MATCH(K214,DB_malas!$A$2:$A$5000,0)),"✔",tulkojums!$A$38),tulkojums!$A$39),tulkojums!$A$39))</f>
        <v/>
      </c>
      <c r="T214" s="2"/>
      <c r="U214" s="2"/>
      <c r="V214" s="2"/>
      <c r="W214" s="2"/>
      <c r="X214" s="2"/>
      <c r="Y214" s="2"/>
      <c r="Z214" s="2"/>
    </row>
    <row r="215" spans="1:26" ht="15.75" customHeight="1">
      <c r="A215" s="17"/>
      <c r="B215" s="18"/>
      <c r="C215" s="19"/>
      <c r="D215" s="55"/>
      <c r="E215" s="55"/>
      <c r="F215" s="56"/>
      <c r="G215" s="57" t="str">
        <f>IF(ISBLANK(C215),"",
   IFERROR(
      IF(
         INDEX(DB_materiali!C$2:C$5000,
               MATCH(C215, DB_materiali!A$2:A$5000, 0)
         )="FALSE",
         "N",
         "Y"
      ),
   "")
)</f>
        <v/>
      </c>
      <c r="H215" s="20"/>
      <c r="I215" s="20"/>
      <c r="J215" s="20"/>
      <c r="K215" s="20"/>
      <c r="M215" s="2" t="str">
        <f>IF(ISBLANK(C215),"",IF(IFERROR(VLOOKUP(C215,DB_materiali!$A$2:$A$5000,1,FALSE),"Kļūda artikulā")=C215,"✔",tulkojums!A$42))</f>
        <v/>
      </c>
      <c r="N215" s="2" t="str">
        <f>IF(ISBLANK(C215),"",IF(ISNUMBER(F215)=TRUE,"✔",tulkojums!A$43))</f>
        <v/>
      </c>
      <c r="O215" s="2" t="str">
        <f>IF(ISBLANK(C215),"",IF(G215="Y","✔",IF(G215="X","✔",IF(G215="N","✔",tulkojums!A$44))))</f>
        <v/>
      </c>
      <c r="P215" s="2" t="str">
        <f>IF(ISBLANK(H215),"",IF(INDEX(DB_materiali!$E$2:$E$5000,MATCH($C215,DB_materiali!$A$2:$A$5000,0))&gt;=INDEX(DB_malas!$C$2:$C$5000,MATCH(H215,DB_malas!$A$2:$A$5000,0)),IF(INDEX(DB_materiali!$E$2:$E$5000,MATCH($C215,DB_materiali!$A$2:$A$5000,0))&lt;=INDEX(DB_malas!$D$2:$D$5000,MATCH(H215,DB_malas!$A$2:$A$5000,0)),IF(OR(INDEX(DB_materiali!$B$2:$B$5000,MATCH($C215,DB_materiali!$A$2:$A$5000,0))=INDEX(DB_malas!$B$2:$B$5000,MATCH(H215,DB_malas!$A$2:$A$5000,0)),$H215="ORG"),"✔",tulkojums!$A$38),tulkojums!$A$39),tulkojums!$A$39))</f>
        <v/>
      </c>
      <c r="Q215" s="2" t="str">
        <f>IF(ISBLANK(I215),"",IF(INDEX(DB_materiali!$E$2:$E$5000,MATCH($C215,DB_materiali!$A$2:$A$5000,0))&gt;=INDEX(DB_malas!$C$2:$C$5000,MATCH(I215,DB_malas!$A$2:$A$5000,0)),IF(INDEX(DB_materiali!$E$2:$E$5000,MATCH($C215,DB_materiali!$A$2:$A$5000,0))&lt;=INDEX(DB_malas!$D$2:$D$5000,MATCH(I215,DB_malas!$A$2:$A$5000,0)),IF(OR(INDEX(DB_materiali!$B$2:$B$5000,MATCH($C215,DB_materiali!$A$2:$A$5000,0))=INDEX(DB_malas!$B$2:$B$5000,MATCH(I215,DB_malas!$A$2:$A$5000,0)),$H215="ORG"),"✔",tulkojums!$A$38),tulkojums!$A$39),tulkojums!$A$39))</f>
        <v/>
      </c>
      <c r="R215" s="2" t="str">
        <f>IF(ISBLANK(J215),"",IF(INDEX(DB_materiali!$E$2:$E$5000,MATCH($C215,DB_materiali!$A$2:$A$5000,0))&gt;=INDEX(DB_malas!$C$2:$C$5000,MATCH(J215,DB_malas!$A$2:$A$5000,0)),IF(INDEX(DB_materiali!$E$2:$E$5000,MATCH($C215,DB_materiali!$A$2:$A$5000,0))&lt;=INDEX(DB_malas!$D$2:$D$5000,MATCH(J215,DB_malas!$A$2:$A$5000,0)),IF(INDEX(DB_materiali!$B$2:$B$5000,MATCH($C215,DB_materiali!$A$2:$A$5000,0))=INDEX(DB_malas!$B$2:$B$5000,MATCH(J215,DB_malas!$A$2:$A$5000,0)),"✔",tulkojums!$A$38),tulkojums!$A$39),tulkojums!$A$39))</f>
        <v/>
      </c>
      <c r="S215" s="2" t="str">
        <f>IF(ISBLANK(K215),"",IF(INDEX(DB_materiali!$E$2:$E$5000,MATCH($C215,DB_materiali!$A$2:$A$5000,0))&gt;=INDEX(DB_malas!$C$2:$C$5000,MATCH(K215,DB_malas!$A$2:$A$5000,0)),IF(INDEX(DB_materiali!$E$2:$E$5000,MATCH($C215,DB_materiali!$A$2:$A$5000,0))&lt;=INDEX(DB_malas!$D$2:$D$5000,MATCH(K215,DB_malas!$A$2:$A$5000,0)),IF(INDEX(DB_materiali!$B$2:$B$5000,MATCH($C215,DB_materiali!$A$2:$A$5000,0))=INDEX(DB_malas!$B$2:$B$5000,MATCH(K215,DB_malas!$A$2:$A$5000,0)),"✔",tulkojums!$A$38),tulkojums!$A$39),tulkojums!$A$39))</f>
        <v/>
      </c>
      <c r="T215" s="2"/>
      <c r="U215" s="2"/>
      <c r="V215" s="2"/>
      <c r="W215" s="2"/>
      <c r="X215" s="2"/>
      <c r="Y215" s="2"/>
      <c r="Z215" s="2"/>
    </row>
    <row r="216" spans="1:26" ht="15.75" customHeight="1">
      <c r="A216" s="17"/>
      <c r="B216" s="18"/>
      <c r="C216" s="19"/>
      <c r="D216" s="55"/>
      <c r="E216" s="55"/>
      <c r="F216" s="56"/>
      <c r="G216" s="57" t="str">
        <f>IF(ISBLANK(C216),"",
   IFERROR(
      IF(
         INDEX(DB_materiali!C$2:C$5000,
               MATCH(C216, DB_materiali!A$2:A$5000, 0)
         )="FALSE",
         "N",
         "Y"
      ),
   "")
)</f>
        <v/>
      </c>
      <c r="H216" s="20"/>
      <c r="I216" s="20"/>
      <c r="J216" s="20"/>
      <c r="K216" s="20"/>
      <c r="M216" s="2" t="str">
        <f>IF(ISBLANK(C216),"",IF(IFERROR(VLOOKUP(C216,DB_materiali!$A$2:$A$5000,1,FALSE),"Kļūda artikulā")=C216,"✔",tulkojums!A$42))</f>
        <v/>
      </c>
      <c r="N216" s="2" t="str">
        <f>IF(ISBLANK(C216),"",IF(ISNUMBER(F216)=TRUE,"✔",tulkojums!A$43))</f>
        <v/>
      </c>
      <c r="O216" s="2" t="str">
        <f>IF(ISBLANK(C216),"",IF(G216="Y","✔",IF(G216="X","✔",IF(G216="N","✔",tulkojums!A$44))))</f>
        <v/>
      </c>
      <c r="P216" s="2" t="str">
        <f>IF(ISBLANK(H216),"",IF(INDEX(DB_materiali!$E$2:$E$5000,MATCH($C216,DB_materiali!$A$2:$A$5000,0))&gt;=INDEX(DB_malas!$C$2:$C$5000,MATCH(H216,DB_malas!$A$2:$A$5000,0)),IF(INDEX(DB_materiali!$E$2:$E$5000,MATCH($C216,DB_materiali!$A$2:$A$5000,0))&lt;=INDEX(DB_malas!$D$2:$D$5000,MATCH(H216,DB_malas!$A$2:$A$5000,0)),IF(OR(INDEX(DB_materiali!$B$2:$B$5000,MATCH($C216,DB_materiali!$A$2:$A$5000,0))=INDEX(DB_malas!$B$2:$B$5000,MATCH(H216,DB_malas!$A$2:$A$5000,0)),$H216="ORG"),"✔",tulkojums!$A$38),tulkojums!$A$39),tulkojums!$A$39))</f>
        <v/>
      </c>
      <c r="Q216" s="2" t="str">
        <f>IF(ISBLANK(I216),"",IF(INDEX(DB_materiali!$E$2:$E$5000,MATCH($C216,DB_materiali!$A$2:$A$5000,0))&gt;=INDEX(DB_malas!$C$2:$C$5000,MATCH(I216,DB_malas!$A$2:$A$5000,0)),IF(INDEX(DB_materiali!$E$2:$E$5000,MATCH($C216,DB_materiali!$A$2:$A$5000,0))&lt;=INDEX(DB_malas!$D$2:$D$5000,MATCH(I216,DB_malas!$A$2:$A$5000,0)),IF(OR(INDEX(DB_materiali!$B$2:$B$5000,MATCH($C216,DB_materiali!$A$2:$A$5000,0))=INDEX(DB_malas!$B$2:$B$5000,MATCH(I216,DB_malas!$A$2:$A$5000,0)),$H216="ORG"),"✔",tulkojums!$A$38),tulkojums!$A$39),tulkojums!$A$39))</f>
        <v/>
      </c>
      <c r="R216" s="2" t="str">
        <f>IF(ISBLANK(J216),"",IF(INDEX(DB_materiali!$E$2:$E$5000,MATCH($C216,DB_materiali!$A$2:$A$5000,0))&gt;=INDEX(DB_malas!$C$2:$C$5000,MATCH(J216,DB_malas!$A$2:$A$5000,0)),IF(INDEX(DB_materiali!$E$2:$E$5000,MATCH($C216,DB_materiali!$A$2:$A$5000,0))&lt;=INDEX(DB_malas!$D$2:$D$5000,MATCH(J216,DB_malas!$A$2:$A$5000,0)),IF(INDEX(DB_materiali!$B$2:$B$5000,MATCH($C216,DB_materiali!$A$2:$A$5000,0))=INDEX(DB_malas!$B$2:$B$5000,MATCH(J216,DB_malas!$A$2:$A$5000,0)),"✔",tulkojums!$A$38),tulkojums!$A$39),tulkojums!$A$39))</f>
        <v/>
      </c>
      <c r="S216" s="2" t="str">
        <f>IF(ISBLANK(K216),"",IF(INDEX(DB_materiali!$E$2:$E$5000,MATCH($C216,DB_materiali!$A$2:$A$5000,0))&gt;=INDEX(DB_malas!$C$2:$C$5000,MATCH(K216,DB_malas!$A$2:$A$5000,0)),IF(INDEX(DB_materiali!$E$2:$E$5000,MATCH($C216,DB_materiali!$A$2:$A$5000,0))&lt;=INDEX(DB_malas!$D$2:$D$5000,MATCH(K216,DB_malas!$A$2:$A$5000,0)),IF(INDEX(DB_materiali!$B$2:$B$5000,MATCH($C216,DB_materiali!$A$2:$A$5000,0))=INDEX(DB_malas!$B$2:$B$5000,MATCH(K216,DB_malas!$A$2:$A$5000,0)),"✔",tulkojums!$A$38),tulkojums!$A$39),tulkojums!$A$39))</f>
        <v/>
      </c>
      <c r="T216" s="2"/>
      <c r="U216" s="2"/>
      <c r="V216" s="2"/>
      <c r="W216" s="2"/>
      <c r="X216" s="2"/>
      <c r="Y216" s="2"/>
      <c r="Z216" s="2"/>
    </row>
    <row r="217" spans="1:26" ht="15.75" customHeight="1">
      <c r="A217" s="17"/>
      <c r="B217" s="18"/>
      <c r="C217" s="19"/>
      <c r="D217" s="55"/>
      <c r="E217" s="55"/>
      <c r="F217" s="56"/>
      <c r="G217" s="57" t="str">
        <f>IF(ISBLANK(C217),"",
   IFERROR(
      IF(
         INDEX(DB_materiali!C$2:C$5000,
               MATCH(C217, DB_materiali!A$2:A$5000, 0)
         )="FALSE",
         "N",
         "Y"
      ),
   "")
)</f>
        <v/>
      </c>
      <c r="H217" s="20"/>
      <c r="I217" s="20"/>
      <c r="J217" s="20"/>
      <c r="K217" s="20"/>
      <c r="M217" s="2" t="str">
        <f>IF(ISBLANK(C217),"",IF(IFERROR(VLOOKUP(C217,DB_materiali!$A$2:$A$5000,1,FALSE),"Kļūda artikulā")=C217,"✔",tulkojums!A$42))</f>
        <v/>
      </c>
      <c r="N217" s="2" t="str">
        <f>IF(ISBLANK(C217),"",IF(ISNUMBER(F217)=TRUE,"✔",tulkojums!A$43))</f>
        <v/>
      </c>
      <c r="O217" s="2" t="str">
        <f>IF(ISBLANK(C217),"",IF(G217="Y","✔",IF(G217="X","✔",IF(G217="N","✔",tulkojums!A$44))))</f>
        <v/>
      </c>
      <c r="P217" s="2" t="str">
        <f>IF(ISBLANK(H217),"",IF(INDEX(DB_materiali!$E$2:$E$5000,MATCH($C217,DB_materiali!$A$2:$A$5000,0))&gt;=INDEX(DB_malas!$C$2:$C$5000,MATCH(H217,DB_malas!$A$2:$A$5000,0)),IF(INDEX(DB_materiali!$E$2:$E$5000,MATCH($C217,DB_materiali!$A$2:$A$5000,0))&lt;=INDEX(DB_malas!$D$2:$D$5000,MATCH(H217,DB_malas!$A$2:$A$5000,0)),IF(OR(INDEX(DB_materiali!$B$2:$B$5000,MATCH($C217,DB_materiali!$A$2:$A$5000,0))=INDEX(DB_malas!$B$2:$B$5000,MATCH(H217,DB_malas!$A$2:$A$5000,0)),$H217="ORG"),"✔",tulkojums!$A$38),tulkojums!$A$39),tulkojums!$A$39))</f>
        <v/>
      </c>
      <c r="Q217" s="2" t="str">
        <f>IF(ISBLANK(I217),"",IF(INDEX(DB_materiali!$E$2:$E$5000,MATCH($C217,DB_materiali!$A$2:$A$5000,0))&gt;=INDEX(DB_malas!$C$2:$C$5000,MATCH(I217,DB_malas!$A$2:$A$5000,0)),IF(INDEX(DB_materiali!$E$2:$E$5000,MATCH($C217,DB_materiali!$A$2:$A$5000,0))&lt;=INDEX(DB_malas!$D$2:$D$5000,MATCH(I217,DB_malas!$A$2:$A$5000,0)),IF(OR(INDEX(DB_materiali!$B$2:$B$5000,MATCH($C217,DB_materiali!$A$2:$A$5000,0))=INDEX(DB_malas!$B$2:$B$5000,MATCH(I217,DB_malas!$A$2:$A$5000,0)),$H217="ORG"),"✔",tulkojums!$A$38),tulkojums!$A$39),tulkojums!$A$39))</f>
        <v/>
      </c>
      <c r="R217" s="2" t="str">
        <f>IF(ISBLANK(J217),"",IF(INDEX(DB_materiali!$E$2:$E$5000,MATCH($C217,DB_materiali!$A$2:$A$5000,0))&gt;=INDEX(DB_malas!$C$2:$C$5000,MATCH(J217,DB_malas!$A$2:$A$5000,0)),IF(INDEX(DB_materiali!$E$2:$E$5000,MATCH($C217,DB_materiali!$A$2:$A$5000,0))&lt;=INDEX(DB_malas!$D$2:$D$5000,MATCH(J217,DB_malas!$A$2:$A$5000,0)),IF(INDEX(DB_materiali!$B$2:$B$5000,MATCH($C217,DB_materiali!$A$2:$A$5000,0))=INDEX(DB_malas!$B$2:$B$5000,MATCH(J217,DB_malas!$A$2:$A$5000,0)),"✔",tulkojums!$A$38),tulkojums!$A$39),tulkojums!$A$39))</f>
        <v/>
      </c>
      <c r="S217" s="2" t="str">
        <f>IF(ISBLANK(K217),"",IF(INDEX(DB_materiali!$E$2:$E$5000,MATCH($C217,DB_materiali!$A$2:$A$5000,0))&gt;=INDEX(DB_malas!$C$2:$C$5000,MATCH(K217,DB_malas!$A$2:$A$5000,0)),IF(INDEX(DB_materiali!$E$2:$E$5000,MATCH($C217,DB_materiali!$A$2:$A$5000,0))&lt;=INDEX(DB_malas!$D$2:$D$5000,MATCH(K217,DB_malas!$A$2:$A$5000,0)),IF(INDEX(DB_materiali!$B$2:$B$5000,MATCH($C217,DB_materiali!$A$2:$A$5000,0))=INDEX(DB_malas!$B$2:$B$5000,MATCH(K217,DB_malas!$A$2:$A$5000,0)),"✔",tulkojums!$A$38),tulkojums!$A$39),tulkojums!$A$39))</f>
        <v/>
      </c>
      <c r="T217" s="2"/>
      <c r="U217" s="2"/>
      <c r="V217" s="2"/>
      <c r="W217" s="2"/>
      <c r="X217" s="2"/>
      <c r="Y217" s="2"/>
      <c r="Z217" s="2"/>
    </row>
    <row r="218" spans="1:26" ht="15.75" customHeight="1">
      <c r="A218" s="17"/>
      <c r="B218" s="18"/>
      <c r="C218" s="19"/>
      <c r="D218" s="55"/>
      <c r="E218" s="55"/>
      <c r="F218" s="56"/>
      <c r="G218" s="57" t="str">
        <f>IF(ISBLANK(C218),"",
   IFERROR(
      IF(
         INDEX(DB_materiali!C$2:C$5000,
               MATCH(C218, DB_materiali!A$2:A$5000, 0)
         )="FALSE",
         "N",
         "Y"
      ),
   "")
)</f>
        <v/>
      </c>
      <c r="H218" s="20"/>
      <c r="I218" s="20"/>
      <c r="J218" s="20"/>
      <c r="K218" s="20"/>
      <c r="M218" s="2" t="str">
        <f>IF(ISBLANK(C218),"",IF(IFERROR(VLOOKUP(C218,DB_materiali!$A$2:$A$5000,1,FALSE),"Kļūda artikulā")=C218,"✔",tulkojums!A$42))</f>
        <v/>
      </c>
      <c r="N218" s="2" t="str">
        <f>IF(ISBLANK(C218),"",IF(ISNUMBER(F218)=TRUE,"✔",tulkojums!A$43))</f>
        <v/>
      </c>
      <c r="O218" s="2" t="str">
        <f>IF(ISBLANK(C218),"",IF(G218="Y","✔",IF(G218="X","✔",IF(G218="N","✔",tulkojums!A$44))))</f>
        <v/>
      </c>
      <c r="P218" s="2" t="str">
        <f>IF(ISBLANK(H218),"",IF(INDEX(DB_materiali!$E$2:$E$5000,MATCH($C218,DB_materiali!$A$2:$A$5000,0))&gt;=INDEX(DB_malas!$C$2:$C$5000,MATCH(H218,DB_malas!$A$2:$A$5000,0)),IF(INDEX(DB_materiali!$E$2:$E$5000,MATCH($C218,DB_materiali!$A$2:$A$5000,0))&lt;=INDEX(DB_malas!$D$2:$D$5000,MATCH(H218,DB_malas!$A$2:$A$5000,0)),IF(OR(INDEX(DB_materiali!$B$2:$B$5000,MATCH($C218,DB_materiali!$A$2:$A$5000,0))=INDEX(DB_malas!$B$2:$B$5000,MATCH(H218,DB_malas!$A$2:$A$5000,0)),$H218="ORG"),"✔",tulkojums!$A$38),tulkojums!$A$39),tulkojums!$A$39))</f>
        <v/>
      </c>
      <c r="Q218" s="2" t="str">
        <f>IF(ISBLANK(I218),"",IF(INDEX(DB_materiali!$E$2:$E$5000,MATCH($C218,DB_materiali!$A$2:$A$5000,0))&gt;=INDEX(DB_malas!$C$2:$C$5000,MATCH(I218,DB_malas!$A$2:$A$5000,0)),IF(INDEX(DB_materiali!$E$2:$E$5000,MATCH($C218,DB_materiali!$A$2:$A$5000,0))&lt;=INDEX(DB_malas!$D$2:$D$5000,MATCH(I218,DB_malas!$A$2:$A$5000,0)),IF(OR(INDEX(DB_materiali!$B$2:$B$5000,MATCH($C218,DB_materiali!$A$2:$A$5000,0))=INDEX(DB_malas!$B$2:$B$5000,MATCH(I218,DB_malas!$A$2:$A$5000,0)),$H218="ORG"),"✔",tulkojums!$A$38),tulkojums!$A$39),tulkojums!$A$39))</f>
        <v/>
      </c>
      <c r="R218" s="2" t="str">
        <f>IF(ISBLANK(J218),"",IF(INDEX(DB_materiali!$E$2:$E$5000,MATCH($C218,DB_materiali!$A$2:$A$5000,0))&gt;=INDEX(DB_malas!$C$2:$C$5000,MATCH(J218,DB_malas!$A$2:$A$5000,0)),IF(INDEX(DB_materiali!$E$2:$E$5000,MATCH($C218,DB_materiali!$A$2:$A$5000,0))&lt;=INDEX(DB_malas!$D$2:$D$5000,MATCH(J218,DB_malas!$A$2:$A$5000,0)),IF(INDEX(DB_materiali!$B$2:$B$5000,MATCH($C218,DB_materiali!$A$2:$A$5000,0))=INDEX(DB_malas!$B$2:$B$5000,MATCH(J218,DB_malas!$A$2:$A$5000,0)),"✔",tulkojums!$A$38),tulkojums!$A$39),tulkojums!$A$39))</f>
        <v/>
      </c>
      <c r="S218" s="2" t="str">
        <f>IF(ISBLANK(K218),"",IF(INDEX(DB_materiali!$E$2:$E$5000,MATCH($C218,DB_materiali!$A$2:$A$5000,0))&gt;=INDEX(DB_malas!$C$2:$C$5000,MATCH(K218,DB_malas!$A$2:$A$5000,0)),IF(INDEX(DB_materiali!$E$2:$E$5000,MATCH($C218,DB_materiali!$A$2:$A$5000,0))&lt;=INDEX(DB_malas!$D$2:$D$5000,MATCH(K218,DB_malas!$A$2:$A$5000,0)),IF(INDEX(DB_materiali!$B$2:$B$5000,MATCH($C218,DB_materiali!$A$2:$A$5000,0))=INDEX(DB_malas!$B$2:$B$5000,MATCH(K218,DB_malas!$A$2:$A$5000,0)),"✔",tulkojums!$A$38),tulkojums!$A$39),tulkojums!$A$39))</f>
        <v/>
      </c>
      <c r="T218" s="2"/>
      <c r="U218" s="2"/>
      <c r="V218" s="2"/>
      <c r="W218" s="2"/>
      <c r="X218" s="2"/>
      <c r="Y218" s="2"/>
      <c r="Z218" s="2"/>
    </row>
    <row r="219" spans="1:26" ht="15.75" customHeight="1">
      <c r="A219" s="17"/>
      <c r="B219" s="18"/>
      <c r="C219" s="19"/>
      <c r="D219" s="55"/>
      <c r="E219" s="55"/>
      <c r="F219" s="56"/>
      <c r="G219" s="57" t="str">
        <f>IF(ISBLANK(C219),"",
   IFERROR(
      IF(
         INDEX(DB_materiali!C$2:C$5000,
               MATCH(C219, DB_materiali!A$2:A$5000, 0)
         )="FALSE",
         "N",
         "Y"
      ),
   "")
)</f>
        <v/>
      </c>
      <c r="H219" s="20"/>
      <c r="I219" s="20"/>
      <c r="J219" s="20"/>
      <c r="K219" s="20"/>
      <c r="M219" s="2" t="str">
        <f>IF(ISBLANK(C219),"",IF(IFERROR(VLOOKUP(C219,DB_materiali!$A$2:$A$5000,1,FALSE),"Kļūda artikulā")=C219,"✔",tulkojums!A$42))</f>
        <v/>
      </c>
      <c r="N219" s="2" t="str">
        <f>IF(ISBLANK(C219),"",IF(ISNUMBER(F219)=TRUE,"✔",tulkojums!A$43))</f>
        <v/>
      </c>
      <c r="O219" s="2" t="str">
        <f>IF(ISBLANK(C219),"",IF(G219="Y","✔",IF(G219="X","✔",IF(G219="N","✔",tulkojums!A$44))))</f>
        <v/>
      </c>
      <c r="P219" s="2" t="str">
        <f>IF(ISBLANK(H219),"",IF(INDEX(DB_materiali!$E$2:$E$5000,MATCH($C219,DB_materiali!$A$2:$A$5000,0))&gt;=INDEX(DB_malas!$C$2:$C$5000,MATCH(H219,DB_malas!$A$2:$A$5000,0)),IF(INDEX(DB_materiali!$E$2:$E$5000,MATCH($C219,DB_materiali!$A$2:$A$5000,0))&lt;=INDEX(DB_malas!$D$2:$D$5000,MATCH(H219,DB_malas!$A$2:$A$5000,0)),IF(OR(INDEX(DB_materiali!$B$2:$B$5000,MATCH($C219,DB_materiali!$A$2:$A$5000,0))=INDEX(DB_malas!$B$2:$B$5000,MATCH(H219,DB_malas!$A$2:$A$5000,0)),$H219="ORG"),"✔",tulkojums!$A$38),tulkojums!$A$39),tulkojums!$A$39))</f>
        <v/>
      </c>
      <c r="Q219" s="2" t="str">
        <f>IF(ISBLANK(I219),"",IF(INDEX(DB_materiali!$E$2:$E$5000,MATCH($C219,DB_materiali!$A$2:$A$5000,0))&gt;=INDEX(DB_malas!$C$2:$C$5000,MATCH(I219,DB_malas!$A$2:$A$5000,0)),IF(INDEX(DB_materiali!$E$2:$E$5000,MATCH($C219,DB_materiali!$A$2:$A$5000,0))&lt;=INDEX(DB_malas!$D$2:$D$5000,MATCH(I219,DB_malas!$A$2:$A$5000,0)),IF(OR(INDEX(DB_materiali!$B$2:$B$5000,MATCH($C219,DB_materiali!$A$2:$A$5000,0))=INDEX(DB_malas!$B$2:$B$5000,MATCH(I219,DB_malas!$A$2:$A$5000,0)),$H219="ORG"),"✔",tulkojums!$A$38),tulkojums!$A$39),tulkojums!$A$39))</f>
        <v/>
      </c>
      <c r="R219" s="2" t="str">
        <f>IF(ISBLANK(J219),"",IF(INDEX(DB_materiali!$E$2:$E$5000,MATCH($C219,DB_materiali!$A$2:$A$5000,0))&gt;=INDEX(DB_malas!$C$2:$C$5000,MATCH(J219,DB_malas!$A$2:$A$5000,0)),IF(INDEX(DB_materiali!$E$2:$E$5000,MATCH($C219,DB_materiali!$A$2:$A$5000,0))&lt;=INDEX(DB_malas!$D$2:$D$5000,MATCH(J219,DB_malas!$A$2:$A$5000,0)),IF(INDEX(DB_materiali!$B$2:$B$5000,MATCH($C219,DB_materiali!$A$2:$A$5000,0))=INDEX(DB_malas!$B$2:$B$5000,MATCH(J219,DB_malas!$A$2:$A$5000,0)),"✔",tulkojums!$A$38),tulkojums!$A$39),tulkojums!$A$39))</f>
        <v/>
      </c>
      <c r="S219" s="2" t="str">
        <f>IF(ISBLANK(K219),"",IF(INDEX(DB_materiali!$E$2:$E$5000,MATCH($C219,DB_materiali!$A$2:$A$5000,0))&gt;=INDEX(DB_malas!$C$2:$C$5000,MATCH(K219,DB_malas!$A$2:$A$5000,0)),IF(INDEX(DB_materiali!$E$2:$E$5000,MATCH($C219,DB_materiali!$A$2:$A$5000,0))&lt;=INDEX(DB_malas!$D$2:$D$5000,MATCH(K219,DB_malas!$A$2:$A$5000,0)),IF(INDEX(DB_materiali!$B$2:$B$5000,MATCH($C219,DB_materiali!$A$2:$A$5000,0))=INDEX(DB_malas!$B$2:$B$5000,MATCH(K219,DB_malas!$A$2:$A$5000,0)),"✔",tulkojums!$A$38),tulkojums!$A$39),tulkojums!$A$39))</f>
        <v/>
      </c>
      <c r="T219" s="2"/>
      <c r="U219" s="2"/>
      <c r="V219" s="2"/>
      <c r="W219" s="2"/>
      <c r="X219" s="2"/>
      <c r="Y219" s="2"/>
      <c r="Z219" s="2"/>
    </row>
    <row r="220" spans="1:26" ht="15.75" customHeight="1">
      <c r="A220" s="17"/>
      <c r="B220" s="18"/>
      <c r="C220" s="19"/>
      <c r="D220" s="55"/>
      <c r="E220" s="55"/>
      <c r="F220" s="56"/>
      <c r="G220" s="57" t="str">
        <f>IF(ISBLANK(C220),"",
   IFERROR(
      IF(
         INDEX(DB_materiali!C$2:C$5000,
               MATCH(C220, DB_materiali!A$2:A$5000, 0)
         )="FALSE",
         "N",
         "Y"
      ),
   "")
)</f>
        <v/>
      </c>
      <c r="H220" s="20"/>
      <c r="I220" s="20"/>
      <c r="J220" s="20"/>
      <c r="K220" s="20"/>
      <c r="M220" s="2" t="str">
        <f>IF(ISBLANK(C220),"",IF(IFERROR(VLOOKUP(C220,DB_materiali!$A$2:$A$5000,1,FALSE),"Kļūda artikulā")=C220,"✔",tulkojums!A$42))</f>
        <v/>
      </c>
      <c r="N220" s="2" t="str">
        <f>IF(ISBLANK(C220),"",IF(ISNUMBER(F220)=TRUE,"✔",tulkojums!A$43))</f>
        <v/>
      </c>
      <c r="O220" s="2" t="str">
        <f>IF(ISBLANK(C220),"",IF(G220="Y","✔",IF(G220="X","✔",IF(G220="N","✔",tulkojums!A$44))))</f>
        <v/>
      </c>
      <c r="P220" s="2" t="str">
        <f>IF(ISBLANK(H220),"",IF(INDEX(DB_materiali!$E$2:$E$5000,MATCH($C220,DB_materiali!$A$2:$A$5000,0))&gt;=INDEX(DB_malas!$C$2:$C$5000,MATCH(H220,DB_malas!$A$2:$A$5000,0)),IF(INDEX(DB_materiali!$E$2:$E$5000,MATCH($C220,DB_materiali!$A$2:$A$5000,0))&lt;=INDEX(DB_malas!$D$2:$D$5000,MATCH(H220,DB_malas!$A$2:$A$5000,0)),IF(OR(INDEX(DB_materiali!$B$2:$B$5000,MATCH($C220,DB_materiali!$A$2:$A$5000,0))=INDEX(DB_malas!$B$2:$B$5000,MATCH(H220,DB_malas!$A$2:$A$5000,0)),$H220="ORG"),"✔",tulkojums!$A$38),tulkojums!$A$39),tulkojums!$A$39))</f>
        <v/>
      </c>
      <c r="Q220" s="2" t="str">
        <f>IF(ISBLANK(I220),"",IF(INDEX(DB_materiali!$E$2:$E$5000,MATCH($C220,DB_materiali!$A$2:$A$5000,0))&gt;=INDEX(DB_malas!$C$2:$C$5000,MATCH(I220,DB_malas!$A$2:$A$5000,0)),IF(INDEX(DB_materiali!$E$2:$E$5000,MATCH($C220,DB_materiali!$A$2:$A$5000,0))&lt;=INDEX(DB_malas!$D$2:$D$5000,MATCH(I220,DB_malas!$A$2:$A$5000,0)),IF(OR(INDEX(DB_materiali!$B$2:$B$5000,MATCH($C220,DB_materiali!$A$2:$A$5000,0))=INDEX(DB_malas!$B$2:$B$5000,MATCH(I220,DB_malas!$A$2:$A$5000,0)),$H220="ORG"),"✔",tulkojums!$A$38),tulkojums!$A$39),tulkojums!$A$39))</f>
        <v/>
      </c>
      <c r="R220" s="2" t="str">
        <f>IF(ISBLANK(J220),"",IF(INDEX(DB_materiali!$E$2:$E$5000,MATCH($C220,DB_materiali!$A$2:$A$5000,0))&gt;=INDEX(DB_malas!$C$2:$C$5000,MATCH(J220,DB_malas!$A$2:$A$5000,0)),IF(INDEX(DB_materiali!$E$2:$E$5000,MATCH($C220,DB_materiali!$A$2:$A$5000,0))&lt;=INDEX(DB_malas!$D$2:$D$5000,MATCH(J220,DB_malas!$A$2:$A$5000,0)),IF(INDEX(DB_materiali!$B$2:$B$5000,MATCH($C220,DB_materiali!$A$2:$A$5000,0))=INDEX(DB_malas!$B$2:$B$5000,MATCH(J220,DB_malas!$A$2:$A$5000,0)),"✔",tulkojums!$A$38),tulkojums!$A$39),tulkojums!$A$39))</f>
        <v/>
      </c>
      <c r="S220" s="2" t="str">
        <f>IF(ISBLANK(K220),"",IF(INDEX(DB_materiali!$E$2:$E$5000,MATCH($C220,DB_materiali!$A$2:$A$5000,0))&gt;=INDEX(DB_malas!$C$2:$C$5000,MATCH(K220,DB_malas!$A$2:$A$5000,0)),IF(INDEX(DB_materiali!$E$2:$E$5000,MATCH($C220,DB_materiali!$A$2:$A$5000,0))&lt;=INDEX(DB_malas!$D$2:$D$5000,MATCH(K220,DB_malas!$A$2:$A$5000,0)),IF(INDEX(DB_materiali!$B$2:$B$5000,MATCH($C220,DB_materiali!$A$2:$A$5000,0))=INDEX(DB_malas!$B$2:$B$5000,MATCH(K220,DB_malas!$A$2:$A$5000,0)),"✔",tulkojums!$A$38),tulkojums!$A$39),tulkojums!$A$39))</f>
        <v/>
      </c>
      <c r="T220" s="2"/>
      <c r="U220" s="2"/>
      <c r="V220" s="2"/>
      <c r="W220" s="2"/>
      <c r="X220" s="2"/>
      <c r="Y220" s="2"/>
      <c r="Z220" s="2"/>
    </row>
    <row r="221" spans="1:26" ht="15.75" customHeight="1">
      <c r="A221" s="17"/>
      <c r="B221" s="18"/>
      <c r="C221" s="19"/>
      <c r="D221" s="55"/>
      <c r="E221" s="55"/>
      <c r="F221" s="56"/>
      <c r="G221" s="57" t="str">
        <f>IF(ISBLANK(C221),"",
   IFERROR(
      IF(
         INDEX(DB_materiali!C$2:C$5000,
               MATCH(C221, DB_materiali!A$2:A$5000, 0)
         )="FALSE",
         "N",
         "Y"
      ),
   "")
)</f>
        <v/>
      </c>
      <c r="H221" s="20"/>
      <c r="I221" s="20"/>
      <c r="J221" s="20"/>
      <c r="K221" s="20"/>
      <c r="M221" s="2" t="str">
        <f>IF(ISBLANK(C221),"",IF(IFERROR(VLOOKUP(C221,DB_materiali!$A$2:$A$5000,1,FALSE),"Kļūda artikulā")=C221,"✔",tulkojums!A$42))</f>
        <v/>
      </c>
      <c r="N221" s="2" t="str">
        <f>IF(ISBLANK(C221),"",IF(ISNUMBER(F221)=TRUE,"✔",tulkojums!A$43))</f>
        <v/>
      </c>
      <c r="O221" s="2" t="str">
        <f>IF(ISBLANK(C221),"",IF(G221="Y","✔",IF(G221="X","✔",IF(G221="N","✔",tulkojums!A$44))))</f>
        <v/>
      </c>
      <c r="P221" s="2" t="str">
        <f>IF(ISBLANK(H221),"",IF(INDEX(DB_materiali!$E$2:$E$5000,MATCH($C221,DB_materiali!$A$2:$A$5000,0))&gt;=INDEX(DB_malas!$C$2:$C$5000,MATCH(H221,DB_malas!$A$2:$A$5000,0)),IF(INDEX(DB_materiali!$E$2:$E$5000,MATCH($C221,DB_materiali!$A$2:$A$5000,0))&lt;=INDEX(DB_malas!$D$2:$D$5000,MATCH(H221,DB_malas!$A$2:$A$5000,0)),IF(OR(INDEX(DB_materiali!$B$2:$B$5000,MATCH($C221,DB_materiali!$A$2:$A$5000,0))=INDEX(DB_malas!$B$2:$B$5000,MATCH(H221,DB_malas!$A$2:$A$5000,0)),$H221="ORG"),"✔",tulkojums!$A$38),tulkojums!$A$39),tulkojums!$A$39))</f>
        <v/>
      </c>
      <c r="Q221" s="2" t="str">
        <f>IF(ISBLANK(I221),"",IF(INDEX(DB_materiali!$E$2:$E$5000,MATCH($C221,DB_materiali!$A$2:$A$5000,0))&gt;=INDEX(DB_malas!$C$2:$C$5000,MATCH(I221,DB_malas!$A$2:$A$5000,0)),IF(INDEX(DB_materiali!$E$2:$E$5000,MATCH($C221,DB_materiali!$A$2:$A$5000,0))&lt;=INDEX(DB_malas!$D$2:$D$5000,MATCH(I221,DB_malas!$A$2:$A$5000,0)),IF(OR(INDEX(DB_materiali!$B$2:$B$5000,MATCH($C221,DB_materiali!$A$2:$A$5000,0))=INDEX(DB_malas!$B$2:$B$5000,MATCH(I221,DB_malas!$A$2:$A$5000,0)),$H221="ORG"),"✔",tulkojums!$A$38),tulkojums!$A$39),tulkojums!$A$39))</f>
        <v/>
      </c>
      <c r="R221" s="2" t="str">
        <f>IF(ISBLANK(J221),"",IF(INDEX(DB_materiali!$E$2:$E$5000,MATCH($C221,DB_materiali!$A$2:$A$5000,0))&gt;=INDEX(DB_malas!$C$2:$C$5000,MATCH(J221,DB_malas!$A$2:$A$5000,0)),IF(INDEX(DB_materiali!$E$2:$E$5000,MATCH($C221,DB_materiali!$A$2:$A$5000,0))&lt;=INDEX(DB_malas!$D$2:$D$5000,MATCH(J221,DB_malas!$A$2:$A$5000,0)),IF(INDEX(DB_materiali!$B$2:$B$5000,MATCH($C221,DB_materiali!$A$2:$A$5000,0))=INDEX(DB_malas!$B$2:$B$5000,MATCH(J221,DB_malas!$A$2:$A$5000,0)),"✔",tulkojums!$A$38),tulkojums!$A$39),tulkojums!$A$39))</f>
        <v/>
      </c>
      <c r="S221" s="2" t="str">
        <f>IF(ISBLANK(K221),"",IF(INDEX(DB_materiali!$E$2:$E$5000,MATCH($C221,DB_materiali!$A$2:$A$5000,0))&gt;=INDEX(DB_malas!$C$2:$C$5000,MATCH(K221,DB_malas!$A$2:$A$5000,0)),IF(INDEX(DB_materiali!$E$2:$E$5000,MATCH($C221,DB_materiali!$A$2:$A$5000,0))&lt;=INDEX(DB_malas!$D$2:$D$5000,MATCH(K221,DB_malas!$A$2:$A$5000,0)),IF(INDEX(DB_materiali!$B$2:$B$5000,MATCH($C221,DB_materiali!$A$2:$A$5000,0))=INDEX(DB_malas!$B$2:$B$5000,MATCH(K221,DB_malas!$A$2:$A$5000,0)),"✔",tulkojums!$A$38),tulkojums!$A$39),tulkojums!$A$39))</f>
        <v/>
      </c>
      <c r="T221" s="2"/>
      <c r="U221" s="2"/>
      <c r="V221" s="2"/>
      <c r="W221" s="2"/>
      <c r="X221" s="2"/>
      <c r="Y221" s="2"/>
      <c r="Z221" s="2"/>
    </row>
    <row r="222" spans="1:26" ht="15.75" customHeight="1">
      <c r="A222" s="17"/>
      <c r="B222" s="18"/>
      <c r="C222" s="19"/>
      <c r="D222" s="55"/>
      <c r="E222" s="55"/>
      <c r="F222" s="56"/>
      <c r="G222" s="57" t="str">
        <f>IF(ISBLANK(C222),"",
   IFERROR(
      IF(
         INDEX(DB_materiali!C$2:C$5000,
               MATCH(C222, DB_materiali!A$2:A$5000, 0)
         )="FALSE",
         "N",
         "Y"
      ),
   "")
)</f>
        <v/>
      </c>
      <c r="H222" s="20"/>
      <c r="I222" s="20"/>
      <c r="J222" s="20"/>
      <c r="K222" s="20"/>
      <c r="M222" s="2" t="str">
        <f>IF(ISBLANK(C222),"",IF(IFERROR(VLOOKUP(C222,DB_materiali!$A$2:$A$5000,1,FALSE),"Kļūda artikulā")=C222,"✔",tulkojums!A$42))</f>
        <v/>
      </c>
      <c r="N222" s="2" t="str">
        <f>IF(ISBLANK(C222),"",IF(ISNUMBER(F222)=TRUE,"✔",tulkojums!A$43))</f>
        <v/>
      </c>
      <c r="O222" s="2" t="str">
        <f>IF(ISBLANK(C222),"",IF(G222="Y","✔",IF(G222="X","✔",IF(G222="N","✔",tulkojums!A$44))))</f>
        <v/>
      </c>
      <c r="P222" s="2" t="str">
        <f>IF(ISBLANK(H222),"",IF(INDEX(DB_materiali!$E$2:$E$5000,MATCH($C222,DB_materiali!$A$2:$A$5000,0))&gt;=INDEX(DB_malas!$C$2:$C$5000,MATCH(H222,DB_malas!$A$2:$A$5000,0)),IF(INDEX(DB_materiali!$E$2:$E$5000,MATCH($C222,DB_materiali!$A$2:$A$5000,0))&lt;=INDEX(DB_malas!$D$2:$D$5000,MATCH(H222,DB_malas!$A$2:$A$5000,0)),IF(OR(INDEX(DB_materiali!$B$2:$B$5000,MATCH($C222,DB_materiali!$A$2:$A$5000,0))=INDEX(DB_malas!$B$2:$B$5000,MATCH(H222,DB_malas!$A$2:$A$5000,0)),$H222="ORG"),"✔",tulkojums!$A$38),tulkojums!$A$39),tulkojums!$A$39))</f>
        <v/>
      </c>
      <c r="Q222" s="2" t="str">
        <f>IF(ISBLANK(I222),"",IF(INDEX(DB_materiali!$E$2:$E$5000,MATCH($C222,DB_materiali!$A$2:$A$5000,0))&gt;=INDEX(DB_malas!$C$2:$C$5000,MATCH(I222,DB_malas!$A$2:$A$5000,0)),IF(INDEX(DB_materiali!$E$2:$E$5000,MATCH($C222,DB_materiali!$A$2:$A$5000,0))&lt;=INDEX(DB_malas!$D$2:$D$5000,MATCH(I222,DB_malas!$A$2:$A$5000,0)),IF(OR(INDEX(DB_materiali!$B$2:$B$5000,MATCH($C222,DB_materiali!$A$2:$A$5000,0))=INDEX(DB_malas!$B$2:$B$5000,MATCH(I222,DB_malas!$A$2:$A$5000,0)),$H222="ORG"),"✔",tulkojums!$A$38),tulkojums!$A$39),tulkojums!$A$39))</f>
        <v/>
      </c>
      <c r="R222" s="2" t="str">
        <f>IF(ISBLANK(J222),"",IF(INDEX(DB_materiali!$E$2:$E$5000,MATCH($C222,DB_materiali!$A$2:$A$5000,0))&gt;=INDEX(DB_malas!$C$2:$C$5000,MATCH(J222,DB_malas!$A$2:$A$5000,0)),IF(INDEX(DB_materiali!$E$2:$E$5000,MATCH($C222,DB_materiali!$A$2:$A$5000,0))&lt;=INDEX(DB_malas!$D$2:$D$5000,MATCH(J222,DB_malas!$A$2:$A$5000,0)),IF(INDEX(DB_materiali!$B$2:$B$5000,MATCH($C222,DB_materiali!$A$2:$A$5000,0))=INDEX(DB_malas!$B$2:$B$5000,MATCH(J222,DB_malas!$A$2:$A$5000,0)),"✔",tulkojums!$A$38),tulkojums!$A$39),tulkojums!$A$39))</f>
        <v/>
      </c>
      <c r="S222" s="2" t="str">
        <f>IF(ISBLANK(K222),"",IF(INDEX(DB_materiali!$E$2:$E$5000,MATCH($C222,DB_materiali!$A$2:$A$5000,0))&gt;=INDEX(DB_malas!$C$2:$C$5000,MATCH(K222,DB_malas!$A$2:$A$5000,0)),IF(INDEX(DB_materiali!$E$2:$E$5000,MATCH($C222,DB_materiali!$A$2:$A$5000,0))&lt;=INDEX(DB_malas!$D$2:$D$5000,MATCH(K222,DB_malas!$A$2:$A$5000,0)),IF(INDEX(DB_materiali!$B$2:$B$5000,MATCH($C222,DB_materiali!$A$2:$A$5000,0))=INDEX(DB_malas!$B$2:$B$5000,MATCH(K222,DB_malas!$A$2:$A$5000,0)),"✔",tulkojums!$A$38),tulkojums!$A$39),tulkojums!$A$39))</f>
        <v/>
      </c>
      <c r="T222" s="2"/>
      <c r="U222" s="2"/>
      <c r="V222" s="2"/>
      <c r="W222" s="2"/>
      <c r="X222" s="2"/>
      <c r="Y222" s="2"/>
      <c r="Z222" s="2"/>
    </row>
    <row r="223" spans="1:26" ht="15.75" customHeight="1">
      <c r="A223" s="17"/>
      <c r="B223" s="18"/>
      <c r="C223" s="19"/>
      <c r="D223" s="55"/>
      <c r="E223" s="55"/>
      <c r="F223" s="56"/>
      <c r="G223" s="57" t="str">
        <f>IF(ISBLANK(C223),"",
   IFERROR(
      IF(
         INDEX(DB_materiali!C$2:C$5000,
               MATCH(C223, DB_materiali!A$2:A$5000, 0)
         )="FALSE",
         "N",
         "Y"
      ),
   "")
)</f>
        <v/>
      </c>
      <c r="H223" s="20"/>
      <c r="I223" s="20"/>
      <c r="J223" s="20"/>
      <c r="K223" s="20"/>
      <c r="M223" s="2" t="str">
        <f>IF(ISBLANK(C223),"",IF(IFERROR(VLOOKUP(C223,DB_materiali!$A$2:$A$5000,1,FALSE),"Kļūda artikulā")=C223,"✔",tulkojums!A$42))</f>
        <v/>
      </c>
      <c r="N223" s="2" t="str">
        <f>IF(ISBLANK(C223),"",IF(ISNUMBER(F223)=TRUE,"✔",tulkojums!A$43))</f>
        <v/>
      </c>
      <c r="O223" s="2" t="str">
        <f>IF(ISBLANK(C223),"",IF(G223="Y","✔",IF(G223="X","✔",IF(G223="N","✔",tulkojums!A$44))))</f>
        <v/>
      </c>
      <c r="P223" s="2" t="str">
        <f>IF(ISBLANK(H223),"",IF(INDEX(DB_materiali!$E$2:$E$5000,MATCH($C223,DB_materiali!$A$2:$A$5000,0))&gt;=INDEX(DB_malas!$C$2:$C$5000,MATCH(H223,DB_malas!$A$2:$A$5000,0)),IF(INDEX(DB_materiali!$E$2:$E$5000,MATCH($C223,DB_materiali!$A$2:$A$5000,0))&lt;=INDEX(DB_malas!$D$2:$D$5000,MATCH(H223,DB_malas!$A$2:$A$5000,0)),IF(OR(INDEX(DB_materiali!$B$2:$B$5000,MATCH($C223,DB_materiali!$A$2:$A$5000,0))=INDEX(DB_malas!$B$2:$B$5000,MATCH(H223,DB_malas!$A$2:$A$5000,0)),$H223="ORG"),"✔",tulkojums!$A$38),tulkojums!$A$39),tulkojums!$A$39))</f>
        <v/>
      </c>
      <c r="Q223" s="2" t="str">
        <f>IF(ISBLANK(I223),"",IF(INDEX(DB_materiali!$E$2:$E$5000,MATCH($C223,DB_materiali!$A$2:$A$5000,0))&gt;=INDEX(DB_malas!$C$2:$C$5000,MATCH(I223,DB_malas!$A$2:$A$5000,0)),IF(INDEX(DB_materiali!$E$2:$E$5000,MATCH($C223,DB_materiali!$A$2:$A$5000,0))&lt;=INDEX(DB_malas!$D$2:$D$5000,MATCH(I223,DB_malas!$A$2:$A$5000,0)),IF(OR(INDEX(DB_materiali!$B$2:$B$5000,MATCH($C223,DB_materiali!$A$2:$A$5000,0))=INDEX(DB_malas!$B$2:$B$5000,MATCH(I223,DB_malas!$A$2:$A$5000,0)),$H223="ORG"),"✔",tulkojums!$A$38),tulkojums!$A$39),tulkojums!$A$39))</f>
        <v/>
      </c>
      <c r="R223" s="2" t="str">
        <f>IF(ISBLANK(J223),"",IF(INDEX(DB_materiali!$E$2:$E$5000,MATCH($C223,DB_materiali!$A$2:$A$5000,0))&gt;=INDEX(DB_malas!$C$2:$C$5000,MATCH(J223,DB_malas!$A$2:$A$5000,0)),IF(INDEX(DB_materiali!$E$2:$E$5000,MATCH($C223,DB_materiali!$A$2:$A$5000,0))&lt;=INDEX(DB_malas!$D$2:$D$5000,MATCH(J223,DB_malas!$A$2:$A$5000,0)),IF(INDEX(DB_materiali!$B$2:$B$5000,MATCH($C223,DB_materiali!$A$2:$A$5000,0))=INDEX(DB_malas!$B$2:$B$5000,MATCH(J223,DB_malas!$A$2:$A$5000,0)),"✔",tulkojums!$A$38),tulkojums!$A$39),tulkojums!$A$39))</f>
        <v/>
      </c>
      <c r="S223" s="2" t="str">
        <f>IF(ISBLANK(K223),"",IF(INDEX(DB_materiali!$E$2:$E$5000,MATCH($C223,DB_materiali!$A$2:$A$5000,0))&gt;=INDEX(DB_malas!$C$2:$C$5000,MATCH(K223,DB_malas!$A$2:$A$5000,0)),IF(INDEX(DB_materiali!$E$2:$E$5000,MATCH($C223,DB_materiali!$A$2:$A$5000,0))&lt;=INDEX(DB_malas!$D$2:$D$5000,MATCH(K223,DB_malas!$A$2:$A$5000,0)),IF(INDEX(DB_materiali!$B$2:$B$5000,MATCH($C223,DB_materiali!$A$2:$A$5000,0))=INDEX(DB_malas!$B$2:$B$5000,MATCH(K223,DB_malas!$A$2:$A$5000,0)),"✔",tulkojums!$A$38),tulkojums!$A$39),tulkojums!$A$39))</f>
        <v/>
      </c>
      <c r="T223" s="2"/>
      <c r="U223" s="2"/>
      <c r="V223" s="2"/>
      <c r="W223" s="2"/>
      <c r="X223" s="2"/>
      <c r="Y223" s="2"/>
      <c r="Z223" s="2"/>
    </row>
    <row r="224" spans="1:26" ht="15.75" customHeight="1">
      <c r="A224" s="17"/>
      <c r="B224" s="18"/>
      <c r="C224" s="19"/>
      <c r="D224" s="55"/>
      <c r="E224" s="55"/>
      <c r="F224" s="56"/>
      <c r="G224" s="57" t="str">
        <f>IF(ISBLANK(C224),"",
   IFERROR(
      IF(
         INDEX(DB_materiali!C$2:C$5000,
               MATCH(C224, DB_materiali!A$2:A$5000, 0)
         )="FALSE",
         "N",
         "Y"
      ),
   "")
)</f>
        <v/>
      </c>
      <c r="H224" s="20"/>
      <c r="I224" s="20"/>
      <c r="J224" s="20"/>
      <c r="K224" s="20"/>
      <c r="M224" s="2" t="str">
        <f>IF(ISBLANK(C224),"",IF(IFERROR(VLOOKUP(C224,DB_materiali!$A$2:$A$5000,1,FALSE),"Kļūda artikulā")=C224,"✔",tulkojums!A$42))</f>
        <v/>
      </c>
      <c r="N224" s="2" t="str">
        <f>IF(ISBLANK(C224),"",IF(ISNUMBER(F224)=TRUE,"✔",tulkojums!A$43))</f>
        <v/>
      </c>
      <c r="O224" s="2" t="str">
        <f>IF(ISBLANK(C224),"",IF(G224="Y","✔",IF(G224="X","✔",IF(G224="N","✔",tulkojums!A$44))))</f>
        <v/>
      </c>
      <c r="P224" s="2" t="str">
        <f>IF(ISBLANK(H224),"",IF(INDEX(DB_materiali!$E$2:$E$5000,MATCH($C224,DB_materiali!$A$2:$A$5000,0))&gt;=INDEX(DB_malas!$C$2:$C$5000,MATCH(H224,DB_malas!$A$2:$A$5000,0)),IF(INDEX(DB_materiali!$E$2:$E$5000,MATCH($C224,DB_materiali!$A$2:$A$5000,0))&lt;=INDEX(DB_malas!$D$2:$D$5000,MATCH(H224,DB_malas!$A$2:$A$5000,0)),IF(OR(INDEX(DB_materiali!$B$2:$B$5000,MATCH($C224,DB_materiali!$A$2:$A$5000,0))=INDEX(DB_malas!$B$2:$B$5000,MATCH(H224,DB_malas!$A$2:$A$5000,0)),$H224="ORG"),"✔",tulkojums!$A$38),tulkojums!$A$39),tulkojums!$A$39))</f>
        <v/>
      </c>
      <c r="Q224" s="2" t="str">
        <f>IF(ISBLANK(I224),"",IF(INDEX(DB_materiali!$E$2:$E$5000,MATCH($C224,DB_materiali!$A$2:$A$5000,0))&gt;=INDEX(DB_malas!$C$2:$C$5000,MATCH(I224,DB_malas!$A$2:$A$5000,0)),IF(INDEX(DB_materiali!$E$2:$E$5000,MATCH($C224,DB_materiali!$A$2:$A$5000,0))&lt;=INDEX(DB_malas!$D$2:$D$5000,MATCH(I224,DB_malas!$A$2:$A$5000,0)),IF(OR(INDEX(DB_materiali!$B$2:$B$5000,MATCH($C224,DB_materiali!$A$2:$A$5000,0))=INDEX(DB_malas!$B$2:$B$5000,MATCH(I224,DB_malas!$A$2:$A$5000,0)),$H224="ORG"),"✔",tulkojums!$A$38),tulkojums!$A$39),tulkojums!$A$39))</f>
        <v/>
      </c>
      <c r="R224" s="2" t="str">
        <f>IF(ISBLANK(J224),"",IF(INDEX(DB_materiali!$E$2:$E$5000,MATCH($C224,DB_materiali!$A$2:$A$5000,0))&gt;=INDEX(DB_malas!$C$2:$C$5000,MATCH(J224,DB_malas!$A$2:$A$5000,0)),IF(INDEX(DB_materiali!$E$2:$E$5000,MATCH($C224,DB_materiali!$A$2:$A$5000,0))&lt;=INDEX(DB_malas!$D$2:$D$5000,MATCH(J224,DB_malas!$A$2:$A$5000,0)),IF(INDEX(DB_materiali!$B$2:$B$5000,MATCH($C224,DB_materiali!$A$2:$A$5000,0))=INDEX(DB_malas!$B$2:$B$5000,MATCH(J224,DB_malas!$A$2:$A$5000,0)),"✔",tulkojums!$A$38),tulkojums!$A$39),tulkojums!$A$39))</f>
        <v/>
      </c>
      <c r="S224" s="2" t="str">
        <f>IF(ISBLANK(K224),"",IF(INDEX(DB_materiali!$E$2:$E$5000,MATCH($C224,DB_materiali!$A$2:$A$5000,0))&gt;=INDEX(DB_malas!$C$2:$C$5000,MATCH(K224,DB_malas!$A$2:$A$5000,0)),IF(INDEX(DB_materiali!$E$2:$E$5000,MATCH($C224,DB_materiali!$A$2:$A$5000,0))&lt;=INDEX(DB_malas!$D$2:$D$5000,MATCH(K224,DB_malas!$A$2:$A$5000,0)),IF(INDEX(DB_materiali!$B$2:$B$5000,MATCH($C224,DB_materiali!$A$2:$A$5000,0))=INDEX(DB_malas!$B$2:$B$5000,MATCH(K224,DB_malas!$A$2:$A$5000,0)),"✔",tulkojums!$A$38),tulkojums!$A$39),tulkojums!$A$39))</f>
        <v/>
      </c>
      <c r="T224" s="2"/>
      <c r="U224" s="2"/>
      <c r="V224" s="2"/>
      <c r="W224" s="2"/>
      <c r="X224" s="2"/>
      <c r="Y224" s="2"/>
      <c r="Z224" s="2"/>
    </row>
    <row r="225" spans="1:26" ht="15.75" customHeight="1">
      <c r="A225" s="17"/>
      <c r="B225" s="18"/>
      <c r="C225" s="19"/>
      <c r="D225" s="55"/>
      <c r="E225" s="55"/>
      <c r="F225" s="56"/>
      <c r="G225" s="57" t="str">
        <f>IF(ISBLANK(C225),"",
   IFERROR(
      IF(
         INDEX(DB_materiali!C$2:C$5000,
               MATCH(C225, DB_materiali!A$2:A$5000, 0)
         )="FALSE",
         "N",
         "Y"
      ),
   "")
)</f>
        <v/>
      </c>
      <c r="H225" s="20"/>
      <c r="I225" s="20"/>
      <c r="J225" s="20"/>
      <c r="K225" s="20"/>
      <c r="M225" s="2" t="str">
        <f>IF(ISBLANK(C225),"",IF(IFERROR(VLOOKUP(C225,DB_materiali!$A$2:$A$5000,1,FALSE),"Kļūda artikulā")=C225,"✔",tulkojums!A$42))</f>
        <v/>
      </c>
      <c r="N225" s="2" t="str">
        <f>IF(ISBLANK(C225),"",IF(ISNUMBER(F225)=TRUE,"✔",tulkojums!A$43))</f>
        <v/>
      </c>
      <c r="O225" s="2" t="str">
        <f>IF(ISBLANK(C225),"",IF(G225="Y","✔",IF(G225="X","✔",IF(G225="N","✔",tulkojums!A$44))))</f>
        <v/>
      </c>
      <c r="P225" s="2" t="str">
        <f>IF(ISBLANK(H225),"",IF(INDEX(DB_materiali!$E$2:$E$5000,MATCH($C225,DB_materiali!$A$2:$A$5000,0))&gt;=INDEX(DB_malas!$C$2:$C$5000,MATCH(H225,DB_malas!$A$2:$A$5000,0)),IF(INDEX(DB_materiali!$E$2:$E$5000,MATCH($C225,DB_materiali!$A$2:$A$5000,0))&lt;=INDEX(DB_malas!$D$2:$D$5000,MATCH(H225,DB_malas!$A$2:$A$5000,0)),IF(OR(INDEX(DB_materiali!$B$2:$B$5000,MATCH($C225,DB_materiali!$A$2:$A$5000,0))=INDEX(DB_malas!$B$2:$B$5000,MATCH(H225,DB_malas!$A$2:$A$5000,0)),$H225="ORG"),"✔",tulkojums!$A$38),tulkojums!$A$39),tulkojums!$A$39))</f>
        <v/>
      </c>
      <c r="Q225" s="2" t="str">
        <f>IF(ISBLANK(I225),"",IF(INDEX(DB_materiali!$E$2:$E$5000,MATCH($C225,DB_materiali!$A$2:$A$5000,0))&gt;=INDEX(DB_malas!$C$2:$C$5000,MATCH(I225,DB_malas!$A$2:$A$5000,0)),IF(INDEX(DB_materiali!$E$2:$E$5000,MATCH($C225,DB_materiali!$A$2:$A$5000,0))&lt;=INDEX(DB_malas!$D$2:$D$5000,MATCH(I225,DB_malas!$A$2:$A$5000,0)),IF(OR(INDEX(DB_materiali!$B$2:$B$5000,MATCH($C225,DB_materiali!$A$2:$A$5000,0))=INDEX(DB_malas!$B$2:$B$5000,MATCH(I225,DB_malas!$A$2:$A$5000,0)),$H225="ORG"),"✔",tulkojums!$A$38),tulkojums!$A$39),tulkojums!$A$39))</f>
        <v/>
      </c>
      <c r="R225" s="2" t="str">
        <f>IF(ISBLANK(J225),"",IF(INDEX(DB_materiali!$E$2:$E$5000,MATCH($C225,DB_materiali!$A$2:$A$5000,0))&gt;=INDEX(DB_malas!$C$2:$C$5000,MATCH(J225,DB_malas!$A$2:$A$5000,0)),IF(INDEX(DB_materiali!$E$2:$E$5000,MATCH($C225,DB_materiali!$A$2:$A$5000,0))&lt;=INDEX(DB_malas!$D$2:$D$5000,MATCH(J225,DB_malas!$A$2:$A$5000,0)),IF(INDEX(DB_materiali!$B$2:$B$5000,MATCH($C225,DB_materiali!$A$2:$A$5000,0))=INDEX(DB_malas!$B$2:$B$5000,MATCH(J225,DB_malas!$A$2:$A$5000,0)),"✔",tulkojums!$A$38),tulkojums!$A$39),tulkojums!$A$39))</f>
        <v/>
      </c>
      <c r="S225" s="2" t="str">
        <f>IF(ISBLANK(K225),"",IF(INDEX(DB_materiali!$E$2:$E$5000,MATCH($C225,DB_materiali!$A$2:$A$5000,0))&gt;=INDEX(DB_malas!$C$2:$C$5000,MATCH(K225,DB_malas!$A$2:$A$5000,0)),IF(INDEX(DB_materiali!$E$2:$E$5000,MATCH($C225,DB_materiali!$A$2:$A$5000,0))&lt;=INDEX(DB_malas!$D$2:$D$5000,MATCH(K225,DB_malas!$A$2:$A$5000,0)),IF(INDEX(DB_materiali!$B$2:$B$5000,MATCH($C225,DB_materiali!$A$2:$A$5000,0))=INDEX(DB_malas!$B$2:$B$5000,MATCH(K225,DB_malas!$A$2:$A$5000,0)),"✔",tulkojums!$A$38),tulkojums!$A$39),tulkojums!$A$39))</f>
        <v/>
      </c>
      <c r="T225" s="2"/>
      <c r="U225" s="2"/>
      <c r="V225" s="2"/>
      <c r="W225" s="2"/>
      <c r="X225" s="2"/>
      <c r="Y225" s="2"/>
      <c r="Z225" s="2"/>
    </row>
    <row r="226" spans="1:26" ht="15.75" customHeight="1">
      <c r="A226" s="17"/>
      <c r="B226" s="18"/>
      <c r="C226" s="19"/>
      <c r="D226" s="55"/>
      <c r="E226" s="55"/>
      <c r="F226" s="56"/>
      <c r="G226" s="57" t="str">
        <f>IF(ISBLANK(C226),"",
   IFERROR(
      IF(
         INDEX(DB_materiali!C$2:C$5000,
               MATCH(C226, DB_materiali!A$2:A$5000, 0)
         )="FALSE",
         "N",
         "Y"
      ),
   "")
)</f>
        <v/>
      </c>
      <c r="H226" s="20"/>
      <c r="I226" s="20"/>
      <c r="J226" s="20"/>
      <c r="K226" s="20"/>
      <c r="M226" s="2" t="str">
        <f>IF(ISBLANK(C226),"",IF(IFERROR(VLOOKUP(C226,DB_materiali!$A$2:$A$5000,1,FALSE),"Kļūda artikulā")=C226,"✔",tulkojums!A$42))</f>
        <v/>
      </c>
      <c r="N226" s="2" t="str">
        <f>IF(ISBLANK(C226),"",IF(ISNUMBER(F226)=TRUE,"✔",tulkojums!A$43))</f>
        <v/>
      </c>
      <c r="O226" s="2" t="str">
        <f>IF(ISBLANK(C226),"",IF(G226="Y","✔",IF(G226="X","✔",IF(G226="N","✔",tulkojums!A$44))))</f>
        <v/>
      </c>
      <c r="P226" s="2" t="str">
        <f>IF(ISBLANK(H226),"",IF(INDEX(DB_materiali!$E$2:$E$5000,MATCH($C226,DB_materiali!$A$2:$A$5000,0))&gt;=INDEX(DB_malas!$C$2:$C$5000,MATCH(H226,DB_malas!$A$2:$A$5000,0)),IF(INDEX(DB_materiali!$E$2:$E$5000,MATCH($C226,DB_materiali!$A$2:$A$5000,0))&lt;=INDEX(DB_malas!$D$2:$D$5000,MATCH(H226,DB_malas!$A$2:$A$5000,0)),IF(OR(INDEX(DB_materiali!$B$2:$B$5000,MATCH($C226,DB_materiali!$A$2:$A$5000,0))=INDEX(DB_malas!$B$2:$B$5000,MATCH(H226,DB_malas!$A$2:$A$5000,0)),$H226="ORG"),"✔",tulkojums!$A$38),tulkojums!$A$39),tulkojums!$A$39))</f>
        <v/>
      </c>
      <c r="Q226" s="2" t="str">
        <f>IF(ISBLANK(I226),"",IF(INDEX(DB_materiali!$E$2:$E$5000,MATCH($C226,DB_materiali!$A$2:$A$5000,0))&gt;=INDEX(DB_malas!$C$2:$C$5000,MATCH(I226,DB_malas!$A$2:$A$5000,0)),IF(INDEX(DB_materiali!$E$2:$E$5000,MATCH($C226,DB_materiali!$A$2:$A$5000,0))&lt;=INDEX(DB_malas!$D$2:$D$5000,MATCH(I226,DB_malas!$A$2:$A$5000,0)),IF(OR(INDEX(DB_materiali!$B$2:$B$5000,MATCH($C226,DB_materiali!$A$2:$A$5000,0))=INDEX(DB_malas!$B$2:$B$5000,MATCH(I226,DB_malas!$A$2:$A$5000,0)),$H226="ORG"),"✔",tulkojums!$A$38),tulkojums!$A$39),tulkojums!$A$39))</f>
        <v/>
      </c>
      <c r="R226" s="2" t="str">
        <f>IF(ISBLANK(J226),"",IF(INDEX(DB_materiali!$E$2:$E$5000,MATCH($C226,DB_materiali!$A$2:$A$5000,0))&gt;=INDEX(DB_malas!$C$2:$C$5000,MATCH(J226,DB_malas!$A$2:$A$5000,0)),IF(INDEX(DB_materiali!$E$2:$E$5000,MATCH($C226,DB_materiali!$A$2:$A$5000,0))&lt;=INDEX(DB_malas!$D$2:$D$5000,MATCH(J226,DB_malas!$A$2:$A$5000,0)),IF(INDEX(DB_materiali!$B$2:$B$5000,MATCH($C226,DB_materiali!$A$2:$A$5000,0))=INDEX(DB_malas!$B$2:$B$5000,MATCH(J226,DB_malas!$A$2:$A$5000,0)),"✔",tulkojums!$A$38),tulkojums!$A$39),tulkojums!$A$39))</f>
        <v/>
      </c>
      <c r="S226" s="2" t="str">
        <f>IF(ISBLANK(K226),"",IF(INDEX(DB_materiali!$E$2:$E$5000,MATCH($C226,DB_materiali!$A$2:$A$5000,0))&gt;=INDEX(DB_malas!$C$2:$C$5000,MATCH(K226,DB_malas!$A$2:$A$5000,0)),IF(INDEX(DB_materiali!$E$2:$E$5000,MATCH($C226,DB_materiali!$A$2:$A$5000,0))&lt;=INDEX(DB_malas!$D$2:$D$5000,MATCH(K226,DB_malas!$A$2:$A$5000,0)),IF(INDEX(DB_materiali!$B$2:$B$5000,MATCH($C226,DB_materiali!$A$2:$A$5000,0))=INDEX(DB_malas!$B$2:$B$5000,MATCH(K226,DB_malas!$A$2:$A$5000,0)),"✔",tulkojums!$A$38),tulkojums!$A$39),tulkojums!$A$39))</f>
        <v/>
      </c>
      <c r="T226" s="2"/>
      <c r="U226" s="2"/>
      <c r="V226" s="2"/>
      <c r="W226" s="2"/>
      <c r="X226" s="2"/>
      <c r="Y226" s="2"/>
      <c r="Z226" s="2"/>
    </row>
    <row r="227" spans="1:26" ht="15.75" customHeight="1">
      <c r="A227" s="17"/>
      <c r="B227" s="18"/>
      <c r="C227" s="19"/>
      <c r="D227" s="55"/>
      <c r="E227" s="55"/>
      <c r="F227" s="56"/>
      <c r="G227" s="57" t="str">
        <f>IF(ISBLANK(C227),"",
   IFERROR(
      IF(
         INDEX(DB_materiali!C$2:C$5000,
               MATCH(C227, DB_materiali!A$2:A$5000, 0)
         )="FALSE",
         "N",
         "Y"
      ),
   "")
)</f>
        <v/>
      </c>
      <c r="H227" s="20"/>
      <c r="I227" s="20"/>
      <c r="J227" s="20"/>
      <c r="K227" s="20"/>
      <c r="M227" s="2" t="str">
        <f>IF(ISBLANK(C227),"",IF(IFERROR(VLOOKUP(C227,DB_materiali!$A$2:$A$5000,1,FALSE),"Kļūda artikulā")=C227,"✔",tulkojums!A$42))</f>
        <v/>
      </c>
      <c r="N227" s="2" t="str">
        <f>IF(ISBLANK(C227),"",IF(ISNUMBER(F227)=TRUE,"✔",tulkojums!A$43))</f>
        <v/>
      </c>
      <c r="O227" s="2" t="str">
        <f>IF(ISBLANK(C227),"",IF(G227="Y","✔",IF(G227="X","✔",IF(G227="N","✔",tulkojums!A$44))))</f>
        <v/>
      </c>
      <c r="P227" s="2" t="str">
        <f>IF(ISBLANK(H227),"",IF(INDEX(DB_materiali!$E$2:$E$5000,MATCH($C227,DB_materiali!$A$2:$A$5000,0))&gt;=INDEX(DB_malas!$C$2:$C$5000,MATCH(H227,DB_malas!$A$2:$A$5000,0)),IF(INDEX(DB_materiali!$E$2:$E$5000,MATCH($C227,DB_materiali!$A$2:$A$5000,0))&lt;=INDEX(DB_malas!$D$2:$D$5000,MATCH(H227,DB_malas!$A$2:$A$5000,0)),IF(OR(INDEX(DB_materiali!$B$2:$B$5000,MATCH($C227,DB_materiali!$A$2:$A$5000,0))=INDEX(DB_malas!$B$2:$B$5000,MATCH(H227,DB_malas!$A$2:$A$5000,0)),$H227="ORG"),"✔",tulkojums!$A$38),tulkojums!$A$39),tulkojums!$A$39))</f>
        <v/>
      </c>
      <c r="Q227" s="2" t="str">
        <f>IF(ISBLANK(I227),"",IF(INDEX(DB_materiali!$E$2:$E$5000,MATCH($C227,DB_materiali!$A$2:$A$5000,0))&gt;=INDEX(DB_malas!$C$2:$C$5000,MATCH(I227,DB_malas!$A$2:$A$5000,0)),IF(INDEX(DB_materiali!$E$2:$E$5000,MATCH($C227,DB_materiali!$A$2:$A$5000,0))&lt;=INDEX(DB_malas!$D$2:$D$5000,MATCH(I227,DB_malas!$A$2:$A$5000,0)),IF(OR(INDEX(DB_materiali!$B$2:$B$5000,MATCH($C227,DB_materiali!$A$2:$A$5000,0))=INDEX(DB_malas!$B$2:$B$5000,MATCH(I227,DB_malas!$A$2:$A$5000,0)),$H227="ORG"),"✔",tulkojums!$A$38),tulkojums!$A$39),tulkojums!$A$39))</f>
        <v/>
      </c>
      <c r="R227" s="2" t="str">
        <f>IF(ISBLANK(J227),"",IF(INDEX(DB_materiali!$E$2:$E$5000,MATCH($C227,DB_materiali!$A$2:$A$5000,0))&gt;=INDEX(DB_malas!$C$2:$C$5000,MATCH(J227,DB_malas!$A$2:$A$5000,0)),IF(INDEX(DB_materiali!$E$2:$E$5000,MATCH($C227,DB_materiali!$A$2:$A$5000,0))&lt;=INDEX(DB_malas!$D$2:$D$5000,MATCH(J227,DB_malas!$A$2:$A$5000,0)),IF(INDEX(DB_materiali!$B$2:$B$5000,MATCH($C227,DB_materiali!$A$2:$A$5000,0))=INDEX(DB_malas!$B$2:$B$5000,MATCH(J227,DB_malas!$A$2:$A$5000,0)),"✔",tulkojums!$A$38),tulkojums!$A$39),tulkojums!$A$39))</f>
        <v/>
      </c>
      <c r="S227" s="2" t="str">
        <f>IF(ISBLANK(K227),"",IF(INDEX(DB_materiali!$E$2:$E$5000,MATCH($C227,DB_materiali!$A$2:$A$5000,0))&gt;=INDEX(DB_malas!$C$2:$C$5000,MATCH(K227,DB_malas!$A$2:$A$5000,0)),IF(INDEX(DB_materiali!$E$2:$E$5000,MATCH($C227,DB_materiali!$A$2:$A$5000,0))&lt;=INDEX(DB_malas!$D$2:$D$5000,MATCH(K227,DB_malas!$A$2:$A$5000,0)),IF(INDEX(DB_materiali!$B$2:$B$5000,MATCH($C227,DB_materiali!$A$2:$A$5000,0))=INDEX(DB_malas!$B$2:$B$5000,MATCH(K227,DB_malas!$A$2:$A$5000,0)),"✔",tulkojums!$A$38),tulkojums!$A$39),tulkojums!$A$39))</f>
        <v/>
      </c>
      <c r="T227" s="2"/>
      <c r="U227" s="2"/>
      <c r="V227" s="2"/>
      <c r="W227" s="2"/>
      <c r="X227" s="2"/>
      <c r="Y227" s="2"/>
      <c r="Z227" s="2"/>
    </row>
    <row r="228" spans="1:26" ht="15.75" customHeight="1">
      <c r="A228" s="17"/>
      <c r="B228" s="18"/>
      <c r="C228" s="19"/>
      <c r="D228" s="55"/>
      <c r="E228" s="55"/>
      <c r="F228" s="56"/>
      <c r="G228" s="57" t="str">
        <f>IF(ISBLANK(C228),"",
   IFERROR(
      IF(
         INDEX(DB_materiali!C$2:C$5000,
               MATCH(C228, DB_materiali!A$2:A$5000, 0)
         )="FALSE",
         "N",
         "Y"
      ),
   "")
)</f>
        <v/>
      </c>
      <c r="H228" s="20"/>
      <c r="I228" s="20"/>
      <c r="J228" s="20"/>
      <c r="K228" s="20"/>
      <c r="M228" s="2" t="str">
        <f>IF(ISBLANK(C228),"",IF(IFERROR(VLOOKUP(C228,DB_materiali!$A$2:$A$5000,1,FALSE),"Kļūda artikulā")=C228,"✔",tulkojums!A$42))</f>
        <v/>
      </c>
      <c r="N228" s="2" t="str">
        <f>IF(ISBLANK(C228),"",IF(ISNUMBER(F228)=TRUE,"✔",tulkojums!A$43))</f>
        <v/>
      </c>
      <c r="O228" s="2" t="str">
        <f>IF(ISBLANK(C228),"",IF(G228="Y","✔",IF(G228="X","✔",IF(G228="N","✔",tulkojums!A$44))))</f>
        <v/>
      </c>
      <c r="P228" s="2" t="str">
        <f>IF(ISBLANK(H228),"",IF(INDEX(DB_materiali!$E$2:$E$5000,MATCH($C228,DB_materiali!$A$2:$A$5000,0))&gt;=INDEX(DB_malas!$C$2:$C$5000,MATCH(H228,DB_malas!$A$2:$A$5000,0)),IF(INDEX(DB_materiali!$E$2:$E$5000,MATCH($C228,DB_materiali!$A$2:$A$5000,0))&lt;=INDEX(DB_malas!$D$2:$D$5000,MATCH(H228,DB_malas!$A$2:$A$5000,0)),IF(OR(INDEX(DB_materiali!$B$2:$B$5000,MATCH($C228,DB_materiali!$A$2:$A$5000,0))=INDEX(DB_malas!$B$2:$B$5000,MATCH(H228,DB_malas!$A$2:$A$5000,0)),$H228="ORG"),"✔",tulkojums!$A$38),tulkojums!$A$39),tulkojums!$A$39))</f>
        <v/>
      </c>
      <c r="Q228" s="2" t="str">
        <f>IF(ISBLANK(I228),"",IF(INDEX(DB_materiali!$E$2:$E$5000,MATCH($C228,DB_materiali!$A$2:$A$5000,0))&gt;=INDEX(DB_malas!$C$2:$C$5000,MATCH(I228,DB_malas!$A$2:$A$5000,0)),IF(INDEX(DB_materiali!$E$2:$E$5000,MATCH($C228,DB_materiali!$A$2:$A$5000,0))&lt;=INDEX(DB_malas!$D$2:$D$5000,MATCH(I228,DB_malas!$A$2:$A$5000,0)),IF(OR(INDEX(DB_materiali!$B$2:$B$5000,MATCH($C228,DB_materiali!$A$2:$A$5000,0))=INDEX(DB_malas!$B$2:$B$5000,MATCH(I228,DB_malas!$A$2:$A$5000,0)),$H228="ORG"),"✔",tulkojums!$A$38),tulkojums!$A$39),tulkojums!$A$39))</f>
        <v/>
      </c>
      <c r="R228" s="2" t="str">
        <f>IF(ISBLANK(J228),"",IF(INDEX(DB_materiali!$E$2:$E$5000,MATCH($C228,DB_materiali!$A$2:$A$5000,0))&gt;=INDEX(DB_malas!$C$2:$C$5000,MATCH(J228,DB_malas!$A$2:$A$5000,0)),IF(INDEX(DB_materiali!$E$2:$E$5000,MATCH($C228,DB_materiali!$A$2:$A$5000,0))&lt;=INDEX(DB_malas!$D$2:$D$5000,MATCH(J228,DB_malas!$A$2:$A$5000,0)),IF(INDEX(DB_materiali!$B$2:$B$5000,MATCH($C228,DB_materiali!$A$2:$A$5000,0))=INDEX(DB_malas!$B$2:$B$5000,MATCH(J228,DB_malas!$A$2:$A$5000,0)),"✔",tulkojums!$A$38),tulkojums!$A$39),tulkojums!$A$39))</f>
        <v/>
      </c>
      <c r="S228" s="2" t="str">
        <f>IF(ISBLANK(K228),"",IF(INDEX(DB_materiali!$E$2:$E$5000,MATCH($C228,DB_materiali!$A$2:$A$5000,0))&gt;=INDEX(DB_malas!$C$2:$C$5000,MATCH(K228,DB_malas!$A$2:$A$5000,0)),IF(INDEX(DB_materiali!$E$2:$E$5000,MATCH($C228,DB_materiali!$A$2:$A$5000,0))&lt;=INDEX(DB_malas!$D$2:$D$5000,MATCH(K228,DB_malas!$A$2:$A$5000,0)),IF(INDEX(DB_materiali!$B$2:$B$5000,MATCH($C228,DB_materiali!$A$2:$A$5000,0))=INDEX(DB_malas!$B$2:$B$5000,MATCH(K228,DB_malas!$A$2:$A$5000,0)),"✔",tulkojums!$A$38),tulkojums!$A$39),tulkojums!$A$39))</f>
        <v/>
      </c>
      <c r="T228" s="2"/>
      <c r="U228" s="2"/>
      <c r="V228" s="2"/>
      <c r="W228" s="2"/>
      <c r="X228" s="2"/>
      <c r="Y228" s="2"/>
      <c r="Z228" s="2"/>
    </row>
    <row r="229" spans="1:26" ht="15.75" customHeight="1">
      <c r="A229" s="17"/>
      <c r="B229" s="18"/>
      <c r="C229" s="19"/>
      <c r="D229" s="55"/>
      <c r="E229" s="55"/>
      <c r="F229" s="56"/>
      <c r="G229" s="57" t="str">
        <f>IF(ISBLANK(C229),"",
   IFERROR(
      IF(
         INDEX(DB_materiali!C$2:C$5000,
               MATCH(C229, DB_materiali!A$2:A$5000, 0)
         )="FALSE",
         "N",
         "Y"
      ),
   "")
)</f>
        <v/>
      </c>
      <c r="H229" s="20"/>
      <c r="I229" s="20"/>
      <c r="J229" s="20"/>
      <c r="K229" s="20"/>
      <c r="M229" s="2" t="str">
        <f>IF(ISBLANK(C229),"",IF(IFERROR(VLOOKUP(C229,DB_materiali!$A$2:$A$5000,1,FALSE),"Kļūda artikulā")=C229,"✔",tulkojums!A$42))</f>
        <v/>
      </c>
      <c r="N229" s="2" t="str">
        <f>IF(ISBLANK(C229),"",IF(ISNUMBER(F229)=TRUE,"✔",tulkojums!A$43))</f>
        <v/>
      </c>
      <c r="O229" s="2" t="str">
        <f>IF(ISBLANK(C229),"",IF(G229="Y","✔",IF(G229="X","✔",IF(G229="N","✔",tulkojums!A$44))))</f>
        <v/>
      </c>
      <c r="P229" s="2" t="str">
        <f>IF(ISBLANK(H229),"",IF(INDEX(DB_materiali!$E$2:$E$5000,MATCH($C229,DB_materiali!$A$2:$A$5000,0))&gt;=INDEX(DB_malas!$C$2:$C$5000,MATCH(H229,DB_malas!$A$2:$A$5000,0)),IF(INDEX(DB_materiali!$E$2:$E$5000,MATCH($C229,DB_materiali!$A$2:$A$5000,0))&lt;=INDEX(DB_malas!$D$2:$D$5000,MATCH(H229,DB_malas!$A$2:$A$5000,0)),IF(OR(INDEX(DB_materiali!$B$2:$B$5000,MATCH($C229,DB_materiali!$A$2:$A$5000,0))=INDEX(DB_malas!$B$2:$B$5000,MATCH(H229,DB_malas!$A$2:$A$5000,0)),$H229="ORG"),"✔",tulkojums!$A$38),tulkojums!$A$39),tulkojums!$A$39))</f>
        <v/>
      </c>
      <c r="Q229" s="2" t="str">
        <f>IF(ISBLANK(I229),"",IF(INDEX(DB_materiali!$E$2:$E$5000,MATCH($C229,DB_materiali!$A$2:$A$5000,0))&gt;=INDEX(DB_malas!$C$2:$C$5000,MATCH(I229,DB_malas!$A$2:$A$5000,0)),IF(INDEX(DB_materiali!$E$2:$E$5000,MATCH($C229,DB_materiali!$A$2:$A$5000,0))&lt;=INDEX(DB_malas!$D$2:$D$5000,MATCH(I229,DB_malas!$A$2:$A$5000,0)),IF(OR(INDEX(DB_materiali!$B$2:$B$5000,MATCH($C229,DB_materiali!$A$2:$A$5000,0))=INDEX(DB_malas!$B$2:$B$5000,MATCH(I229,DB_malas!$A$2:$A$5000,0)),$H229="ORG"),"✔",tulkojums!$A$38),tulkojums!$A$39),tulkojums!$A$39))</f>
        <v/>
      </c>
      <c r="R229" s="2" t="str">
        <f>IF(ISBLANK(J229),"",IF(INDEX(DB_materiali!$E$2:$E$5000,MATCH($C229,DB_materiali!$A$2:$A$5000,0))&gt;=INDEX(DB_malas!$C$2:$C$5000,MATCH(J229,DB_malas!$A$2:$A$5000,0)),IF(INDEX(DB_materiali!$E$2:$E$5000,MATCH($C229,DB_materiali!$A$2:$A$5000,0))&lt;=INDEX(DB_malas!$D$2:$D$5000,MATCH(J229,DB_malas!$A$2:$A$5000,0)),IF(INDEX(DB_materiali!$B$2:$B$5000,MATCH($C229,DB_materiali!$A$2:$A$5000,0))=INDEX(DB_malas!$B$2:$B$5000,MATCH(J229,DB_malas!$A$2:$A$5000,0)),"✔",tulkojums!$A$38),tulkojums!$A$39),tulkojums!$A$39))</f>
        <v/>
      </c>
      <c r="S229" s="2" t="str">
        <f>IF(ISBLANK(K229),"",IF(INDEX(DB_materiali!$E$2:$E$5000,MATCH($C229,DB_materiali!$A$2:$A$5000,0))&gt;=INDEX(DB_malas!$C$2:$C$5000,MATCH(K229,DB_malas!$A$2:$A$5000,0)),IF(INDEX(DB_materiali!$E$2:$E$5000,MATCH($C229,DB_materiali!$A$2:$A$5000,0))&lt;=INDEX(DB_malas!$D$2:$D$5000,MATCH(K229,DB_malas!$A$2:$A$5000,0)),IF(INDEX(DB_materiali!$B$2:$B$5000,MATCH($C229,DB_materiali!$A$2:$A$5000,0))=INDEX(DB_malas!$B$2:$B$5000,MATCH(K229,DB_malas!$A$2:$A$5000,0)),"✔",tulkojums!$A$38),tulkojums!$A$39),tulkojums!$A$39))</f>
        <v/>
      </c>
      <c r="T229" s="2"/>
      <c r="U229" s="2"/>
      <c r="V229" s="2"/>
      <c r="W229" s="2"/>
      <c r="X229" s="2"/>
      <c r="Y229" s="2"/>
      <c r="Z229" s="2"/>
    </row>
    <row r="230" spans="1:26" ht="15.75" customHeight="1">
      <c r="A230" s="17"/>
      <c r="B230" s="18"/>
      <c r="C230" s="19"/>
      <c r="D230" s="55"/>
      <c r="E230" s="55"/>
      <c r="F230" s="56"/>
      <c r="G230" s="57" t="str">
        <f>IF(ISBLANK(C230),"",
   IFERROR(
      IF(
         INDEX(DB_materiali!C$2:C$5000,
               MATCH(C230, DB_materiali!A$2:A$5000, 0)
         )="FALSE",
         "N",
         "Y"
      ),
   "")
)</f>
        <v/>
      </c>
      <c r="H230" s="20"/>
      <c r="I230" s="20"/>
      <c r="J230" s="20"/>
      <c r="K230" s="20"/>
      <c r="M230" s="2" t="str">
        <f>IF(ISBLANK(C230),"",IF(IFERROR(VLOOKUP(C230,DB_materiali!$A$2:$A$5000,1,FALSE),"Kļūda artikulā")=C230,"✔",tulkojums!A$42))</f>
        <v/>
      </c>
      <c r="N230" s="2" t="str">
        <f>IF(ISBLANK(C230),"",IF(ISNUMBER(F230)=TRUE,"✔",tulkojums!A$43))</f>
        <v/>
      </c>
      <c r="O230" s="2" t="str">
        <f>IF(ISBLANK(C230),"",IF(G230="Y","✔",IF(G230="X","✔",IF(G230="N","✔",tulkojums!A$44))))</f>
        <v/>
      </c>
      <c r="P230" s="2" t="str">
        <f>IF(ISBLANK(H230),"",IF(INDEX(DB_materiali!$E$2:$E$5000,MATCH($C230,DB_materiali!$A$2:$A$5000,0))&gt;=INDEX(DB_malas!$C$2:$C$5000,MATCH(H230,DB_malas!$A$2:$A$5000,0)),IF(INDEX(DB_materiali!$E$2:$E$5000,MATCH($C230,DB_materiali!$A$2:$A$5000,0))&lt;=INDEX(DB_malas!$D$2:$D$5000,MATCH(H230,DB_malas!$A$2:$A$5000,0)),IF(OR(INDEX(DB_materiali!$B$2:$B$5000,MATCH($C230,DB_materiali!$A$2:$A$5000,0))=INDEX(DB_malas!$B$2:$B$5000,MATCH(H230,DB_malas!$A$2:$A$5000,0)),$H230="ORG"),"✔",tulkojums!$A$38),tulkojums!$A$39),tulkojums!$A$39))</f>
        <v/>
      </c>
      <c r="Q230" s="2" t="str">
        <f>IF(ISBLANK(I230),"",IF(INDEX(DB_materiali!$E$2:$E$5000,MATCH($C230,DB_materiali!$A$2:$A$5000,0))&gt;=INDEX(DB_malas!$C$2:$C$5000,MATCH(I230,DB_malas!$A$2:$A$5000,0)),IF(INDEX(DB_materiali!$E$2:$E$5000,MATCH($C230,DB_materiali!$A$2:$A$5000,0))&lt;=INDEX(DB_malas!$D$2:$D$5000,MATCH(I230,DB_malas!$A$2:$A$5000,0)),IF(OR(INDEX(DB_materiali!$B$2:$B$5000,MATCH($C230,DB_materiali!$A$2:$A$5000,0))=INDEX(DB_malas!$B$2:$B$5000,MATCH(I230,DB_malas!$A$2:$A$5000,0)),$H230="ORG"),"✔",tulkojums!$A$38),tulkojums!$A$39),tulkojums!$A$39))</f>
        <v/>
      </c>
      <c r="R230" s="2" t="str">
        <f>IF(ISBLANK(J230),"",IF(INDEX(DB_materiali!$E$2:$E$5000,MATCH($C230,DB_materiali!$A$2:$A$5000,0))&gt;=INDEX(DB_malas!$C$2:$C$5000,MATCH(J230,DB_malas!$A$2:$A$5000,0)),IF(INDEX(DB_materiali!$E$2:$E$5000,MATCH($C230,DB_materiali!$A$2:$A$5000,0))&lt;=INDEX(DB_malas!$D$2:$D$5000,MATCH(J230,DB_malas!$A$2:$A$5000,0)),IF(INDEX(DB_materiali!$B$2:$B$5000,MATCH($C230,DB_materiali!$A$2:$A$5000,0))=INDEX(DB_malas!$B$2:$B$5000,MATCH(J230,DB_malas!$A$2:$A$5000,0)),"✔",tulkojums!$A$38),tulkojums!$A$39),tulkojums!$A$39))</f>
        <v/>
      </c>
      <c r="S230" s="2" t="str">
        <f>IF(ISBLANK(K230),"",IF(INDEX(DB_materiali!$E$2:$E$5000,MATCH($C230,DB_materiali!$A$2:$A$5000,0))&gt;=INDEX(DB_malas!$C$2:$C$5000,MATCH(K230,DB_malas!$A$2:$A$5000,0)),IF(INDEX(DB_materiali!$E$2:$E$5000,MATCH($C230,DB_materiali!$A$2:$A$5000,0))&lt;=INDEX(DB_malas!$D$2:$D$5000,MATCH(K230,DB_malas!$A$2:$A$5000,0)),IF(INDEX(DB_materiali!$B$2:$B$5000,MATCH($C230,DB_materiali!$A$2:$A$5000,0))=INDEX(DB_malas!$B$2:$B$5000,MATCH(K230,DB_malas!$A$2:$A$5000,0)),"✔",tulkojums!$A$38),tulkojums!$A$39),tulkojums!$A$39))</f>
        <v/>
      </c>
      <c r="T230" s="2"/>
      <c r="U230" s="2"/>
      <c r="V230" s="2"/>
      <c r="W230" s="2"/>
      <c r="X230" s="2"/>
      <c r="Y230" s="2"/>
      <c r="Z230" s="2"/>
    </row>
    <row r="231" spans="1:26" ht="15.75" customHeight="1">
      <c r="A231" s="17"/>
      <c r="B231" s="18"/>
      <c r="C231" s="19"/>
      <c r="D231" s="55"/>
      <c r="E231" s="55"/>
      <c r="F231" s="56"/>
      <c r="G231" s="57" t="str">
        <f>IF(ISBLANK(C231),"",
   IFERROR(
      IF(
         INDEX(DB_materiali!C$2:C$5000,
               MATCH(C231, DB_materiali!A$2:A$5000, 0)
         )="FALSE",
         "N",
         "Y"
      ),
   "")
)</f>
        <v/>
      </c>
      <c r="H231" s="20"/>
      <c r="I231" s="20"/>
      <c r="J231" s="20"/>
      <c r="K231" s="20"/>
      <c r="M231" s="2" t="str">
        <f>IF(ISBLANK(C231),"",IF(IFERROR(VLOOKUP(C231,DB_materiali!$A$2:$A$5000,1,FALSE),"Kļūda artikulā")=C231,"✔",tulkojums!A$42))</f>
        <v/>
      </c>
      <c r="N231" s="2" t="str">
        <f>IF(ISBLANK(C231),"",IF(ISNUMBER(F231)=TRUE,"✔",tulkojums!A$43))</f>
        <v/>
      </c>
      <c r="O231" s="2" t="str">
        <f>IF(ISBLANK(C231),"",IF(G231="Y","✔",IF(G231="X","✔",IF(G231="N","✔",tulkojums!A$44))))</f>
        <v/>
      </c>
      <c r="P231" s="2" t="str">
        <f>IF(ISBLANK(H231),"",IF(INDEX(DB_materiali!$E$2:$E$5000,MATCH($C231,DB_materiali!$A$2:$A$5000,0))&gt;=INDEX(DB_malas!$C$2:$C$5000,MATCH(H231,DB_malas!$A$2:$A$5000,0)),IF(INDEX(DB_materiali!$E$2:$E$5000,MATCH($C231,DB_materiali!$A$2:$A$5000,0))&lt;=INDEX(DB_malas!$D$2:$D$5000,MATCH(H231,DB_malas!$A$2:$A$5000,0)),IF(OR(INDEX(DB_materiali!$B$2:$B$5000,MATCH($C231,DB_materiali!$A$2:$A$5000,0))=INDEX(DB_malas!$B$2:$B$5000,MATCH(H231,DB_malas!$A$2:$A$5000,0)),$H231="ORG"),"✔",tulkojums!$A$38),tulkojums!$A$39),tulkojums!$A$39))</f>
        <v/>
      </c>
      <c r="Q231" s="2" t="str">
        <f>IF(ISBLANK(I231),"",IF(INDEX(DB_materiali!$E$2:$E$5000,MATCH($C231,DB_materiali!$A$2:$A$5000,0))&gt;=INDEX(DB_malas!$C$2:$C$5000,MATCH(I231,DB_malas!$A$2:$A$5000,0)),IF(INDEX(DB_materiali!$E$2:$E$5000,MATCH($C231,DB_materiali!$A$2:$A$5000,0))&lt;=INDEX(DB_malas!$D$2:$D$5000,MATCH(I231,DB_malas!$A$2:$A$5000,0)),IF(OR(INDEX(DB_materiali!$B$2:$B$5000,MATCH($C231,DB_materiali!$A$2:$A$5000,0))=INDEX(DB_malas!$B$2:$B$5000,MATCH(I231,DB_malas!$A$2:$A$5000,0)),$H231="ORG"),"✔",tulkojums!$A$38),tulkojums!$A$39),tulkojums!$A$39))</f>
        <v/>
      </c>
      <c r="R231" s="2" t="str">
        <f>IF(ISBLANK(J231),"",IF(INDEX(DB_materiali!$E$2:$E$5000,MATCH($C231,DB_materiali!$A$2:$A$5000,0))&gt;=INDEX(DB_malas!$C$2:$C$5000,MATCH(J231,DB_malas!$A$2:$A$5000,0)),IF(INDEX(DB_materiali!$E$2:$E$5000,MATCH($C231,DB_materiali!$A$2:$A$5000,0))&lt;=INDEX(DB_malas!$D$2:$D$5000,MATCH(J231,DB_malas!$A$2:$A$5000,0)),IF(INDEX(DB_materiali!$B$2:$B$5000,MATCH($C231,DB_materiali!$A$2:$A$5000,0))=INDEX(DB_malas!$B$2:$B$5000,MATCH(J231,DB_malas!$A$2:$A$5000,0)),"✔",tulkojums!$A$38),tulkojums!$A$39),tulkojums!$A$39))</f>
        <v/>
      </c>
      <c r="S231" s="2" t="str">
        <f>IF(ISBLANK(K231),"",IF(INDEX(DB_materiali!$E$2:$E$5000,MATCH($C231,DB_materiali!$A$2:$A$5000,0))&gt;=INDEX(DB_malas!$C$2:$C$5000,MATCH(K231,DB_malas!$A$2:$A$5000,0)),IF(INDEX(DB_materiali!$E$2:$E$5000,MATCH($C231,DB_materiali!$A$2:$A$5000,0))&lt;=INDEX(DB_malas!$D$2:$D$5000,MATCH(K231,DB_malas!$A$2:$A$5000,0)),IF(INDEX(DB_materiali!$B$2:$B$5000,MATCH($C231,DB_materiali!$A$2:$A$5000,0))=INDEX(DB_malas!$B$2:$B$5000,MATCH(K231,DB_malas!$A$2:$A$5000,0)),"✔",tulkojums!$A$38),tulkojums!$A$39),tulkojums!$A$39))</f>
        <v/>
      </c>
      <c r="T231" s="2"/>
      <c r="U231" s="2"/>
      <c r="V231" s="2"/>
      <c r="W231" s="2"/>
      <c r="X231" s="2"/>
      <c r="Y231" s="2"/>
      <c r="Z231" s="2"/>
    </row>
    <row r="232" spans="1:26" ht="15.75" customHeight="1">
      <c r="A232" s="17"/>
      <c r="B232" s="18"/>
      <c r="C232" s="19"/>
      <c r="D232" s="55"/>
      <c r="E232" s="55"/>
      <c r="F232" s="56"/>
      <c r="G232" s="57" t="str">
        <f>IF(ISBLANK(C232),"",
   IFERROR(
      IF(
         INDEX(DB_materiali!C$2:C$5000,
               MATCH(C232, DB_materiali!A$2:A$5000, 0)
         )="FALSE",
         "N",
         "Y"
      ),
   "")
)</f>
        <v/>
      </c>
      <c r="H232" s="20"/>
      <c r="I232" s="20"/>
      <c r="J232" s="20"/>
      <c r="K232" s="20"/>
      <c r="M232" s="2" t="str">
        <f>IF(ISBLANK(C232),"",IF(IFERROR(VLOOKUP(C232,DB_materiali!$A$2:$A$5000,1,FALSE),"Kļūda artikulā")=C232,"✔",tulkojums!A$42))</f>
        <v/>
      </c>
      <c r="N232" s="2" t="str">
        <f>IF(ISBLANK(C232),"",IF(ISNUMBER(F232)=TRUE,"✔",tulkojums!A$43))</f>
        <v/>
      </c>
      <c r="O232" s="2" t="str">
        <f>IF(ISBLANK(C232),"",IF(G232="Y","✔",IF(G232="X","✔",IF(G232="N","✔",tulkojums!A$44))))</f>
        <v/>
      </c>
      <c r="P232" s="2" t="str">
        <f>IF(ISBLANK(H232),"",IF(INDEX(DB_materiali!$E$2:$E$5000,MATCH($C232,DB_materiali!$A$2:$A$5000,0))&gt;=INDEX(DB_malas!$C$2:$C$5000,MATCH(H232,DB_malas!$A$2:$A$5000,0)),IF(INDEX(DB_materiali!$E$2:$E$5000,MATCH($C232,DB_materiali!$A$2:$A$5000,0))&lt;=INDEX(DB_malas!$D$2:$D$5000,MATCH(H232,DB_malas!$A$2:$A$5000,0)),IF(OR(INDEX(DB_materiali!$B$2:$B$5000,MATCH($C232,DB_materiali!$A$2:$A$5000,0))=INDEX(DB_malas!$B$2:$B$5000,MATCH(H232,DB_malas!$A$2:$A$5000,0)),$H232="ORG"),"✔",tulkojums!$A$38),tulkojums!$A$39),tulkojums!$A$39))</f>
        <v/>
      </c>
      <c r="Q232" s="2" t="str">
        <f>IF(ISBLANK(I232),"",IF(INDEX(DB_materiali!$E$2:$E$5000,MATCH($C232,DB_materiali!$A$2:$A$5000,0))&gt;=INDEX(DB_malas!$C$2:$C$5000,MATCH(I232,DB_malas!$A$2:$A$5000,0)),IF(INDEX(DB_materiali!$E$2:$E$5000,MATCH($C232,DB_materiali!$A$2:$A$5000,0))&lt;=INDEX(DB_malas!$D$2:$D$5000,MATCH(I232,DB_malas!$A$2:$A$5000,0)),IF(OR(INDEX(DB_materiali!$B$2:$B$5000,MATCH($C232,DB_materiali!$A$2:$A$5000,0))=INDEX(DB_malas!$B$2:$B$5000,MATCH(I232,DB_malas!$A$2:$A$5000,0)),$H232="ORG"),"✔",tulkojums!$A$38),tulkojums!$A$39),tulkojums!$A$39))</f>
        <v/>
      </c>
      <c r="R232" s="2" t="str">
        <f>IF(ISBLANK(J232),"",IF(INDEX(DB_materiali!$E$2:$E$5000,MATCH($C232,DB_materiali!$A$2:$A$5000,0))&gt;=INDEX(DB_malas!$C$2:$C$5000,MATCH(J232,DB_malas!$A$2:$A$5000,0)),IF(INDEX(DB_materiali!$E$2:$E$5000,MATCH($C232,DB_materiali!$A$2:$A$5000,0))&lt;=INDEX(DB_malas!$D$2:$D$5000,MATCH(J232,DB_malas!$A$2:$A$5000,0)),IF(INDEX(DB_materiali!$B$2:$B$5000,MATCH($C232,DB_materiali!$A$2:$A$5000,0))=INDEX(DB_malas!$B$2:$B$5000,MATCH(J232,DB_malas!$A$2:$A$5000,0)),"✔",tulkojums!$A$38),tulkojums!$A$39),tulkojums!$A$39))</f>
        <v/>
      </c>
      <c r="S232" s="2" t="str">
        <f>IF(ISBLANK(K232),"",IF(INDEX(DB_materiali!$E$2:$E$5000,MATCH($C232,DB_materiali!$A$2:$A$5000,0))&gt;=INDEX(DB_malas!$C$2:$C$5000,MATCH(K232,DB_malas!$A$2:$A$5000,0)),IF(INDEX(DB_materiali!$E$2:$E$5000,MATCH($C232,DB_materiali!$A$2:$A$5000,0))&lt;=INDEX(DB_malas!$D$2:$D$5000,MATCH(K232,DB_malas!$A$2:$A$5000,0)),IF(INDEX(DB_materiali!$B$2:$B$5000,MATCH($C232,DB_materiali!$A$2:$A$5000,0))=INDEX(DB_malas!$B$2:$B$5000,MATCH(K232,DB_malas!$A$2:$A$5000,0)),"✔",tulkojums!$A$38),tulkojums!$A$39),tulkojums!$A$39))</f>
        <v/>
      </c>
      <c r="T232" s="2"/>
      <c r="U232" s="2"/>
      <c r="V232" s="2"/>
      <c r="W232" s="2"/>
      <c r="X232" s="2"/>
      <c r="Y232" s="2"/>
      <c r="Z232" s="2"/>
    </row>
    <row r="233" spans="1:26" ht="15.75" customHeight="1">
      <c r="A233" s="17"/>
      <c r="B233" s="18"/>
      <c r="C233" s="19"/>
      <c r="D233" s="55"/>
      <c r="E233" s="55"/>
      <c r="F233" s="56"/>
      <c r="G233" s="57" t="str">
        <f>IF(ISBLANK(C233),"",
   IFERROR(
      IF(
         INDEX(DB_materiali!C$2:C$5000,
               MATCH(C233, DB_materiali!A$2:A$5000, 0)
         )="FALSE",
         "N",
         "Y"
      ),
   "")
)</f>
        <v/>
      </c>
      <c r="H233" s="20"/>
      <c r="I233" s="20"/>
      <c r="J233" s="20"/>
      <c r="K233" s="20"/>
      <c r="M233" s="2" t="str">
        <f>IF(ISBLANK(C233),"",IF(IFERROR(VLOOKUP(C233,DB_materiali!$A$2:$A$5000,1,FALSE),"Kļūda artikulā")=C233,"✔",tulkojums!A$42))</f>
        <v/>
      </c>
      <c r="N233" s="2" t="str">
        <f>IF(ISBLANK(C233),"",IF(ISNUMBER(F233)=TRUE,"✔",tulkojums!A$43))</f>
        <v/>
      </c>
      <c r="O233" s="2" t="str">
        <f>IF(ISBLANK(C233),"",IF(G233="Y","✔",IF(G233="X","✔",IF(G233="N","✔",tulkojums!A$44))))</f>
        <v/>
      </c>
      <c r="P233" s="2" t="str">
        <f>IF(ISBLANK(H233),"",IF(INDEX(DB_materiali!$E$2:$E$5000,MATCH($C233,DB_materiali!$A$2:$A$5000,0))&gt;=INDEX(DB_malas!$C$2:$C$5000,MATCH(H233,DB_malas!$A$2:$A$5000,0)),IF(INDEX(DB_materiali!$E$2:$E$5000,MATCH($C233,DB_materiali!$A$2:$A$5000,0))&lt;=INDEX(DB_malas!$D$2:$D$5000,MATCH(H233,DB_malas!$A$2:$A$5000,0)),IF(OR(INDEX(DB_materiali!$B$2:$B$5000,MATCH($C233,DB_materiali!$A$2:$A$5000,0))=INDEX(DB_malas!$B$2:$B$5000,MATCH(H233,DB_malas!$A$2:$A$5000,0)),$H233="ORG"),"✔",tulkojums!$A$38),tulkojums!$A$39),tulkojums!$A$39))</f>
        <v/>
      </c>
      <c r="Q233" s="2" t="str">
        <f>IF(ISBLANK(I233),"",IF(INDEX(DB_materiali!$E$2:$E$5000,MATCH($C233,DB_materiali!$A$2:$A$5000,0))&gt;=INDEX(DB_malas!$C$2:$C$5000,MATCH(I233,DB_malas!$A$2:$A$5000,0)),IF(INDEX(DB_materiali!$E$2:$E$5000,MATCH($C233,DB_materiali!$A$2:$A$5000,0))&lt;=INDEX(DB_malas!$D$2:$D$5000,MATCH(I233,DB_malas!$A$2:$A$5000,0)),IF(OR(INDEX(DB_materiali!$B$2:$B$5000,MATCH($C233,DB_materiali!$A$2:$A$5000,0))=INDEX(DB_malas!$B$2:$B$5000,MATCH(I233,DB_malas!$A$2:$A$5000,0)),$H233="ORG"),"✔",tulkojums!$A$38),tulkojums!$A$39),tulkojums!$A$39))</f>
        <v/>
      </c>
      <c r="R233" s="2" t="str">
        <f>IF(ISBLANK(J233),"",IF(INDEX(DB_materiali!$E$2:$E$5000,MATCH($C233,DB_materiali!$A$2:$A$5000,0))&gt;=INDEX(DB_malas!$C$2:$C$5000,MATCH(J233,DB_malas!$A$2:$A$5000,0)),IF(INDEX(DB_materiali!$E$2:$E$5000,MATCH($C233,DB_materiali!$A$2:$A$5000,0))&lt;=INDEX(DB_malas!$D$2:$D$5000,MATCH(J233,DB_malas!$A$2:$A$5000,0)),IF(INDEX(DB_materiali!$B$2:$B$5000,MATCH($C233,DB_materiali!$A$2:$A$5000,0))=INDEX(DB_malas!$B$2:$B$5000,MATCH(J233,DB_malas!$A$2:$A$5000,0)),"✔",tulkojums!$A$38),tulkojums!$A$39),tulkojums!$A$39))</f>
        <v/>
      </c>
      <c r="S233" s="2" t="str">
        <f>IF(ISBLANK(K233),"",IF(INDEX(DB_materiali!$E$2:$E$5000,MATCH($C233,DB_materiali!$A$2:$A$5000,0))&gt;=INDEX(DB_malas!$C$2:$C$5000,MATCH(K233,DB_malas!$A$2:$A$5000,0)),IF(INDEX(DB_materiali!$E$2:$E$5000,MATCH($C233,DB_materiali!$A$2:$A$5000,0))&lt;=INDEX(DB_malas!$D$2:$D$5000,MATCH(K233,DB_malas!$A$2:$A$5000,0)),IF(INDEX(DB_materiali!$B$2:$B$5000,MATCH($C233,DB_materiali!$A$2:$A$5000,0))=INDEX(DB_malas!$B$2:$B$5000,MATCH(K233,DB_malas!$A$2:$A$5000,0)),"✔",tulkojums!$A$38),tulkojums!$A$39),tulkojums!$A$39))</f>
        <v/>
      </c>
      <c r="T233" s="2"/>
      <c r="U233" s="2"/>
      <c r="V233" s="2"/>
      <c r="W233" s="2"/>
      <c r="X233" s="2"/>
      <c r="Y233" s="2"/>
      <c r="Z233" s="2"/>
    </row>
    <row r="234" spans="1:26" ht="15.75" customHeight="1">
      <c r="A234" s="17"/>
      <c r="B234" s="18"/>
      <c r="C234" s="19"/>
      <c r="D234" s="55"/>
      <c r="E234" s="55"/>
      <c r="F234" s="56"/>
      <c r="G234" s="57" t="str">
        <f>IF(ISBLANK(C234),"",
   IFERROR(
      IF(
         INDEX(DB_materiali!C$2:C$5000,
               MATCH(C234, DB_materiali!A$2:A$5000, 0)
         )="FALSE",
         "N",
         "Y"
      ),
   "")
)</f>
        <v/>
      </c>
      <c r="H234" s="20"/>
      <c r="I234" s="20"/>
      <c r="J234" s="20"/>
      <c r="K234" s="20"/>
      <c r="M234" s="2" t="str">
        <f>IF(ISBLANK(C234),"",IF(IFERROR(VLOOKUP(C234,DB_materiali!$A$2:$A$5000,1,FALSE),"Kļūda artikulā")=C234,"✔",tulkojums!A$42))</f>
        <v/>
      </c>
      <c r="N234" s="2" t="str">
        <f>IF(ISBLANK(C234),"",IF(ISNUMBER(F234)=TRUE,"✔",tulkojums!A$43))</f>
        <v/>
      </c>
      <c r="O234" s="2" t="str">
        <f>IF(ISBLANK(C234),"",IF(G234="Y","✔",IF(G234="X","✔",IF(G234="N","✔",tulkojums!A$44))))</f>
        <v/>
      </c>
      <c r="P234" s="2" t="str">
        <f>IF(ISBLANK(H234),"",IF(INDEX(DB_materiali!$E$2:$E$5000,MATCH($C234,DB_materiali!$A$2:$A$5000,0))&gt;=INDEX(DB_malas!$C$2:$C$5000,MATCH(H234,DB_malas!$A$2:$A$5000,0)),IF(INDEX(DB_materiali!$E$2:$E$5000,MATCH($C234,DB_materiali!$A$2:$A$5000,0))&lt;=INDEX(DB_malas!$D$2:$D$5000,MATCH(H234,DB_malas!$A$2:$A$5000,0)),IF(OR(INDEX(DB_materiali!$B$2:$B$5000,MATCH($C234,DB_materiali!$A$2:$A$5000,0))=INDEX(DB_malas!$B$2:$B$5000,MATCH(H234,DB_malas!$A$2:$A$5000,0)),$H234="ORG"),"✔",tulkojums!$A$38),tulkojums!$A$39),tulkojums!$A$39))</f>
        <v/>
      </c>
      <c r="Q234" s="2" t="str">
        <f>IF(ISBLANK(I234),"",IF(INDEX(DB_materiali!$E$2:$E$5000,MATCH($C234,DB_materiali!$A$2:$A$5000,0))&gt;=INDEX(DB_malas!$C$2:$C$5000,MATCH(I234,DB_malas!$A$2:$A$5000,0)),IF(INDEX(DB_materiali!$E$2:$E$5000,MATCH($C234,DB_materiali!$A$2:$A$5000,0))&lt;=INDEX(DB_malas!$D$2:$D$5000,MATCH(I234,DB_malas!$A$2:$A$5000,0)),IF(OR(INDEX(DB_materiali!$B$2:$B$5000,MATCH($C234,DB_materiali!$A$2:$A$5000,0))=INDEX(DB_malas!$B$2:$B$5000,MATCH(I234,DB_malas!$A$2:$A$5000,0)),$H234="ORG"),"✔",tulkojums!$A$38),tulkojums!$A$39),tulkojums!$A$39))</f>
        <v/>
      </c>
      <c r="R234" s="2" t="str">
        <f>IF(ISBLANK(J234),"",IF(INDEX(DB_materiali!$E$2:$E$5000,MATCH($C234,DB_materiali!$A$2:$A$5000,0))&gt;=INDEX(DB_malas!$C$2:$C$5000,MATCH(J234,DB_malas!$A$2:$A$5000,0)),IF(INDEX(DB_materiali!$E$2:$E$5000,MATCH($C234,DB_materiali!$A$2:$A$5000,0))&lt;=INDEX(DB_malas!$D$2:$D$5000,MATCH(J234,DB_malas!$A$2:$A$5000,0)),IF(INDEX(DB_materiali!$B$2:$B$5000,MATCH($C234,DB_materiali!$A$2:$A$5000,0))=INDEX(DB_malas!$B$2:$B$5000,MATCH(J234,DB_malas!$A$2:$A$5000,0)),"✔",tulkojums!$A$38),tulkojums!$A$39),tulkojums!$A$39))</f>
        <v/>
      </c>
      <c r="S234" s="2" t="str">
        <f>IF(ISBLANK(K234),"",IF(INDEX(DB_materiali!$E$2:$E$5000,MATCH($C234,DB_materiali!$A$2:$A$5000,0))&gt;=INDEX(DB_malas!$C$2:$C$5000,MATCH(K234,DB_malas!$A$2:$A$5000,0)),IF(INDEX(DB_materiali!$E$2:$E$5000,MATCH($C234,DB_materiali!$A$2:$A$5000,0))&lt;=INDEX(DB_malas!$D$2:$D$5000,MATCH(K234,DB_malas!$A$2:$A$5000,0)),IF(INDEX(DB_materiali!$B$2:$B$5000,MATCH($C234,DB_materiali!$A$2:$A$5000,0))=INDEX(DB_malas!$B$2:$B$5000,MATCH(K234,DB_malas!$A$2:$A$5000,0)),"✔",tulkojums!$A$38),tulkojums!$A$39),tulkojums!$A$39))</f>
        <v/>
      </c>
      <c r="T234" s="2"/>
      <c r="U234" s="2"/>
      <c r="V234" s="2"/>
      <c r="W234" s="2"/>
      <c r="X234" s="2"/>
      <c r="Y234" s="2"/>
      <c r="Z234" s="2"/>
    </row>
    <row r="235" spans="1:26" ht="15.75" customHeight="1">
      <c r="A235" s="17"/>
      <c r="B235" s="18"/>
      <c r="C235" s="19"/>
      <c r="D235" s="55"/>
      <c r="E235" s="55"/>
      <c r="F235" s="56"/>
      <c r="G235" s="57" t="str">
        <f>IF(ISBLANK(C235),"",
   IFERROR(
      IF(
         INDEX(DB_materiali!C$2:C$5000,
               MATCH(C235, DB_materiali!A$2:A$5000, 0)
         )="FALSE",
         "N",
         "Y"
      ),
   "")
)</f>
        <v/>
      </c>
      <c r="H235" s="20"/>
      <c r="I235" s="20"/>
      <c r="J235" s="20"/>
      <c r="K235" s="20"/>
      <c r="M235" s="2" t="str">
        <f>IF(ISBLANK(C235),"",IF(IFERROR(VLOOKUP(C235,DB_materiali!$A$2:$A$5000,1,FALSE),"Kļūda artikulā")=C235,"✔",tulkojums!A$42))</f>
        <v/>
      </c>
      <c r="N235" s="2" t="str">
        <f>IF(ISBLANK(C235),"",IF(ISNUMBER(F235)=TRUE,"✔",tulkojums!A$43))</f>
        <v/>
      </c>
      <c r="O235" s="2" t="str">
        <f>IF(ISBLANK(C235),"",IF(G235="Y","✔",IF(G235="X","✔",IF(G235="N","✔",tulkojums!A$44))))</f>
        <v/>
      </c>
      <c r="P235" s="2" t="str">
        <f>IF(ISBLANK(H235),"",IF(INDEX(DB_materiali!$E$2:$E$5000,MATCH($C235,DB_materiali!$A$2:$A$5000,0))&gt;=INDEX(DB_malas!$C$2:$C$5000,MATCH(H235,DB_malas!$A$2:$A$5000,0)),IF(INDEX(DB_materiali!$E$2:$E$5000,MATCH($C235,DB_materiali!$A$2:$A$5000,0))&lt;=INDEX(DB_malas!$D$2:$D$5000,MATCH(H235,DB_malas!$A$2:$A$5000,0)),IF(OR(INDEX(DB_materiali!$B$2:$B$5000,MATCH($C235,DB_materiali!$A$2:$A$5000,0))=INDEX(DB_malas!$B$2:$B$5000,MATCH(H235,DB_malas!$A$2:$A$5000,0)),$H235="ORG"),"✔",tulkojums!$A$38),tulkojums!$A$39),tulkojums!$A$39))</f>
        <v/>
      </c>
      <c r="Q235" s="2" t="str">
        <f>IF(ISBLANK(I235),"",IF(INDEX(DB_materiali!$E$2:$E$5000,MATCH($C235,DB_materiali!$A$2:$A$5000,0))&gt;=INDEX(DB_malas!$C$2:$C$5000,MATCH(I235,DB_malas!$A$2:$A$5000,0)),IF(INDEX(DB_materiali!$E$2:$E$5000,MATCH($C235,DB_materiali!$A$2:$A$5000,0))&lt;=INDEX(DB_malas!$D$2:$D$5000,MATCH(I235,DB_malas!$A$2:$A$5000,0)),IF(OR(INDEX(DB_materiali!$B$2:$B$5000,MATCH($C235,DB_materiali!$A$2:$A$5000,0))=INDEX(DB_malas!$B$2:$B$5000,MATCH(I235,DB_malas!$A$2:$A$5000,0)),$H235="ORG"),"✔",tulkojums!$A$38),tulkojums!$A$39),tulkojums!$A$39))</f>
        <v/>
      </c>
      <c r="R235" s="2" t="str">
        <f>IF(ISBLANK(J235),"",IF(INDEX(DB_materiali!$E$2:$E$5000,MATCH($C235,DB_materiali!$A$2:$A$5000,0))&gt;=INDEX(DB_malas!$C$2:$C$5000,MATCH(J235,DB_malas!$A$2:$A$5000,0)),IF(INDEX(DB_materiali!$E$2:$E$5000,MATCH($C235,DB_materiali!$A$2:$A$5000,0))&lt;=INDEX(DB_malas!$D$2:$D$5000,MATCH(J235,DB_malas!$A$2:$A$5000,0)),IF(INDEX(DB_materiali!$B$2:$B$5000,MATCH($C235,DB_materiali!$A$2:$A$5000,0))=INDEX(DB_malas!$B$2:$B$5000,MATCH(J235,DB_malas!$A$2:$A$5000,0)),"✔",tulkojums!$A$38),tulkojums!$A$39),tulkojums!$A$39))</f>
        <v/>
      </c>
      <c r="S235" s="2" t="str">
        <f>IF(ISBLANK(K235),"",IF(INDEX(DB_materiali!$E$2:$E$5000,MATCH($C235,DB_materiali!$A$2:$A$5000,0))&gt;=INDEX(DB_malas!$C$2:$C$5000,MATCH(K235,DB_malas!$A$2:$A$5000,0)),IF(INDEX(DB_materiali!$E$2:$E$5000,MATCH($C235,DB_materiali!$A$2:$A$5000,0))&lt;=INDEX(DB_malas!$D$2:$D$5000,MATCH(K235,DB_malas!$A$2:$A$5000,0)),IF(INDEX(DB_materiali!$B$2:$B$5000,MATCH($C235,DB_materiali!$A$2:$A$5000,0))=INDEX(DB_malas!$B$2:$B$5000,MATCH(K235,DB_malas!$A$2:$A$5000,0)),"✔",tulkojums!$A$38),tulkojums!$A$39),tulkojums!$A$39))</f>
        <v/>
      </c>
      <c r="T235" s="2"/>
      <c r="U235" s="2"/>
      <c r="V235" s="2"/>
      <c r="W235" s="2"/>
      <c r="X235" s="2"/>
      <c r="Y235" s="2"/>
      <c r="Z235" s="2"/>
    </row>
    <row r="236" spans="1:26" ht="15.75" customHeight="1">
      <c r="A236" s="17"/>
      <c r="B236" s="18"/>
      <c r="C236" s="19"/>
      <c r="D236" s="55"/>
      <c r="E236" s="55"/>
      <c r="F236" s="56"/>
      <c r="G236" s="57" t="str">
        <f>IF(ISBLANK(C236),"",
   IFERROR(
      IF(
         INDEX(DB_materiali!C$2:C$5000,
               MATCH(C236, DB_materiali!A$2:A$5000, 0)
         )="FALSE",
         "N",
         "Y"
      ),
   "")
)</f>
        <v/>
      </c>
      <c r="H236" s="20"/>
      <c r="I236" s="20"/>
      <c r="J236" s="20"/>
      <c r="K236" s="20"/>
      <c r="M236" s="2" t="str">
        <f>IF(ISBLANK(C236),"",IF(IFERROR(VLOOKUP(C236,DB_materiali!$A$2:$A$5000,1,FALSE),"Kļūda artikulā")=C236,"✔",tulkojums!A$42))</f>
        <v/>
      </c>
      <c r="N236" s="2" t="str">
        <f>IF(ISBLANK(C236),"",IF(ISNUMBER(F236)=TRUE,"✔",tulkojums!A$43))</f>
        <v/>
      </c>
      <c r="O236" s="2" t="str">
        <f>IF(ISBLANK(C236),"",IF(G236="Y","✔",IF(G236="X","✔",IF(G236="N","✔",tulkojums!A$44))))</f>
        <v/>
      </c>
      <c r="P236" s="2" t="str">
        <f>IF(ISBLANK(H236),"",IF(INDEX(DB_materiali!$E$2:$E$5000,MATCH($C236,DB_materiali!$A$2:$A$5000,0))&gt;=INDEX(DB_malas!$C$2:$C$5000,MATCH(H236,DB_malas!$A$2:$A$5000,0)),IF(INDEX(DB_materiali!$E$2:$E$5000,MATCH($C236,DB_materiali!$A$2:$A$5000,0))&lt;=INDEX(DB_malas!$D$2:$D$5000,MATCH(H236,DB_malas!$A$2:$A$5000,0)),IF(OR(INDEX(DB_materiali!$B$2:$B$5000,MATCH($C236,DB_materiali!$A$2:$A$5000,0))=INDEX(DB_malas!$B$2:$B$5000,MATCH(H236,DB_malas!$A$2:$A$5000,0)),$H236="ORG"),"✔",tulkojums!$A$38),tulkojums!$A$39),tulkojums!$A$39))</f>
        <v/>
      </c>
      <c r="Q236" s="2" t="str">
        <f>IF(ISBLANK(I236),"",IF(INDEX(DB_materiali!$E$2:$E$5000,MATCH($C236,DB_materiali!$A$2:$A$5000,0))&gt;=INDEX(DB_malas!$C$2:$C$5000,MATCH(I236,DB_malas!$A$2:$A$5000,0)),IF(INDEX(DB_materiali!$E$2:$E$5000,MATCH($C236,DB_materiali!$A$2:$A$5000,0))&lt;=INDEX(DB_malas!$D$2:$D$5000,MATCH(I236,DB_malas!$A$2:$A$5000,0)),IF(OR(INDEX(DB_materiali!$B$2:$B$5000,MATCH($C236,DB_materiali!$A$2:$A$5000,0))=INDEX(DB_malas!$B$2:$B$5000,MATCH(I236,DB_malas!$A$2:$A$5000,0)),$H236="ORG"),"✔",tulkojums!$A$38),tulkojums!$A$39),tulkojums!$A$39))</f>
        <v/>
      </c>
      <c r="R236" s="2" t="str">
        <f>IF(ISBLANK(J236),"",IF(INDEX(DB_materiali!$E$2:$E$5000,MATCH($C236,DB_materiali!$A$2:$A$5000,0))&gt;=INDEX(DB_malas!$C$2:$C$5000,MATCH(J236,DB_malas!$A$2:$A$5000,0)),IF(INDEX(DB_materiali!$E$2:$E$5000,MATCH($C236,DB_materiali!$A$2:$A$5000,0))&lt;=INDEX(DB_malas!$D$2:$D$5000,MATCH(J236,DB_malas!$A$2:$A$5000,0)),IF(INDEX(DB_materiali!$B$2:$B$5000,MATCH($C236,DB_materiali!$A$2:$A$5000,0))=INDEX(DB_malas!$B$2:$B$5000,MATCH(J236,DB_malas!$A$2:$A$5000,0)),"✔",tulkojums!$A$38),tulkojums!$A$39),tulkojums!$A$39))</f>
        <v/>
      </c>
      <c r="S236" s="2" t="str">
        <f>IF(ISBLANK(K236),"",IF(INDEX(DB_materiali!$E$2:$E$5000,MATCH($C236,DB_materiali!$A$2:$A$5000,0))&gt;=INDEX(DB_malas!$C$2:$C$5000,MATCH(K236,DB_malas!$A$2:$A$5000,0)),IF(INDEX(DB_materiali!$E$2:$E$5000,MATCH($C236,DB_materiali!$A$2:$A$5000,0))&lt;=INDEX(DB_malas!$D$2:$D$5000,MATCH(K236,DB_malas!$A$2:$A$5000,0)),IF(INDEX(DB_materiali!$B$2:$B$5000,MATCH($C236,DB_materiali!$A$2:$A$5000,0))=INDEX(DB_malas!$B$2:$B$5000,MATCH(K236,DB_malas!$A$2:$A$5000,0)),"✔",tulkojums!$A$38),tulkojums!$A$39),tulkojums!$A$39))</f>
        <v/>
      </c>
      <c r="T236" s="2"/>
      <c r="U236" s="2"/>
      <c r="V236" s="2"/>
      <c r="W236" s="2"/>
      <c r="X236" s="2"/>
      <c r="Y236" s="2"/>
      <c r="Z236" s="2"/>
    </row>
    <row r="237" spans="1:26" ht="15.75" customHeight="1">
      <c r="A237" s="17"/>
      <c r="B237" s="18"/>
      <c r="C237" s="19"/>
      <c r="D237" s="55"/>
      <c r="E237" s="55"/>
      <c r="F237" s="56"/>
      <c r="G237" s="57" t="str">
        <f>IF(ISBLANK(C237),"",
   IFERROR(
      IF(
         INDEX(DB_materiali!C$2:C$5000,
               MATCH(C237, DB_materiali!A$2:A$5000, 0)
         )="FALSE",
         "N",
         "Y"
      ),
   "")
)</f>
        <v/>
      </c>
      <c r="H237" s="20"/>
      <c r="I237" s="20"/>
      <c r="J237" s="20"/>
      <c r="K237" s="20"/>
      <c r="M237" s="2" t="str">
        <f>IF(ISBLANK(C237),"",IF(IFERROR(VLOOKUP(C237,DB_materiali!$A$2:$A$5000,1,FALSE),"Kļūda artikulā")=C237,"✔",tulkojums!A$42))</f>
        <v/>
      </c>
      <c r="N237" s="2" t="str">
        <f>IF(ISBLANK(C237),"",IF(ISNUMBER(F237)=TRUE,"✔",tulkojums!A$43))</f>
        <v/>
      </c>
      <c r="O237" s="2" t="str">
        <f>IF(ISBLANK(C237),"",IF(G237="Y","✔",IF(G237="X","✔",IF(G237="N","✔",tulkojums!A$44))))</f>
        <v/>
      </c>
      <c r="P237" s="2" t="str">
        <f>IF(ISBLANK(H237),"",IF(INDEX(DB_materiali!$E$2:$E$5000,MATCH($C237,DB_materiali!$A$2:$A$5000,0))&gt;=INDEX(DB_malas!$C$2:$C$5000,MATCH(H237,DB_malas!$A$2:$A$5000,0)),IF(INDEX(DB_materiali!$E$2:$E$5000,MATCH($C237,DB_materiali!$A$2:$A$5000,0))&lt;=INDEX(DB_malas!$D$2:$D$5000,MATCH(H237,DB_malas!$A$2:$A$5000,0)),IF(OR(INDEX(DB_materiali!$B$2:$B$5000,MATCH($C237,DB_materiali!$A$2:$A$5000,0))=INDEX(DB_malas!$B$2:$B$5000,MATCH(H237,DB_malas!$A$2:$A$5000,0)),$H237="ORG"),"✔",tulkojums!$A$38),tulkojums!$A$39),tulkojums!$A$39))</f>
        <v/>
      </c>
      <c r="Q237" s="2" t="str">
        <f>IF(ISBLANK(I237),"",IF(INDEX(DB_materiali!$E$2:$E$5000,MATCH($C237,DB_materiali!$A$2:$A$5000,0))&gt;=INDEX(DB_malas!$C$2:$C$5000,MATCH(I237,DB_malas!$A$2:$A$5000,0)),IF(INDEX(DB_materiali!$E$2:$E$5000,MATCH($C237,DB_materiali!$A$2:$A$5000,0))&lt;=INDEX(DB_malas!$D$2:$D$5000,MATCH(I237,DB_malas!$A$2:$A$5000,0)),IF(OR(INDEX(DB_materiali!$B$2:$B$5000,MATCH($C237,DB_materiali!$A$2:$A$5000,0))=INDEX(DB_malas!$B$2:$B$5000,MATCH(I237,DB_malas!$A$2:$A$5000,0)),$H237="ORG"),"✔",tulkojums!$A$38),tulkojums!$A$39),tulkojums!$A$39))</f>
        <v/>
      </c>
      <c r="R237" s="2" t="str">
        <f>IF(ISBLANK(J237),"",IF(INDEX(DB_materiali!$E$2:$E$5000,MATCH($C237,DB_materiali!$A$2:$A$5000,0))&gt;=INDEX(DB_malas!$C$2:$C$5000,MATCH(J237,DB_malas!$A$2:$A$5000,0)),IF(INDEX(DB_materiali!$E$2:$E$5000,MATCH($C237,DB_materiali!$A$2:$A$5000,0))&lt;=INDEX(DB_malas!$D$2:$D$5000,MATCH(J237,DB_malas!$A$2:$A$5000,0)),IF(INDEX(DB_materiali!$B$2:$B$5000,MATCH($C237,DB_materiali!$A$2:$A$5000,0))=INDEX(DB_malas!$B$2:$B$5000,MATCH(J237,DB_malas!$A$2:$A$5000,0)),"✔",tulkojums!$A$38),tulkojums!$A$39),tulkojums!$A$39))</f>
        <v/>
      </c>
      <c r="S237" s="2" t="str">
        <f>IF(ISBLANK(K237),"",IF(INDEX(DB_materiali!$E$2:$E$5000,MATCH($C237,DB_materiali!$A$2:$A$5000,0))&gt;=INDEX(DB_malas!$C$2:$C$5000,MATCH(K237,DB_malas!$A$2:$A$5000,0)),IF(INDEX(DB_materiali!$E$2:$E$5000,MATCH($C237,DB_materiali!$A$2:$A$5000,0))&lt;=INDEX(DB_malas!$D$2:$D$5000,MATCH(K237,DB_malas!$A$2:$A$5000,0)),IF(INDEX(DB_materiali!$B$2:$B$5000,MATCH($C237,DB_materiali!$A$2:$A$5000,0))=INDEX(DB_malas!$B$2:$B$5000,MATCH(K237,DB_malas!$A$2:$A$5000,0)),"✔",tulkojums!$A$38),tulkojums!$A$39),tulkojums!$A$39))</f>
        <v/>
      </c>
      <c r="T237" s="2"/>
      <c r="U237" s="2"/>
      <c r="V237" s="2"/>
      <c r="W237" s="2"/>
      <c r="X237" s="2"/>
      <c r="Y237" s="2"/>
      <c r="Z237" s="2"/>
    </row>
    <row r="238" spans="1:26" ht="15.75" customHeight="1">
      <c r="A238" s="17"/>
      <c r="B238" s="18"/>
      <c r="C238" s="19"/>
      <c r="D238" s="55"/>
      <c r="E238" s="55"/>
      <c r="F238" s="56"/>
      <c r="G238" s="57" t="str">
        <f>IF(ISBLANK(C238),"",
   IFERROR(
      IF(
         INDEX(DB_materiali!C$2:C$5000,
               MATCH(C238, DB_materiali!A$2:A$5000, 0)
         )="FALSE",
         "N",
         "Y"
      ),
   "")
)</f>
        <v/>
      </c>
      <c r="H238" s="20"/>
      <c r="I238" s="20"/>
      <c r="J238" s="20"/>
      <c r="K238" s="20"/>
      <c r="M238" s="2" t="str">
        <f>IF(ISBLANK(C238),"",IF(IFERROR(VLOOKUP(C238,DB_materiali!$A$2:$A$5000,1,FALSE),"Kļūda artikulā")=C238,"✔",tulkojums!A$42))</f>
        <v/>
      </c>
      <c r="N238" s="2" t="str">
        <f>IF(ISBLANK(C238),"",IF(ISNUMBER(F238)=TRUE,"✔",tulkojums!A$43))</f>
        <v/>
      </c>
      <c r="O238" s="2" t="str">
        <f>IF(ISBLANK(C238),"",IF(G238="Y","✔",IF(G238="X","✔",IF(G238="N","✔",tulkojums!A$44))))</f>
        <v/>
      </c>
      <c r="P238" s="2" t="str">
        <f>IF(ISBLANK(H238),"",IF(INDEX(DB_materiali!$E$2:$E$5000,MATCH($C238,DB_materiali!$A$2:$A$5000,0))&gt;=INDEX(DB_malas!$C$2:$C$5000,MATCH(H238,DB_malas!$A$2:$A$5000,0)),IF(INDEX(DB_materiali!$E$2:$E$5000,MATCH($C238,DB_materiali!$A$2:$A$5000,0))&lt;=INDEX(DB_malas!$D$2:$D$5000,MATCH(H238,DB_malas!$A$2:$A$5000,0)),IF(OR(INDEX(DB_materiali!$B$2:$B$5000,MATCH($C238,DB_materiali!$A$2:$A$5000,0))=INDEX(DB_malas!$B$2:$B$5000,MATCH(H238,DB_malas!$A$2:$A$5000,0)),$H238="ORG"),"✔",tulkojums!$A$38),tulkojums!$A$39),tulkojums!$A$39))</f>
        <v/>
      </c>
      <c r="Q238" s="2" t="str">
        <f>IF(ISBLANK(I238),"",IF(INDEX(DB_materiali!$E$2:$E$5000,MATCH($C238,DB_materiali!$A$2:$A$5000,0))&gt;=INDEX(DB_malas!$C$2:$C$5000,MATCH(I238,DB_malas!$A$2:$A$5000,0)),IF(INDEX(DB_materiali!$E$2:$E$5000,MATCH($C238,DB_materiali!$A$2:$A$5000,0))&lt;=INDEX(DB_malas!$D$2:$D$5000,MATCH(I238,DB_malas!$A$2:$A$5000,0)),IF(OR(INDEX(DB_materiali!$B$2:$B$5000,MATCH($C238,DB_materiali!$A$2:$A$5000,0))=INDEX(DB_malas!$B$2:$B$5000,MATCH(I238,DB_malas!$A$2:$A$5000,0)),$H238="ORG"),"✔",tulkojums!$A$38),tulkojums!$A$39),tulkojums!$A$39))</f>
        <v/>
      </c>
      <c r="R238" s="2" t="str">
        <f>IF(ISBLANK(J238),"",IF(INDEX(DB_materiali!$E$2:$E$5000,MATCH($C238,DB_materiali!$A$2:$A$5000,0))&gt;=INDEX(DB_malas!$C$2:$C$5000,MATCH(J238,DB_malas!$A$2:$A$5000,0)),IF(INDEX(DB_materiali!$E$2:$E$5000,MATCH($C238,DB_materiali!$A$2:$A$5000,0))&lt;=INDEX(DB_malas!$D$2:$D$5000,MATCH(J238,DB_malas!$A$2:$A$5000,0)),IF(INDEX(DB_materiali!$B$2:$B$5000,MATCH($C238,DB_materiali!$A$2:$A$5000,0))=INDEX(DB_malas!$B$2:$B$5000,MATCH(J238,DB_malas!$A$2:$A$5000,0)),"✔",tulkojums!$A$38),tulkojums!$A$39),tulkojums!$A$39))</f>
        <v/>
      </c>
      <c r="S238" s="2" t="str">
        <f>IF(ISBLANK(K238),"",IF(INDEX(DB_materiali!$E$2:$E$5000,MATCH($C238,DB_materiali!$A$2:$A$5000,0))&gt;=INDEX(DB_malas!$C$2:$C$5000,MATCH(K238,DB_malas!$A$2:$A$5000,0)),IF(INDEX(DB_materiali!$E$2:$E$5000,MATCH($C238,DB_materiali!$A$2:$A$5000,0))&lt;=INDEX(DB_malas!$D$2:$D$5000,MATCH(K238,DB_malas!$A$2:$A$5000,0)),IF(INDEX(DB_materiali!$B$2:$B$5000,MATCH($C238,DB_materiali!$A$2:$A$5000,0))=INDEX(DB_malas!$B$2:$B$5000,MATCH(K238,DB_malas!$A$2:$A$5000,0)),"✔",tulkojums!$A$38),tulkojums!$A$39),tulkojums!$A$39))</f>
        <v/>
      </c>
      <c r="T238" s="2"/>
      <c r="U238" s="2"/>
      <c r="V238" s="2"/>
      <c r="W238" s="2"/>
      <c r="X238" s="2"/>
      <c r="Y238" s="2"/>
      <c r="Z238" s="2"/>
    </row>
    <row r="239" spans="1:26" ht="15.75" customHeight="1">
      <c r="A239" s="17"/>
      <c r="B239" s="18"/>
      <c r="C239" s="19"/>
      <c r="D239" s="55"/>
      <c r="E239" s="55"/>
      <c r="F239" s="56"/>
      <c r="G239" s="57" t="str">
        <f>IF(ISBLANK(C239),"",
   IFERROR(
      IF(
         INDEX(DB_materiali!C$2:C$5000,
               MATCH(C239, DB_materiali!A$2:A$5000, 0)
         )="FALSE",
         "N",
         "Y"
      ),
   "")
)</f>
        <v/>
      </c>
      <c r="H239" s="20"/>
      <c r="I239" s="20"/>
      <c r="J239" s="20"/>
      <c r="K239" s="20"/>
      <c r="M239" s="2" t="str">
        <f>IF(ISBLANK(C239),"",IF(IFERROR(VLOOKUP(C239,DB_materiali!$A$2:$A$5000,1,FALSE),"Kļūda artikulā")=C239,"✔",tulkojums!A$42))</f>
        <v/>
      </c>
      <c r="N239" s="2" t="str">
        <f>IF(ISBLANK(C239),"",IF(ISNUMBER(F239)=TRUE,"✔",tulkojums!A$43))</f>
        <v/>
      </c>
      <c r="O239" s="2" t="str">
        <f>IF(ISBLANK(C239),"",IF(G239="Y","✔",IF(G239="X","✔",IF(G239="N","✔",tulkojums!A$44))))</f>
        <v/>
      </c>
      <c r="P239" s="2" t="str">
        <f>IF(ISBLANK(H239),"",IF(INDEX(DB_materiali!$E$2:$E$5000,MATCH($C239,DB_materiali!$A$2:$A$5000,0))&gt;=INDEX(DB_malas!$C$2:$C$5000,MATCH(H239,DB_malas!$A$2:$A$5000,0)),IF(INDEX(DB_materiali!$E$2:$E$5000,MATCH($C239,DB_materiali!$A$2:$A$5000,0))&lt;=INDEX(DB_malas!$D$2:$D$5000,MATCH(H239,DB_malas!$A$2:$A$5000,0)),IF(OR(INDEX(DB_materiali!$B$2:$B$5000,MATCH($C239,DB_materiali!$A$2:$A$5000,0))=INDEX(DB_malas!$B$2:$B$5000,MATCH(H239,DB_malas!$A$2:$A$5000,0)),$H239="ORG"),"✔",tulkojums!$A$38),tulkojums!$A$39),tulkojums!$A$39))</f>
        <v/>
      </c>
      <c r="Q239" s="2" t="str">
        <f>IF(ISBLANK(I239),"",IF(INDEX(DB_materiali!$E$2:$E$5000,MATCH($C239,DB_materiali!$A$2:$A$5000,0))&gt;=INDEX(DB_malas!$C$2:$C$5000,MATCH(I239,DB_malas!$A$2:$A$5000,0)),IF(INDEX(DB_materiali!$E$2:$E$5000,MATCH($C239,DB_materiali!$A$2:$A$5000,0))&lt;=INDEX(DB_malas!$D$2:$D$5000,MATCH(I239,DB_malas!$A$2:$A$5000,0)),IF(OR(INDEX(DB_materiali!$B$2:$B$5000,MATCH($C239,DB_materiali!$A$2:$A$5000,0))=INDEX(DB_malas!$B$2:$B$5000,MATCH(I239,DB_malas!$A$2:$A$5000,0)),$H239="ORG"),"✔",tulkojums!$A$38),tulkojums!$A$39),tulkojums!$A$39))</f>
        <v/>
      </c>
      <c r="R239" s="2" t="str">
        <f>IF(ISBLANK(J239),"",IF(INDEX(DB_materiali!$E$2:$E$5000,MATCH($C239,DB_materiali!$A$2:$A$5000,0))&gt;=INDEX(DB_malas!$C$2:$C$5000,MATCH(J239,DB_malas!$A$2:$A$5000,0)),IF(INDEX(DB_materiali!$E$2:$E$5000,MATCH($C239,DB_materiali!$A$2:$A$5000,0))&lt;=INDEX(DB_malas!$D$2:$D$5000,MATCH(J239,DB_malas!$A$2:$A$5000,0)),IF(INDEX(DB_materiali!$B$2:$B$5000,MATCH($C239,DB_materiali!$A$2:$A$5000,0))=INDEX(DB_malas!$B$2:$B$5000,MATCH(J239,DB_malas!$A$2:$A$5000,0)),"✔",tulkojums!$A$38),tulkojums!$A$39),tulkojums!$A$39))</f>
        <v/>
      </c>
      <c r="S239" s="2" t="str">
        <f>IF(ISBLANK(K239),"",IF(INDEX(DB_materiali!$E$2:$E$5000,MATCH($C239,DB_materiali!$A$2:$A$5000,0))&gt;=INDEX(DB_malas!$C$2:$C$5000,MATCH(K239,DB_malas!$A$2:$A$5000,0)),IF(INDEX(DB_materiali!$E$2:$E$5000,MATCH($C239,DB_materiali!$A$2:$A$5000,0))&lt;=INDEX(DB_malas!$D$2:$D$5000,MATCH(K239,DB_malas!$A$2:$A$5000,0)),IF(INDEX(DB_materiali!$B$2:$B$5000,MATCH($C239,DB_materiali!$A$2:$A$5000,0))=INDEX(DB_malas!$B$2:$B$5000,MATCH(K239,DB_malas!$A$2:$A$5000,0)),"✔",tulkojums!$A$38),tulkojums!$A$39),tulkojums!$A$39))</f>
        <v/>
      </c>
      <c r="T239" s="2"/>
      <c r="U239" s="2"/>
      <c r="V239" s="2"/>
      <c r="W239" s="2"/>
      <c r="X239" s="2"/>
      <c r="Y239" s="2"/>
      <c r="Z239" s="2"/>
    </row>
    <row r="240" spans="1:26" ht="15.75" customHeight="1">
      <c r="A240" s="17"/>
      <c r="B240" s="18"/>
      <c r="C240" s="19"/>
      <c r="D240" s="55"/>
      <c r="E240" s="55"/>
      <c r="F240" s="56"/>
      <c r="G240" s="57" t="str">
        <f>IF(ISBLANK(C240),"",
   IFERROR(
      IF(
         INDEX(DB_materiali!C$2:C$5000,
               MATCH(C240, DB_materiali!A$2:A$5000, 0)
         )="FALSE",
         "N",
         "Y"
      ),
   "")
)</f>
        <v/>
      </c>
      <c r="H240" s="20"/>
      <c r="I240" s="20"/>
      <c r="J240" s="20"/>
      <c r="K240" s="20"/>
      <c r="M240" s="2" t="str">
        <f>IF(ISBLANK(C240),"",IF(IFERROR(VLOOKUP(C240,DB_materiali!$A$2:$A$5000,1,FALSE),"Kļūda artikulā")=C240,"✔",tulkojums!A$42))</f>
        <v/>
      </c>
      <c r="N240" s="2" t="str">
        <f>IF(ISBLANK(C240),"",IF(ISNUMBER(F240)=TRUE,"✔",tulkojums!A$43))</f>
        <v/>
      </c>
      <c r="O240" s="2" t="str">
        <f>IF(ISBLANK(C240),"",IF(G240="Y","✔",IF(G240="X","✔",IF(G240="N","✔",tulkojums!A$44))))</f>
        <v/>
      </c>
      <c r="P240" s="2" t="str">
        <f>IF(ISBLANK(H240),"",IF(INDEX(DB_materiali!$E$2:$E$5000,MATCH($C240,DB_materiali!$A$2:$A$5000,0))&gt;=INDEX(DB_malas!$C$2:$C$5000,MATCH(H240,DB_malas!$A$2:$A$5000,0)),IF(INDEX(DB_materiali!$E$2:$E$5000,MATCH($C240,DB_materiali!$A$2:$A$5000,0))&lt;=INDEX(DB_malas!$D$2:$D$5000,MATCH(H240,DB_malas!$A$2:$A$5000,0)),IF(OR(INDEX(DB_materiali!$B$2:$B$5000,MATCH($C240,DB_materiali!$A$2:$A$5000,0))=INDEX(DB_malas!$B$2:$B$5000,MATCH(H240,DB_malas!$A$2:$A$5000,0)),$H240="ORG"),"✔",tulkojums!$A$38),tulkojums!$A$39),tulkojums!$A$39))</f>
        <v/>
      </c>
      <c r="Q240" s="2" t="str">
        <f>IF(ISBLANK(I240),"",IF(INDEX(DB_materiali!$E$2:$E$5000,MATCH($C240,DB_materiali!$A$2:$A$5000,0))&gt;=INDEX(DB_malas!$C$2:$C$5000,MATCH(I240,DB_malas!$A$2:$A$5000,0)),IF(INDEX(DB_materiali!$E$2:$E$5000,MATCH($C240,DB_materiali!$A$2:$A$5000,0))&lt;=INDEX(DB_malas!$D$2:$D$5000,MATCH(I240,DB_malas!$A$2:$A$5000,0)),IF(OR(INDEX(DB_materiali!$B$2:$B$5000,MATCH($C240,DB_materiali!$A$2:$A$5000,0))=INDEX(DB_malas!$B$2:$B$5000,MATCH(I240,DB_malas!$A$2:$A$5000,0)),$H240="ORG"),"✔",tulkojums!$A$38),tulkojums!$A$39),tulkojums!$A$39))</f>
        <v/>
      </c>
      <c r="R240" s="2" t="str">
        <f>IF(ISBLANK(J240),"",IF(INDEX(DB_materiali!$E$2:$E$5000,MATCH($C240,DB_materiali!$A$2:$A$5000,0))&gt;=INDEX(DB_malas!$C$2:$C$5000,MATCH(J240,DB_malas!$A$2:$A$5000,0)),IF(INDEX(DB_materiali!$E$2:$E$5000,MATCH($C240,DB_materiali!$A$2:$A$5000,0))&lt;=INDEX(DB_malas!$D$2:$D$5000,MATCH(J240,DB_malas!$A$2:$A$5000,0)),IF(INDEX(DB_materiali!$B$2:$B$5000,MATCH($C240,DB_materiali!$A$2:$A$5000,0))=INDEX(DB_malas!$B$2:$B$5000,MATCH(J240,DB_malas!$A$2:$A$5000,0)),"✔",tulkojums!$A$38),tulkojums!$A$39),tulkojums!$A$39))</f>
        <v/>
      </c>
      <c r="S240" s="2" t="str">
        <f>IF(ISBLANK(K240),"",IF(INDEX(DB_materiali!$E$2:$E$5000,MATCH($C240,DB_materiali!$A$2:$A$5000,0))&gt;=INDEX(DB_malas!$C$2:$C$5000,MATCH(K240,DB_malas!$A$2:$A$5000,0)),IF(INDEX(DB_materiali!$E$2:$E$5000,MATCH($C240,DB_materiali!$A$2:$A$5000,0))&lt;=INDEX(DB_malas!$D$2:$D$5000,MATCH(K240,DB_malas!$A$2:$A$5000,0)),IF(INDEX(DB_materiali!$B$2:$B$5000,MATCH($C240,DB_materiali!$A$2:$A$5000,0))=INDEX(DB_malas!$B$2:$B$5000,MATCH(K240,DB_malas!$A$2:$A$5000,0)),"✔",tulkojums!$A$38),tulkojums!$A$39),tulkojums!$A$39))</f>
        <v/>
      </c>
      <c r="T240" s="2"/>
      <c r="U240" s="2"/>
      <c r="V240" s="2"/>
      <c r="W240" s="2"/>
      <c r="X240" s="2"/>
      <c r="Y240" s="2"/>
      <c r="Z240" s="2"/>
    </row>
    <row r="241" spans="1:26" ht="15.75" customHeight="1">
      <c r="A241" s="17"/>
      <c r="B241" s="18"/>
      <c r="C241" s="19"/>
      <c r="D241" s="55"/>
      <c r="E241" s="55"/>
      <c r="F241" s="56"/>
      <c r="G241" s="57" t="str">
        <f>IF(ISBLANK(C241),"",
   IFERROR(
      IF(
         INDEX(DB_materiali!C$2:C$5000,
               MATCH(C241, DB_materiali!A$2:A$5000, 0)
         )="FALSE",
         "N",
         "Y"
      ),
   "")
)</f>
        <v/>
      </c>
      <c r="H241" s="20"/>
      <c r="I241" s="20"/>
      <c r="J241" s="20"/>
      <c r="K241" s="20"/>
      <c r="M241" s="2" t="str">
        <f>IF(ISBLANK(C241),"",IF(IFERROR(VLOOKUP(C241,DB_materiali!$A$2:$A$5000,1,FALSE),"Kļūda artikulā")=C241,"✔",tulkojums!A$42))</f>
        <v/>
      </c>
      <c r="N241" s="2" t="str">
        <f>IF(ISBLANK(C241),"",IF(ISNUMBER(F241)=TRUE,"✔",tulkojums!A$43))</f>
        <v/>
      </c>
      <c r="O241" s="2" t="str">
        <f>IF(ISBLANK(C241),"",IF(G241="Y","✔",IF(G241="X","✔",IF(G241="N","✔",tulkojums!A$44))))</f>
        <v/>
      </c>
      <c r="P241" s="2" t="str">
        <f>IF(ISBLANK(H241),"",IF(INDEX(DB_materiali!$E$2:$E$5000,MATCH($C241,DB_materiali!$A$2:$A$5000,0))&gt;=INDEX(DB_malas!$C$2:$C$5000,MATCH(H241,DB_malas!$A$2:$A$5000,0)),IF(INDEX(DB_materiali!$E$2:$E$5000,MATCH($C241,DB_materiali!$A$2:$A$5000,0))&lt;=INDEX(DB_malas!$D$2:$D$5000,MATCH(H241,DB_malas!$A$2:$A$5000,0)),IF(OR(INDEX(DB_materiali!$B$2:$B$5000,MATCH($C241,DB_materiali!$A$2:$A$5000,0))=INDEX(DB_malas!$B$2:$B$5000,MATCH(H241,DB_malas!$A$2:$A$5000,0)),$H241="ORG"),"✔",tulkojums!$A$38),tulkojums!$A$39),tulkojums!$A$39))</f>
        <v/>
      </c>
      <c r="Q241" s="2" t="str">
        <f>IF(ISBLANK(I241),"",IF(INDEX(DB_materiali!$E$2:$E$5000,MATCH($C241,DB_materiali!$A$2:$A$5000,0))&gt;=INDEX(DB_malas!$C$2:$C$5000,MATCH(I241,DB_malas!$A$2:$A$5000,0)),IF(INDEX(DB_materiali!$E$2:$E$5000,MATCH($C241,DB_materiali!$A$2:$A$5000,0))&lt;=INDEX(DB_malas!$D$2:$D$5000,MATCH(I241,DB_malas!$A$2:$A$5000,0)),IF(OR(INDEX(DB_materiali!$B$2:$B$5000,MATCH($C241,DB_materiali!$A$2:$A$5000,0))=INDEX(DB_malas!$B$2:$B$5000,MATCH(I241,DB_malas!$A$2:$A$5000,0)),$H241="ORG"),"✔",tulkojums!$A$38),tulkojums!$A$39),tulkojums!$A$39))</f>
        <v/>
      </c>
      <c r="R241" s="2" t="str">
        <f>IF(ISBLANK(J241),"",IF(INDEX(DB_materiali!$E$2:$E$5000,MATCH($C241,DB_materiali!$A$2:$A$5000,0))&gt;=INDEX(DB_malas!$C$2:$C$5000,MATCH(J241,DB_malas!$A$2:$A$5000,0)),IF(INDEX(DB_materiali!$E$2:$E$5000,MATCH($C241,DB_materiali!$A$2:$A$5000,0))&lt;=INDEX(DB_malas!$D$2:$D$5000,MATCH(J241,DB_malas!$A$2:$A$5000,0)),IF(INDEX(DB_materiali!$B$2:$B$5000,MATCH($C241,DB_materiali!$A$2:$A$5000,0))=INDEX(DB_malas!$B$2:$B$5000,MATCH(J241,DB_malas!$A$2:$A$5000,0)),"✔",tulkojums!$A$38),tulkojums!$A$39),tulkojums!$A$39))</f>
        <v/>
      </c>
      <c r="S241" s="2" t="str">
        <f>IF(ISBLANK(K241),"",IF(INDEX(DB_materiali!$E$2:$E$5000,MATCH($C241,DB_materiali!$A$2:$A$5000,0))&gt;=INDEX(DB_malas!$C$2:$C$5000,MATCH(K241,DB_malas!$A$2:$A$5000,0)),IF(INDEX(DB_materiali!$E$2:$E$5000,MATCH($C241,DB_materiali!$A$2:$A$5000,0))&lt;=INDEX(DB_malas!$D$2:$D$5000,MATCH(K241,DB_malas!$A$2:$A$5000,0)),IF(INDEX(DB_materiali!$B$2:$B$5000,MATCH($C241,DB_materiali!$A$2:$A$5000,0))=INDEX(DB_malas!$B$2:$B$5000,MATCH(K241,DB_malas!$A$2:$A$5000,0)),"✔",tulkojums!$A$38),tulkojums!$A$39),tulkojums!$A$39))</f>
        <v/>
      </c>
      <c r="T241" s="2"/>
      <c r="U241" s="2"/>
      <c r="V241" s="2"/>
      <c r="W241" s="2"/>
      <c r="X241" s="2"/>
      <c r="Y241" s="2"/>
      <c r="Z241" s="2"/>
    </row>
    <row r="242" spans="1:26" ht="15.75" customHeight="1">
      <c r="A242" s="17"/>
      <c r="B242" s="18"/>
      <c r="C242" s="19"/>
      <c r="D242" s="55"/>
      <c r="E242" s="55"/>
      <c r="F242" s="56"/>
      <c r="G242" s="57" t="str">
        <f>IF(ISBLANK(C242),"",
   IFERROR(
      IF(
         INDEX(DB_materiali!C$2:C$5000,
               MATCH(C242, DB_materiali!A$2:A$5000, 0)
         )="FALSE",
         "N",
         "Y"
      ),
   "")
)</f>
        <v/>
      </c>
      <c r="H242" s="20"/>
      <c r="I242" s="20"/>
      <c r="J242" s="20"/>
      <c r="K242" s="20"/>
      <c r="M242" s="2" t="str">
        <f>IF(ISBLANK(C242),"",IF(IFERROR(VLOOKUP(C242,DB_materiali!$A$2:$A$5000,1,FALSE),"Kļūda artikulā")=C242,"✔",tulkojums!A$42))</f>
        <v/>
      </c>
      <c r="N242" s="2" t="str">
        <f>IF(ISBLANK(C242),"",IF(ISNUMBER(F242)=TRUE,"✔",tulkojums!A$43))</f>
        <v/>
      </c>
      <c r="O242" s="2" t="str">
        <f>IF(ISBLANK(C242),"",IF(G242="Y","✔",IF(G242="X","✔",IF(G242="N","✔",tulkojums!A$44))))</f>
        <v/>
      </c>
      <c r="P242" s="2" t="str">
        <f>IF(ISBLANK(H242),"",IF(INDEX(DB_materiali!$E$2:$E$5000,MATCH($C242,DB_materiali!$A$2:$A$5000,0))&gt;=INDEX(DB_malas!$C$2:$C$5000,MATCH(H242,DB_malas!$A$2:$A$5000,0)),IF(INDEX(DB_materiali!$E$2:$E$5000,MATCH($C242,DB_materiali!$A$2:$A$5000,0))&lt;=INDEX(DB_malas!$D$2:$D$5000,MATCH(H242,DB_malas!$A$2:$A$5000,0)),IF(OR(INDEX(DB_materiali!$B$2:$B$5000,MATCH($C242,DB_materiali!$A$2:$A$5000,0))=INDEX(DB_malas!$B$2:$B$5000,MATCH(H242,DB_malas!$A$2:$A$5000,0)),$H242="ORG"),"✔",tulkojums!$A$38),tulkojums!$A$39),tulkojums!$A$39))</f>
        <v/>
      </c>
      <c r="Q242" s="2" t="str">
        <f>IF(ISBLANK(I242),"",IF(INDEX(DB_materiali!$E$2:$E$5000,MATCH($C242,DB_materiali!$A$2:$A$5000,0))&gt;=INDEX(DB_malas!$C$2:$C$5000,MATCH(I242,DB_malas!$A$2:$A$5000,0)),IF(INDEX(DB_materiali!$E$2:$E$5000,MATCH($C242,DB_materiali!$A$2:$A$5000,0))&lt;=INDEX(DB_malas!$D$2:$D$5000,MATCH(I242,DB_malas!$A$2:$A$5000,0)),IF(OR(INDEX(DB_materiali!$B$2:$B$5000,MATCH($C242,DB_materiali!$A$2:$A$5000,0))=INDEX(DB_malas!$B$2:$B$5000,MATCH(I242,DB_malas!$A$2:$A$5000,0)),$H242="ORG"),"✔",tulkojums!$A$38),tulkojums!$A$39),tulkojums!$A$39))</f>
        <v/>
      </c>
      <c r="R242" s="2" t="str">
        <f>IF(ISBLANK(J242),"",IF(INDEX(DB_materiali!$E$2:$E$5000,MATCH($C242,DB_materiali!$A$2:$A$5000,0))&gt;=INDEX(DB_malas!$C$2:$C$5000,MATCH(J242,DB_malas!$A$2:$A$5000,0)),IF(INDEX(DB_materiali!$E$2:$E$5000,MATCH($C242,DB_materiali!$A$2:$A$5000,0))&lt;=INDEX(DB_malas!$D$2:$D$5000,MATCH(J242,DB_malas!$A$2:$A$5000,0)),IF(INDEX(DB_materiali!$B$2:$B$5000,MATCH($C242,DB_materiali!$A$2:$A$5000,0))=INDEX(DB_malas!$B$2:$B$5000,MATCH(J242,DB_malas!$A$2:$A$5000,0)),"✔",tulkojums!$A$38),tulkojums!$A$39),tulkojums!$A$39))</f>
        <v/>
      </c>
      <c r="S242" s="2" t="str">
        <f>IF(ISBLANK(K242),"",IF(INDEX(DB_materiali!$E$2:$E$5000,MATCH($C242,DB_materiali!$A$2:$A$5000,0))&gt;=INDEX(DB_malas!$C$2:$C$5000,MATCH(K242,DB_malas!$A$2:$A$5000,0)),IF(INDEX(DB_materiali!$E$2:$E$5000,MATCH($C242,DB_materiali!$A$2:$A$5000,0))&lt;=INDEX(DB_malas!$D$2:$D$5000,MATCH(K242,DB_malas!$A$2:$A$5000,0)),IF(INDEX(DB_materiali!$B$2:$B$5000,MATCH($C242,DB_materiali!$A$2:$A$5000,0))=INDEX(DB_malas!$B$2:$B$5000,MATCH(K242,DB_malas!$A$2:$A$5000,0)),"✔",tulkojums!$A$38),tulkojums!$A$39),tulkojums!$A$39))</f>
        <v/>
      </c>
      <c r="T242" s="2"/>
      <c r="U242" s="2"/>
      <c r="V242" s="2"/>
      <c r="W242" s="2"/>
      <c r="X242" s="2"/>
      <c r="Y242" s="2"/>
      <c r="Z242" s="2"/>
    </row>
    <row r="243" spans="1:26" ht="15.75" customHeight="1">
      <c r="A243" s="17"/>
      <c r="B243" s="18"/>
      <c r="C243" s="19"/>
      <c r="D243" s="55"/>
      <c r="E243" s="55"/>
      <c r="F243" s="56"/>
      <c r="G243" s="57" t="str">
        <f>IF(ISBLANK(C243),"",
   IFERROR(
      IF(
         INDEX(DB_materiali!C$2:C$5000,
               MATCH(C243, DB_materiali!A$2:A$5000, 0)
         )="FALSE",
         "N",
         "Y"
      ),
   "")
)</f>
        <v/>
      </c>
      <c r="H243" s="20"/>
      <c r="I243" s="20"/>
      <c r="J243" s="20"/>
      <c r="K243" s="20"/>
      <c r="M243" s="2" t="str">
        <f>IF(ISBLANK(C243),"",IF(IFERROR(VLOOKUP(C243,DB_materiali!$A$2:$A$5000,1,FALSE),"Kļūda artikulā")=C243,"✔",tulkojums!A$42))</f>
        <v/>
      </c>
      <c r="N243" s="2" t="str">
        <f>IF(ISBLANK(C243),"",IF(ISNUMBER(F243)=TRUE,"✔",tulkojums!A$43))</f>
        <v/>
      </c>
      <c r="O243" s="2" t="str">
        <f>IF(ISBLANK(C243),"",IF(G243="Y","✔",IF(G243="X","✔",IF(G243="N","✔",tulkojums!A$44))))</f>
        <v/>
      </c>
      <c r="P243" s="2" t="str">
        <f>IF(ISBLANK(H243),"",IF(INDEX(DB_materiali!$E$2:$E$5000,MATCH($C243,DB_materiali!$A$2:$A$5000,0))&gt;=INDEX(DB_malas!$C$2:$C$5000,MATCH(H243,DB_malas!$A$2:$A$5000,0)),IF(INDEX(DB_materiali!$E$2:$E$5000,MATCH($C243,DB_materiali!$A$2:$A$5000,0))&lt;=INDEX(DB_malas!$D$2:$D$5000,MATCH(H243,DB_malas!$A$2:$A$5000,0)),IF(OR(INDEX(DB_materiali!$B$2:$B$5000,MATCH($C243,DB_materiali!$A$2:$A$5000,0))=INDEX(DB_malas!$B$2:$B$5000,MATCH(H243,DB_malas!$A$2:$A$5000,0)),$H243="ORG"),"✔",tulkojums!$A$38),tulkojums!$A$39),tulkojums!$A$39))</f>
        <v/>
      </c>
      <c r="Q243" s="2" t="str">
        <f>IF(ISBLANK(I243),"",IF(INDEX(DB_materiali!$E$2:$E$5000,MATCH($C243,DB_materiali!$A$2:$A$5000,0))&gt;=INDEX(DB_malas!$C$2:$C$5000,MATCH(I243,DB_malas!$A$2:$A$5000,0)),IF(INDEX(DB_materiali!$E$2:$E$5000,MATCH($C243,DB_materiali!$A$2:$A$5000,0))&lt;=INDEX(DB_malas!$D$2:$D$5000,MATCH(I243,DB_malas!$A$2:$A$5000,0)),IF(OR(INDEX(DB_materiali!$B$2:$B$5000,MATCH($C243,DB_materiali!$A$2:$A$5000,0))=INDEX(DB_malas!$B$2:$B$5000,MATCH(I243,DB_malas!$A$2:$A$5000,0)),$H243="ORG"),"✔",tulkojums!$A$38),tulkojums!$A$39),tulkojums!$A$39))</f>
        <v/>
      </c>
      <c r="R243" s="2" t="str">
        <f>IF(ISBLANK(J243),"",IF(INDEX(DB_materiali!$E$2:$E$5000,MATCH($C243,DB_materiali!$A$2:$A$5000,0))&gt;=INDEX(DB_malas!$C$2:$C$5000,MATCH(J243,DB_malas!$A$2:$A$5000,0)),IF(INDEX(DB_materiali!$E$2:$E$5000,MATCH($C243,DB_materiali!$A$2:$A$5000,0))&lt;=INDEX(DB_malas!$D$2:$D$5000,MATCH(J243,DB_malas!$A$2:$A$5000,0)),IF(INDEX(DB_materiali!$B$2:$B$5000,MATCH($C243,DB_materiali!$A$2:$A$5000,0))=INDEX(DB_malas!$B$2:$B$5000,MATCH(J243,DB_malas!$A$2:$A$5000,0)),"✔",tulkojums!$A$38),tulkojums!$A$39),tulkojums!$A$39))</f>
        <v/>
      </c>
      <c r="S243" s="2" t="str">
        <f>IF(ISBLANK(K243),"",IF(INDEX(DB_materiali!$E$2:$E$5000,MATCH($C243,DB_materiali!$A$2:$A$5000,0))&gt;=INDEX(DB_malas!$C$2:$C$5000,MATCH(K243,DB_malas!$A$2:$A$5000,0)),IF(INDEX(DB_materiali!$E$2:$E$5000,MATCH($C243,DB_materiali!$A$2:$A$5000,0))&lt;=INDEX(DB_malas!$D$2:$D$5000,MATCH(K243,DB_malas!$A$2:$A$5000,0)),IF(INDEX(DB_materiali!$B$2:$B$5000,MATCH($C243,DB_materiali!$A$2:$A$5000,0))=INDEX(DB_malas!$B$2:$B$5000,MATCH(K243,DB_malas!$A$2:$A$5000,0)),"✔",tulkojums!$A$38),tulkojums!$A$39),tulkojums!$A$39))</f>
        <v/>
      </c>
      <c r="T243" s="2"/>
      <c r="U243" s="2"/>
      <c r="V243" s="2"/>
      <c r="W243" s="2"/>
      <c r="X243" s="2"/>
      <c r="Y243" s="2"/>
      <c r="Z243" s="2"/>
    </row>
    <row r="244" spans="1:26" ht="15.75" customHeight="1">
      <c r="A244" s="17"/>
      <c r="B244" s="18"/>
      <c r="C244" s="19"/>
      <c r="D244" s="55"/>
      <c r="E244" s="55"/>
      <c r="F244" s="56"/>
      <c r="G244" s="57" t="str">
        <f>IF(ISBLANK(C244),"",
   IFERROR(
      IF(
         INDEX(DB_materiali!C$2:C$5000,
               MATCH(C244, DB_materiali!A$2:A$5000, 0)
         )="FALSE",
         "N",
         "Y"
      ),
   "")
)</f>
        <v/>
      </c>
      <c r="H244" s="20"/>
      <c r="I244" s="20"/>
      <c r="J244" s="20"/>
      <c r="K244" s="20"/>
      <c r="M244" s="2" t="str">
        <f>IF(ISBLANK(C244),"",IF(IFERROR(VLOOKUP(C244,DB_materiali!$A$2:$A$5000,1,FALSE),"Kļūda artikulā")=C244,"✔",tulkojums!A$42))</f>
        <v/>
      </c>
      <c r="N244" s="2" t="str">
        <f>IF(ISBLANK(C244),"",IF(ISNUMBER(F244)=TRUE,"✔",tulkojums!A$43))</f>
        <v/>
      </c>
      <c r="O244" s="2" t="str">
        <f>IF(ISBLANK(C244),"",IF(G244="Y","✔",IF(G244="X","✔",IF(G244="N","✔",tulkojums!A$44))))</f>
        <v/>
      </c>
      <c r="P244" s="2" t="str">
        <f>IF(ISBLANK(H244),"",IF(INDEX(DB_materiali!$E$2:$E$5000,MATCH($C244,DB_materiali!$A$2:$A$5000,0))&gt;=INDEX(DB_malas!$C$2:$C$5000,MATCH(H244,DB_malas!$A$2:$A$5000,0)),IF(INDEX(DB_materiali!$E$2:$E$5000,MATCH($C244,DB_materiali!$A$2:$A$5000,0))&lt;=INDEX(DB_malas!$D$2:$D$5000,MATCH(H244,DB_malas!$A$2:$A$5000,0)),IF(OR(INDEX(DB_materiali!$B$2:$B$5000,MATCH($C244,DB_materiali!$A$2:$A$5000,0))=INDEX(DB_malas!$B$2:$B$5000,MATCH(H244,DB_malas!$A$2:$A$5000,0)),$H244="ORG"),"✔",tulkojums!$A$38),tulkojums!$A$39),tulkojums!$A$39))</f>
        <v/>
      </c>
      <c r="Q244" s="2" t="str">
        <f>IF(ISBLANK(I244),"",IF(INDEX(DB_materiali!$E$2:$E$5000,MATCH($C244,DB_materiali!$A$2:$A$5000,0))&gt;=INDEX(DB_malas!$C$2:$C$5000,MATCH(I244,DB_malas!$A$2:$A$5000,0)),IF(INDEX(DB_materiali!$E$2:$E$5000,MATCH($C244,DB_materiali!$A$2:$A$5000,0))&lt;=INDEX(DB_malas!$D$2:$D$5000,MATCH(I244,DB_malas!$A$2:$A$5000,0)),IF(OR(INDEX(DB_materiali!$B$2:$B$5000,MATCH($C244,DB_materiali!$A$2:$A$5000,0))=INDEX(DB_malas!$B$2:$B$5000,MATCH(I244,DB_malas!$A$2:$A$5000,0)),$H244="ORG"),"✔",tulkojums!$A$38),tulkojums!$A$39),tulkojums!$A$39))</f>
        <v/>
      </c>
      <c r="R244" s="2" t="str">
        <f>IF(ISBLANK(J244),"",IF(INDEX(DB_materiali!$E$2:$E$5000,MATCH($C244,DB_materiali!$A$2:$A$5000,0))&gt;=INDEX(DB_malas!$C$2:$C$5000,MATCH(J244,DB_malas!$A$2:$A$5000,0)),IF(INDEX(DB_materiali!$E$2:$E$5000,MATCH($C244,DB_materiali!$A$2:$A$5000,0))&lt;=INDEX(DB_malas!$D$2:$D$5000,MATCH(J244,DB_malas!$A$2:$A$5000,0)),IF(INDEX(DB_materiali!$B$2:$B$5000,MATCH($C244,DB_materiali!$A$2:$A$5000,0))=INDEX(DB_malas!$B$2:$B$5000,MATCH(J244,DB_malas!$A$2:$A$5000,0)),"✔",tulkojums!$A$38),tulkojums!$A$39),tulkojums!$A$39))</f>
        <v/>
      </c>
      <c r="S244" s="2" t="str">
        <f>IF(ISBLANK(K244),"",IF(INDEX(DB_materiali!$E$2:$E$5000,MATCH($C244,DB_materiali!$A$2:$A$5000,0))&gt;=INDEX(DB_malas!$C$2:$C$5000,MATCH(K244,DB_malas!$A$2:$A$5000,0)),IF(INDEX(DB_materiali!$E$2:$E$5000,MATCH($C244,DB_materiali!$A$2:$A$5000,0))&lt;=INDEX(DB_malas!$D$2:$D$5000,MATCH(K244,DB_malas!$A$2:$A$5000,0)),IF(INDEX(DB_materiali!$B$2:$B$5000,MATCH($C244,DB_materiali!$A$2:$A$5000,0))=INDEX(DB_malas!$B$2:$B$5000,MATCH(K244,DB_malas!$A$2:$A$5000,0)),"✔",tulkojums!$A$38),tulkojums!$A$39),tulkojums!$A$39))</f>
        <v/>
      </c>
      <c r="T244" s="2"/>
      <c r="U244" s="2"/>
      <c r="V244" s="2"/>
      <c r="W244" s="2"/>
      <c r="X244" s="2"/>
      <c r="Y244" s="2"/>
      <c r="Z244" s="2"/>
    </row>
    <row r="245" spans="1:26" ht="15.75" customHeight="1">
      <c r="A245" s="17"/>
      <c r="B245" s="18"/>
      <c r="C245" s="19"/>
      <c r="D245" s="55"/>
      <c r="E245" s="55"/>
      <c r="F245" s="56"/>
      <c r="G245" s="57" t="str">
        <f>IF(ISBLANK(C245),"",
   IFERROR(
      IF(
         INDEX(DB_materiali!C$2:C$5000,
               MATCH(C245, DB_materiali!A$2:A$5000, 0)
         )="FALSE",
         "N",
         "Y"
      ),
   "")
)</f>
        <v/>
      </c>
      <c r="H245" s="20"/>
      <c r="I245" s="20"/>
      <c r="J245" s="20"/>
      <c r="K245" s="20"/>
      <c r="M245" s="2" t="str">
        <f>IF(ISBLANK(C245),"",IF(IFERROR(VLOOKUP(C245,DB_materiali!$A$2:$A$5000,1,FALSE),"Kļūda artikulā")=C245,"✔",tulkojums!A$42))</f>
        <v/>
      </c>
      <c r="N245" s="2" t="str">
        <f>IF(ISBLANK(C245),"",IF(ISNUMBER(F245)=TRUE,"✔",tulkojums!A$43))</f>
        <v/>
      </c>
      <c r="O245" s="2" t="str">
        <f>IF(ISBLANK(C245),"",IF(G245="Y","✔",IF(G245="X","✔",IF(G245="N","✔",tulkojums!A$44))))</f>
        <v/>
      </c>
      <c r="P245" s="2" t="str">
        <f>IF(ISBLANK(H245),"",IF(INDEX(DB_materiali!$E$2:$E$5000,MATCH($C245,DB_materiali!$A$2:$A$5000,0))&gt;=INDEX(DB_malas!$C$2:$C$5000,MATCH(H245,DB_malas!$A$2:$A$5000,0)),IF(INDEX(DB_materiali!$E$2:$E$5000,MATCH($C245,DB_materiali!$A$2:$A$5000,0))&lt;=INDEX(DB_malas!$D$2:$D$5000,MATCH(H245,DB_malas!$A$2:$A$5000,0)),IF(OR(INDEX(DB_materiali!$B$2:$B$5000,MATCH($C245,DB_materiali!$A$2:$A$5000,0))=INDEX(DB_malas!$B$2:$B$5000,MATCH(H245,DB_malas!$A$2:$A$5000,0)),$H245="ORG"),"✔",tulkojums!$A$38),tulkojums!$A$39),tulkojums!$A$39))</f>
        <v/>
      </c>
      <c r="Q245" s="2" t="str">
        <f>IF(ISBLANK(I245),"",IF(INDEX(DB_materiali!$E$2:$E$5000,MATCH($C245,DB_materiali!$A$2:$A$5000,0))&gt;=INDEX(DB_malas!$C$2:$C$5000,MATCH(I245,DB_malas!$A$2:$A$5000,0)),IF(INDEX(DB_materiali!$E$2:$E$5000,MATCH($C245,DB_materiali!$A$2:$A$5000,0))&lt;=INDEX(DB_malas!$D$2:$D$5000,MATCH(I245,DB_malas!$A$2:$A$5000,0)),IF(OR(INDEX(DB_materiali!$B$2:$B$5000,MATCH($C245,DB_materiali!$A$2:$A$5000,0))=INDEX(DB_malas!$B$2:$B$5000,MATCH(I245,DB_malas!$A$2:$A$5000,0)),$H245="ORG"),"✔",tulkojums!$A$38),tulkojums!$A$39),tulkojums!$A$39))</f>
        <v/>
      </c>
      <c r="R245" s="2" t="str">
        <f>IF(ISBLANK(J245),"",IF(INDEX(DB_materiali!$E$2:$E$5000,MATCH($C245,DB_materiali!$A$2:$A$5000,0))&gt;=INDEX(DB_malas!$C$2:$C$5000,MATCH(J245,DB_malas!$A$2:$A$5000,0)),IF(INDEX(DB_materiali!$E$2:$E$5000,MATCH($C245,DB_materiali!$A$2:$A$5000,0))&lt;=INDEX(DB_malas!$D$2:$D$5000,MATCH(J245,DB_malas!$A$2:$A$5000,0)),IF(INDEX(DB_materiali!$B$2:$B$5000,MATCH($C245,DB_materiali!$A$2:$A$5000,0))=INDEX(DB_malas!$B$2:$B$5000,MATCH(J245,DB_malas!$A$2:$A$5000,0)),"✔",tulkojums!$A$38),tulkojums!$A$39),tulkojums!$A$39))</f>
        <v/>
      </c>
      <c r="S245" s="2" t="str">
        <f>IF(ISBLANK(K245),"",IF(INDEX(DB_materiali!$E$2:$E$5000,MATCH($C245,DB_materiali!$A$2:$A$5000,0))&gt;=INDEX(DB_malas!$C$2:$C$5000,MATCH(K245,DB_malas!$A$2:$A$5000,0)),IF(INDEX(DB_materiali!$E$2:$E$5000,MATCH($C245,DB_materiali!$A$2:$A$5000,0))&lt;=INDEX(DB_malas!$D$2:$D$5000,MATCH(K245,DB_malas!$A$2:$A$5000,0)),IF(INDEX(DB_materiali!$B$2:$B$5000,MATCH($C245,DB_materiali!$A$2:$A$5000,0))=INDEX(DB_malas!$B$2:$B$5000,MATCH(K245,DB_malas!$A$2:$A$5000,0)),"✔",tulkojums!$A$38),tulkojums!$A$39),tulkojums!$A$39))</f>
        <v/>
      </c>
      <c r="T245" s="2"/>
      <c r="U245" s="2"/>
      <c r="V245" s="2"/>
      <c r="W245" s="2"/>
      <c r="X245" s="2"/>
      <c r="Y245" s="2"/>
      <c r="Z245" s="2"/>
    </row>
    <row r="246" spans="1:26" ht="15.75" customHeight="1">
      <c r="A246" s="17"/>
      <c r="B246" s="18"/>
      <c r="C246" s="19"/>
      <c r="D246" s="55"/>
      <c r="E246" s="55"/>
      <c r="F246" s="56"/>
      <c r="G246" s="57" t="str">
        <f>IF(ISBLANK(C246),"",
   IFERROR(
      IF(
         INDEX(DB_materiali!C$2:C$5000,
               MATCH(C246, DB_materiali!A$2:A$5000, 0)
         )="FALSE",
         "N",
         "Y"
      ),
   "")
)</f>
        <v/>
      </c>
      <c r="H246" s="20"/>
      <c r="I246" s="20"/>
      <c r="J246" s="20"/>
      <c r="K246" s="20"/>
      <c r="M246" s="2" t="str">
        <f>IF(ISBLANK(C246),"",IF(IFERROR(VLOOKUP(C246,DB_materiali!$A$2:$A$5000,1,FALSE),"Kļūda artikulā")=C246,"✔",tulkojums!A$42))</f>
        <v/>
      </c>
      <c r="N246" s="2" t="str">
        <f>IF(ISBLANK(C246),"",IF(ISNUMBER(F246)=TRUE,"✔",tulkojums!A$43))</f>
        <v/>
      </c>
      <c r="O246" s="2" t="str">
        <f>IF(ISBLANK(C246),"",IF(G246="Y","✔",IF(G246="X","✔",IF(G246="N","✔",tulkojums!A$44))))</f>
        <v/>
      </c>
      <c r="P246" s="2" t="str">
        <f>IF(ISBLANK(H246),"",IF(INDEX(DB_materiali!$E$2:$E$5000,MATCH($C246,DB_materiali!$A$2:$A$5000,0))&gt;=INDEX(DB_malas!$C$2:$C$5000,MATCH(H246,DB_malas!$A$2:$A$5000,0)),IF(INDEX(DB_materiali!$E$2:$E$5000,MATCH($C246,DB_materiali!$A$2:$A$5000,0))&lt;=INDEX(DB_malas!$D$2:$D$5000,MATCH(H246,DB_malas!$A$2:$A$5000,0)),IF(OR(INDEX(DB_materiali!$B$2:$B$5000,MATCH($C246,DB_materiali!$A$2:$A$5000,0))=INDEX(DB_malas!$B$2:$B$5000,MATCH(H246,DB_malas!$A$2:$A$5000,0)),$H246="ORG"),"✔",tulkojums!$A$38),tulkojums!$A$39),tulkojums!$A$39))</f>
        <v/>
      </c>
      <c r="Q246" s="2" t="str">
        <f>IF(ISBLANK(I246),"",IF(INDEX(DB_materiali!$E$2:$E$5000,MATCH($C246,DB_materiali!$A$2:$A$5000,0))&gt;=INDEX(DB_malas!$C$2:$C$5000,MATCH(I246,DB_malas!$A$2:$A$5000,0)),IF(INDEX(DB_materiali!$E$2:$E$5000,MATCH($C246,DB_materiali!$A$2:$A$5000,0))&lt;=INDEX(DB_malas!$D$2:$D$5000,MATCH(I246,DB_malas!$A$2:$A$5000,0)),IF(OR(INDEX(DB_materiali!$B$2:$B$5000,MATCH($C246,DB_materiali!$A$2:$A$5000,0))=INDEX(DB_malas!$B$2:$B$5000,MATCH(I246,DB_malas!$A$2:$A$5000,0)),$H246="ORG"),"✔",tulkojums!$A$38),tulkojums!$A$39),tulkojums!$A$39))</f>
        <v/>
      </c>
      <c r="R246" s="2" t="str">
        <f>IF(ISBLANK(J246),"",IF(INDEX(DB_materiali!$E$2:$E$5000,MATCH($C246,DB_materiali!$A$2:$A$5000,0))&gt;=INDEX(DB_malas!$C$2:$C$5000,MATCH(J246,DB_malas!$A$2:$A$5000,0)),IF(INDEX(DB_materiali!$E$2:$E$5000,MATCH($C246,DB_materiali!$A$2:$A$5000,0))&lt;=INDEX(DB_malas!$D$2:$D$5000,MATCH(J246,DB_malas!$A$2:$A$5000,0)),IF(INDEX(DB_materiali!$B$2:$B$5000,MATCH($C246,DB_materiali!$A$2:$A$5000,0))=INDEX(DB_malas!$B$2:$B$5000,MATCH(J246,DB_malas!$A$2:$A$5000,0)),"✔",tulkojums!$A$38),tulkojums!$A$39),tulkojums!$A$39))</f>
        <v/>
      </c>
      <c r="S246" s="2" t="str">
        <f>IF(ISBLANK(K246),"",IF(INDEX(DB_materiali!$E$2:$E$5000,MATCH($C246,DB_materiali!$A$2:$A$5000,0))&gt;=INDEX(DB_malas!$C$2:$C$5000,MATCH(K246,DB_malas!$A$2:$A$5000,0)),IF(INDEX(DB_materiali!$E$2:$E$5000,MATCH($C246,DB_materiali!$A$2:$A$5000,0))&lt;=INDEX(DB_malas!$D$2:$D$5000,MATCH(K246,DB_malas!$A$2:$A$5000,0)),IF(INDEX(DB_materiali!$B$2:$B$5000,MATCH($C246,DB_materiali!$A$2:$A$5000,0))=INDEX(DB_malas!$B$2:$B$5000,MATCH(K246,DB_malas!$A$2:$A$5000,0)),"✔",tulkojums!$A$38),tulkojums!$A$39),tulkojums!$A$39))</f>
        <v/>
      </c>
      <c r="T246" s="2"/>
      <c r="U246" s="2"/>
      <c r="V246" s="2"/>
      <c r="W246" s="2"/>
      <c r="X246" s="2"/>
      <c r="Y246" s="2"/>
      <c r="Z246" s="2"/>
    </row>
    <row r="247" spans="1:26" ht="15.75" customHeight="1">
      <c r="A247" s="17"/>
      <c r="B247" s="18"/>
      <c r="C247" s="19"/>
      <c r="D247" s="55"/>
      <c r="E247" s="55"/>
      <c r="F247" s="56"/>
      <c r="G247" s="57" t="str">
        <f>IF(ISBLANK(C247),"",
   IFERROR(
      IF(
         INDEX(DB_materiali!C$2:C$5000,
               MATCH(C247, DB_materiali!A$2:A$5000, 0)
         )="FALSE",
         "N",
         "Y"
      ),
   "")
)</f>
        <v/>
      </c>
      <c r="H247" s="20"/>
      <c r="I247" s="20"/>
      <c r="J247" s="20"/>
      <c r="K247" s="20"/>
      <c r="M247" s="2" t="str">
        <f>IF(ISBLANK(C247),"",IF(IFERROR(VLOOKUP(C247,DB_materiali!$A$2:$A$5000,1,FALSE),"Kļūda artikulā")=C247,"✔",tulkojums!A$42))</f>
        <v/>
      </c>
      <c r="N247" s="2" t="str">
        <f>IF(ISBLANK(C247),"",IF(ISNUMBER(F247)=TRUE,"✔",tulkojums!A$43))</f>
        <v/>
      </c>
      <c r="O247" s="2" t="str">
        <f>IF(ISBLANK(C247),"",IF(G247="Y","✔",IF(G247="X","✔",IF(G247="N","✔",tulkojums!A$44))))</f>
        <v/>
      </c>
      <c r="P247" s="2" t="str">
        <f>IF(ISBLANK(H247),"",IF(INDEX(DB_materiali!$E$2:$E$5000,MATCH($C247,DB_materiali!$A$2:$A$5000,0))&gt;=INDEX(DB_malas!$C$2:$C$5000,MATCH(H247,DB_malas!$A$2:$A$5000,0)),IF(INDEX(DB_materiali!$E$2:$E$5000,MATCH($C247,DB_materiali!$A$2:$A$5000,0))&lt;=INDEX(DB_malas!$D$2:$D$5000,MATCH(H247,DB_malas!$A$2:$A$5000,0)),IF(OR(INDEX(DB_materiali!$B$2:$B$5000,MATCH($C247,DB_materiali!$A$2:$A$5000,0))=INDEX(DB_malas!$B$2:$B$5000,MATCH(H247,DB_malas!$A$2:$A$5000,0)),$H247="ORG"),"✔",tulkojums!$A$38),tulkojums!$A$39),tulkojums!$A$39))</f>
        <v/>
      </c>
      <c r="Q247" s="2" t="str">
        <f>IF(ISBLANK(I247),"",IF(INDEX(DB_materiali!$E$2:$E$5000,MATCH($C247,DB_materiali!$A$2:$A$5000,0))&gt;=INDEX(DB_malas!$C$2:$C$5000,MATCH(I247,DB_malas!$A$2:$A$5000,0)),IF(INDEX(DB_materiali!$E$2:$E$5000,MATCH($C247,DB_materiali!$A$2:$A$5000,0))&lt;=INDEX(DB_malas!$D$2:$D$5000,MATCH(I247,DB_malas!$A$2:$A$5000,0)),IF(OR(INDEX(DB_materiali!$B$2:$B$5000,MATCH($C247,DB_materiali!$A$2:$A$5000,0))=INDEX(DB_malas!$B$2:$B$5000,MATCH(I247,DB_malas!$A$2:$A$5000,0)),$H247="ORG"),"✔",tulkojums!$A$38),tulkojums!$A$39),tulkojums!$A$39))</f>
        <v/>
      </c>
      <c r="R247" s="2" t="str">
        <f>IF(ISBLANK(J247),"",IF(INDEX(DB_materiali!$E$2:$E$5000,MATCH($C247,DB_materiali!$A$2:$A$5000,0))&gt;=INDEX(DB_malas!$C$2:$C$5000,MATCH(J247,DB_malas!$A$2:$A$5000,0)),IF(INDEX(DB_materiali!$E$2:$E$5000,MATCH($C247,DB_materiali!$A$2:$A$5000,0))&lt;=INDEX(DB_malas!$D$2:$D$5000,MATCH(J247,DB_malas!$A$2:$A$5000,0)),IF(INDEX(DB_materiali!$B$2:$B$5000,MATCH($C247,DB_materiali!$A$2:$A$5000,0))=INDEX(DB_malas!$B$2:$B$5000,MATCH(J247,DB_malas!$A$2:$A$5000,0)),"✔",tulkojums!$A$38),tulkojums!$A$39),tulkojums!$A$39))</f>
        <v/>
      </c>
      <c r="S247" s="2" t="str">
        <f>IF(ISBLANK(K247),"",IF(INDEX(DB_materiali!$E$2:$E$5000,MATCH($C247,DB_materiali!$A$2:$A$5000,0))&gt;=INDEX(DB_malas!$C$2:$C$5000,MATCH(K247,DB_malas!$A$2:$A$5000,0)),IF(INDEX(DB_materiali!$E$2:$E$5000,MATCH($C247,DB_materiali!$A$2:$A$5000,0))&lt;=INDEX(DB_malas!$D$2:$D$5000,MATCH(K247,DB_malas!$A$2:$A$5000,0)),IF(INDEX(DB_materiali!$B$2:$B$5000,MATCH($C247,DB_materiali!$A$2:$A$5000,0))=INDEX(DB_malas!$B$2:$B$5000,MATCH(K247,DB_malas!$A$2:$A$5000,0)),"✔",tulkojums!$A$38),tulkojums!$A$39),tulkojums!$A$39))</f>
        <v/>
      </c>
      <c r="T247" s="2"/>
      <c r="U247" s="2"/>
      <c r="V247" s="2"/>
      <c r="W247" s="2"/>
      <c r="X247" s="2"/>
      <c r="Y247" s="2"/>
      <c r="Z247" s="2"/>
    </row>
    <row r="248" spans="1:26" ht="15.75" customHeight="1">
      <c r="A248" s="17"/>
      <c r="B248" s="18"/>
      <c r="C248" s="19"/>
      <c r="D248" s="55"/>
      <c r="E248" s="55"/>
      <c r="F248" s="56"/>
      <c r="G248" s="57" t="str">
        <f>IF(ISBLANK(C248),"",
   IFERROR(
      IF(
         INDEX(DB_materiali!C$2:C$5000,
               MATCH(C248, DB_materiali!A$2:A$5000, 0)
         )="FALSE",
         "N",
         "Y"
      ),
   "")
)</f>
        <v/>
      </c>
      <c r="H248" s="20"/>
      <c r="I248" s="20"/>
      <c r="J248" s="20"/>
      <c r="K248" s="20"/>
      <c r="M248" s="2" t="str">
        <f>IF(ISBLANK(C248),"",IF(IFERROR(VLOOKUP(C248,DB_materiali!$A$2:$A$5000,1,FALSE),"Kļūda artikulā")=C248,"✔",tulkojums!A$42))</f>
        <v/>
      </c>
      <c r="N248" s="2" t="str">
        <f>IF(ISBLANK(C248),"",IF(ISNUMBER(F248)=TRUE,"✔",tulkojums!A$43))</f>
        <v/>
      </c>
      <c r="O248" s="2" t="str">
        <f>IF(ISBLANK(C248),"",IF(G248="Y","✔",IF(G248="X","✔",IF(G248="N","✔",tulkojums!A$44))))</f>
        <v/>
      </c>
      <c r="P248" s="2" t="str">
        <f>IF(ISBLANK(H248),"",IF(INDEX(DB_materiali!$E$2:$E$5000,MATCH($C248,DB_materiali!$A$2:$A$5000,0))&gt;=INDEX(DB_malas!$C$2:$C$5000,MATCH(H248,DB_malas!$A$2:$A$5000,0)),IF(INDEX(DB_materiali!$E$2:$E$5000,MATCH($C248,DB_materiali!$A$2:$A$5000,0))&lt;=INDEX(DB_malas!$D$2:$D$5000,MATCH(H248,DB_malas!$A$2:$A$5000,0)),IF(OR(INDEX(DB_materiali!$B$2:$B$5000,MATCH($C248,DB_materiali!$A$2:$A$5000,0))=INDEX(DB_malas!$B$2:$B$5000,MATCH(H248,DB_malas!$A$2:$A$5000,0)),$H248="ORG"),"✔",tulkojums!$A$38),tulkojums!$A$39),tulkojums!$A$39))</f>
        <v/>
      </c>
      <c r="Q248" s="2" t="str">
        <f>IF(ISBLANK(I248),"",IF(INDEX(DB_materiali!$E$2:$E$5000,MATCH($C248,DB_materiali!$A$2:$A$5000,0))&gt;=INDEX(DB_malas!$C$2:$C$5000,MATCH(I248,DB_malas!$A$2:$A$5000,0)),IF(INDEX(DB_materiali!$E$2:$E$5000,MATCH($C248,DB_materiali!$A$2:$A$5000,0))&lt;=INDEX(DB_malas!$D$2:$D$5000,MATCH(I248,DB_malas!$A$2:$A$5000,0)),IF(OR(INDEX(DB_materiali!$B$2:$B$5000,MATCH($C248,DB_materiali!$A$2:$A$5000,0))=INDEX(DB_malas!$B$2:$B$5000,MATCH(I248,DB_malas!$A$2:$A$5000,0)),$H248="ORG"),"✔",tulkojums!$A$38),tulkojums!$A$39),tulkojums!$A$39))</f>
        <v/>
      </c>
      <c r="R248" s="2" t="str">
        <f>IF(ISBLANK(J248),"",IF(INDEX(DB_materiali!$E$2:$E$5000,MATCH($C248,DB_materiali!$A$2:$A$5000,0))&gt;=INDEX(DB_malas!$C$2:$C$5000,MATCH(J248,DB_malas!$A$2:$A$5000,0)),IF(INDEX(DB_materiali!$E$2:$E$5000,MATCH($C248,DB_materiali!$A$2:$A$5000,0))&lt;=INDEX(DB_malas!$D$2:$D$5000,MATCH(J248,DB_malas!$A$2:$A$5000,0)),IF(INDEX(DB_materiali!$B$2:$B$5000,MATCH($C248,DB_materiali!$A$2:$A$5000,0))=INDEX(DB_malas!$B$2:$B$5000,MATCH(J248,DB_malas!$A$2:$A$5000,0)),"✔",tulkojums!$A$38),tulkojums!$A$39),tulkojums!$A$39))</f>
        <v/>
      </c>
      <c r="S248" s="2" t="str">
        <f>IF(ISBLANK(K248),"",IF(INDEX(DB_materiali!$E$2:$E$5000,MATCH($C248,DB_materiali!$A$2:$A$5000,0))&gt;=INDEX(DB_malas!$C$2:$C$5000,MATCH(K248,DB_malas!$A$2:$A$5000,0)),IF(INDEX(DB_materiali!$E$2:$E$5000,MATCH($C248,DB_materiali!$A$2:$A$5000,0))&lt;=INDEX(DB_malas!$D$2:$D$5000,MATCH(K248,DB_malas!$A$2:$A$5000,0)),IF(INDEX(DB_materiali!$B$2:$B$5000,MATCH($C248,DB_materiali!$A$2:$A$5000,0))=INDEX(DB_malas!$B$2:$B$5000,MATCH(K248,DB_malas!$A$2:$A$5000,0)),"✔",tulkojums!$A$38),tulkojums!$A$39),tulkojums!$A$39))</f>
        <v/>
      </c>
      <c r="T248" s="2"/>
      <c r="U248" s="2"/>
      <c r="V248" s="2"/>
      <c r="W248" s="2"/>
      <c r="X248" s="2"/>
      <c r="Y248" s="2"/>
      <c r="Z248" s="2"/>
    </row>
    <row r="249" spans="1:26" ht="15.75" customHeight="1">
      <c r="A249" s="17"/>
      <c r="B249" s="18"/>
      <c r="C249" s="19"/>
      <c r="D249" s="55"/>
      <c r="E249" s="55"/>
      <c r="F249" s="56"/>
      <c r="G249" s="57" t="str">
        <f>IF(ISBLANK(C249),"",
   IFERROR(
      IF(
         INDEX(DB_materiali!C$2:C$5000,
               MATCH(C249, DB_materiali!A$2:A$5000, 0)
         )="FALSE",
         "N",
         "Y"
      ),
   "")
)</f>
        <v/>
      </c>
      <c r="H249" s="20"/>
      <c r="I249" s="20"/>
      <c r="J249" s="20"/>
      <c r="K249" s="20"/>
      <c r="M249" s="2" t="str">
        <f>IF(ISBLANK(C249),"",IF(IFERROR(VLOOKUP(C249,DB_materiali!$A$2:$A$5000,1,FALSE),"Kļūda artikulā")=C249,"✔",tulkojums!A$42))</f>
        <v/>
      </c>
      <c r="N249" s="2" t="str">
        <f>IF(ISBLANK(C249),"",IF(ISNUMBER(F249)=TRUE,"✔",tulkojums!A$43))</f>
        <v/>
      </c>
      <c r="O249" s="2" t="str">
        <f>IF(ISBLANK(C249),"",IF(G249="Y","✔",IF(G249="X","✔",IF(G249="N","✔",tulkojums!A$44))))</f>
        <v/>
      </c>
      <c r="P249" s="2" t="str">
        <f>IF(ISBLANK(H249),"",IF(INDEX(DB_materiali!$E$2:$E$5000,MATCH($C249,DB_materiali!$A$2:$A$5000,0))&gt;=INDEX(DB_malas!$C$2:$C$5000,MATCH(H249,DB_malas!$A$2:$A$5000,0)),IF(INDEX(DB_materiali!$E$2:$E$5000,MATCH($C249,DB_materiali!$A$2:$A$5000,0))&lt;=INDEX(DB_malas!$D$2:$D$5000,MATCH(H249,DB_malas!$A$2:$A$5000,0)),IF(OR(INDEX(DB_materiali!$B$2:$B$5000,MATCH($C249,DB_materiali!$A$2:$A$5000,0))=INDEX(DB_malas!$B$2:$B$5000,MATCH(H249,DB_malas!$A$2:$A$5000,0)),$H249="ORG"),"✔",tulkojums!$A$38),tulkojums!$A$39),tulkojums!$A$39))</f>
        <v/>
      </c>
      <c r="Q249" s="2" t="str">
        <f>IF(ISBLANK(I249),"",IF(INDEX(DB_materiali!$E$2:$E$5000,MATCH($C249,DB_materiali!$A$2:$A$5000,0))&gt;=INDEX(DB_malas!$C$2:$C$5000,MATCH(I249,DB_malas!$A$2:$A$5000,0)),IF(INDEX(DB_materiali!$E$2:$E$5000,MATCH($C249,DB_materiali!$A$2:$A$5000,0))&lt;=INDEX(DB_malas!$D$2:$D$5000,MATCH(I249,DB_malas!$A$2:$A$5000,0)),IF(OR(INDEX(DB_materiali!$B$2:$B$5000,MATCH($C249,DB_materiali!$A$2:$A$5000,0))=INDEX(DB_malas!$B$2:$B$5000,MATCH(I249,DB_malas!$A$2:$A$5000,0)),$H249="ORG"),"✔",tulkojums!$A$38),tulkojums!$A$39),tulkojums!$A$39))</f>
        <v/>
      </c>
      <c r="R249" s="2" t="str">
        <f>IF(ISBLANK(J249),"",IF(INDEX(DB_materiali!$E$2:$E$5000,MATCH($C249,DB_materiali!$A$2:$A$5000,0))&gt;=INDEX(DB_malas!$C$2:$C$5000,MATCH(J249,DB_malas!$A$2:$A$5000,0)),IF(INDEX(DB_materiali!$E$2:$E$5000,MATCH($C249,DB_materiali!$A$2:$A$5000,0))&lt;=INDEX(DB_malas!$D$2:$D$5000,MATCH(J249,DB_malas!$A$2:$A$5000,0)),IF(INDEX(DB_materiali!$B$2:$B$5000,MATCH($C249,DB_materiali!$A$2:$A$5000,0))=INDEX(DB_malas!$B$2:$B$5000,MATCH(J249,DB_malas!$A$2:$A$5000,0)),"✔",tulkojums!$A$38),tulkojums!$A$39),tulkojums!$A$39))</f>
        <v/>
      </c>
      <c r="S249" s="2" t="str">
        <f>IF(ISBLANK(K249),"",IF(INDEX(DB_materiali!$E$2:$E$5000,MATCH($C249,DB_materiali!$A$2:$A$5000,0))&gt;=INDEX(DB_malas!$C$2:$C$5000,MATCH(K249,DB_malas!$A$2:$A$5000,0)),IF(INDEX(DB_materiali!$E$2:$E$5000,MATCH($C249,DB_materiali!$A$2:$A$5000,0))&lt;=INDEX(DB_malas!$D$2:$D$5000,MATCH(K249,DB_malas!$A$2:$A$5000,0)),IF(INDEX(DB_materiali!$B$2:$B$5000,MATCH($C249,DB_materiali!$A$2:$A$5000,0))=INDEX(DB_malas!$B$2:$B$5000,MATCH(K249,DB_malas!$A$2:$A$5000,0)),"✔",tulkojums!$A$38),tulkojums!$A$39),tulkojums!$A$39))</f>
        <v/>
      </c>
      <c r="T249" s="2"/>
      <c r="U249" s="2"/>
      <c r="V249" s="2"/>
      <c r="W249" s="2"/>
      <c r="X249" s="2"/>
      <c r="Y249" s="2"/>
      <c r="Z249" s="2"/>
    </row>
    <row r="250" spans="1:26" ht="15.75" customHeight="1">
      <c r="A250" s="17"/>
      <c r="B250" s="18"/>
      <c r="C250" s="19"/>
      <c r="D250" s="55"/>
      <c r="E250" s="55"/>
      <c r="F250" s="56"/>
      <c r="G250" s="57" t="str">
        <f>IF(ISBLANK(C250),"",
   IFERROR(
      IF(
         INDEX(DB_materiali!C$2:C$5000,
               MATCH(C250, DB_materiali!A$2:A$5000, 0)
         )="FALSE",
         "N",
         "Y"
      ),
   "")
)</f>
        <v/>
      </c>
      <c r="H250" s="20"/>
      <c r="I250" s="20"/>
      <c r="J250" s="20"/>
      <c r="K250" s="20"/>
      <c r="M250" s="2" t="str">
        <f>IF(ISBLANK(C250),"",IF(IFERROR(VLOOKUP(C250,DB_materiali!$A$2:$A$5000,1,FALSE),"Kļūda artikulā")=C250,"✔",tulkojums!A$42))</f>
        <v/>
      </c>
      <c r="N250" s="2" t="str">
        <f>IF(ISBLANK(C250),"",IF(ISNUMBER(F250)=TRUE,"✔",tulkojums!A$43))</f>
        <v/>
      </c>
      <c r="O250" s="2" t="str">
        <f>IF(ISBLANK(C250),"",IF(G250="Y","✔",IF(G250="X","✔",IF(G250="N","✔",tulkojums!A$44))))</f>
        <v/>
      </c>
      <c r="P250" s="2" t="str">
        <f>IF(ISBLANK(H250),"",IF(INDEX(DB_materiali!$E$2:$E$5000,MATCH($C250,DB_materiali!$A$2:$A$5000,0))&gt;=INDEX(DB_malas!$C$2:$C$5000,MATCH(H250,DB_malas!$A$2:$A$5000,0)),IF(INDEX(DB_materiali!$E$2:$E$5000,MATCH($C250,DB_materiali!$A$2:$A$5000,0))&lt;=INDEX(DB_malas!$D$2:$D$5000,MATCH(H250,DB_malas!$A$2:$A$5000,0)),IF(OR(INDEX(DB_materiali!$B$2:$B$5000,MATCH($C250,DB_materiali!$A$2:$A$5000,0))=INDEX(DB_malas!$B$2:$B$5000,MATCH(H250,DB_malas!$A$2:$A$5000,0)),$H250="ORG"),"✔",tulkojums!$A$38),tulkojums!$A$39),tulkojums!$A$39))</f>
        <v/>
      </c>
      <c r="Q250" s="2" t="str">
        <f>IF(ISBLANK(I250),"",IF(INDEX(DB_materiali!$E$2:$E$5000,MATCH($C250,DB_materiali!$A$2:$A$5000,0))&gt;=INDEX(DB_malas!$C$2:$C$5000,MATCH(I250,DB_malas!$A$2:$A$5000,0)),IF(INDEX(DB_materiali!$E$2:$E$5000,MATCH($C250,DB_materiali!$A$2:$A$5000,0))&lt;=INDEX(DB_malas!$D$2:$D$5000,MATCH(I250,DB_malas!$A$2:$A$5000,0)),IF(OR(INDEX(DB_materiali!$B$2:$B$5000,MATCH($C250,DB_materiali!$A$2:$A$5000,0))=INDEX(DB_malas!$B$2:$B$5000,MATCH(I250,DB_malas!$A$2:$A$5000,0)),$H250="ORG"),"✔",tulkojums!$A$38),tulkojums!$A$39),tulkojums!$A$39))</f>
        <v/>
      </c>
      <c r="R250" s="2" t="str">
        <f>IF(ISBLANK(J250),"",IF(INDEX(DB_materiali!$E$2:$E$5000,MATCH($C250,DB_materiali!$A$2:$A$5000,0))&gt;=INDEX(DB_malas!$C$2:$C$5000,MATCH(J250,DB_malas!$A$2:$A$5000,0)),IF(INDEX(DB_materiali!$E$2:$E$5000,MATCH($C250,DB_materiali!$A$2:$A$5000,0))&lt;=INDEX(DB_malas!$D$2:$D$5000,MATCH(J250,DB_malas!$A$2:$A$5000,0)),IF(INDEX(DB_materiali!$B$2:$B$5000,MATCH($C250,DB_materiali!$A$2:$A$5000,0))=INDEX(DB_malas!$B$2:$B$5000,MATCH(J250,DB_malas!$A$2:$A$5000,0)),"✔",tulkojums!$A$38),tulkojums!$A$39),tulkojums!$A$39))</f>
        <v/>
      </c>
      <c r="S250" s="2" t="str">
        <f>IF(ISBLANK(K250),"",IF(INDEX(DB_materiali!$E$2:$E$5000,MATCH($C250,DB_materiali!$A$2:$A$5000,0))&gt;=INDEX(DB_malas!$C$2:$C$5000,MATCH(K250,DB_malas!$A$2:$A$5000,0)),IF(INDEX(DB_materiali!$E$2:$E$5000,MATCH($C250,DB_materiali!$A$2:$A$5000,0))&lt;=INDEX(DB_malas!$D$2:$D$5000,MATCH(K250,DB_malas!$A$2:$A$5000,0)),IF(INDEX(DB_materiali!$B$2:$B$5000,MATCH($C250,DB_materiali!$A$2:$A$5000,0))=INDEX(DB_malas!$B$2:$B$5000,MATCH(K250,DB_malas!$A$2:$A$5000,0)),"✔",tulkojums!$A$38),tulkojums!$A$39),tulkojums!$A$39))</f>
        <v/>
      </c>
      <c r="T250" s="2"/>
      <c r="U250" s="2"/>
      <c r="V250" s="2"/>
      <c r="W250" s="2"/>
      <c r="X250" s="2"/>
      <c r="Y250" s="2"/>
      <c r="Z250" s="2"/>
    </row>
    <row r="251" spans="1:26" ht="15.75" customHeight="1">
      <c r="A251" s="17"/>
      <c r="B251" s="18"/>
      <c r="C251" s="19"/>
      <c r="D251" s="55"/>
      <c r="E251" s="55"/>
      <c r="F251" s="56"/>
      <c r="G251" s="57" t="str">
        <f>IF(ISBLANK(C251),"",
   IFERROR(
      IF(
         INDEX(DB_materiali!C$2:C$5000,
               MATCH(C251, DB_materiali!A$2:A$5000, 0)
         )="FALSE",
         "N",
         "Y"
      ),
   "")
)</f>
        <v/>
      </c>
      <c r="H251" s="20"/>
      <c r="I251" s="20"/>
      <c r="J251" s="20"/>
      <c r="K251" s="20"/>
      <c r="M251" s="2" t="str">
        <f>IF(ISBLANK(C251),"",IF(IFERROR(VLOOKUP(C251,DB_materiali!$A$2:$A$5000,1,FALSE),"Kļūda artikulā")=C251,"✔",tulkojums!A$42))</f>
        <v/>
      </c>
      <c r="N251" s="2" t="str">
        <f>IF(ISBLANK(C251),"",IF(ISNUMBER(F251)=TRUE,"✔",tulkojums!A$43))</f>
        <v/>
      </c>
      <c r="O251" s="2" t="str">
        <f>IF(ISBLANK(C251),"",IF(G251="Y","✔",IF(G251="X","✔",IF(G251="N","✔",tulkojums!A$44))))</f>
        <v/>
      </c>
      <c r="P251" s="2" t="str">
        <f>IF(ISBLANK(H251),"",IF(INDEX(DB_materiali!$E$2:$E$5000,MATCH($C251,DB_materiali!$A$2:$A$5000,0))&gt;=INDEX(DB_malas!$C$2:$C$5000,MATCH(H251,DB_malas!$A$2:$A$5000,0)),IF(INDEX(DB_materiali!$E$2:$E$5000,MATCH($C251,DB_materiali!$A$2:$A$5000,0))&lt;=INDEX(DB_malas!$D$2:$D$5000,MATCH(H251,DB_malas!$A$2:$A$5000,0)),IF(OR(INDEX(DB_materiali!$B$2:$B$5000,MATCH($C251,DB_materiali!$A$2:$A$5000,0))=INDEX(DB_malas!$B$2:$B$5000,MATCH(H251,DB_malas!$A$2:$A$5000,0)),$H251="ORG"),"✔",tulkojums!$A$38),tulkojums!$A$39),tulkojums!$A$39))</f>
        <v/>
      </c>
      <c r="Q251" s="2" t="str">
        <f>IF(ISBLANK(I251),"",IF(INDEX(DB_materiali!$E$2:$E$5000,MATCH($C251,DB_materiali!$A$2:$A$5000,0))&gt;=INDEX(DB_malas!$C$2:$C$5000,MATCH(I251,DB_malas!$A$2:$A$5000,0)),IF(INDEX(DB_materiali!$E$2:$E$5000,MATCH($C251,DB_materiali!$A$2:$A$5000,0))&lt;=INDEX(DB_malas!$D$2:$D$5000,MATCH(I251,DB_malas!$A$2:$A$5000,0)),IF(OR(INDEX(DB_materiali!$B$2:$B$5000,MATCH($C251,DB_materiali!$A$2:$A$5000,0))=INDEX(DB_malas!$B$2:$B$5000,MATCH(I251,DB_malas!$A$2:$A$5000,0)),$H251="ORG"),"✔",tulkojums!$A$38),tulkojums!$A$39),tulkojums!$A$39))</f>
        <v/>
      </c>
      <c r="R251" s="2" t="str">
        <f>IF(ISBLANK(J251),"",IF(INDEX(DB_materiali!$E$2:$E$5000,MATCH($C251,DB_materiali!$A$2:$A$5000,0))&gt;=INDEX(DB_malas!$C$2:$C$5000,MATCH(J251,DB_malas!$A$2:$A$5000,0)),IF(INDEX(DB_materiali!$E$2:$E$5000,MATCH($C251,DB_materiali!$A$2:$A$5000,0))&lt;=INDEX(DB_malas!$D$2:$D$5000,MATCH(J251,DB_malas!$A$2:$A$5000,0)),IF(INDEX(DB_materiali!$B$2:$B$5000,MATCH($C251,DB_materiali!$A$2:$A$5000,0))=INDEX(DB_malas!$B$2:$B$5000,MATCH(J251,DB_malas!$A$2:$A$5000,0)),"✔",tulkojums!$A$38),tulkojums!$A$39),tulkojums!$A$39))</f>
        <v/>
      </c>
      <c r="S251" s="2" t="str">
        <f>IF(ISBLANK(K251),"",IF(INDEX(DB_materiali!$E$2:$E$5000,MATCH($C251,DB_materiali!$A$2:$A$5000,0))&gt;=INDEX(DB_malas!$C$2:$C$5000,MATCH(K251,DB_malas!$A$2:$A$5000,0)),IF(INDEX(DB_materiali!$E$2:$E$5000,MATCH($C251,DB_materiali!$A$2:$A$5000,0))&lt;=INDEX(DB_malas!$D$2:$D$5000,MATCH(K251,DB_malas!$A$2:$A$5000,0)),IF(INDEX(DB_materiali!$B$2:$B$5000,MATCH($C251,DB_materiali!$A$2:$A$5000,0))=INDEX(DB_malas!$B$2:$B$5000,MATCH(K251,DB_malas!$A$2:$A$5000,0)),"✔",tulkojums!$A$38),tulkojums!$A$39),tulkojums!$A$39))</f>
        <v/>
      </c>
      <c r="T251" s="2"/>
      <c r="U251" s="2"/>
      <c r="V251" s="2"/>
      <c r="W251" s="2"/>
      <c r="X251" s="2"/>
      <c r="Y251" s="2"/>
      <c r="Z251" s="2"/>
    </row>
    <row r="252" spans="1:26" ht="15.75" customHeight="1">
      <c r="A252" s="17"/>
      <c r="B252" s="18"/>
      <c r="C252" s="19"/>
      <c r="D252" s="55"/>
      <c r="E252" s="55"/>
      <c r="F252" s="56"/>
      <c r="G252" s="57" t="str">
        <f>IF(ISBLANK(C252),"",
   IFERROR(
      IF(
         INDEX(DB_materiali!C$2:C$5000,
               MATCH(C252, DB_materiali!A$2:A$5000, 0)
         )="FALSE",
         "N",
         "Y"
      ),
   "")
)</f>
        <v/>
      </c>
      <c r="H252" s="20"/>
      <c r="I252" s="20"/>
      <c r="J252" s="20"/>
      <c r="K252" s="20"/>
      <c r="M252" s="2" t="str">
        <f>IF(ISBLANK(C252),"",IF(IFERROR(VLOOKUP(C252,DB_materiali!$A$2:$A$5000,1,FALSE),"Kļūda artikulā")=C252,"✔",tulkojums!A$42))</f>
        <v/>
      </c>
      <c r="N252" s="2" t="str">
        <f>IF(ISBLANK(C252),"",IF(ISNUMBER(F252)=TRUE,"✔",tulkojums!A$43))</f>
        <v/>
      </c>
      <c r="O252" s="2" t="str">
        <f>IF(ISBLANK(C252),"",IF(G252="Y","✔",IF(G252="X","✔",IF(G252="N","✔",tulkojums!A$44))))</f>
        <v/>
      </c>
      <c r="P252" s="2" t="str">
        <f>IF(ISBLANK(H252),"",IF(INDEX(DB_materiali!$E$2:$E$5000,MATCH($C252,DB_materiali!$A$2:$A$5000,0))&gt;=INDEX(DB_malas!$C$2:$C$5000,MATCH(H252,DB_malas!$A$2:$A$5000,0)),IF(INDEX(DB_materiali!$E$2:$E$5000,MATCH($C252,DB_materiali!$A$2:$A$5000,0))&lt;=INDEX(DB_malas!$D$2:$D$5000,MATCH(H252,DB_malas!$A$2:$A$5000,0)),IF(OR(INDEX(DB_materiali!$B$2:$B$5000,MATCH($C252,DB_materiali!$A$2:$A$5000,0))=INDEX(DB_malas!$B$2:$B$5000,MATCH(H252,DB_malas!$A$2:$A$5000,0)),$H252="ORG"),"✔",tulkojums!$A$38),tulkojums!$A$39),tulkojums!$A$39))</f>
        <v/>
      </c>
      <c r="Q252" s="2" t="str">
        <f>IF(ISBLANK(I252),"",IF(INDEX(DB_materiali!$E$2:$E$5000,MATCH($C252,DB_materiali!$A$2:$A$5000,0))&gt;=INDEX(DB_malas!$C$2:$C$5000,MATCH(I252,DB_malas!$A$2:$A$5000,0)),IF(INDEX(DB_materiali!$E$2:$E$5000,MATCH($C252,DB_materiali!$A$2:$A$5000,0))&lt;=INDEX(DB_malas!$D$2:$D$5000,MATCH(I252,DB_malas!$A$2:$A$5000,0)),IF(OR(INDEX(DB_materiali!$B$2:$B$5000,MATCH($C252,DB_materiali!$A$2:$A$5000,0))=INDEX(DB_malas!$B$2:$B$5000,MATCH(I252,DB_malas!$A$2:$A$5000,0)),$H252="ORG"),"✔",tulkojums!$A$38),tulkojums!$A$39),tulkojums!$A$39))</f>
        <v/>
      </c>
      <c r="R252" s="2" t="str">
        <f>IF(ISBLANK(J252),"",IF(INDEX(DB_materiali!$E$2:$E$5000,MATCH($C252,DB_materiali!$A$2:$A$5000,0))&gt;=INDEX(DB_malas!$C$2:$C$5000,MATCH(J252,DB_malas!$A$2:$A$5000,0)),IF(INDEX(DB_materiali!$E$2:$E$5000,MATCH($C252,DB_materiali!$A$2:$A$5000,0))&lt;=INDEX(DB_malas!$D$2:$D$5000,MATCH(J252,DB_malas!$A$2:$A$5000,0)),IF(INDEX(DB_materiali!$B$2:$B$5000,MATCH($C252,DB_materiali!$A$2:$A$5000,0))=INDEX(DB_malas!$B$2:$B$5000,MATCH(J252,DB_malas!$A$2:$A$5000,0)),"✔",tulkojums!$A$38),tulkojums!$A$39),tulkojums!$A$39))</f>
        <v/>
      </c>
      <c r="S252" s="2" t="str">
        <f>IF(ISBLANK(K252),"",IF(INDEX(DB_materiali!$E$2:$E$5000,MATCH($C252,DB_materiali!$A$2:$A$5000,0))&gt;=INDEX(DB_malas!$C$2:$C$5000,MATCH(K252,DB_malas!$A$2:$A$5000,0)),IF(INDEX(DB_materiali!$E$2:$E$5000,MATCH($C252,DB_materiali!$A$2:$A$5000,0))&lt;=INDEX(DB_malas!$D$2:$D$5000,MATCH(K252,DB_malas!$A$2:$A$5000,0)),IF(INDEX(DB_materiali!$B$2:$B$5000,MATCH($C252,DB_materiali!$A$2:$A$5000,0))=INDEX(DB_malas!$B$2:$B$5000,MATCH(K252,DB_malas!$A$2:$A$5000,0)),"✔",tulkojums!$A$38),tulkojums!$A$39),tulkojums!$A$39))</f>
        <v/>
      </c>
      <c r="T252" s="2"/>
      <c r="U252" s="2"/>
      <c r="V252" s="2"/>
      <c r="W252" s="2"/>
      <c r="X252" s="2"/>
      <c r="Y252" s="2"/>
      <c r="Z252" s="2"/>
    </row>
    <row r="253" spans="1:26" ht="15.75" customHeight="1">
      <c r="A253" s="17"/>
      <c r="B253" s="18"/>
      <c r="C253" s="19"/>
      <c r="D253" s="55"/>
      <c r="E253" s="55"/>
      <c r="F253" s="56"/>
      <c r="G253" s="57" t="str">
        <f>IF(ISBLANK(C253),"",
   IFERROR(
      IF(
         INDEX(DB_materiali!C$2:C$5000,
               MATCH(C253, DB_materiali!A$2:A$5000, 0)
         )="FALSE",
         "N",
         "Y"
      ),
   "")
)</f>
        <v/>
      </c>
      <c r="H253" s="20"/>
      <c r="I253" s="20"/>
      <c r="J253" s="20"/>
      <c r="K253" s="20"/>
      <c r="M253" s="2" t="str">
        <f>IF(ISBLANK(C253),"",IF(IFERROR(VLOOKUP(C253,DB_materiali!$A$2:$A$5000,1,FALSE),"Kļūda artikulā")=C253,"✔",tulkojums!A$42))</f>
        <v/>
      </c>
      <c r="N253" s="2" t="str">
        <f>IF(ISBLANK(C253),"",IF(ISNUMBER(F253)=TRUE,"✔",tulkojums!A$43))</f>
        <v/>
      </c>
      <c r="O253" s="2" t="str">
        <f>IF(ISBLANK(C253),"",IF(G253="Y","✔",IF(G253="X","✔",IF(G253="N","✔",tulkojums!A$44))))</f>
        <v/>
      </c>
      <c r="P253" s="2" t="str">
        <f>IF(ISBLANK(H253),"",IF(INDEX(DB_materiali!$E$2:$E$5000,MATCH($C253,DB_materiali!$A$2:$A$5000,0))&gt;=INDEX(DB_malas!$C$2:$C$5000,MATCH(H253,DB_malas!$A$2:$A$5000,0)),IF(INDEX(DB_materiali!$E$2:$E$5000,MATCH($C253,DB_materiali!$A$2:$A$5000,0))&lt;=INDEX(DB_malas!$D$2:$D$5000,MATCH(H253,DB_malas!$A$2:$A$5000,0)),IF(OR(INDEX(DB_materiali!$B$2:$B$5000,MATCH($C253,DB_materiali!$A$2:$A$5000,0))=INDEX(DB_malas!$B$2:$B$5000,MATCH(H253,DB_malas!$A$2:$A$5000,0)),$H253="ORG"),"✔",tulkojums!$A$38),tulkojums!$A$39),tulkojums!$A$39))</f>
        <v/>
      </c>
      <c r="Q253" s="2" t="str">
        <f>IF(ISBLANK(I253),"",IF(INDEX(DB_materiali!$E$2:$E$5000,MATCH($C253,DB_materiali!$A$2:$A$5000,0))&gt;=INDEX(DB_malas!$C$2:$C$5000,MATCH(I253,DB_malas!$A$2:$A$5000,0)),IF(INDEX(DB_materiali!$E$2:$E$5000,MATCH($C253,DB_materiali!$A$2:$A$5000,0))&lt;=INDEX(DB_malas!$D$2:$D$5000,MATCH(I253,DB_malas!$A$2:$A$5000,0)),IF(OR(INDEX(DB_materiali!$B$2:$B$5000,MATCH($C253,DB_materiali!$A$2:$A$5000,0))=INDEX(DB_malas!$B$2:$B$5000,MATCH(I253,DB_malas!$A$2:$A$5000,0)),$H253="ORG"),"✔",tulkojums!$A$38),tulkojums!$A$39),tulkojums!$A$39))</f>
        <v/>
      </c>
      <c r="R253" s="2" t="str">
        <f>IF(ISBLANK(J253),"",IF(INDEX(DB_materiali!$E$2:$E$5000,MATCH($C253,DB_materiali!$A$2:$A$5000,0))&gt;=INDEX(DB_malas!$C$2:$C$5000,MATCH(J253,DB_malas!$A$2:$A$5000,0)),IF(INDEX(DB_materiali!$E$2:$E$5000,MATCH($C253,DB_materiali!$A$2:$A$5000,0))&lt;=INDEX(DB_malas!$D$2:$D$5000,MATCH(J253,DB_malas!$A$2:$A$5000,0)),IF(INDEX(DB_materiali!$B$2:$B$5000,MATCH($C253,DB_materiali!$A$2:$A$5000,0))=INDEX(DB_malas!$B$2:$B$5000,MATCH(J253,DB_malas!$A$2:$A$5000,0)),"✔",tulkojums!$A$38),tulkojums!$A$39),tulkojums!$A$39))</f>
        <v/>
      </c>
      <c r="S253" s="2" t="str">
        <f>IF(ISBLANK(K253),"",IF(INDEX(DB_materiali!$E$2:$E$5000,MATCH($C253,DB_materiali!$A$2:$A$5000,0))&gt;=INDEX(DB_malas!$C$2:$C$5000,MATCH(K253,DB_malas!$A$2:$A$5000,0)),IF(INDEX(DB_materiali!$E$2:$E$5000,MATCH($C253,DB_materiali!$A$2:$A$5000,0))&lt;=INDEX(DB_malas!$D$2:$D$5000,MATCH(K253,DB_malas!$A$2:$A$5000,0)),IF(INDEX(DB_materiali!$B$2:$B$5000,MATCH($C253,DB_materiali!$A$2:$A$5000,0))=INDEX(DB_malas!$B$2:$B$5000,MATCH(K253,DB_malas!$A$2:$A$5000,0)),"✔",tulkojums!$A$38),tulkojums!$A$39),tulkojums!$A$39))</f>
        <v/>
      </c>
      <c r="T253" s="2"/>
      <c r="U253" s="2"/>
      <c r="V253" s="2"/>
      <c r="W253" s="2"/>
      <c r="X253" s="2"/>
      <c r="Y253" s="2"/>
      <c r="Z253" s="2"/>
    </row>
    <row r="254" spans="1:26" ht="15.75" customHeight="1">
      <c r="A254" s="17"/>
      <c r="B254" s="18"/>
      <c r="C254" s="19"/>
      <c r="D254" s="55"/>
      <c r="E254" s="55"/>
      <c r="F254" s="56"/>
      <c r="G254" s="57" t="str">
        <f>IF(ISBLANK(C254),"",
   IFERROR(
      IF(
         INDEX(DB_materiali!C$2:C$5000,
               MATCH(C254, DB_materiali!A$2:A$5000, 0)
         )="FALSE",
         "N",
         "Y"
      ),
   "")
)</f>
        <v/>
      </c>
      <c r="H254" s="20"/>
      <c r="I254" s="20"/>
      <c r="J254" s="20"/>
      <c r="K254" s="20"/>
      <c r="M254" s="2" t="str">
        <f>IF(ISBLANK(C254),"",IF(IFERROR(VLOOKUP(C254,DB_materiali!$A$2:$A$5000,1,FALSE),"Kļūda artikulā")=C254,"✔",tulkojums!A$42))</f>
        <v/>
      </c>
      <c r="N254" s="2" t="str">
        <f>IF(ISBLANK(C254),"",IF(ISNUMBER(F254)=TRUE,"✔",tulkojums!A$43))</f>
        <v/>
      </c>
      <c r="O254" s="2" t="str">
        <f>IF(ISBLANK(C254),"",IF(G254="Y","✔",IF(G254="X","✔",IF(G254="N","✔",tulkojums!A$44))))</f>
        <v/>
      </c>
      <c r="P254" s="2" t="str">
        <f>IF(ISBLANK(H254),"",IF(INDEX(DB_materiali!$E$2:$E$5000,MATCH($C254,DB_materiali!$A$2:$A$5000,0))&gt;=INDEX(DB_malas!$C$2:$C$5000,MATCH(H254,DB_malas!$A$2:$A$5000,0)),IF(INDEX(DB_materiali!$E$2:$E$5000,MATCH($C254,DB_materiali!$A$2:$A$5000,0))&lt;=INDEX(DB_malas!$D$2:$D$5000,MATCH(H254,DB_malas!$A$2:$A$5000,0)),IF(OR(INDEX(DB_materiali!$B$2:$B$5000,MATCH($C254,DB_materiali!$A$2:$A$5000,0))=INDEX(DB_malas!$B$2:$B$5000,MATCH(H254,DB_malas!$A$2:$A$5000,0)),$H254="ORG"),"✔",tulkojums!$A$38),tulkojums!$A$39),tulkojums!$A$39))</f>
        <v/>
      </c>
      <c r="Q254" s="2" t="str">
        <f>IF(ISBLANK(I254),"",IF(INDEX(DB_materiali!$E$2:$E$5000,MATCH($C254,DB_materiali!$A$2:$A$5000,0))&gt;=INDEX(DB_malas!$C$2:$C$5000,MATCH(I254,DB_malas!$A$2:$A$5000,0)),IF(INDEX(DB_materiali!$E$2:$E$5000,MATCH($C254,DB_materiali!$A$2:$A$5000,0))&lt;=INDEX(DB_malas!$D$2:$D$5000,MATCH(I254,DB_malas!$A$2:$A$5000,0)),IF(OR(INDEX(DB_materiali!$B$2:$B$5000,MATCH($C254,DB_materiali!$A$2:$A$5000,0))=INDEX(DB_malas!$B$2:$B$5000,MATCH(I254,DB_malas!$A$2:$A$5000,0)),$H254="ORG"),"✔",tulkojums!$A$38),tulkojums!$A$39),tulkojums!$A$39))</f>
        <v/>
      </c>
      <c r="R254" s="2" t="str">
        <f>IF(ISBLANK(J254),"",IF(INDEX(DB_materiali!$E$2:$E$5000,MATCH($C254,DB_materiali!$A$2:$A$5000,0))&gt;=INDEX(DB_malas!$C$2:$C$5000,MATCH(J254,DB_malas!$A$2:$A$5000,0)),IF(INDEX(DB_materiali!$E$2:$E$5000,MATCH($C254,DB_materiali!$A$2:$A$5000,0))&lt;=INDEX(DB_malas!$D$2:$D$5000,MATCH(J254,DB_malas!$A$2:$A$5000,0)),IF(INDEX(DB_materiali!$B$2:$B$5000,MATCH($C254,DB_materiali!$A$2:$A$5000,0))=INDEX(DB_malas!$B$2:$B$5000,MATCH(J254,DB_malas!$A$2:$A$5000,0)),"✔",tulkojums!$A$38),tulkojums!$A$39),tulkojums!$A$39))</f>
        <v/>
      </c>
      <c r="S254" s="2" t="str">
        <f>IF(ISBLANK(K254),"",IF(INDEX(DB_materiali!$E$2:$E$5000,MATCH($C254,DB_materiali!$A$2:$A$5000,0))&gt;=INDEX(DB_malas!$C$2:$C$5000,MATCH(K254,DB_malas!$A$2:$A$5000,0)),IF(INDEX(DB_materiali!$E$2:$E$5000,MATCH($C254,DB_materiali!$A$2:$A$5000,0))&lt;=INDEX(DB_malas!$D$2:$D$5000,MATCH(K254,DB_malas!$A$2:$A$5000,0)),IF(INDEX(DB_materiali!$B$2:$B$5000,MATCH($C254,DB_materiali!$A$2:$A$5000,0))=INDEX(DB_malas!$B$2:$B$5000,MATCH(K254,DB_malas!$A$2:$A$5000,0)),"✔",tulkojums!$A$38),tulkojums!$A$39),tulkojums!$A$39))</f>
        <v/>
      </c>
      <c r="T254" s="2"/>
      <c r="U254" s="2"/>
      <c r="V254" s="2"/>
      <c r="W254" s="2"/>
      <c r="X254" s="2"/>
      <c r="Y254" s="2"/>
      <c r="Z254" s="2"/>
    </row>
    <row r="255" spans="1:26" ht="15.75" customHeight="1">
      <c r="A255" s="17"/>
      <c r="B255" s="18"/>
      <c r="C255" s="19"/>
      <c r="D255" s="55"/>
      <c r="E255" s="55"/>
      <c r="F255" s="56"/>
      <c r="G255" s="57" t="str">
        <f>IF(ISBLANK(C255),"",
   IFERROR(
      IF(
         INDEX(DB_materiali!C$2:C$5000,
               MATCH(C255, DB_materiali!A$2:A$5000, 0)
         )="FALSE",
         "N",
         "Y"
      ),
   "")
)</f>
        <v/>
      </c>
      <c r="H255" s="20"/>
      <c r="I255" s="20"/>
      <c r="J255" s="20"/>
      <c r="K255" s="20"/>
      <c r="M255" s="2" t="str">
        <f>IF(ISBLANK(C255),"",IF(IFERROR(VLOOKUP(C255,DB_materiali!$A$2:$A$5000,1,FALSE),"Kļūda artikulā")=C255,"✔",tulkojums!A$42))</f>
        <v/>
      </c>
      <c r="N255" s="2" t="str">
        <f>IF(ISBLANK(C255),"",IF(ISNUMBER(F255)=TRUE,"✔",tulkojums!A$43))</f>
        <v/>
      </c>
      <c r="O255" s="2" t="str">
        <f>IF(ISBLANK(C255),"",IF(G255="Y","✔",IF(G255="X","✔",IF(G255="N","✔",tulkojums!A$44))))</f>
        <v/>
      </c>
      <c r="P255" s="2" t="str">
        <f>IF(ISBLANK(H255),"",IF(INDEX(DB_materiali!$E$2:$E$5000,MATCH($C255,DB_materiali!$A$2:$A$5000,0))&gt;=INDEX(DB_malas!$C$2:$C$5000,MATCH(H255,DB_malas!$A$2:$A$5000,0)),IF(INDEX(DB_materiali!$E$2:$E$5000,MATCH($C255,DB_materiali!$A$2:$A$5000,0))&lt;=INDEX(DB_malas!$D$2:$D$5000,MATCH(H255,DB_malas!$A$2:$A$5000,0)),IF(OR(INDEX(DB_materiali!$B$2:$B$5000,MATCH($C255,DB_materiali!$A$2:$A$5000,0))=INDEX(DB_malas!$B$2:$B$5000,MATCH(H255,DB_malas!$A$2:$A$5000,0)),$H255="ORG"),"✔",tulkojums!$A$38),tulkojums!$A$39),tulkojums!$A$39))</f>
        <v/>
      </c>
      <c r="Q255" s="2" t="str">
        <f>IF(ISBLANK(I255),"",IF(INDEX(DB_materiali!$E$2:$E$5000,MATCH($C255,DB_materiali!$A$2:$A$5000,0))&gt;=INDEX(DB_malas!$C$2:$C$5000,MATCH(I255,DB_malas!$A$2:$A$5000,0)),IF(INDEX(DB_materiali!$E$2:$E$5000,MATCH($C255,DB_materiali!$A$2:$A$5000,0))&lt;=INDEX(DB_malas!$D$2:$D$5000,MATCH(I255,DB_malas!$A$2:$A$5000,0)),IF(OR(INDEX(DB_materiali!$B$2:$B$5000,MATCH($C255,DB_materiali!$A$2:$A$5000,0))=INDEX(DB_malas!$B$2:$B$5000,MATCH(I255,DB_malas!$A$2:$A$5000,0)),$H255="ORG"),"✔",tulkojums!$A$38),tulkojums!$A$39),tulkojums!$A$39))</f>
        <v/>
      </c>
      <c r="R255" s="2" t="str">
        <f>IF(ISBLANK(J255),"",IF(INDEX(DB_materiali!$E$2:$E$5000,MATCH($C255,DB_materiali!$A$2:$A$5000,0))&gt;=INDEX(DB_malas!$C$2:$C$5000,MATCH(J255,DB_malas!$A$2:$A$5000,0)),IF(INDEX(DB_materiali!$E$2:$E$5000,MATCH($C255,DB_materiali!$A$2:$A$5000,0))&lt;=INDEX(DB_malas!$D$2:$D$5000,MATCH(J255,DB_malas!$A$2:$A$5000,0)),IF(INDEX(DB_materiali!$B$2:$B$5000,MATCH($C255,DB_materiali!$A$2:$A$5000,0))=INDEX(DB_malas!$B$2:$B$5000,MATCH(J255,DB_malas!$A$2:$A$5000,0)),"✔",tulkojums!$A$38),tulkojums!$A$39),tulkojums!$A$39))</f>
        <v/>
      </c>
      <c r="S255" s="2" t="str">
        <f>IF(ISBLANK(K255),"",IF(INDEX(DB_materiali!$E$2:$E$5000,MATCH($C255,DB_materiali!$A$2:$A$5000,0))&gt;=INDEX(DB_malas!$C$2:$C$5000,MATCH(K255,DB_malas!$A$2:$A$5000,0)),IF(INDEX(DB_materiali!$E$2:$E$5000,MATCH($C255,DB_materiali!$A$2:$A$5000,0))&lt;=INDEX(DB_malas!$D$2:$D$5000,MATCH(K255,DB_malas!$A$2:$A$5000,0)),IF(INDEX(DB_materiali!$B$2:$B$5000,MATCH($C255,DB_materiali!$A$2:$A$5000,0))=INDEX(DB_malas!$B$2:$B$5000,MATCH(K255,DB_malas!$A$2:$A$5000,0)),"✔",tulkojums!$A$38),tulkojums!$A$39),tulkojums!$A$39))</f>
        <v/>
      </c>
      <c r="T255" s="2"/>
      <c r="U255" s="2"/>
      <c r="V255" s="2"/>
      <c r="W255" s="2"/>
      <c r="X255" s="2"/>
      <c r="Y255" s="2"/>
      <c r="Z255" s="2"/>
    </row>
    <row r="256" spans="1:26" ht="15.75" customHeight="1">
      <c r="A256" s="17"/>
      <c r="B256" s="18"/>
      <c r="C256" s="19"/>
      <c r="D256" s="55"/>
      <c r="E256" s="55"/>
      <c r="F256" s="56"/>
      <c r="G256" s="57" t="str">
        <f>IF(ISBLANK(C256),"",
   IFERROR(
      IF(
         INDEX(DB_materiali!C$2:C$5000,
               MATCH(C256, DB_materiali!A$2:A$5000, 0)
         )="FALSE",
         "N",
         "Y"
      ),
   "")
)</f>
        <v/>
      </c>
      <c r="H256" s="20"/>
      <c r="I256" s="20"/>
      <c r="J256" s="20"/>
      <c r="K256" s="20"/>
      <c r="M256" s="2" t="str">
        <f>IF(ISBLANK(C256),"",IF(IFERROR(VLOOKUP(C256,DB_materiali!$A$2:$A$5000,1,FALSE),"Kļūda artikulā")=C256,"✔",tulkojums!A$42))</f>
        <v/>
      </c>
      <c r="N256" s="2" t="str">
        <f>IF(ISBLANK(C256),"",IF(ISNUMBER(F256)=TRUE,"✔",tulkojums!A$43))</f>
        <v/>
      </c>
      <c r="O256" s="2" t="str">
        <f>IF(ISBLANK(C256),"",IF(G256="Y","✔",IF(G256="X","✔",IF(G256="N","✔",tulkojums!A$44))))</f>
        <v/>
      </c>
      <c r="P256" s="2" t="str">
        <f>IF(ISBLANK(H256),"",IF(INDEX(DB_materiali!$E$2:$E$5000,MATCH($C256,DB_materiali!$A$2:$A$5000,0))&gt;=INDEX(DB_malas!$C$2:$C$5000,MATCH(H256,DB_malas!$A$2:$A$5000,0)),IF(INDEX(DB_materiali!$E$2:$E$5000,MATCH($C256,DB_materiali!$A$2:$A$5000,0))&lt;=INDEX(DB_malas!$D$2:$D$5000,MATCH(H256,DB_malas!$A$2:$A$5000,0)),IF(OR(INDEX(DB_materiali!$B$2:$B$5000,MATCH($C256,DB_materiali!$A$2:$A$5000,0))=INDEX(DB_malas!$B$2:$B$5000,MATCH(H256,DB_malas!$A$2:$A$5000,0)),$H256="ORG"),"✔",tulkojums!$A$38),tulkojums!$A$39),tulkojums!$A$39))</f>
        <v/>
      </c>
      <c r="Q256" s="2" t="str">
        <f>IF(ISBLANK(I256),"",IF(INDEX(DB_materiali!$E$2:$E$5000,MATCH($C256,DB_materiali!$A$2:$A$5000,0))&gt;=INDEX(DB_malas!$C$2:$C$5000,MATCH(I256,DB_malas!$A$2:$A$5000,0)),IF(INDEX(DB_materiali!$E$2:$E$5000,MATCH($C256,DB_materiali!$A$2:$A$5000,0))&lt;=INDEX(DB_malas!$D$2:$D$5000,MATCH(I256,DB_malas!$A$2:$A$5000,0)),IF(OR(INDEX(DB_materiali!$B$2:$B$5000,MATCH($C256,DB_materiali!$A$2:$A$5000,0))=INDEX(DB_malas!$B$2:$B$5000,MATCH(I256,DB_malas!$A$2:$A$5000,0)),$H256="ORG"),"✔",tulkojums!$A$38),tulkojums!$A$39),tulkojums!$A$39))</f>
        <v/>
      </c>
      <c r="R256" s="2" t="str">
        <f>IF(ISBLANK(J256),"",IF(INDEX(DB_materiali!$E$2:$E$5000,MATCH($C256,DB_materiali!$A$2:$A$5000,0))&gt;=INDEX(DB_malas!$C$2:$C$5000,MATCH(J256,DB_malas!$A$2:$A$5000,0)),IF(INDEX(DB_materiali!$E$2:$E$5000,MATCH($C256,DB_materiali!$A$2:$A$5000,0))&lt;=INDEX(DB_malas!$D$2:$D$5000,MATCH(J256,DB_malas!$A$2:$A$5000,0)),IF(INDEX(DB_materiali!$B$2:$B$5000,MATCH($C256,DB_materiali!$A$2:$A$5000,0))=INDEX(DB_malas!$B$2:$B$5000,MATCH(J256,DB_malas!$A$2:$A$5000,0)),"✔",tulkojums!$A$38),tulkojums!$A$39),tulkojums!$A$39))</f>
        <v/>
      </c>
      <c r="S256" s="2" t="str">
        <f>IF(ISBLANK(K256),"",IF(INDEX(DB_materiali!$E$2:$E$5000,MATCH($C256,DB_materiali!$A$2:$A$5000,0))&gt;=INDEX(DB_malas!$C$2:$C$5000,MATCH(K256,DB_malas!$A$2:$A$5000,0)),IF(INDEX(DB_materiali!$E$2:$E$5000,MATCH($C256,DB_materiali!$A$2:$A$5000,0))&lt;=INDEX(DB_malas!$D$2:$D$5000,MATCH(K256,DB_malas!$A$2:$A$5000,0)),IF(INDEX(DB_materiali!$B$2:$B$5000,MATCH($C256,DB_materiali!$A$2:$A$5000,0))=INDEX(DB_malas!$B$2:$B$5000,MATCH(K256,DB_malas!$A$2:$A$5000,0)),"✔",tulkojums!$A$38),tulkojums!$A$39),tulkojums!$A$39))</f>
        <v/>
      </c>
      <c r="T256" s="2"/>
      <c r="U256" s="2"/>
      <c r="V256" s="2"/>
      <c r="W256" s="2"/>
      <c r="X256" s="2"/>
      <c r="Y256" s="2"/>
      <c r="Z256" s="2"/>
    </row>
    <row r="257" spans="1:26" ht="15.75" customHeight="1">
      <c r="A257" s="17"/>
      <c r="B257" s="18"/>
      <c r="C257" s="19"/>
      <c r="D257" s="55"/>
      <c r="E257" s="55"/>
      <c r="F257" s="56"/>
      <c r="G257" s="57" t="str">
        <f>IF(ISBLANK(C257),"",
   IFERROR(
      IF(
         INDEX(DB_materiali!C$2:C$5000,
               MATCH(C257, DB_materiali!A$2:A$5000, 0)
         )="FALSE",
         "N",
         "Y"
      ),
   "")
)</f>
        <v/>
      </c>
      <c r="H257" s="20"/>
      <c r="I257" s="20"/>
      <c r="J257" s="20"/>
      <c r="K257" s="20"/>
      <c r="M257" s="2" t="str">
        <f>IF(ISBLANK(C257),"",IF(IFERROR(VLOOKUP(C257,DB_materiali!$A$2:$A$5000,1,FALSE),"Kļūda artikulā")=C257,"✔",tulkojums!A$42))</f>
        <v/>
      </c>
      <c r="N257" s="2" t="str">
        <f>IF(ISBLANK(C257),"",IF(ISNUMBER(F257)=TRUE,"✔",tulkojums!A$43))</f>
        <v/>
      </c>
      <c r="O257" s="2" t="str">
        <f>IF(ISBLANK(C257),"",IF(G257="Y","✔",IF(G257="X","✔",IF(G257="N","✔",tulkojums!A$44))))</f>
        <v/>
      </c>
      <c r="P257" s="2" t="str">
        <f>IF(ISBLANK(H257),"",IF(INDEX(DB_materiali!$E$2:$E$5000,MATCH($C257,DB_materiali!$A$2:$A$5000,0))&gt;=INDEX(DB_malas!$C$2:$C$5000,MATCH(H257,DB_malas!$A$2:$A$5000,0)),IF(INDEX(DB_materiali!$E$2:$E$5000,MATCH($C257,DB_materiali!$A$2:$A$5000,0))&lt;=INDEX(DB_malas!$D$2:$D$5000,MATCH(H257,DB_malas!$A$2:$A$5000,0)),IF(OR(INDEX(DB_materiali!$B$2:$B$5000,MATCH($C257,DB_materiali!$A$2:$A$5000,0))=INDEX(DB_malas!$B$2:$B$5000,MATCH(H257,DB_malas!$A$2:$A$5000,0)),$H257="ORG"),"✔",tulkojums!$A$38),tulkojums!$A$39),tulkojums!$A$39))</f>
        <v/>
      </c>
      <c r="Q257" s="2" t="str">
        <f>IF(ISBLANK(I257),"",IF(INDEX(DB_materiali!$E$2:$E$5000,MATCH($C257,DB_materiali!$A$2:$A$5000,0))&gt;=INDEX(DB_malas!$C$2:$C$5000,MATCH(I257,DB_malas!$A$2:$A$5000,0)),IF(INDEX(DB_materiali!$E$2:$E$5000,MATCH($C257,DB_materiali!$A$2:$A$5000,0))&lt;=INDEX(DB_malas!$D$2:$D$5000,MATCH(I257,DB_malas!$A$2:$A$5000,0)),IF(OR(INDEX(DB_materiali!$B$2:$B$5000,MATCH($C257,DB_materiali!$A$2:$A$5000,0))=INDEX(DB_malas!$B$2:$B$5000,MATCH(I257,DB_malas!$A$2:$A$5000,0)),$H257="ORG"),"✔",tulkojums!$A$38),tulkojums!$A$39),tulkojums!$A$39))</f>
        <v/>
      </c>
      <c r="R257" s="2" t="str">
        <f>IF(ISBLANK(J257),"",IF(INDEX(DB_materiali!$E$2:$E$5000,MATCH($C257,DB_materiali!$A$2:$A$5000,0))&gt;=INDEX(DB_malas!$C$2:$C$5000,MATCH(J257,DB_malas!$A$2:$A$5000,0)),IF(INDEX(DB_materiali!$E$2:$E$5000,MATCH($C257,DB_materiali!$A$2:$A$5000,0))&lt;=INDEX(DB_malas!$D$2:$D$5000,MATCH(J257,DB_malas!$A$2:$A$5000,0)),IF(INDEX(DB_materiali!$B$2:$B$5000,MATCH($C257,DB_materiali!$A$2:$A$5000,0))=INDEX(DB_malas!$B$2:$B$5000,MATCH(J257,DB_malas!$A$2:$A$5000,0)),"✔",tulkojums!$A$38),tulkojums!$A$39),tulkojums!$A$39))</f>
        <v/>
      </c>
      <c r="S257" s="2" t="str">
        <f>IF(ISBLANK(K257),"",IF(INDEX(DB_materiali!$E$2:$E$5000,MATCH($C257,DB_materiali!$A$2:$A$5000,0))&gt;=INDEX(DB_malas!$C$2:$C$5000,MATCH(K257,DB_malas!$A$2:$A$5000,0)),IF(INDEX(DB_materiali!$E$2:$E$5000,MATCH($C257,DB_materiali!$A$2:$A$5000,0))&lt;=INDEX(DB_malas!$D$2:$D$5000,MATCH(K257,DB_malas!$A$2:$A$5000,0)),IF(INDEX(DB_materiali!$B$2:$B$5000,MATCH($C257,DB_materiali!$A$2:$A$5000,0))=INDEX(DB_malas!$B$2:$B$5000,MATCH(K257,DB_malas!$A$2:$A$5000,0)),"✔",tulkojums!$A$38),tulkojums!$A$39),tulkojums!$A$39))</f>
        <v/>
      </c>
      <c r="T257" s="2"/>
      <c r="U257" s="2"/>
      <c r="V257" s="2"/>
      <c r="W257" s="2"/>
      <c r="X257" s="2"/>
      <c r="Y257" s="2"/>
      <c r="Z257" s="2"/>
    </row>
    <row r="258" spans="1:26" ht="15.75" customHeight="1">
      <c r="A258" s="17"/>
      <c r="B258" s="18"/>
      <c r="C258" s="19"/>
      <c r="D258" s="55"/>
      <c r="E258" s="55"/>
      <c r="F258" s="56"/>
      <c r="G258" s="57" t="str">
        <f>IF(ISBLANK(C258),"",
   IFERROR(
      IF(
         INDEX(DB_materiali!C$2:C$5000,
               MATCH(C258, DB_materiali!A$2:A$5000, 0)
         )="FALSE",
         "N",
         "Y"
      ),
   "")
)</f>
        <v/>
      </c>
      <c r="H258" s="20"/>
      <c r="I258" s="20"/>
      <c r="J258" s="20"/>
      <c r="K258" s="20"/>
      <c r="M258" s="2" t="str">
        <f>IF(ISBLANK(C258),"",IF(IFERROR(VLOOKUP(C258,DB_materiali!$A$2:$A$5000,1,FALSE),"Kļūda artikulā")=C258,"✔",tulkojums!A$42))</f>
        <v/>
      </c>
      <c r="N258" s="2" t="str">
        <f>IF(ISBLANK(C258),"",IF(ISNUMBER(F258)=TRUE,"✔",tulkojums!A$43))</f>
        <v/>
      </c>
      <c r="O258" s="2" t="str">
        <f>IF(ISBLANK(C258),"",IF(G258="Y","✔",IF(G258="X","✔",IF(G258="N","✔",tulkojums!A$44))))</f>
        <v/>
      </c>
      <c r="P258" s="2" t="str">
        <f>IF(ISBLANK(H258),"",IF(INDEX(DB_materiali!$E$2:$E$5000,MATCH($C258,DB_materiali!$A$2:$A$5000,0))&gt;=INDEX(DB_malas!$C$2:$C$5000,MATCH(H258,DB_malas!$A$2:$A$5000,0)),IF(INDEX(DB_materiali!$E$2:$E$5000,MATCH($C258,DB_materiali!$A$2:$A$5000,0))&lt;=INDEX(DB_malas!$D$2:$D$5000,MATCH(H258,DB_malas!$A$2:$A$5000,0)),IF(OR(INDEX(DB_materiali!$B$2:$B$5000,MATCH($C258,DB_materiali!$A$2:$A$5000,0))=INDEX(DB_malas!$B$2:$B$5000,MATCH(H258,DB_malas!$A$2:$A$5000,0)),$H258="ORG"),"✔",tulkojums!$A$38),tulkojums!$A$39),tulkojums!$A$39))</f>
        <v/>
      </c>
      <c r="Q258" s="2" t="str">
        <f>IF(ISBLANK(I258),"",IF(INDEX(DB_materiali!$E$2:$E$5000,MATCH($C258,DB_materiali!$A$2:$A$5000,0))&gt;=INDEX(DB_malas!$C$2:$C$5000,MATCH(I258,DB_malas!$A$2:$A$5000,0)),IF(INDEX(DB_materiali!$E$2:$E$5000,MATCH($C258,DB_materiali!$A$2:$A$5000,0))&lt;=INDEX(DB_malas!$D$2:$D$5000,MATCH(I258,DB_malas!$A$2:$A$5000,0)),IF(OR(INDEX(DB_materiali!$B$2:$B$5000,MATCH($C258,DB_materiali!$A$2:$A$5000,0))=INDEX(DB_malas!$B$2:$B$5000,MATCH(I258,DB_malas!$A$2:$A$5000,0)),$H258="ORG"),"✔",tulkojums!$A$38),tulkojums!$A$39),tulkojums!$A$39))</f>
        <v/>
      </c>
      <c r="R258" s="2" t="str">
        <f>IF(ISBLANK(J258),"",IF(INDEX(DB_materiali!$E$2:$E$5000,MATCH($C258,DB_materiali!$A$2:$A$5000,0))&gt;=INDEX(DB_malas!$C$2:$C$5000,MATCH(J258,DB_malas!$A$2:$A$5000,0)),IF(INDEX(DB_materiali!$E$2:$E$5000,MATCH($C258,DB_materiali!$A$2:$A$5000,0))&lt;=INDEX(DB_malas!$D$2:$D$5000,MATCH(J258,DB_malas!$A$2:$A$5000,0)),IF(INDEX(DB_materiali!$B$2:$B$5000,MATCH($C258,DB_materiali!$A$2:$A$5000,0))=INDEX(DB_malas!$B$2:$B$5000,MATCH(J258,DB_malas!$A$2:$A$5000,0)),"✔",tulkojums!$A$38),tulkojums!$A$39),tulkojums!$A$39))</f>
        <v/>
      </c>
      <c r="S258" s="2" t="str">
        <f>IF(ISBLANK(K258),"",IF(INDEX(DB_materiali!$E$2:$E$5000,MATCH($C258,DB_materiali!$A$2:$A$5000,0))&gt;=INDEX(DB_malas!$C$2:$C$5000,MATCH(K258,DB_malas!$A$2:$A$5000,0)),IF(INDEX(DB_materiali!$E$2:$E$5000,MATCH($C258,DB_materiali!$A$2:$A$5000,0))&lt;=INDEX(DB_malas!$D$2:$D$5000,MATCH(K258,DB_malas!$A$2:$A$5000,0)),IF(INDEX(DB_materiali!$B$2:$B$5000,MATCH($C258,DB_materiali!$A$2:$A$5000,0))=INDEX(DB_malas!$B$2:$B$5000,MATCH(K258,DB_malas!$A$2:$A$5000,0)),"✔",tulkojums!$A$38),tulkojums!$A$39),tulkojums!$A$39))</f>
        <v/>
      </c>
      <c r="T258" s="2"/>
      <c r="U258" s="2"/>
      <c r="V258" s="2"/>
      <c r="W258" s="2"/>
      <c r="X258" s="2"/>
      <c r="Y258" s="2"/>
      <c r="Z258" s="2"/>
    </row>
    <row r="259" spans="1:26" ht="15.75" customHeight="1">
      <c r="A259" s="17"/>
      <c r="B259" s="18"/>
      <c r="C259" s="19"/>
      <c r="D259" s="55"/>
      <c r="E259" s="55"/>
      <c r="F259" s="56"/>
      <c r="G259" s="57" t="str">
        <f>IF(ISBLANK(C259),"",
   IFERROR(
      IF(
         INDEX(DB_materiali!C$2:C$5000,
               MATCH(C259, DB_materiali!A$2:A$5000, 0)
         )="FALSE",
         "N",
         "Y"
      ),
   "")
)</f>
        <v/>
      </c>
      <c r="H259" s="20"/>
      <c r="I259" s="20"/>
      <c r="J259" s="20"/>
      <c r="K259" s="20"/>
      <c r="M259" s="2" t="str">
        <f>IF(ISBLANK(C259),"",IF(IFERROR(VLOOKUP(C259,DB_materiali!$A$2:$A$5000,1,FALSE),"Kļūda artikulā")=C259,"✔",tulkojums!A$42))</f>
        <v/>
      </c>
      <c r="N259" s="2" t="str">
        <f>IF(ISBLANK(C259),"",IF(ISNUMBER(F259)=TRUE,"✔",tulkojums!A$43))</f>
        <v/>
      </c>
      <c r="O259" s="2" t="str">
        <f>IF(ISBLANK(C259),"",IF(G259="Y","✔",IF(G259="X","✔",IF(G259="N","✔",tulkojums!A$44))))</f>
        <v/>
      </c>
      <c r="P259" s="2" t="str">
        <f>IF(ISBLANK(H259),"",IF(INDEX(DB_materiali!$E$2:$E$5000,MATCH($C259,DB_materiali!$A$2:$A$5000,0))&gt;=INDEX(DB_malas!$C$2:$C$5000,MATCH(H259,DB_malas!$A$2:$A$5000,0)),IF(INDEX(DB_materiali!$E$2:$E$5000,MATCH($C259,DB_materiali!$A$2:$A$5000,0))&lt;=INDEX(DB_malas!$D$2:$D$5000,MATCH(H259,DB_malas!$A$2:$A$5000,0)),IF(OR(INDEX(DB_materiali!$B$2:$B$5000,MATCH($C259,DB_materiali!$A$2:$A$5000,0))=INDEX(DB_malas!$B$2:$B$5000,MATCH(H259,DB_malas!$A$2:$A$5000,0)),$H259="ORG"),"✔",tulkojums!$A$38),tulkojums!$A$39),tulkojums!$A$39))</f>
        <v/>
      </c>
      <c r="Q259" s="2" t="str">
        <f>IF(ISBLANK(I259),"",IF(INDEX(DB_materiali!$E$2:$E$5000,MATCH($C259,DB_materiali!$A$2:$A$5000,0))&gt;=INDEX(DB_malas!$C$2:$C$5000,MATCH(I259,DB_malas!$A$2:$A$5000,0)),IF(INDEX(DB_materiali!$E$2:$E$5000,MATCH($C259,DB_materiali!$A$2:$A$5000,0))&lt;=INDEX(DB_malas!$D$2:$D$5000,MATCH(I259,DB_malas!$A$2:$A$5000,0)),IF(OR(INDEX(DB_materiali!$B$2:$B$5000,MATCH($C259,DB_materiali!$A$2:$A$5000,0))=INDEX(DB_malas!$B$2:$B$5000,MATCH(I259,DB_malas!$A$2:$A$5000,0)),$H259="ORG"),"✔",tulkojums!$A$38),tulkojums!$A$39),tulkojums!$A$39))</f>
        <v/>
      </c>
      <c r="R259" s="2" t="str">
        <f>IF(ISBLANK(J259),"",IF(INDEX(DB_materiali!$E$2:$E$5000,MATCH($C259,DB_materiali!$A$2:$A$5000,0))&gt;=INDEX(DB_malas!$C$2:$C$5000,MATCH(J259,DB_malas!$A$2:$A$5000,0)),IF(INDEX(DB_materiali!$E$2:$E$5000,MATCH($C259,DB_materiali!$A$2:$A$5000,0))&lt;=INDEX(DB_malas!$D$2:$D$5000,MATCH(J259,DB_malas!$A$2:$A$5000,0)),IF(INDEX(DB_materiali!$B$2:$B$5000,MATCH($C259,DB_materiali!$A$2:$A$5000,0))=INDEX(DB_malas!$B$2:$B$5000,MATCH(J259,DB_malas!$A$2:$A$5000,0)),"✔",tulkojums!$A$38),tulkojums!$A$39),tulkojums!$A$39))</f>
        <v/>
      </c>
      <c r="S259" s="2" t="str">
        <f>IF(ISBLANK(K259),"",IF(INDEX(DB_materiali!$E$2:$E$5000,MATCH($C259,DB_materiali!$A$2:$A$5000,0))&gt;=INDEX(DB_malas!$C$2:$C$5000,MATCH(K259,DB_malas!$A$2:$A$5000,0)),IF(INDEX(DB_materiali!$E$2:$E$5000,MATCH($C259,DB_materiali!$A$2:$A$5000,0))&lt;=INDEX(DB_malas!$D$2:$D$5000,MATCH(K259,DB_malas!$A$2:$A$5000,0)),IF(INDEX(DB_materiali!$B$2:$B$5000,MATCH($C259,DB_materiali!$A$2:$A$5000,0))=INDEX(DB_malas!$B$2:$B$5000,MATCH(K259,DB_malas!$A$2:$A$5000,0)),"✔",tulkojums!$A$38),tulkojums!$A$39),tulkojums!$A$39))</f>
        <v/>
      </c>
      <c r="T259" s="2"/>
      <c r="U259" s="2"/>
      <c r="V259" s="2"/>
      <c r="W259" s="2"/>
      <c r="X259" s="2"/>
      <c r="Y259" s="2"/>
      <c r="Z259" s="2"/>
    </row>
    <row r="260" spans="1:26" ht="15.75" customHeight="1">
      <c r="A260" s="17"/>
      <c r="B260" s="18"/>
      <c r="C260" s="19"/>
      <c r="D260" s="55"/>
      <c r="E260" s="55"/>
      <c r="F260" s="56"/>
      <c r="G260" s="57" t="str">
        <f>IF(ISBLANK(C260),"",
   IFERROR(
      IF(
         INDEX(DB_materiali!C$2:C$5000,
               MATCH(C260, DB_materiali!A$2:A$5000, 0)
         )="FALSE",
         "N",
         "Y"
      ),
   "")
)</f>
        <v/>
      </c>
      <c r="H260" s="20"/>
      <c r="I260" s="20"/>
      <c r="J260" s="20"/>
      <c r="K260" s="20"/>
      <c r="M260" s="2" t="str">
        <f>IF(ISBLANK(C260),"",IF(IFERROR(VLOOKUP(C260,DB_materiali!$A$2:$A$5000,1,FALSE),"Kļūda artikulā")=C260,"✔",tulkojums!A$42))</f>
        <v/>
      </c>
      <c r="N260" s="2" t="str">
        <f>IF(ISBLANK(C260),"",IF(ISNUMBER(F260)=TRUE,"✔",tulkojums!A$43))</f>
        <v/>
      </c>
      <c r="O260" s="2" t="str">
        <f>IF(ISBLANK(C260),"",IF(G260="Y","✔",IF(G260="X","✔",IF(G260="N","✔",tulkojums!A$44))))</f>
        <v/>
      </c>
      <c r="P260" s="2" t="str">
        <f>IF(ISBLANK(H260),"",IF(INDEX(DB_materiali!$E$2:$E$5000,MATCH($C260,DB_materiali!$A$2:$A$5000,0))&gt;=INDEX(DB_malas!$C$2:$C$5000,MATCH(H260,DB_malas!$A$2:$A$5000,0)),IF(INDEX(DB_materiali!$E$2:$E$5000,MATCH($C260,DB_materiali!$A$2:$A$5000,0))&lt;=INDEX(DB_malas!$D$2:$D$5000,MATCH(H260,DB_malas!$A$2:$A$5000,0)),IF(OR(INDEX(DB_materiali!$B$2:$B$5000,MATCH($C260,DB_materiali!$A$2:$A$5000,0))=INDEX(DB_malas!$B$2:$B$5000,MATCH(H260,DB_malas!$A$2:$A$5000,0)),$H260="ORG"),"✔",tulkojums!$A$38),tulkojums!$A$39),tulkojums!$A$39))</f>
        <v/>
      </c>
      <c r="Q260" s="2" t="str">
        <f>IF(ISBLANK(I260),"",IF(INDEX(DB_materiali!$E$2:$E$5000,MATCH($C260,DB_materiali!$A$2:$A$5000,0))&gt;=INDEX(DB_malas!$C$2:$C$5000,MATCH(I260,DB_malas!$A$2:$A$5000,0)),IF(INDEX(DB_materiali!$E$2:$E$5000,MATCH($C260,DB_materiali!$A$2:$A$5000,0))&lt;=INDEX(DB_malas!$D$2:$D$5000,MATCH(I260,DB_malas!$A$2:$A$5000,0)),IF(OR(INDEX(DB_materiali!$B$2:$B$5000,MATCH($C260,DB_materiali!$A$2:$A$5000,0))=INDEX(DB_malas!$B$2:$B$5000,MATCH(I260,DB_malas!$A$2:$A$5000,0)),$H260="ORG"),"✔",tulkojums!$A$38),tulkojums!$A$39),tulkojums!$A$39))</f>
        <v/>
      </c>
      <c r="R260" s="2" t="str">
        <f>IF(ISBLANK(J260),"",IF(INDEX(DB_materiali!$E$2:$E$5000,MATCH($C260,DB_materiali!$A$2:$A$5000,0))&gt;=INDEX(DB_malas!$C$2:$C$5000,MATCH(J260,DB_malas!$A$2:$A$5000,0)),IF(INDEX(DB_materiali!$E$2:$E$5000,MATCH($C260,DB_materiali!$A$2:$A$5000,0))&lt;=INDEX(DB_malas!$D$2:$D$5000,MATCH(J260,DB_malas!$A$2:$A$5000,0)),IF(INDEX(DB_materiali!$B$2:$B$5000,MATCH($C260,DB_materiali!$A$2:$A$5000,0))=INDEX(DB_malas!$B$2:$B$5000,MATCH(J260,DB_malas!$A$2:$A$5000,0)),"✔",tulkojums!$A$38),tulkojums!$A$39),tulkojums!$A$39))</f>
        <v/>
      </c>
      <c r="S260" s="2" t="str">
        <f>IF(ISBLANK(K260),"",IF(INDEX(DB_materiali!$E$2:$E$5000,MATCH($C260,DB_materiali!$A$2:$A$5000,0))&gt;=INDEX(DB_malas!$C$2:$C$5000,MATCH(K260,DB_malas!$A$2:$A$5000,0)),IF(INDEX(DB_materiali!$E$2:$E$5000,MATCH($C260,DB_materiali!$A$2:$A$5000,0))&lt;=INDEX(DB_malas!$D$2:$D$5000,MATCH(K260,DB_malas!$A$2:$A$5000,0)),IF(INDEX(DB_materiali!$B$2:$B$5000,MATCH($C260,DB_materiali!$A$2:$A$5000,0))=INDEX(DB_malas!$B$2:$B$5000,MATCH(K260,DB_malas!$A$2:$A$5000,0)),"✔",tulkojums!$A$38),tulkojums!$A$39),tulkojums!$A$39))</f>
        <v/>
      </c>
      <c r="T260" s="2"/>
      <c r="U260" s="2"/>
      <c r="V260" s="2"/>
      <c r="W260" s="2"/>
      <c r="X260" s="2"/>
      <c r="Y260" s="2"/>
      <c r="Z260" s="2"/>
    </row>
    <row r="261" spans="1:26" ht="15.75" customHeight="1">
      <c r="A261" s="17"/>
      <c r="B261" s="18"/>
      <c r="C261" s="19"/>
      <c r="D261" s="55"/>
      <c r="E261" s="55"/>
      <c r="F261" s="56"/>
      <c r="G261" s="57" t="str">
        <f>IF(ISBLANK(C261),"",
   IFERROR(
      IF(
         INDEX(DB_materiali!C$2:C$5000,
               MATCH(C261, DB_materiali!A$2:A$5000, 0)
         )="FALSE",
         "N",
         "Y"
      ),
   "")
)</f>
        <v/>
      </c>
      <c r="H261" s="20"/>
      <c r="I261" s="20"/>
      <c r="J261" s="20"/>
      <c r="K261" s="20"/>
      <c r="M261" s="2" t="str">
        <f>IF(ISBLANK(C261),"",IF(IFERROR(VLOOKUP(C261,DB_materiali!$A$2:$A$5000,1,FALSE),"Kļūda artikulā")=C261,"✔",tulkojums!A$42))</f>
        <v/>
      </c>
      <c r="N261" s="2" t="str">
        <f>IF(ISBLANK(C261),"",IF(ISNUMBER(F261)=TRUE,"✔",tulkojums!A$43))</f>
        <v/>
      </c>
      <c r="O261" s="2" t="str">
        <f>IF(ISBLANK(C261),"",IF(G261="Y","✔",IF(G261="X","✔",IF(G261="N","✔",tulkojums!A$44))))</f>
        <v/>
      </c>
      <c r="P261" s="2" t="str">
        <f>IF(ISBLANK(H261),"",IF(INDEX(DB_materiali!$E$2:$E$5000,MATCH($C261,DB_materiali!$A$2:$A$5000,0))&gt;=INDEX(DB_malas!$C$2:$C$5000,MATCH(H261,DB_malas!$A$2:$A$5000,0)),IF(INDEX(DB_materiali!$E$2:$E$5000,MATCH($C261,DB_materiali!$A$2:$A$5000,0))&lt;=INDEX(DB_malas!$D$2:$D$5000,MATCH(H261,DB_malas!$A$2:$A$5000,0)),IF(OR(INDEX(DB_materiali!$B$2:$B$5000,MATCH($C261,DB_materiali!$A$2:$A$5000,0))=INDEX(DB_malas!$B$2:$B$5000,MATCH(H261,DB_malas!$A$2:$A$5000,0)),$H261="ORG"),"✔",tulkojums!$A$38),tulkojums!$A$39),tulkojums!$A$39))</f>
        <v/>
      </c>
      <c r="Q261" s="2" t="str">
        <f>IF(ISBLANK(I261),"",IF(INDEX(DB_materiali!$E$2:$E$5000,MATCH($C261,DB_materiali!$A$2:$A$5000,0))&gt;=INDEX(DB_malas!$C$2:$C$5000,MATCH(I261,DB_malas!$A$2:$A$5000,0)),IF(INDEX(DB_materiali!$E$2:$E$5000,MATCH($C261,DB_materiali!$A$2:$A$5000,0))&lt;=INDEX(DB_malas!$D$2:$D$5000,MATCH(I261,DB_malas!$A$2:$A$5000,0)),IF(OR(INDEX(DB_materiali!$B$2:$B$5000,MATCH($C261,DB_materiali!$A$2:$A$5000,0))=INDEX(DB_malas!$B$2:$B$5000,MATCH(I261,DB_malas!$A$2:$A$5000,0)),$H261="ORG"),"✔",tulkojums!$A$38),tulkojums!$A$39),tulkojums!$A$39))</f>
        <v/>
      </c>
      <c r="R261" s="2" t="str">
        <f>IF(ISBLANK(J261),"",IF(INDEX(DB_materiali!$E$2:$E$5000,MATCH($C261,DB_materiali!$A$2:$A$5000,0))&gt;=INDEX(DB_malas!$C$2:$C$5000,MATCH(J261,DB_malas!$A$2:$A$5000,0)),IF(INDEX(DB_materiali!$E$2:$E$5000,MATCH($C261,DB_materiali!$A$2:$A$5000,0))&lt;=INDEX(DB_malas!$D$2:$D$5000,MATCH(J261,DB_malas!$A$2:$A$5000,0)),IF(INDEX(DB_materiali!$B$2:$B$5000,MATCH($C261,DB_materiali!$A$2:$A$5000,0))=INDEX(DB_malas!$B$2:$B$5000,MATCH(J261,DB_malas!$A$2:$A$5000,0)),"✔",tulkojums!$A$38),tulkojums!$A$39),tulkojums!$A$39))</f>
        <v/>
      </c>
      <c r="S261" s="2" t="str">
        <f>IF(ISBLANK(K261),"",IF(INDEX(DB_materiali!$E$2:$E$5000,MATCH($C261,DB_materiali!$A$2:$A$5000,0))&gt;=INDEX(DB_malas!$C$2:$C$5000,MATCH(K261,DB_malas!$A$2:$A$5000,0)),IF(INDEX(DB_materiali!$E$2:$E$5000,MATCH($C261,DB_materiali!$A$2:$A$5000,0))&lt;=INDEX(DB_malas!$D$2:$D$5000,MATCH(K261,DB_malas!$A$2:$A$5000,0)),IF(INDEX(DB_materiali!$B$2:$B$5000,MATCH($C261,DB_materiali!$A$2:$A$5000,0))=INDEX(DB_malas!$B$2:$B$5000,MATCH(K261,DB_malas!$A$2:$A$5000,0)),"✔",tulkojums!$A$38),tulkojums!$A$39),tulkojums!$A$39))</f>
        <v/>
      </c>
      <c r="T261" s="2"/>
      <c r="U261" s="2"/>
      <c r="V261" s="2"/>
      <c r="W261" s="2"/>
      <c r="X261" s="2"/>
      <c r="Y261" s="2"/>
      <c r="Z261" s="2"/>
    </row>
    <row r="262" spans="1:26" ht="15.75" customHeight="1">
      <c r="A262" s="17"/>
      <c r="B262" s="18"/>
      <c r="C262" s="19"/>
      <c r="D262" s="55"/>
      <c r="E262" s="55"/>
      <c r="F262" s="56"/>
      <c r="G262" s="57" t="str">
        <f>IF(ISBLANK(C262),"",
   IFERROR(
      IF(
         INDEX(DB_materiali!C$2:C$5000,
               MATCH(C262, DB_materiali!A$2:A$5000, 0)
         )="FALSE",
         "N",
         "Y"
      ),
   "")
)</f>
        <v/>
      </c>
      <c r="H262" s="20"/>
      <c r="I262" s="20"/>
      <c r="J262" s="20"/>
      <c r="K262" s="20"/>
      <c r="M262" s="2" t="str">
        <f>IF(ISBLANK(C262),"",IF(IFERROR(VLOOKUP(C262,DB_materiali!$A$2:$A$5000,1,FALSE),"Kļūda artikulā")=C262,"✔",tulkojums!A$42))</f>
        <v/>
      </c>
      <c r="N262" s="2" t="str">
        <f>IF(ISBLANK(C262),"",IF(ISNUMBER(F262)=TRUE,"✔",tulkojums!A$43))</f>
        <v/>
      </c>
      <c r="O262" s="2" t="str">
        <f>IF(ISBLANK(C262),"",IF(G262="Y","✔",IF(G262="X","✔",IF(G262="N","✔",tulkojums!A$44))))</f>
        <v/>
      </c>
      <c r="P262" s="2" t="str">
        <f>IF(ISBLANK(H262),"",IF(INDEX(DB_materiali!$E$2:$E$5000,MATCH($C262,DB_materiali!$A$2:$A$5000,0))&gt;=INDEX(DB_malas!$C$2:$C$5000,MATCH(H262,DB_malas!$A$2:$A$5000,0)),IF(INDEX(DB_materiali!$E$2:$E$5000,MATCH($C262,DB_materiali!$A$2:$A$5000,0))&lt;=INDEX(DB_malas!$D$2:$D$5000,MATCH(H262,DB_malas!$A$2:$A$5000,0)),IF(OR(INDEX(DB_materiali!$B$2:$B$5000,MATCH($C262,DB_materiali!$A$2:$A$5000,0))=INDEX(DB_malas!$B$2:$B$5000,MATCH(H262,DB_malas!$A$2:$A$5000,0)),$H262="ORG"),"✔",tulkojums!$A$38),tulkojums!$A$39),tulkojums!$A$39))</f>
        <v/>
      </c>
      <c r="Q262" s="2" t="str">
        <f>IF(ISBLANK(I262),"",IF(INDEX(DB_materiali!$E$2:$E$5000,MATCH($C262,DB_materiali!$A$2:$A$5000,0))&gt;=INDEX(DB_malas!$C$2:$C$5000,MATCH(I262,DB_malas!$A$2:$A$5000,0)),IF(INDEX(DB_materiali!$E$2:$E$5000,MATCH($C262,DB_materiali!$A$2:$A$5000,0))&lt;=INDEX(DB_malas!$D$2:$D$5000,MATCH(I262,DB_malas!$A$2:$A$5000,0)),IF(OR(INDEX(DB_materiali!$B$2:$B$5000,MATCH($C262,DB_materiali!$A$2:$A$5000,0))=INDEX(DB_malas!$B$2:$B$5000,MATCH(I262,DB_malas!$A$2:$A$5000,0)),$H262="ORG"),"✔",tulkojums!$A$38),tulkojums!$A$39),tulkojums!$A$39))</f>
        <v/>
      </c>
      <c r="R262" s="2" t="str">
        <f>IF(ISBLANK(J262),"",IF(INDEX(DB_materiali!$E$2:$E$5000,MATCH($C262,DB_materiali!$A$2:$A$5000,0))&gt;=INDEX(DB_malas!$C$2:$C$5000,MATCH(J262,DB_malas!$A$2:$A$5000,0)),IF(INDEX(DB_materiali!$E$2:$E$5000,MATCH($C262,DB_materiali!$A$2:$A$5000,0))&lt;=INDEX(DB_malas!$D$2:$D$5000,MATCH(J262,DB_malas!$A$2:$A$5000,0)),IF(INDEX(DB_materiali!$B$2:$B$5000,MATCH($C262,DB_materiali!$A$2:$A$5000,0))=INDEX(DB_malas!$B$2:$B$5000,MATCH(J262,DB_malas!$A$2:$A$5000,0)),"✔",tulkojums!$A$38),tulkojums!$A$39),tulkojums!$A$39))</f>
        <v/>
      </c>
      <c r="S262" s="2" t="str">
        <f>IF(ISBLANK(K262),"",IF(INDEX(DB_materiali!$E$2:$E$5000,MATCH($C262,DB_materiali!$A$2:$A$5000,0))&gt;=INDEX(DB_malas!$C$2:$C$5000,MATCH(K262,DB_malas!$A$2:$A$5000,0)),IF(INDEX(DB_materiali!$E$2:$E$5000,MATCH($C262,DB_materiali!$A$2:$A$5000,0))&lt;=INDEX(DB_malas!$D$2:$D$5000,MATCH(K262,DB_malas!$A$2:$A$5000,0)),IF(INDEX(DB_materiali!$B$2:$B$5000,MATCH($C262,DB_materiali!$A$2:$A$5000,0))=INDEX(DB_malas!$B$2:$B$5000,MATCH(K262,DB_malas!$A$2:$A$5000,0)),"✔",tulkojums!$A$38),tulkojums!$A$39),tulkojums!$A$39))</f>
        <v/>
      </c>
      <c r="T262" s="2"/>
      <c r="U262" s="2"/>
      <c r="V262" s="2"/>
      <c r="W262" s="2"/>
      <c r="X262" s="2"/>
      <c r="Y262" s="2"/>
      <c r="Z262" s="2"/>
    </row>
    <row r="263" spans="1:26" ht="15.75" customHeight="1">
      <c r="A263" s="17"/>
      <c r="B263" s="18"/>
      <c r="C263" s="19"/>
      <c r="D263" s="55"/>
      <c r="E263" s="55"/>
      <c r="F263" s="56"/>
      <c r="G263" s="57" t="str">
        <f>IF(ISBLANK(C263),"",
   IFERROR(
      IF(
         INDEX(DB_materiali!C$2:C$5000,
               MATCH(C263, DB_materiali!A$2:A$5000, 0)
         )="FALSE",
         "N",
         "Y"
      ),
   "")
)</f>
        <v/>
      </c>
      <c r="H263" s="20"/>
      <c r="I263" s="20"/>
      <c r="J263" s="20"/>
      <c r="K263" s="20"/>
      <c r="M263" s="2" t="str">
        <f>IF(ISBLANK(C263),"",IF(IFERROR(VLOOKUP(C263,DB_materiali!$A$2:$A$5000,1,FALSE),"Kļūda artikulā")=C263,"✔",tulkojums!A$42))</f>
        <v/>
      </c>
      <c r="N263" s="2" t="str">
        <f>IF(ISBLANK(C263),"",IF(ISNUMBER(F263)=TRUE,"✔",tulkojums!A$43))</f>
        <v/>
      </c>
      <c r="O263" s="2" t="str">
        <f>IF(ISBLANK(C263),"",IF(G263="Y","✔",IF(G263="X","✔",IF(G263="N","✔",tulkojums!A$44))))</f>
        <v/>
      </c>
      <c r="P263" s="2" t="str">
        <f>IF(ISBLANK(H263),"",IF(INDEX(DB_materiali!$E$2:$E$5000,MATCH($C263,DB_materiali!$A$2:$A$5000,0))&gt;=INDEX(DB_malas!$C$2:$C$5000,MATCH(H263,DB_malas!$A$2:$A$5000,0)),IF(INDEX(DB_materiali!$E$2:$E$5000,MATCH($C263,DB_materiali!$A$2:$A$5000,0))&lt;=INDEX(DB_malas!$D$2:$D$5000,MATCH(H263,DB_malas!$A$2:$A$5000,0)),IF(OR(INDEX(DB_materiali!$B$2:$B$5000,MATCH($C263,DB_materiali!$A$2:$A$5000,0))=INDEX(DB_malas!$B$2:$B$5000,MATCH(H263,DB_malas!$A$2:$A$5000,0)),$H263="ORG"),"✔",tulkojums!$A$38),tulkojums!$A$39),tulkojums!$A$39))</f>
        <v/>
      </c>
      <c r="Q263" s="2" t="str">
        <f>IF(ISBLANK(I263),"",IF(INDEX(DB_materiali!$E$2:$E$5000,MATCH($C263,DB_materiali!$A$2:$A$5000,0))&gt;=INDEX(DB_malas!$C$2:$C$5000,MATCH(I263,DB_malas!$A$2:$A$5000,0)),IF(INDEX(DB_materiali!$E$2:$E$5000,MATCH($C263,DB_materiali!$A$2:$A$5000,0))&lt;=INDEX(DB_malas!$D$2:$D$5000,MATCH(I263,DB_malas!$A$2:$A$5000,0)),IF(OR(INDEX(DB_materiali!$B$2:$B$5000,MATCH($C263,DB_materiali!$A$2:$A$5000,0))=INDEX(DB_malas!$B$2:$B$5000,MATCH(I263,DB_malas!$A$2:$A$5000,0)),$H263="ORG"),"✔",tulkojums!$A$38),tulkojums!$A$39),tulkojums!$A$39))</f>
        <v/>
      </c>
      <c r="R263" s="2" t="str">
        <f>IF(ISBLANK(J263),"",IF(INDEX(DB_materiali!$E$2:$E$5000,MATCH($C263,DB_materiali!$A$2:$A$5000,0))&gt;=INDEX(DB_malas!$C$2:$C$5000,MATCH(J263,DB_malas!$A$2:$A$5000,0)),IF(INDEX(DB_materiali!$E$2:$E$5000,MATCH($C263,DB_materiali!$A$2:$A$5000,0))&lt;=INDEX(DB_malas!$D$2:$D$5000,MATCH(J263,DB_malas!$A$2:$A$5000,0)),IF(INDEX(DB_materiali!$B$2:$B$5000,MATCH($C263,DB_materiali!$A$2:$A$5000,0))=INDEX(DB_malas!$B$2:$B$5000,MATCH(J263,DB_malas!$A$2:$A$5000,0)),"✔",tulkojums!$A$38),tulkojums!$A$39),tulkojums!$A$39))</f>
        <v/>
      </c>
      <c r="S263" s="2" t="str">
        <f>IF(ISBLANK(K263),"",IF(INDEX(DB_materiali!$E$2:$E$5000,MATCH($C263,DB_materiali!$A$2:$A$5000,0))&gt;=INDEX(DB_malas!$C$2:$C$5000,MATCH(K263,DB_malas!$A$2:$A$5000,0)),IF(INDEX(DB_materiali!$E$2:$E$5000,MATCH($C263,DB_materiali!$A$2:$A$5000,0))&lt;=INDEX(DB_malas!$D$2:$D$5000,MATCH(K263,DB_malas!$A$2:$A$5000,0)),IF(INDEX(DB_materiali!$B$2:$B$5000,MATCH($C263,DB_materiali!$A$2:$A$5000,0))=INDEX(DB_malas!$B$2:$B$5000,MATCH(K263,DB_malas!$A$2:$A$5000,0)),"✔",tulkojums!$A$38),tulkojums!$A$39),tulkojums!$A$39))</f>
        <v/>
      </c>
      <c r="T263" s="2"/>
      <c r="U263" s="2"/>
      <c r="V263" s="2"/>
      <c r="W263" s="2"/>
      <c r="X263" s="2"/>
      <c r="Y263" s="2"/>
      <c r="Z263" s="2"/>
    </row>
    <row r="264" spans="1:26" ht="15.75" customHeight="1">
      <c r="A264" s="17"/>
      <c r="B264" s="18"/>
      <c r="C264" s="19"/>
      <c r="D264" s="55"/>
      <c r="E264" s="55"/>
      <c r="F264" s="56"/>
      <c r="G264" s="57" t="str">
        <f>IF(ISBLANK(C264),"",
   IFERROR(
      IF(
         INDEX(DB_materiali!C$2:C$5000,
               MATCH(C264, DB_materiali!A$2:A$5000, 0)
         )="FALSE",
         "N",
         "Y"
      ),
   "")
)</f>
        <v/>
      </c>
      <c r="H264" s="20"/>
      <c r="I264" s="20"/>
      <c r="J264" s="20"/>
      <c r="K264" s="20"/>
      <c r="M264" s="2" t="str">
        <f>IF(ISBLANK(C264),"",IF(IFERROR(VLOOKUP(C264,DB_materiali!$A$2:$A$5000,1,FALSE),"Kļūda artikulā")=C264,"✔",tulkojums!A$42))</f>
        <v/>
      </c>
      <c r="N264" s="2" t="str">
        <f>IF(ISBLANK(C264),"",IF(ISNUMBER(F264)=TRUE,"✔",tulkojums!A$43))</f>
        <v/>
      </c>
      <c r="O264" s="2" t="str">
        <f>IF(ISBLANK(C264),"",IF(G264="Y","✔",IF(G264="X","✔",IF(G264="N","✔",tulkojums!A$44))))</f>
        <v/>
      </c>
      <c r="P264" s="2" t="str">
        <f>IF(ISBLANK(H264),"",IF(INDEX(DB_materiali!$E$2:$E$5000,MATCH($C264,DB_materiali!$A$2:$A$5000,0))&gt;=INDEX(DB_malas!$C$2:$C$5000,MATCH(H264,DB_malas!$A$2:$A$5000,0)),IF(INDEX(DB_materiali!$E$2:$E$5000,MATCH($C264,DB_materiali!$A$2:$A$5000,0))&lt;=INDEX(DB_malas!$D$2:$D$5000,MATCH(H264,DB_malas!$A$2:$A$5000,0)),IF(OR(INDEX(DB_materiali!$B$2:$B$5000,MATCH($C264,DB_materiali!$A$2:$A$5000,0))=INDEX(DB_malas!$B$2:$B$5000,MATCH(H264,DB_malas!$A$2:$A$5000,0)),$H264="ORG"),"✔",tulkojums!$A$38),tulkojums!$A$39),tulkojums!$A$39))</f>
        <v/>
      </c>
      <c r="Q264" s="2" t="str">
        <f>IF(ISBLANK(I264),"",IF(INDEX(DB_materiali!$E$2:$E$5000,MATCH($C264,DB_materiali!$A$2:$A$5000,0))&gt;=INDEX(DB_malas!$C$2:$C$5000,MATCH(I264,DB_malas!$A$2:$A$5000,0)),IF(INDEX(DB_materiali!$E$2:$E$5000,MATCH($C264,DB_materiali!$A$2:$A$5000,0))&lt;=INDEX(DB_malas!$D$2:$D$5000,MATCH(I264,DB_malas!$A$2:$A$5000,0)),IF(OR(INDEX(DB_materiali!$B$2:$B$5000,MATCH($C264,DB_materiali!$A$2:$A$5000,0))=INDEX(DB_malas!$B$2:$B$5000,MATCH(I264,DB_malas!$A$2:$A$5000,0)),$H264="ORG"),"✔",tulkojums!$A$38),tulkojums!$A$39),tulkojums!$A$39))</f>
        <v/>
      </c>
      <c r="R264" s="2" t="str">
        <f>IF(ISBLANK(J264),"",IF(INDEX(DB_materiali!$E$2:$E$5000,MATCH($C264,DB_materiali!$A$2:$A$5000,0))&gt;=INDEX(DB_malas!$C$2:$C$5000,MATCH(J264,DB_malas!$A$2:$A$5000,0)),IF(INDEX(DB_materiali!$E$2:$E$5000,MATCH($C264,DB_materiali!$A$2:$A$5000,0))&lt;=INDEX(DB_malas!$D$2:$D$5000,MATCH(J264,DB_malas!$A$2:$A$5000,0)),IF(INDEX(DB_materiali!$B$2:$B$5000,MATCH($C264,DB_materiali!$A$2:$A$5000,0))=INDEX(DB_malas!$B$2:$B$5000,MATCH(J264,DB_malas!$A$2:$A$5000,0)),"✔",tulkojums!$A$38),tulkojums!$A$39),tulkojums!$A$39))</f>
        <v/>
      </c>
      <c r="S264" s="2" t="str">
        <f>IF(ISBLANK(K264),"",IF(INDEX(DB_materiali!$E$2:$E$5000,MATCH($C264,DB_materiali!$A$2:$A$5000,0))&gt;=INDEX(DB_malas!$C$2:$C$5000,MATCH(K264,DB_malas!$A$2:$A$5000,0)),IF(INDEX(DB_materiali!$E$2:$E$5000,MATCH($C264,DB_materiali!$A$2:$A$5000,0))&lt;=INDEX(DB_malas!$D$2:$D$5000,MATCH(K264,DB_malas!$A$2:$A$5000,0)),IF(INDEX(DB_materiali!$B$2:$B$5000,MATCH($C264,DB_materiali!$A$2:$A$5000,0))=INDEX(DB_malas!$B$2:$B$5000,MATCH(K264,DB_malas!$A$2:$A$5000,0)),"✔",tulkojums!$A$38),tulkojums!$A$39),tulkojums!$A$39))</f>
        <v/>
      </c>
      <c r="T264" s="2"/>
      <c r="U264" s="2"/>
      <c r="V264" s="2"/>
      <c r="W264" s="2"/>
      <c r="X264" s="2"/>
      <c r="Y264" s="2"/>
      <c r="Z264" s="2"/>
    </row>
    <row r="265" spans="1:26" ht="15.75" customHeight="1">
      <c r="A265" s="17"/>
      <c r="B265" s="18"/>
      <c r="C265" s="19"/>
      <c r="D265" s="55"/>
      <c r="E265" s="55"/>
      <c r="F265" s="56"/>
      <c r="G265" s="57" t="str">
        <f>IF(ISBLANK(C265),"",
   IFERROR(
      IF(
         INDEX(DB_materiali!C$2:C$5000,
               MATCH(C265, DB_materiali!A$2:A$5000, 0)
         )="FALSE",
         "N",
         "Y"
      ),
   "")
)</f>
        <v/>
      </c>
      <c r="H265" s="20"/>
      <c r="I265" s="20"/>
      <c r="J265" s="20"/>
      <c r="K265" s="20"/>
      <c r="M265" s="2" t="str">
        <f>IF(ISBLANK(C265),"",IF(IFERROR(VLOOKUP(C265,DB_materiali!$A$2:$A$5000,1,FALSE),"Kļūda artikulā")=C265,"✔",tulkojums!A$42))</f>
        <v/>
      </c>
      <c r="N265" s="2" t="str">
        <f>IF(ISBLANK(C265),"",IF(ISNUMBER(F265)=TRUE,"✔",tulkojums!A$43))</f>
        <v/>
      </c>
      <c r="O265" s="2" t="str">
        <f>IF(ISBLANK(C265),"",IF(G265="Y","✔",IF(G265="X","✔",IF(G265="N","✔",tulkojums!A$44))))</f>
        <v/>
      </c>
      <c r="P265" s="2" t="str">
        <f>IF(ISBLANK(H265),"",IF(INDEX(DB_materiali!$E$2:$E$5000,MATCH($C265,DB_materiali!$A$2:$A$5000,0))&gt;=INDEX(DB_malas!$C$2:$C$5000,MATCH(H265,DB_malas!$A$2:$A$5000,0)),IF(INDEX(DB_materiali!$E$2:$E$5000,MATCH($C265,DB_materiali!$A$2:$A$5000,0))&lt;=INDEX(DB_malas!$D$2:$D$5000,MATCH(H265,DB_malas!$A$2:$A$5000,0)),IF(OR(INDEX(DB_materiali!$B$2:$B$5000,MATCH($C265,DB_materiali!$A$2:$A$5000,0))=INDEX(DB_malas!$B$2:$B$5000,MATCH(H265,DB_malas!$A$2:$A$5000,0)),$H265="ORG"),"✔",tulkojums!$A$38),tulkojums!$A$39),tulkojums!$A$39))</f>
        <v/>
      </c>
      <c r="Q265" s="2" t="str">
        <f>IF(ISBLANK(I265),"",IF(INDEX(DB_materiali!$E$2:$E$5000,MATCH($C265,DB_materiali!$A$2:$A$5000,0))&gt;=INDEX(DB_malas!$C$2:$C$5000,MATCH(I265,DB_malas!$A$2:$A$5000,0)),IF(INDEX(DB_materiali!$E$2:$E$5000,MATCH($C265,DB_materiali!$A$2:$A$5000,0))&lt;=INDEX(DB_malas!$D$2:$D$5000,MATCH(I265,DB_malas!$A$2:$A$5000,0)),IF(OR(INDEX(DB_materiali!$B$2:$B$5000,MATCH($C265,DB_materiali!$A$2:$A$5000,0))=INDEX(DB_malas!$B$2:$B$5000,MATCH(I265,DB_malas!$A$2:$A$5000,0)),$H265="ORG"),"✔",tulkojums!$A$38),tulkojums!$A$39),tulkojums!$A$39))</f>
        <v/>
      </c>
      <c r="R265" s="2" t="str">
        <f>IF(ISBLANK(J265),"",IF(INDEX(DB_materiali!$E$2:$E$5000,MATCH($C265,DB_materiali!$A$2:$A$5000,0))&gt;=INDEX(DB_malas!$C$2:$C$5000,MATCH(J265,DB_malas!$A$2:$A$5000,0)),IF(INDEX(DB_materiali!$E$2:$E$5000,MATCH($C265,DB_materiali!$A$2:$A$5000,0))&lt;=INDEX(DB_malas!$D$2:$D$5000,MATCH(J265,DB_malas!$A$2:$A$5000,0)),IF(INDEX(DB_materiali!$B$2:$B$5000,MATCH($C265,DB_materiali!$A$2:$A$5000,0))=INDEX(DB_malas!$B$2:$B$5000,MATCH(J265,DB_malas!$A$2:$A$5000,0)),"✔",tulkojums!$A$38),tulkojums!$A$39),tulkojums!$A$39))</f>
        <v/>
      </c>
      <c r="S265" s="2" t="str">
        <f>IF(ISBLANK(K265),"",IF(INDEX(DB_materiali!$E$2:$E$5000,MATCH($C265,DB_materiali!$A$2:$A$5000,0))&gt;=INDEX(DB_malas!$C$2:$C$5000,MATCH(K265,DB_malas!$A$2:$A$5000,0)),IF(INDEX(DB_materiali!$E$2:$E$5000,MATCH($C265,DB_materiali!$A$2:$A$5000,0))&lt;=INDEX(DB_malas!$D$2:$D$5000,MATCH(K265,DB_malas!$A$2:$A$5000,0)),IF(INDEX(DB_materiali!$B$2:$B$5000,MATCH($C265,DB_materiali!$A$2:$A$5000,0))=INDEX(DB_malas!$B$2:$B$5000,MATCH(K265,DB_malas!$A$2:$A$5000,0)),"✔",tulkojums!$A$38),tulkojums!$A$39),tulkojums!$A$39))</f>
        <v/>
      </c>
      <c r="T265" s="2"/>
      <c r="U265" s="2"/>
      <c r="V265" s="2"/>
      <c r="W265" s="2"/>
      <c r="X265" s="2"/>
      <c r="Y265" s="2"/>
      <c r="Z265" s="2"/>
    </row>
    <row r="266" spans="1:26" ht="15.75" customHeight="1">
      <c r="A266" s="17"/>
      <c r="B266" s="18"/>
      <c r="C266" s="19"/>
      <c r="D266" s="55"/>
      <c r="E266" s="55"/>
      <c r="F266" s="56"/>
      <c r="G266" s="57" t="str">
        <f>IF(ISBLANK(C266),"",
   IFERROR(
      IF(
         INDEX(DB_materiali!C$2:C$5000,
               MATCH(C266, DB_materiali!A$2:A$5000, 0)
         )="FALSE",
         "N",
         "Y"
      ),
   "")
)</f>
        <v/>
      </c>
      <c r="H266" s="20"/>
      <c r="I266" s="20"/>
      <c r="J266" s="20"/>
      <c r="K266" s="20"/>
      <c r="M266" s="2" t="str">
        <f>IF(ISBLANK(C266),"",IF(IFERROR(VLOOKUP(C266,DB_materiali!$A$2:$A$5000,1,FALSE),"Kļūda artikulā")=C266,"✔",tulkojums!A$42))</f>
        <v/>
      </c>
      <c r="N266" s="2" t="str">
        <f>IF(ISBLANK(C266),"",IF(ISNUMBER(F266)=TRUE,"✔",tulkojums!A$43))</f>
        <v/>
      </c>
      <c r="O266" s="2" t="str">
        <f>IF(ISBLANK(C266),"",IF(G266="Y","✔",IF(G266="X","✔",IF(G266="N","✔",tulkojums!A$44))))</f>
        <v/>
      </c>
      <c r="P266" s="2" t="str">
        <f>IF(ISBLANK(H266),"",IF(INDEX(DB_materiali!$E$2:$E$5000,MATCH($C266,DB_materiali!$A$2:$A$5000,0))&gt;=INDEX(DB_malas!$C$2:$C$5000,MATCH(H266,DB_malas!$A$2:$A$5000,0)),IF(INDEX(DB_materiali!$E$2:$E$5000,MATCH($C266,DB_materiali!$A$2:$A$5000,0))&lt;=INDEX(DB_malas!$D$2:$D$5000,MATCH(H266,DB_malas!$A$2:$A$5000,0)),IF(OR(INDEX(DB_materiali!$B$2:$B$5000,MATCH($C266,DB_materiali!$A$2:$A$5000,0))=INDEX(DB_malas!$B$2:$B$5000,MATCH(H266,DB_malas!$A$2:$A$5000,0)),$H266="ORG"),"✔",tulkojums!$A$38),tulkojums!$A$39),tulkojums!$A$39))</f>
        <v/>
      </c>
      <c r="Q266" s="2" t="str">
        <f>IF(ISBLANK(I266),"",IF(INDEX(DB_materiali!$E$2:$E$5000,MATCH($C266,DB_materiali!$A$2:$A$5000,0))&gt;=INDEX(DB_malas!$C$2:$C$5000,MATCH(I266,DB_malas!$A$2:$A$5000,0)),IF(INDEX(DB_materiali!$E$2:$E$5000,MATCH($C266,DB_materiali!$A$2:$A$5000,0))&lt;=INDEX(DB_malas!$D$2:$D$5000,MATCH(I266,DB_malas!$A$2:$A$5000,0)),IF(OR(INDEX(DB_materiali!$B$2:$B$5000,MATCH($C266,DB_materiali!$A$2:$A$5000,0))=INDEX(DB_malas!$B$2:$B$5000,MATCH(I266,DB_malas!$A$2:$A$5000,0)),$H266="ORG"),"✔",tulkojums!$A$38),tulkojums!$A$39),tulkojums!$A$39))</f>
        <v/>
      </c>
      <c r="R266" s="2" t="str">
        <f>IF(ISBLANK(J266),"",IF(INDEX(DB_materiali!$E$2:$E$5000,MATCH($C266,DB_materiali!$A$2:$A$5000,0))&gt;=INDEX(DB_malas!$C$2:$C$5000,MATCH(J266,DB_malas!$A$2:$A$5000,0)),IF(INDEX(DB_materiali!$E$2:$E$5000,MATCH($C266,DB_materiali!$A$2:$A$5000,0))&lt;=INDEX(DB_malas!$D$2:$D$5000,MATCH(J266,DB_malas!$A$2:$A$5000,0)),IF(INDEX(DB_materiali!$B$2:$B$5000,MATCH($C266,DB_materiali!$A$2:$A$5000,0))=INDEX(DB_malas!$B$2:$B$5000,MATCH(J266,DB_malas!$A$2:$A$5000,0)),"✔",tulkojums!$A$38),tulkojums!$A$39),tulkojums!$A$39))</f>
        <v/>
      </c>
      <c r="S266" s="2" t="str">
        <f>IF(ISBLANK(K266),"",IF(INDEX(DB_materiali!$E$2:$E$5000,MATCH($C266,DB_materiali!$A$2:$A$5000,0))&gt;=INDEX(DB_malas!$C$2:$C$5000,MATCH(K266,DB_malas!$A$2:$A$5000,0)),IF(INDEX(DB_materiali!$E$2:$E$5000,MATCH($C266,DB_materiali!$A$2:$A$5000,0))&lt;=INDEX(DB_malas!$D$2:$D$5000,MATCH(K266,DB_malas!$A$2:$A$5000,0)),IF(INDEX(DB_materiali!$B$2:$B$5000,MATCH($C266,DB_materiali!$A$2:$A$5000,0))=INDEX(DB_malas!$B$2:$B$5000,MATCH(K266,DB_malas!$A$2:$A$5000,0)),"✔",tulkojums!$A$38),tulkojums!$A$39),tulkojums!$A$39))</f>
        <v/>
      </c>
      <c r="T266" s="2"/>
      <c r="U266" s="2"/>
      <c r="V266" s="2"/>
      <c r="W266" s="2"/>
      <c r="X266" s="2"/>
      <c r="Y266" s="2"/>
      <c r="Z266" s="2"/>
    </row>
    <row r="267" spans="1:26" ht="15.75" customHeight="1">
      <c r="A267" s="17"/>
      <c r="B267" s="18"/>
      <c r="C267" s="19"/>
      <c r="D267" s="55"/>
      <c r="E267" s="55"/>
      <c r="F267" s="56"/>
      <c r="G267" s="57" t="str">
        <f>IF(ISBLANK(C267),"",
   IFERROR(
      IF(
         INDEX(DB_materiali!C$2:C$5000,
               MATCH(C267, DB_materiali!A$2:A$5000, 0)
         )="FALSE",
         "N",
         "Y"
      ),
   "")
)</f>
        <v/>
      </c>
      <c r="H267" s="20"/>
      <c r="I267" s="20"/>
      <c r="J267" s="20"/>
      <c r="K267" s="20"/>
      <c r="M267" s="2" t="str">
        <f>IF(ISBLANK(C267),"",IF(IFERROR(VLOOKUP(C267,DB_materiali!$A$2:$A$5000,1,FALSE),"Kļūda artikulā")=C267,"✔",tulkojums!A$42))</f>
        <v/>
      </c>
      <c r="N267" s="2" t="str">
        <f>IF(ISBLANK(C267),"",IF(ISNUMBER(F267)=TRUE,"✔",tulkojums!A$43))</f>
        <v/>
      </c>
      <c r="O267" s="2" t="str">
        <f>IF(ISBLANK(C267),"",IF(G267="Y","✔",IF(G267="X","✔",IF(G267="N","✔",tulkojums!A$44))))</f>
        <v/>
      </c>
      <c r="P267" s="2" t="str">
        <f>IF(ISBLANK(H267),"",IF(INDEX(DB_materiali!$E$2:$E$5000,MATCH($C267,DB_materiali!$A$2:$A$5000,0))&gt;=INDEX(DB_malas!$C$2:$C$5000,MATCH(H267,DB_malas!$A$2:$A$5000,0)),IF(INDEX(DB_materiali!$E$2:$E$5000,MATCH($C267,DB_materiali!$A$2:$A$5000,0))&lt;=INDEX(DB_malas!$D$2:$D$5000,MATCH(H267,DB_malas!$A$2:$A$5000,0)),IF(OR(INDEX(DB_materiali!$B$2:$B$5000,MATCH($C267,DB_materiali!$A$2:$A$5000,0))=INDEX(DB_malas!$B$2:$B$5000,MATCH(H267,DB_malas!$A$2:$A$5000,0)),$H267="ORG"),"✔",tulkojums!$A$38),tulkojums!$A$39),tulkojums!$A$39))</f>
        <v/>
      </c>
      <c r="Q267" s="2" t="str">
        <f>IF(ISBLANK(I267),"",IF(INDEX(DB_materiali!$E$2:$E$5000,MATCH($C267,DB_materiali!$A$2:$A$5000,0))&gt;=INDEX(DB_malas!$C$2:$C$5000,MATCH(I267,DB_malas!$A$2:$A$5000,0)),IF(INDEX(DB_materiali!$E$2:$E$5000,MATCH($C267,DB_materiali!$A$2:$A$5000,0))&lt;=INDEX(DB_malas!$D$2:$D$5000,MATCH(I267,DB_malas!$A$2:$A$5000,0)),IF(OR(INDEX(DB_materiali!$B$2:$B$5000,MATCH($C267,DB_materiali!$A$2:$A$5000,0))=INDEX(DB_malas!$B$2:$B$5000,MATCH(I267,DB_malas!$A$2:$A$5000,0)),$H267="ORG"),"✔",tulkojums!$A$38),tulkojums!$A$39),tulkojums!$A$39))</f>
        <v/>
      </c>
      <c r="R267" s="2" t="str">
        <f>IF(ISBLANK(J267),"",IF(INDEX(DB_materiali!$E$2:$E$5000,MATCH($C267,DB_materiali!$A$2:$A$5000,0))&gt;=INDEX(DB_malas!$C$2:$C$5000,MATCH(J267,DB_malas!$A$2:$A$5000,0)),IF(INDEX(DB_materiali!$E$2:$E$5000,MATCH($C267,DB_materiali!$A$2:$A$5000,0))&lt;=INDEX(DB_malas!$D$2:$D$5000,MATCH(J267,DB_malas!$A$2:$A$5000,0)),IF(INDEX(DB_materiali!$B$2:$B$5000,MATCH($C267,DB_materiali!$A$2:$A$5000,0))=INDEX(DB_malas!$B$2:$B$5000,MATCH(J267,DB_malas!$A$2:$A$5000,0)),"✔",tulkojums!$A$38),tulkojums!$A$39),tulkojums!$A$39))</f>
        <v/>
      </c>
      <c r="S267" s="2" t="str">
        <f>IF(ISBLANK(K267),"",IF(INDEX(DB_materiali!$E$2:$E$5000,MATCH($C267,DB_materiali!$A$2:$A$5000,0))&gt;=INDEX(DB_malas!$C$2:$C$5000,MATCH(K267,DB_malas!$A$2:$A$5000,0)),IF(INDEX(DB_materiali!$E$2:$E$5000,MATCH($C267,DB_materiali!$A$2:$A$5000,0))&lt;=INDEX(DB_malas!$D$2:$D$5000,MATCH(K267,DB_malas!$A$2:$A$5000,0)),IF(INDEX(DB_materiali!$B$2:$B$5000,MATCH($C267,DB_materiali!$A$2:$A$5000,0))=INDEX(DB_malas!$B$2:$B$5000,MATCH(K267,DB_malas!$A$2:$A$5000,0)),"✔",tulkojums!$A$38),tulkojums!$A$39),tulkojums!$A$39))</f>
        <v/>
      </c>
      <c r="T267" s="2"/>
      <c r="U267" s="2"/>
      <c r="V267" s="2"/>
      <c r="W267" s="2"/>
      <c r="X267" s="2"/>
      <c r="Y267" s="2"/>
      <c r="Z267" s="2"/>
    </row>
    <row r="268" spans="1:26" ht="15.75" customHeight="1">
      <c r="A268" s="17"/>
      <c r="B268" s="18"/>
      <c r="C268" s="19"/>
      <c r="D268" s="55"/>
      <c r="E268" s="55"/>
      <c r="F268" s="56"/>
      <c r="G268" s="57" t="str">
        <f>IF(ISBLANK(C268),"",
   IFERROR(
      IF(
         INDEX(DB_materiali!C$2:C$5000,
               MATCH(C268, DB_materiali!A$2:A$5000, 0)
         )="FALSE",
         "N",
         "Y"
      ),
   "")
)</f>
        <v/>
      </c>
      <c r="H268" s="20"/>
      <c r="I268" s="20"/>
      <c r="J268" s="20"/>
      <c r="K268" s="20"/>
      <c r="M268" s="2" t="str">
        <f>IF(ISBLANK(C268),"",IF(IFERROR(VLOOKUP(C268,DB_materiali!$A$2:$A$5000,1,FALSE),"Kļūda artikulā")=C268,"✔",tulkojums!A$42))</f>
        <v/>
      </c>
      <c r="N268" s="2" t="str">
        <f>IF(ISBLANK(C268),"",IF(ISNUMBER(F268)=TRUE,"✔",tulkojums!A$43))</f>
        <v/>
      </c>
      <c r="O268" s="2" t="str">
        <f>IF(ISBLANK(C268),"",IF(G268="Y","✔",IF(G268="X","✔",IF(G268="N","✔",tulkojums!A$44))))</f>
        <v/>
      </c>
      <c r="P268" s="2" t="str">
        <f>IF(ISBLANK(H268),"",IF(INDEX(DB_materiali!$E$2:$E$5000,MATCH($C268,DB_materiali!$A$2:$A$5000,0))&gt;=INDEX(DB_malas!$C$2:$C$5000,MATCH(H268,DB_malas!$A$2:$A$5000,0)),IF(INDEX(DB_materiali!$E$2:$E$5000,MATCH($C268,DB_materiali!$A$2:$A$5000,0))&lt;=INDEX(DB_malas!$D$2:$D$5000,MATCH(H268,DB_malas!$A$2:$A$5000,0)),IF(OR(INDEX(DB_materiali!$B$2:$B$5000,MATCH($C268,DB_materiali!$A$2:$A$5000,0))=INDEX(DB_malas!$B$2:$B$5000,MATCH(H268,DB_malas!$A$2:$A$5000,0)),$H268="ORG"),"✔",tulkojums!$A$38),tulkojums!$A$39),tulkojums!$A$39))</f>
        <v/>
      </c>
      <c r="Q268" s="2" t="str">
        <f>IF(ISBLANK(I268),"",IF(INDEX(DB_materiali!$E$2:$E$5000,MATCH($C268,DB_materiali!$A$2:$A$5000,0))&gt;=INDEX(DB_malas!$C$2:$C$5000,MATCH(I268,DB_malas!$A$2:$A$5000,0)),IF(INDEX(DB_materiali!$E$2:$E$5000,MATCH($C268,DB_materiali!$A$2:$A$5000,0))&lt;=INDEX(DB_malas!$D$2:$D$5000,MATCH(I268,DB_malas!$A$2:$A$5000,0)),IF(OR(INDEX(DB_materiali!$B$2:$B$5000,MATCH($C268,DB_materiali!$A$2:$A$5000,0))=INDEX(DB_malas!$B$2:$B$5000,MATCH(I268,DB_malas!$A$2:$A$5000,0)),$H268="ORG"),"✔",tulkojums!$A$38),tulkojums!$A$39),tulkojums!$A$39))</f>
        <v/>
      </c>
      <c r="R268" s="2" t="str">
        <f>IF(ISBLANK(J268),"",IF(INDEX(DB_materiali!$E$2:$E$5000,MATCH($C268,DB_materiali!$A$2:$A$5000,0))&gt;=INDEX(DB_malas!$C$2:$C$5000,MATCH(J268,DB_malas!$A$2:$A$5000,0)),IF(INDEX(DB_materiali!$E$2:$E$5000,MATCH($C268,DB_materiali!$A$2:$A$5000,0))&lt;=INDEX(DB_malas!$D$2:$D$5000,MATCH(J268,DB_malas!$A$2:$A$5000,0)),IF(INDEX(DB_materiali!$B$2:$B$5000,MATCH($C268,DB_materiali!$A$2:$A$5000,0))=INDEX(DB_malas!$B$2:$B$5000,MATCH(J268,DB_malas!$A$2:$A$5000,0)),"✔",tulkojums!$A$38),tulkojums!$A$39),tulkojums!$A$39))</f>
        <v/>
      </c>
      <c r="S268" s="2" t="str">
        <f>IF(ISBLANK(K268),"",IF(INDEX(DB_materiali!$E$2:$E$5000,MATCH($C268,DB_materiali!$A$2:$A$5000,0))&gt;=INDEX(DB_malas!$C$2:$C$5000,MATCH(K268,DB_malas!$A$2:$A$5000,0)),IF(INDEX(DB_materiali!$E$2:$E$5000,MATCH($C268,DB_materiali!$A$2:$A$5000,0))&lt;=INDEX(DB_malas!$D$2:$D$5000,MATCH(K268,DB_malas!$A$2:$A$5000,0)),IF(INDEX(DB_materiali!$B$2:$B$5000,MATCH($C268,DB_materiali!$A$2:$A$5000,0))=INDEX(DB_malas!$B$2:$B$5000,MATCH(K268,DB_malas!$A$2:$A$5000,0)),"✔",tulkojums!$A$38),tulkojums!$A$39),tulkojums!$A$39))</f>
        <v/>
      </c>
      <c r="T268" s="2"/>
      <c r="U268" s="2"/>
      <c r="V268" s="2"/>
      <c r="W268" s="2"/>
      <c r="X268" s="2"/>
      <c r="Y268" s="2"/>
      <c r="Z268" s="2"/>
    </row>
    <row r="269" spans="1:26" ht="15.75" customHeight="1">
      <c r="A269" s="17"/>
      <c r="B269" s="18"/>
      <c r="C269" s="19"/>
      <c r="D269" s="55"/>
      <c r="E269" s="55"/>
      <c r="F269" s="56"/>
      <c r="G269" s="57" t="str">
        <f>IF(ISBLANK(C269),"",
   IFERROR(
      IF(
         INDEX(DB_materiali!C$2:C$5000,
               MATCH(C269, DB_materiali!A$2:A$5000, 0)
         )="FALSE",
         "N",
         "Y"
      ),
   "")
)</f>
        <v/>
      </c>
      <c r="H269" s="20"/>
      <c r="I269" s="20"/>
      <c r="J269" s="20"/>
      <c r="K269" s="20"/>
      <c r="M269" s="2" t="str">
        <f>IF(ISBLANK(C269),"",IF(IFERROR(VLOOKUP(C269,DB_materiali!$A$2:$A$5000,1,FALSE),"Kļūda artikulā")=C269,"✔",tulkojums!A$42))</f>
        <v/>
      </c>
      <c r="N269" s="2" t="str">
        <f>IF(ISBLANK(C269),"",IF(ISNUMBER(F269)=TRUE,"✔",tulkojums!A$43))</f>
        <v/>
      </c>
      <c r="O269" s="2" t="str">
        <f>IF(ISBLANK(C269),"",IF(G269="Y","✔",IF(G269="X","✔",IF(G269="N","✔",tulkojums!A$44))))</f>
        <v/>
      </c>
      <c r="P269" s="2" t="str">
        <f>IF(ISBLANK(H269),"",IF(INDEX(DB_materiali!$E$2:$E$5000,MATCH($C269,DB_materiali!$A$2:$A$5000,0))&gt;=INDEX(DB_malas!$C$2:$C$5000,MATCH(H269,DB_malas!$A$2:$A$5000,0)),IF(INDEX(DB_materiali!$E$2:$E$5000,MATCH($C269,DB_materiali!$A$2:$A$5000,0))&lt;=INDEX(DB_malas!$D$2:$D$5000,MATCH(H269,DB_malas!$A$2:$A$5000,0)),IF(OR(INDEX(DB_materiali!$B$2:$B$5000,MATCH($C269,DB_materiali!$A$2:$A$5000,0))=INDEX(DB_malas!$B$2:$B$5000,MATCH(H269,DB_malas!$A$2:$A$5000,0)),$H269="ORG"),"✔",tulkojums!$A$38),tulkojums!$A$39),tulkojums!$A$39))</f>
        <v/>
      </c>
      <c r="Q269" s="2" t="str">
        <f>IF(ISBLANK(I269),"",IF(INDEX(DB_materiali!$E$2:$E$5000,MATCH($C269,DB_materiali!$A$2:$A$5000,0))&gt;=INDEX(DB_malas!$C$2:$C$5000,MATCH(I269,DB_malas!$A$2:$A$5000,0)),IF(INDEX(DB_materiali!$E$2:$E$5000,MATCH($C269,DB_materiali!$A$2:$A$5000,0))&lt;=INDEX(DB_malas!$D$2:$D$5000,MATCH(I269,DB_malas!$A$2:$A$5000,0)),IF(OR(INDEX(DB_materiali!$B$2:$B$5000,MATCH($C269,DB_materiali!$A$2:$A$5000,0))=INDEX(DB_malas!$B$2:$B$5000,MATCH(I269,DB_malas!$A$2:$A$5000,0)),$H269="ORG"),"✔",tulkojums!$A$38),tulkojums!$A$39),tulkojums!$A$39))</f>
        <v/>
      </c>
      <c r="R269" s="2" t="str">
        <f>IF(ISBLANK(J269),"",IF(INDEX(DB_materiali!$E$2:$E$5000,MATCH($C269,DB_materiali!$A$2:$A$5000,0))&gt;=INDEX(DB_malas!$C$2:$C$5000,MATCH(J269,DB_malas!$A$2:$A$5000,0)),IF(INDEX(DB_materiali!$E$2:$E$5000,MATCH($C269,DB_materiali!$A$2:$A$5000,0))&lt;=INDEX(DB_malas!$D$2:$D$5000,MATCH(J269,DB_malas!$A$2:$A$5000,0)),IF(INDEX(DB_materiali!$B$2:$B$5000,MATCH($C269,DB_materiali!$A$2:$A$5000,0))=INDEX(DB_malas!$B$2:$B$5000,MATCH(J269,DB_malas!$A$2:$A$5000,0)),"✔",tulkojums!$A$38),tulkojums!$A$39),tulkojums!$A$39))</f>
        <v/>
      </c>
      <c r="S269" s="2" t="str">
        <f>IF(ISBLANK(K269),"",IF(INDEX(DB_materiali!$E$2:$E$5000,MATCH($C269,DB_materiali!$A$2:$A$5000,0))&gt;=INDEX(DB_malas!$C$2:$C$5000,MATCH(K269,DB_malas!$A$2:$A$5000,0)),IF(INDEX(DB_materiali!$E$2:$E$5000,MATCH($C269,DB_materiali!$A$2:$A$5000,0))&lt;=INDEX(DB_malas!$D$2:$D$5000,MATCH(K269,DB_malas!$A$2:$A$5000,0)),IF(INDEX(DB_materiali!$B$2:$B$5000,MATCH($C269,DB_materiali!$A$2:$A$5000,0))=INDEX(DB_malas!$B$2:$B$5000,MATCH(K269,DB_malas!$A$2:$A$5000,0)),"✔",tulkojums!$A$38),tulkojums!$A$39),tulkojums!$A$39))</f>
        <v/>
      </c>
      <c r="T269" s="2"/>
      <c r="U269" s="2"/>
      <c r="V269" s="2"/>
      <c r="W269" s="2"/>
      <c r="X269" s="2"/>
      <c r="Y269" s="2"/>
      <c r="Z269" s="2"/>
    </row>
    <row r="270" spans="1:26" ht="15.75" customHeight="1">
      <c r="A270" s="17"/>
      <c r="B270" s="18"/>
      <c r="C270" s="19"/>
      <c r="D270" s="55"/>
      <c r="E270" s="55"/>
      <c r="F270" s="56"/>
      <c r="G270" s="57" t="str">
        <f>IF(ISBLANK(C270),"",
   IFERROR(
      IF(
         INDEX(DB_materiali!C$2:C$5000,
               MATCH(C270, DB_materiali!A$2:A$5000, 0)
         )="FALSE",
         "N",
         "Y"
      ),
   "")
)</f>
        <v/>
      </c>
      <c r="H270" s="20"/>
      <c r="I270" s="20"/>
      <c r="J270" s="20"/>
      <c r="K270" s="20"/>
      <c r="M270" s="2" t="str">
        <f>IF(ISBLANK(C270),"",IF(IFERROR(VLOOKUP(C270,DB_materiali!$A$2:$A$5000,1,FALSE),"Kļūda artikulā")=C270,"✔",tulkojums!A$42))</f>
        <v/>
      </c>
      <c r="N270" s="2" t="str">
        <f>IF(ISBLANK(C270),"",IF(ISNUMBER(F270)=TRUE,"✔",tulkojums!A$43))</f>
        <v/>
      </c>
      <c r="O270" s="2" t="str">
        <f>IF(ISBLANK(C270),"",IF(G270="Y","✔",IF(G270="X","✔",IF(G270="N","✔",tulkojums!A$44))))</f>
        <v/>
      </c>
      <c r="P270" s="2" t="str">
        <f>IF(ISBLANK(H270),"",IF(INDEX(DB_materiali!$E$2:$E$5000,MATCH($C270,DB_materiali!$A$2:$A$5000,0))&gt;=INDEX(DB_malas!$C$2:$C$5000,MATCH(H270,DB_malas!$A$2:$A$5000,0)),IF(INDEX(DB_materiali!$E$2:$E$5000,MATCH($C270,DB_materiali!$A$2:$A$5000,0))&lt;=INDEX(DB_malas!$D$2:$D$5000,MATCH(H270,DB_malas!$A$2:$A$5000,0)),IF(OR(INDEX(DB_materiali!$B$2:$B$5000,MATCH($C270,DB_materiali!$A$2:$A$5000,0))=INDEX(DB_malas!$B$2:$B$5000,MATCH(H270,DB_malas!$A$2:$A$5000,0)),$H270="ORG"),"✔",tulkojums!$A$38),tulkojums!$A$39),tulkojums!$A$39))</f>
        <v/>
      </c>
      <c r="Q270" s="2" t="str">
        <f>IF(ISBLANK(I270),"",IF(INDEX(DB_materiali!$E$2:$E$5000,MATCH($C270,DB_materiali!$A$2:$A$5000,0))&gt;=INDEX(DB_malas!$C$2:$C$5000,MATCH(I270,DB_malas!$A$2:$A$5000,0)),IF(INDEX(DB_materiali!$E$2:$E$5000,MATCH($C270,DB_materiali!$A$2:$A$5000,0))&lt;=INDEX(DB_malas!$D$2:$D$5000,MATCH(I270,DB_malas!$A$2:$A$5000,0)),IF(OR(INDEX(DB_materiali!$B$2:$B$5000,MATCH($C270,DB_materiali!$A$2:$A$5000,0))=INDEX(DB_malas!$B$2:$B$5000,MATCH(I270,DB_malas!$A$2:$A$5000,0)),$H270="ORG"),"✔",tulkojums!$A$38),tulkojums!$A$39),tulkojums!$A$39))</f>
        <v/>
      </c>
      <c r="R270" s="2" t="str">
        <f>IF(ISBLANK(J270),"",IF(INDEX(DB_materiali!$E$2:$E$5000,MATCH($C270,DB_materiali!$A$2:$A$5000,0))&gt;=INDEX(DB_malas!$C$2:$C$5000,MATCH(J270,DB_malas!$A$2:$A$5000,0)),IF(INDEX(DB_materiali!$E$2:$E$5000,MATCH($C270,DB_materiali!$A$2:$A$5000,0))&lt;=INDEX(DB_malas!$D$2:$D$5000,MATCH(J270,DB_malas!$A$2:$A$5000,0)),IF(INDEX(DB_materiali!$B$2:$B$5000,MATCH($C270,DB_materiali!$A$2:$A$5000,0))=INDEX(DB_malas!$B$2:$B$5000,MATCH(J270,DB_malas!$A$2:$A$5000,0)),"✔",tulkojums!$A$38),tulkojums!$A$39),tulkojums!$A$39))</f>
        <v/>
      </c>
      <c r="S270" s="2" t="str">
        <f>IF(ISBLANK(K270),"",IF(INDEX(DB_materiali!$E$2:$E$5000,MATCH($C270,DB_materiali!$A$2:$A$5000,0))&gt;=INDEX(DB_malas!$C$2:$C$5000,MATCH(K270,DB_malas!$A$2:$A$5000,0)),IF(INDEX(DB_materiali!$E$2:$E$5000,MATCH($C270,DB_materiali!$A$2:$A$5000,0))&lt;=INDEX(DB_malas!$D$2:$D$5000,MATCH(K270,DB_malas!$A$2:$A$5000,0)),IF(INDEX(DB_materiali!$B$2:$B$5000,MATCH($C270,DB_materiali!$A$2:$A$5000,0))=INDEX(DB_malas!$B$2:$B$5000,MATCH(K270,DB_malas!$A$2:$A$5000,0)),"✔",tulkojums!$A$38),tulkojums!$A$39),tulkojums!$A$39))</f>
        <v/>
      </c>
      <c r="T270" s="2"/>
      <c r="U270" s="2"/>
      <c r="V270" s="2"/>
      <c r="W270" s="2"/>
      <c r="X270" s="2"/>
      <c r="Y270" s="2"/>
      <c r="Z270" s="2"/>
    </row>
    <row r="271" spans="1:26" ht="15.75" customHeight="1">
      <c r="A271" s="17"/>
      <c r="B271" s="18"/>
      <c r="C271" s="19"/>
      <c r="D271" s="55"/>
      <c r="E271" s="55"/>
      <c r="F271" s="56"/>
      <c r="G271" s="57" t="str">
        <f>IF(ISBLANK(C271),"",
   IFERROR(
      IF(
         INDEX(DB_materiali!C$2:C$5000,
               MATCH(C271, DB_materiali!A$2:A$5000, 0)
         )="FALSE",
         "N",
         "Y"
      ),
   "")
)</f>
        <v/>
      </c>
      <c r="H271" s="20"/>
      <c r="I271" s="20"/>
      <c r="J271" s="20"/>
      <c r="K271" s="20"/>
      <c r="M271" s="2" t="str">
        <f>IF(ISBLANK(C271),"",IF(IFERROR(VLOOKUP(C271,DB_materiali!$A$2:$A$5000,1,FALSE),"Kļūda artikulā")=C271,"✔",tulkojums!A$42))</f>
        <v/>
      </c>
      <c r="N271" s="2" t="str">
        <f>IF(ISBLANK(C271),"",IF(ISNUMBER(F271)=TRUE,"✔",tulkojums!A$43))</f>
        <v/>
      </c>
      <c r="O271" s="2" t="str">
        <f>IF(ISBLANK(C271),"",IF(G271="Y","✔",IF(G271="X","✔",IF(G271="N","✔",tulkojums!A$44))))</f>
        <v/>
      </c>
      <c r="P271" s="2" t="str">
        <f>IF(ISBLANK(H271),"",IF(INDEX(DB_materiali!$E$2:$E$5000,MATCH($C271,DB_materiali!$A$2:$A$5000,0))&gt;=INDEX(DB_malas!$C$2:$C$5000,MATCH(H271,DB_malas!$A$2:$A$5000,0)),IF(INDEX(DB_materiali!$E$2:$E$5000,MATCH($C271,DB_materiali!$A$2:$A$5000,0))&lt;=INDEX(DB_malas!$D$2:$D$5000,MATCH(H271,DB_malas!$A$2:$A$5000,0)),IF(OR(INDEX(DB_materiali!$B$2:$B$5000,MATCH($C271,DB_materiali!$A$2:$A$5000,0))=INDEX(DB_malas!$B$2:$B$5000,MATCH(H271,DB_malas!$A$2:$A$5000,0)),$H271="ORG"),"✔",tulkojums!$A$38),tulkojums!$A$39),tulkojums!$A$39))</f>
        <v/>
      </c>
      <c r="Q271" s="2" t="str">
        <f>IF(ISBLANK(I271),"",IF(INDEX(DB_materiali!$E$2:$E$5000,MATCH($C271,DB_materiali!$A$2:$A$5000,0))&gt;=INDEX(DB_malas!$C$2:$C$5000,MATCH(I271,DB_malas!$A$2:$A$5000,0)),IF(INDEX(DB_materiali!$E$2:$E$5000,MATCH($C271,DB_materiali!$A$2:$A$5000,0))&lt;=INDEX(DB_malas!$D$2:$D$5000,MATCH(I271,DB_malas!$A$2:$A$5000,0)),IF(OR(INDEX(DB_materiali!$B$2:$B$5000,MATCH($C271,DB_materiali!$A$2:$A$5000,0))=INDEX(DB_malas!$B$2:$B$5000,MATCH(I271,DB_malas!$A$2:$A$5000,0)),$H271="ORG"),"✔",tulkojums!$A$38),tulkojums!$A$39),tulkojums!$A$39))</f>
        <v/>
      </c>
      <c r="R271" s="2" t="str">
        <f>IF(ISBLANK(J271),"",IF(INDEX(DB_materiali!$E$2:$E$5000,MATCH($C271,DB_materiali!$A$2:$A$5000,0))&gt;=INDEX(DB_malas!$C$2:$C$5000,MATCH(J271,DB_malas!$A$2:$A$5000,0)),IF(INDEX(DB_materiali!$E$2:$E$5000,MATCH($C271,DB_materiali!$A$2:$A$5000,0))&lt;=INDEX(DB_malas!$D$2:$D$5000,MATCH(J271,DB_malas!$A$2:$A$5000,0)),IF(INDEX(DB_materiali!$B$2:$B$5000,MATCH($C271,DB_materiali!$A$2:$A$5000,0))=INDEX(DB_malas!$B$2:$B$5000,MATCH(J271,DB_malas!$A$2:$A$5000,0)),"✔",tulkojums!$A$38),tulkojums!$A$39),tulkojums!$A$39))</f>
        <v/>
      </c>
      <c r="S271" s="2" t="str">
        <f>IF(ISBLANK(K271),"",IF(INDEX(DB_materiali!$E$2:$E$5000,MATCH($C271,DB_materiali!$A$2:$A$5000,0))&gt;=INDEX(DB_malas!$C$2:$C$5000,MATCH(K271,DB_malas!$A$2:$A$5000,0)),IF(INDEX(DB_materiali!$E$2:$E$5000,MATCH($C271,DB_materiali!$A$2:$A$5000,0))&lt;=INDEX(DB_malas!$D$2:$D$5000,MATCH(K271,DB_malas!$A$2:$A$5000,0)),IF(INDEX(DB_materiali!$B$2:$B$5000,MATCH($C271,DB_materiali!$A$2:$A$5000,0))=INDEX(DB_malas!$B$2:$B$5000,MATCH(K271,DB_malas!$A$2:$A$5000,0)),"✔",tulkojums!$A$38),tulkojums!$A$39),tulkojums!$A$39))</f>
        <v/>
      </c>
      <c r="T271" s="2"/>
      <c r="U271" s="2"/>
      <c r="V271" s="2"/>
      <c r="W271" s="2"/>
      <c r="X271" s="2"/>
      <c r="Y271" s="2"/>
      <c r="Z271" s="2"/>
    </row>
    <row r="272" spans="1:26" ht="15.75" customHeight="1">
      <c r="A272" s="17"/>
      <c r="B272" s="18"/>
      <c r="C272" s="19"/>
      <c r="D272" s="55"/>
      <c r="E272" s="55"/>
      <c r="F272" s="56"/>
      <c r="G272" s="57" t="str">
        <f>IF(ISBLANK(C272),"",
   IFERROR(
      IF(
         INDEX(DB_materiali!C$2:C$5000,
               MATCH(C272, DB_materiali!A$2:A$5000, 0)
         )="FALSE",
         "N",
         "Y"
      ),
   "")
)</f>
        <v/>
      </c>
      <c r="H272" s="20"/>
      <c r="I272" s="20"/>
      <c r="J272" s="20"/>
      <c r="K272" s="20"/>
      <c r="M272" s="2" t="str">
        <f>IF(ISBLANK(C272),"",IF(IFERROR(VLOOKUP(C272,DB_materiali!$A$2:$A$5000,1,FALSE),"Kļūda artikulā")=C272,"✔",tulkojums!A$42))</f>
        <v/>
      </c>
      <c r="N272" s="2" t="str">
        <f>IF(ISBLANK(C272),"",IF(ISNUMBER(F272)=TRUE,"✔",tulkojums!A$43))</f>
        <v/>
      </c>
      <c r="O272" s="2" t="str">
        <f>IF(ISBLANK(C272),"",IF(G272="Y","✔",IF(G272="X","✔",IF(G272="N","✔",tulkojums!A$44))))</f>
        <v/>
      </c>
      <c r="P272" s="2" t="str">
        <f>IF(ISBLANK(H272),"",IF(INDEX(DB_materiali!$E$2:$E$5000,MATCH($C272,DB_materiali!$A$2:$A$5000,0))&gt;=INDEX(DB_malas!$C$2:$C$5000,MATCH(H272,DB_malas!$A$2:$A$5000,0)),IF(INDEX(DB_materiali!$E$2:$E$5000,MATCH($C272,DB_materiali!$A$2:$A$5000,0))&lt;=INDEX(DB_malas!$D$2:$D$5000,MATCH(H272,DB_malas!$A$2:$A$5000,0)),IF(OR(INDEX(DB_materiali!$B$2:$B$5000,MATCH($C272,DB_materiali!$A$2:$A$5000,0))=INDEX(DB_malas!$B$2:$B$5000,MATCH(H272,DB_malas!$A$2:$A$5000,0)),$H272="ORG"),"✔",tulkojums!$A$38),tulkojums!$A$39),tulkojums!$A$39))</f>
        <v/>
      </c>
      <c r="Q272" s="2" t="str">
        <f>IF(ISBLANK(I272),"",IF(INDEX(DB_materiali!$E$2:$E$5000,MATCH($C272,DB_materiali!$A$2:$A$5000,0))&gt;=INDEX(DB_malas!$C$2:$C$5000,MATCH(I272,DB_malas!$A$2:$A$5000,0)),IF(INDEX(DB_materiali!$E$2:$E$5000,MATCH($C272,DB_materiali!$A$2:$A$5000,0))&lt;=INDEX(DB_malas!$D$2:$D$5000,MATCH(I272,DB_malas!$A$2:$A$5000,0)),IF(OR(INDEX(DB_materiali!$B$2:$B$5000,MATCH($C272,DB_materiali!$A$2:$A$5000,0))=INDEX(DB_malas!$B$2:$B$5000,MATCH(I272,DB_malas!$A$2:$A$5000,0)),$H272="ORG"),"✔",tulkojums!$A$38),tulkojums!$A$39),tulkojums!$A$39))</f>
        <v/>
      </c>
      <c r="R272" s="2" t="str">
        <f>IF(ISBLANK(J272),"",IF(INDEX(DB_materiali!$E$2:$E$5000,MATCH($C272,DB_materiali!$A$2:$A$5000,0))&gt;=INDEX(DB_malas!$C$2:$C$5000,MATCH(J272,DB_malas!$A$2:$A$5000,0)),IF(INDEX(DB_materiali!$E$2:$E$5000,MATCH($C272,DB_materiali!$A$2:$A$5000,0))&lt;=INDEX(DB_malas!$D$2:$D$5000,MATCH(J272,DB_malas!$A$2:$A$5000,0)),IF(INDEX(DB_materiali!$B$2:$B$5000,MATCH($C272,DB_materiali!$A$2:$A$5000,0))=INDEX(DB_malas!$B$2:$B$5000,MATCH(J272,DB_malas!$A$2:$A$5000,0)),"✔",tulkojums!$A$38),tulkojums!$A$39),tulkojums!$A$39))</f>
        <v/>
      </c>
      <c r="S272" s="2" t="str">
        <f>IF(ISBLANK(K272),"",IF(INDEX(DB_materiali!$E$2:$E$5000,MATCH($C272,DB_materiali!$A$2:$A$5000,0))&gt;=INDEX(DB_malas!$C$2:$C$5000,MATCH(K272,DB_malas!$A$2:$A$5000,0)),IF(INDEX(DB_materiali!$E$2:$E$5000,MATCH($C272,DB_materiali!$A$2:$A$5000,0))&lt;=INDEX(DB_malas!$D$2:$D$5000,MATCH(K272,DB_malas!$A$2:$A$5000,0)),IF(INDEX(DB_materiali!$B$2:$B$5000,MATCH($C272,DB_materiali!$A$2:$A$5000,0))=INDEX(DB_malas!$B$2:$B$5000,MATCH(K272,DB_malas!$A$2:$A$5000,0)),"✔",tulkojums!$A$38),tulkojums!$A$39),tulkojums!$A$39))</f>
        <v/>
      </c>
      <c r="T272" s="2"/>
      <c r="U272" s="2"/>
      <c r="V272" s="2"/>
      <c r="W272" s="2"/>
      <c r="X272" s="2"/>
      <c r="Y272" s="2"/>
      <c r="Z272" s="2"/>
    </row>
    <row r="273" spans="1:26" ht="15.75" customHeight="1">
      <c r="A273" s="17"/>
      <c r="B273" s="18"/>
      <c r="C273" s="19"/>
      <c r="D273" s="55"/>
      <c r="E273" s="55"/>
      <c r="F273" s="56"/>
      <c r="G273" s="57" t="str">
        <f>IF(ISBLANK(C273),"",
   IFERROR(
      IF(
         INDEX(DB_materiali!C$2:C$5000,
               MATCH(C273, DB_materiali!A$2:A$5000, 0)
         )="FALSE",
         "N",
         "Y"
      ),
   "")
)</f>
        <v/>
      </c>
      <c r="H273" s="20"/>
      <c r="I273" s="20"/>
      <c r="J273" s="20"/>
      <c r="K273" s="20"/>
      <c r="M273" s="2" t="str">
        <f>IF(ISBLANK(C273),"",IF(IFERROR(VLOOKUP(C273,DB_materiali!$A$2:$A$5000,1,FALSE),"Kļūda artikulā")=C273,"✔",tulkojums!A$42))</f>
        <v/>
      </c>
      <c r="N273" s="2" t="str">
        <f>IF(ISBLANK(C273),"",IF(ISNUMBER(F273)=TRUE,"✔",tulkojums!A$43))</f>
        <v/>
      </c>
      <c r="O273" s="2" t="str">
        <f>IF(ISBLANK(C273),"",IF(G273="Y","✔",IF(G273="X","✔",IF(G273="N","✔",tulkojums!A$44))))</f>
        <v/>
      </c>
      <c r="P273" s="2" t="str">
        <f>IF(ISBLANK(H273),"",IF(INDEX(DB_materiali!$E$2:$E$5000,MATCH($C273,DB_materiali!$A$2:$A$5000,0))&gt;=INDEX(DB_malas!$C$2:$C$5000,MATCH(H273,DB_malas!$A$2:$A$5000,0)),IF(INDEX(DB_materiali!$E$2:$E$5000,MATCH($C273,DB_materiali!$A$2:$A$5000,0))&lt;=INDEX(DB_malas!$D$2:$D$5000,MATCH(H273,DB_malas!$A$2:$A$5000,0)),IF(OR(INDEX(DB_materiali!$B$2:$B$5000,MATCH($C273,DB_materiali!$A$2:$A$5000,0))=INDEX(DB_malas!$B$2:$B$5000,MATCH(H273,DB_malas!$A$2:$A$5000,0)),$H273="ORG"),"✔",tulkojums!$A$38),tulkojums!$A$39),tulkojums!$A$39))</f>
        <v/>
      </c>
      <c r="Q273" s="2" t="str">
        <f>IF(ISBLANK(I273),"",IF(INDEX(DB_materiali!$E$2:$E$5000,MATCH($C273,DB_materiali!$A$2:$A$5000,0))&gt;=INDEX(DB_malas!$C$2:$C$5000,MATCH(I273,DB_malas!$A$2:$A$5000,0)),IF(INDEX(DB_materiali!$E$2:$E$5000,MATCH($C273,DB_materiali!$A$2:$A$5000,0))&lt;=INDEX(DB_malas!$D$2:$D$5000,MATCH(I273,DB_malas!$A$2:$A$5000,0)),IF(OR(INDEX(DB_materiali!$B$2:$B$5000,MATCH($C273,DB_materiali!$A$2:$A$5000,0))=INDEX(DB_malas!$B$2:$B$5000,MATCH(I273,DB_malas!$A$2:$A$5000,0)),$H273="ORG"),"✔",tulkojums!$A$38),tulkojums!$A$39),tulkojums!$A$39))</f>
        <v/>
      </c>
      <c r="R273" s="2" t="str">
        <f>IF(ISBLANK(J273),"",IF(INDEX(DB_materiali!$E$2:$E$5000,MATCH($C273,DB_materiali!$A$2:$A$5000,0))&gt;=INDEX(DB_malas!$C$2:$C$5000,MATCH(J273,DB_malas!$A$2:$A$5000,0)),IF(INDEX(DB_materiali!$E$2:$E$5000,MATCH($C273,DB_materiali!$A$2:$A$5000,0))&lt;=INDEX(DB_malas!$D$2:$D$5000,MATCH(J273,DB_malas!$A$2:$A$5000,0)),IF(INDEX(DB_materiali!$B$2:$B$5000,MATCH($C273,DB_materiali!$A$2:$A$5000,0))=INDEX(DB_malas!$B$2:$B$5000,MATCH(J273,DB_malas!$A$2:$A$5000,0)),"✔",tulkojums!$A$38),tulkojums!$A$39),tulkojums!$A$39))</f>
        <v/>
      </c>
      <c r="S273" s="2" t="str">
        <f>IF(ISBLANK(K273),"",IF(INDEX(DB_materiali!$E$2:$E$5000,MATCH($C273,DB_materiali!$A$2:$A$5000,0))&gt;=INDEX(DB_malas!$C$2:$C$5000,MATCH(K273,DB_malas!$A$2:$A$5000,0)),IF(INDEX(DB_materiali!$E$2:$E$5000,MATCH($C273,DB_materiali!$A$2:$A$5000,0))&lt;=INDEX(DB_malas!$D$2:$D$5000,MATCH(K273,DB_malas!$A$2:$A$5000,0)),IF(INDEX(DB_materiali!$B$2:$B$5000,MATCH($C273,DB_materiali!$A$2:$A$5000,0))=INDEX(DB_malas!$B$2:$B$5000,MATCH(K273,DB_malas!$A$2:$A$5000,0)),"✔",tulkojums!$A$38),tulkojums!$A$39),tulkojums!$A$39))</f>
        <v/>
      </c>
      <c r="T273" s="2"/>
      <c r="U273" s="2"/>
      <c r="V273" s="2"/>
      <c r="W273" s="2"/>
      <c r="X273" s="2"/>
      <c r="Y273" s="2"/>
      <c r="Z273" s="2"/>
    </row>
    <row r="274" spans="1:26" ht="15.75" customHeight="1">
      <c r="A274" s="17"/>
      <c r="B274" s="18"/>
      <c r="C274" s="19"/>
      <c r="D274" s="55"/>
      <c r="E274" s="55"/>
      <c r="F274" s="56"/>
      <c r="G274" s="57" t="str">
        <f>IF(ISBLANK(C274),"",
   IFERROR(
      IF(
         INDEX(DB_materiali!C$2:C$5000,
               MATCH(C274, DB_materiali!A$2:A$5000, 0)
         )="FALSE",
         "N",
         "Y"
      ),
   "")
)</f>
        <v/>
      </c>
      <c r="H274" s="20"/>
      <c r="I274" s="20"/>
      <c r="J274" s="20"/>
      <c r="K274" s="20"/>
      <c r="M274" s="2" t="str">
        <f>IF(ISBLANK(C274),"",IF(IFERROR(VLOOKUP(C274,DB_materiali!$A$2:$A$5000,1,FALSE),"Kļūda artikulā")=C274,"✔",tulkojums!A$42))</f>
        <v/>
      </c>
      <c r="N274" s="2" t="str">
        <f>IF(ISBLANK(C274),"",IF(ISNUMBER(F274)=TRUE,"✔",tulkojums!A$43))</f>
        <v/>
      </c>
      <c r="O274" s="2" t="str">
        <f>IF(ISBLANK(C274),"",IF(G274="Y","✔",IF(G274="X","✔",IF(G274="N","✔",tulkojums!A$44))))</f>
        <v/>
      </c>
      <c r="P274" s="2" t="str">
        <f>IF(ISBLANK(H274),"",IF(INDEX(DB_materiali!$E$2:$E$5000,MATCH($C274,DB_materiali!$A$2:$A$5000,0))&gt;=INDEX(DB_malas!$C$2:$C$5000,MATCH(H274,DB_malas!$A$2:$A$5000,0)),IF(INDEX(DB_materiali!$E$2:$E$5000,MATCH($C274,DB_materiali!$A$2:$A$5000,0))&lt;=INDEX(DB_malas!$D$2:$D$5000,MATCH(H274,DB_malas!$A$2:$A$5000,0)),IF(OR(INDEX(DB_materiali!$B$2:$B$5000,MATCH($C274,DB_materiali!$A$2:$A$5000,0))=INDEX(DB_malas!$B$2:$B$5000,MATCH(H274,DB_malas!$A$2:$A$5000,0)),$H274="ORG"),"✔",tulkojums!$A$38),tulkojums!$A$39),tulkojums!$A$39))</f>
        <v/>
      </c>
      <c r="Q274" s="2" t="str">
        <f>IF(ISBLANK(I274),"",IF(INDEX(DB_materiali!$E$2:$E$5000,MATCH($C274,DB_materiali!$A$2:$A$5000,0))&gt;=INDEX(DB_malas!$C$2:$C$5000,MATCH(I274,DB_malas!$A$2:$A$5000,0)),IF(INDEX(DB_materiali!$E$2:$E$5000,MATCH($C274,DB_materiali!$A$2:$A$5000,0))&lt;=INDEX(DB_malas!$D$2:$D$5000,MATCH(I274,DB_malas!$A$2:$A$5000,0)),IF(OR(INDEX(DB_materiali!$B$2:$B$5000,MATCH($C274,DB_materiali!$A$2:$A$5000,0))=INDEX(DB_malas!$B$2:$B$5000,MATCH(I274,DB_malas!$A$2:$A$5000,0)),$H274="ORG"),"✔",tulkojums!$A$38),tulkojums!$A$39),tulkojums!$A$39))</f>
        <v/>
      </c>
      <c r="R274" s="2" t="str">
        <f>IF(ISBLANK(J274),"",IF(INDEX(DB_materiali!$E$2:$E$5000,MATCH($C274,DB_materiali!$A$2:$A$5000,0))&gt;=INDEX(DB_malas!$C$2:$C$5000,MATCH(J274,DB_malas!$A$2:$A$5000,0)),IF(INDEX(DB_materiali!$E$2:$E$5000,MATCH($C274,DB_materiali!$A$2:$A$5000,0))&lt;=INDEX(DB_malas!$D$2:$D$5000,MATCH(J274,DB_malas!$A$2:$A$5000,0)),IF(INDEX(DB_materiali!$B$2:$B$5000,MATCH($C274,DB_materiali!$A$2:$A$5000,0))=INDEX(DB_malas!$B$2:$B$5000,MATCH(J274,DB_malas!$A$2:$A$5000,0)),"✔",tulkojums!$A$38),tulkojums!$A$39),tulkojums!$A$39))</f>
        <v/>
      </c>
      <c r="S274" s="2" t="str">
        <f>IF(ISBLANK(K274),"",IF(INDEX(DB_materiali!$E$2:$E$5000,MATCH($C274,DB_materiali!$A$2:$A$5000,0))&gt;=INDEX(DB_malas!$C$2:$C$5000,MATCH(K274,DB_malas!$A$2:$A$5000,0)),IF(INDEX(DB_materiali!$E$2:$E$5000,MATCH($C274,DB_materiali!$A$2:$A$5000,0))&lt;=INDEX(DB_malas!$D$2:$D$5000,MATCH(K274,DB_malas!$A$2:$A$5000,0)),IF(INDEX(DB_materiali!$B$2:$B$5000,MATCH($C274,DB_materiali!$A$2:$A$5000,0))=INDEX(DB_malas!$B$2:$B$5000,MATCH(K274,DB_malas!$A$2:$A$5000,0)),"✔",tulkojums!$A$38),tulkojums!$A$39),tulkojums!$A$39))</f>
        <v/>
      </c>
      <c r="T274" s="2"/>
      <c r="U274" s="2"/>
      <c r="V274" s="2"/>
      <c r="W274" s="2"/>
      <c r="X274" s="2"/>
      <c r="Y274" s="2"/>
      <c r="Z274" s="2"/>
    </row>
    <row r="275" spans="1:26" ht="15.75" customHeight="1">
      <c r="A275" s="17"/>
      <c r="B275" s="18"/>
      <c r="C275" s="19"/>
      <c r="D275" s="55"/>
      <c r="E275" s="55"/>
      <c r="F275" s="56"/>
      <c r="G275" s="57" t="str">
        <f>IF(ISBLANK(C275),"",
   IFERROR(
      IF(
         INDEX(DB_materiali!C$2:C$5000,
               MATCH(C275, DB_materiali!A$2:A$5000, 0)
         )="FALSE",
         "N",
         "Y"
      ),
   "")
)</f>
        <v/>
      </c>
      <c r="H275" s="20"/>
      <c r="I275" s="20"/>
      <c r="J275" s="20"/>
      <c r="K275" s="20"/>
      <c r="M275" s="2" t="str">
        <f>IF(ISBLANK(C275),"",IF(IFERROR(VLOOKUP(C275,DB_materiali!$A$2:$A$5000,1,FALSE),"Kļūda artikulā")=C275,"✔",tulkojums!A$42))</f>
        <v/>
      </c>
      <c r="N275" s="2" t="str">
        <f>IF(ISBLANK(C275),"",IF(ISNUMBER(F275)=TRUE,"✔",tulkojums!A$43))</f>
        <v/>
      </c>
      <c r="O275" s="2" t="str">
        <f>IF(ISBLANK(C275),"",IF(G275="Y","✔",IF(G275="X","✔",IF(G275="N","✔",tulkojums!A$44))))</f>
        <v/>
      </c>
      <c r="P275" s="2" t="str">
        <f>IF(ISBLANK(H275),"",IF(INDEX(DB_materiali!$E$2:$E$5000,MATCH($C275,DB_materiali!$A$2:$A$5000,0))&gt;=INDEX(DB_malas!$C$2:$C$5000,MATCH(H275,DB_malas!$A$2:$A$5000,0)),IF(INDEX(DB_materiali!$E$2:$E$5000,MATCH($C275,DB_materiali!$A$2:$A$5000,0))&lt;=INDEX(DB_malas!$D$2:$D$5000,MATCH(H275,DB_malas!$A$2:$A$5000,0)),IF(OR(INDEX(DB_materiali!$B$2:$B$5000,MATCH($C275,DB_materiali!$A$2:$A$5000,0))=INDEX(DB_malas!$B$2:$B$5000,MATCH(H275,DB_malas!$A$2:$A$5000,0)),$H275="ORG"),"✔",tulkojums!$A$38),tulkojums!$A$39),tulkojums!$A$39))</f>
        <v/>
      </c>
      <c r="Q275" s="2" t="str">
        <f>IF(ISBLANK(I275),"",IF(INDEX(DB_materiali!$E$2:$E$5000,MATCH($C275,DB_materiali!$A$2:$A$5000,0))&gt;=INDEX(DB_malas!$C$2:$C$5000,MATCH(I275,DB_malas!$A$2:$A$5000,0)),IF(INDEX(DB_materiali!$E$2:$E$5000,MATCH($C275,DB_materiali!$A$2:$A$5000,0))&lt;=INDEX(DB_malas!$D$2:$D$5000,MATCH(I275,DB_malas!$A$2:$A$5000,0)),IF(OR(INDEX(DB_materiali!$B$2:$B$5000,MATCH($C275,DB_materiali!$A$2:$A$5000,0))=INDEX(DB_malas!$B$2:$B$5000,MATCH(I275,DB_malas!$A$2:$A$5000,0)),$H275="ORG"),"✔",tulkojums!$A$38),tulkojums!$A$39),tulkojums!$A$39))</f>
        <v/>
      </c>
      <c r="R275" s="2" t="str">
        <f>IF(ISBLANK(J275),"",IF(INDEX(DB_materiali!$E$2:$E$5000,MATCH($C275,DB_materiali!$A$2:$A$5000,0))&gt;=INDEX(DB_malas!$C$2:$C$5000,MATCH(J275,DB_malas!$A$2:$A$5000,0)),IF(INDEX(DB_materiali!$E$2:$E$5000,MATCH($C275,DB_materiali!$A$2:$A$5000,0))&lt;=INDEX(DB_malas!$D$2:$D$5000,MATCH(J275,DB_malas!$A$2:$A$5000,0)),IF(INDEX(DB_materiali!$B$2:$B$5000,MATCH($C275,DB_materiali!$A$2:$A$5000,0))=INDEX(DB_malas!$B$2:$B$5000,MATCH(J275,DB_malas!$A$2:$A$5000,0)),"✔",tulkojums!$A$38),tulkojums!$A$39),tulkojums!$A$39))</f>
        <v/>
      </c>
      <c r="S275" s="2" t="str">
        <f>IF(ISBLANK(K275),"",IF(INDEX(DB_materiali!$E$2:$E$5000,MATCH($C275,DB_materiali!$A$2:$A$5000,0))&gt;=INDEX(DB_malas!$C$2:$C$5000,MATCH(K275,DB_malas!$A$2:$A$5000,0)),IF(INDEX(DB_materiali!$E$2:$E$5000,MATCH($C275,DB_materiali!$A$2:$A$5000,0))&lt;=INDEX(DB_malas!$D$2:$D$5000,MATCH(K275,DB_malas!$A$2:$A$5000,0)),IF(INDEX(DB_materiali!$B$2:$B$5000,MATCH($C275,DB_materiali!$A$2:$A$5000,0))=INDEX(DB_malas!$B$2:$B$5000,MATCH(K275,DB_malas!$A$2:$A$5000,0)),"✔",tulkojums!$A$38),tulkojums!$A$39),tulkojums!$A$39))</f>
        <v/>
      </c>
      <c r="T275" s="2"/>
      <c r="U275" s="2"/>
      <c r="V275" s="2"/>
      <c r="W275" s="2"/>
      <c r="X275" s="2"/>
      <c r="Y275" s="2"/>
      <c r="Z275" s="2"/>
    </row>
    <row r="276" spans="1:26" ht="15.75" customHeight="1">
      <c r="A276" s="17"/>
      <c r="B276" s="18"/>
      <c r="C276" s="19"/>
      <c r="D276" s="55"/>
      <c r="E276" s="55"/>
      <c r="F276" s="56"/>
      <c r="G276" s="57" t="str">
        <f>IF(ISBLANK(C276),"",
   IFERROR(
      IF(
         INDEX(DB_materiali!C$2:C$5000,
               MATCH(C276, DB_materiali!A$2:A$5000, 0)
         )="FALSE",
         "N",
         "Y"
      ),
   "")
)</f>
        <v/>
      </c>
      <c r="H276" s="20"/>
      <c r="I276" s="20"/>
      <c r="J276" s="20"/>
      <c r="K276" s="20"/>
      <c r="M276" s="2" t="str">
        <f>IF(ISBLANK(C276),"",IF(IFERROR(VLOOKUP(C276,DB_materiali!$A$2:$A$5000,1,FALSE),"Kļūda artikulā")=C276,"✔",tulkojums!A$42))</f>
        <v/>
      </c>
      <c r="N276" s="2" t="str">
        <f>IF(ISBLANK(C276),"",IF(ISNUMBER(F276)=TRUE,"✔",tulkojums!A$43))</f>
        <v/>
      </c>
      <c r="O276" s="2" t="str">
        <f>IF(ISBLANK(C276),"",IF(G276="Y","✔",IF(G276="X","✔",IF(G276="N","✔",tulkojums!A$44))))</f>
        <v/>
      </c>
      <c r="P276" s="2" t="str">
        <f>IF(ISBLANK(H276),"",IF(INDEX(DB_materiali!$E$2:$E$5000,MATCH($C276,DB_materiali!$A$2:$A$5000,0))&gt;=INDEX(DB_malas!$C$2:$C$5000,MATCH(H276,DB_malas!$A$2:$A$5000,0)),IF(INDEX(DB_materiali!$E$2:$E$5000,MATCH($C276,DB_materiali!$A$2:$A$5000,0))&lt;=INDEX(DB_malas!$D$2:$D$5000,MATCH(H276,DB_malas!$A$2:$A$5000,0)),IF(OR(INDEX(DB_materiali!$B$2:$B$5000,MATCH($C276,DB_materiali!$A$2:$A$5000,0))=INDEX(DB_malas!$B$2:$B$5000,MATCH(H276,DB_malas!$A$2:$A$5000,0)),$H276="ORG"),"✔",tulkojums!$A$38),tulkojums!$A$39),tulkojums!$A$39))</f>
        <v/>
      </c>
      <c r="Q276" s="2" t="str">
        <f>IF(ISBLANK(I276),"",IF(INDEX(DB_materiali!$E$2:$E$5000,MATCH($C276,DB_materiali!$A$2:$A$5000,0))&gt;=INDEX(DB_malas!$C$2:$C$5000,MATCH(I276,DB_malas!$A$2:$A$5000,0)),IF(INDEX(DB_materiali!$E$2:$E$5000,MATCH($C276,DB_materiali!$A$2:$A$5000,0))&lt;=INDEX(DB_malas!$D$2:$D$5000,MATCH(I276,DB_malas!$A$2:$A$5000,0)),IF(OR(INDEX(DB_materiali!$B$2:$B$5000,MATCH($C276,DB_materiali!$A$2:$A$5000,0))=INDEX(DB_malas!$B$2:$B$5000,MATCH(I276,DB_malas!$A$2:$A$5000,0)),$H276="ORG"),"✔",tulkojums!$A$38),tulkojums!$A$39),tulkojums!$A$39))</f>
        <v/>
      </c>
      <c r="R276" s="2" t="str">
        <f>IF(ISBLANK(J276),"",IF(INDEX(DB_materiali!$E$2:$E$5000,MATCH($C276,DB_materiali!$A$2:$A$5000,0))&gt;=INDEX(DB_malas!$C$2:$C$5000,MATCH(J276,DB_malas!$A$2:$A$5000,0)),IF(INDEX(DB_materiali!$E$2:$E$5000,MATCH($C276,DB_materiali!$A$2:$A$5000,0))&lt;=INDEX(DB_malas!$D$2:$D$5000,MATCH(J276,DB_malas!$A$2:$A$5000,0)),IF(INDEX(DB_materiali!$B$2:$B$5000,MATCH($C276,DB_materiali!$A$2:$A$5000,0))=INDEX(DB_malas!$B$2:$B$5000,MATCH(J276,DB_malas!$A$2:$A$5000,0)),"✔",tulkojums!$A$38),tulkojums!$A$39),tulkojums!$A$39))</f>
        <v/>
      </c>
      <c r="S276" s="2" t="str">
        <f>IF(ISBLANK(K276),"",IF(INDEX(DB_materiali!$E$2:$E$5000,MATCH($C276,DB_materiali!$A$2:$A$5000,0))&gt;=INDEX(DB_malas!$C$2:$C$5000,MATCH(K276,DB_malas!$A$2:$A$5000,0)),IF(INDEX(DB_materiali!$E$2:$E$5000,MATCH($C276,DB_materiali!$A$2:$A$5000,0))&lt;=INDEX(DB_malas!$D$2:$D$5000,MATCH(K276,DB_malas!$A$2:$A$5000,0)),IF(INDEX(DB_materiali!$B$2:$B$5000,MATCH($C276,DB_materiali!$A$2:$A$5000,0))=INDEX(DB_malas!$B$2:$B$5000,MATCH(K276,DB_malas!$A$2:$A$5000,0)),"✔",tulkojums!$A$38),tulkojums!$A$39),tulkojums!$A$39))</f>
        <v/>
      </c>
      <c r="T276" s="2"/>
      <c r="U276" s="2"/>
      <c r="V276" s="2"/>
      <c r="W276" s="2"/>
      <c r="X276" s="2"/>
      <c r="Y276" s="2"/>
      <c r="Z276" s="2"/>
    </row>
    <row r="277" spans="1:26" ht="15.75" customHeight="1">
      <c r="A277" s="17"/>
      <c r="B277" s="18"/>
      <c r="C277" s="19"/>
      <c r="D277" s="55"/>
      <c r="E277" s="55"/>
      <c r="F277" s="56"/>
      <c r="G277" s="57" t="str">
        <f>IF(ISBLANK(C277),"",
   IFERROR(
      IF(
         INDEX(DB_materiali!C$2:C$5000,
               MATCH(C277, DB_materiali!A$2:A$5000, 0)
         )="FALSE",
         "N",
         "Y"
      ),
   "")
)</f>
        <v/>
      </c>
      <c r="H277" s="20"/>
      <c r="I277" s="20"/>
      <c r="J277" s="20"/>
      <c r="K277" s="20"/>
      <c r="M277" s="2" t="str">
        <f>IF(ISBLANK(C277),"",IF(IFERROR(VLOOKUP(C277,DB_materiali!$A$2:$A$5000,1,FALSE),"Kļūda artikulā")=C277,"✔",tulkojums!A$42))</f>
        <v/>
      </c>
      <c r="N277" s="2" t="str">
        <f>IF(ISBLANK(C277),"",IF(ISNUMBER(F277)=TRUE,"✔",tulkojums!A$43))</f>
        <v/>
      </c>
      <c r="O277" s="2" t="str">
        <f>IF(ISBLANK(C277),"",IF(G277="Y","✔",IF(G277="X","✔",IF(G277="N","✔",tulkojums!A$44))))</f>
        <v/>
      </c>
      <c r="P277" s="2" t="str">
        <f>IF(ISBLANK(H277),"",IF(INDEX(DB_materiali!$E$2:$E$5000,MATCH($C277,DB_materiali!$A$2:$A$5000,0))&gt;=INDEX(DB_malas!$C$2:$C$5000,MATCH(H277,DB_malas!$A$2:$A$5000,0)),IF(INDEX(DB_materiali!$E$2:$E$5000,MATCH($C277,DB_materiali!$A$2:$A$5000,0))&lt;=INDEX(DB_malas!$D$2:$D$5000,MATCH(H277,DB_malas!$A$2:$A$5000,0)),IF(OR(INDEX(DB_materiali!$B$2:$B$5000,MATCH($C277,DB_materiali!$A$2:$A$5000,0))=INDEX(DB_malas!$B$2:$B$5000,MATCH(H277,DB_malas!$A$2:$A$5000,0)),$H277="ORG"),"✔",tulkojums!$A$38),tulkojums!$A$39),tulkojums!$A$39))</f>
        <v/>
      </c>
      <c r="Q277" s="2" t="str">
        <f>IF(ISBLANK(I277),"",IF(INDEX(DB_materiali!$E$2:$E$5000,MATCH($C277,DB_materiali!$A$2:$A$5000,0))&gt;=INDEX(DB_malas!$C$2:$C$5000,MATCH(I277,DB_malas!$A$2:$A$5000,0)),IF(INDEX(DB_materiali!$E$2:$E$5000,MATCH($C277,DB_materiali!$A$2:$A$5000,0))&lt;=INDEX(DB_malas!$D$2:$D$5000,MATCH(I277,DB_malas!$A$2:$A$5000,0)),IF(OR(INDEX(DB_materiali!$B$2:$B$5000,MATCH($C277,DB_materiali!$A$2:$A$5000,0))=INDEX(DB_malas!$B$2:$B$5000,MATCH(I277,DB_malas!$A$2:$A$5000,0)),$H277="ORG"),"✔",tulkojums!$A$38),tulkojums!$A$39),tulkojums!$A$39))</f>
        <v/>
      </c>
      <c r="R277" s="2" t="str">
        <f>IF(ISBLANK(J277),"",IF(INDEX(DB_materiali!$E$2:$E$5000,MATCH($C277,DB_materiali!$A$2:$A$5000,0))&gt;=INDEX(DB_malas!$C$2:$C$5000,MATCH(J277,DB_malas!$A$2:$A$5000,0)),IF(INDEX(DB_materiali!$E$2:$E$5000,MATCH($C277,DB_materiali!$A$2:$A$5000,0))&lt;=INDEX(DB_malas!$D$2:$D$5000,MATCH(J277,DB_malas!$A$2:$A$5000,0)),IF(INDEX(DB_materiali!$B$2:$B$5000,MATCH($C277,DB_materiali!$A$2:$A$5000,0))=INDEX(DB_malas!$B$2:$B$5000,MATCH(J277,DB_malas!$A$2:$A$5000,0)),"✔",tulkojums!$A$38),tulkojums!$A$39),tulkojums!$A$39))</f>
        <v/>
      </c>
      <c r="S277" s="2" t="str">
        <f>IF(ISBLANK(K277),"",IF(INDEX(DB_materiali!$E$2:$E$5000,MATCH($C277,DB_materiali!$A$2:$A$5000,0))&gt;=INDEX(DB_malas!$C$2:$C$5000,MATCH(K277,DB_malas!$A$2:$A$5000,0)),IF(INDEX(DB_materiali!$E$2:$E$5000,MATCH($C277,DB_materiali!$A$2:$A$5000,0))&lt;=INDEX(DB_malas!$D$2:$D$5000,MATCH(K277,DB_malas!$A$2:$A$5000,0)),IF(INDEX(DB_materiali!$B$2:$B$5000,MATCH($C277,DB_materiali!$A$2:$A$5000,0))=INDEX(DB_malas!$B$2:$B$5000,MATCH(K277,DB_malas!$A$2:$A$5000,0)),"✔",tulkojums!$A$38),tulkojums!$A$39),tulkojums!$A$39))</f>
        <v/>
      </c>
      <c r="T277" s="2"/>
      <c r="U277" s="2"/>
      <c r="V277" s="2"/>
      <c r="W277" s="2"/>
      <c r="X277" s="2"/>
      <c r="Y277" s="2"/>
      <c r="Z277" s="2"/>
    </row>
    <row r="278" spans="1:26" ht="15.75" customHeight="1">
      <c r="A278" s="17"/>
      <c r="B278" s="18"/>
      <c r="C278" s="19"/>
      <c r="D278" s="55"/>
      <c r="E278" s="55"/>
      <c r="F278" s="56"/>
      <c r="G278" s="57" t="str">
        <f>IF(ISBLANK(C278),"",
   IFERROR(
      IF(
         INDEX(DB_materiali!C$2:C$5000,
               MATCH(C278, DB_materiali!A$2:A$5000, 0)
         )="FALSE",
         "N",
         "Y"
      ),
   "")
)</f>
        <v/>
      </c>
      <c r="H278" s="20"/>
      <c r="I278" s="20"/>
      <c r="J278" s="20"/>
      <c r="K278" s="20"/>
      <c r="M278" s="2" t="str">
        <f>IF(ISBLANK(C278),"",IF(IFERROR(VLOOKUP(C278,DB_materiali!$A$2:$A$5000,1,FALSE),"Kļūda artikulā")=C278,"✔",tulkojums!A$42))</f>
        <v/>
      </c>
      <c r="N278" s="2" t="str">
        <f>IF(ISBLANK(C278),"",IF(ISNUMBER(F278)=TRUE,"✔",tulkojums!A$43))</f>
        <v/>
      </c>
      <c r="O278" s="2" t="str">
        <f>IF(ISBLANK(C278),"",IF(G278="Y","✔",IF(G278="X","✔",IF(G278="N","✔",tulkojums!A$44))))</f>
        <v/>
      </c>
      <c r="P278" s="2" t="str">
        <f>IF(ISBLANK(H278),"",IF(INDEX(DB_materiali!$E$2:$E$5000,MATCH($C278,DB_materiali!$A$2:$A$5000,0))&gt;=INDEX(DB_malas!$C$2:$C$5000,MATCH(H278,DB_malas!$A$2:$A$5000,0)),IF(INDEX(DB_materiali!$E$2:$E$5000,MATCH($C278,DB_materiali!$A$2:$A$5000,0))&lt;=INDEX(DB_malas!$D$2:$D$5000,MATCH(H278,DB_malas!$A$2:$A$5000,0)),IF(OR(INDEX(DB_materiali!$B$2:$B$5000,MATCH($C278,DB_materiali!$A$2:$A$5000,0))=INDEX(DB_malas!$B$2:$B$5000,MATCH(H278,DB_malas!$A$2:$A$5000,0)),$H278="ORG"),"✔",tulkojums!$A$38),tulkojums!$A$39),tulkojums!$A$39))</f>
        <v/>
      </c>
      <c r="Q278" s="2" t="str">
        <f>IF(ISBLANK(I278),"",IF(INDEX(DB_materiali!$E$2:$E$5000,MATCH($C278,DB_materiali!$A$2:$A$5000,0))&gt;=INDEX(DB_malas!$C$2:$C$5000,MATCH(I278,DB_malas!$A$2:$A$5000,0)),IF(INDEX(DB_materiali!$E$2:$E$5000,MATCH($C278,DB_materiali!$A$2:$A$5000,0))&lt;=INDEX(DB_malas!$D$2:$D$5000,MATCH(I278,DB_malas!$A$2:$A$5000,0)),IF(OR(INDEX(DB_materiali!$B$2:$B$5000,MATCH($C278,DB_materiali!$A$2:$A$5000,0))=INDEX(DB_malas!$B$2:$B$5000,MATCH(I278,DB_malas!$A$2:$A$5000,0)),$H278="ORG"),"✔",tulkojums!$A$38),tulkojums!$A$39),tulkojums!$A$39))</f>
        <v/>
      </c>
      <c r="R278" s="2" t="str">
        <f>IF(ISBLANK(J278),"",IF(INDEX(DB_materiali!$E$2:$E$5000,MATCH($C278,DB_materiali!$A$2:$A$5000,0))&gt;=INDEX(DB_malas!$C$2:$C$5000,MATCH(J278,DB_malas!$A$2:$A$5000,0)),IF(INDEX(DB_materiali!$E$2:$E$5000,MATCH($C278,DB_materiali!$A$2:$A$5000,0))&lt;=INDEX(DB_malas!$D$2:$D$5000,MATCH(J278,DB_malas!$A$2:$A$5000,0)),IF(INDEX(DB_materiali!$B$2:$B$5000,MATCH($C278,DB_materiali!$A$2:$A$5000,0))=INDEX(DB_malas!$B$2:$B$5000,MATCH(J278,DB_malas!$A$2:$A$5000,0)),"✔",tulkojums!$A$38),tulkojums!$A$39),tulkojums!$A$39))</f>
        <v/>
      </c>
      <c r="S278" s="2" t="str">
        <f>IF(ISBLANK(K278),"",IF(INDEX(DB_materiali!$E$2:$E$5000,MATCH($C278,DB_materiali!$A$2:$A$5000,0))&gt;=INDEX(DB_malas!$C$2:$C$5000,MATCH(K278,DB_malas!$A$2:$A$5000,0)),IF(INDEX(DB_materiali!$E$2:$E$5000,MATCH($C278,DB_materiali!$A$2:$A$5000,0))&lt;=INDEX(DB_malas!$D$2:$D$5000,MATCH(K278,DB_malas!$A$2:$A$5000,0)),IF(INDEX(DB_materiali!$B$2:$B$5000,MATCH($C278,DB_materiali!$A$2:$A$5000,0))=INDEX(DB_malas!$B$2:$B$5000,MATCH(K278,DB_malas!$A$2:$A$5000,0)),"✔",tulkojums!$A$38),tulkojums!$A$39),tulkojums!$A$39))</f>
        <v/>
      </c>
      <c r="T278" s="2"/>
      <c r="U278" s="2"/>
      <c r="V278" s="2"/>
      <c r="W278" s="2"/>
      <c r="X278" s="2"/>
      <c r="Y278" s="2"/>
      <c r="Z278" s="2"/>
    </row>
    <row r="279" spans="1:26" ht="15.75" customHeight="1">
      <c r="A279" s="17"/>
      <c r="B279" s="18"/>
      <c r="C279" s="19"/>
      <c r="D279" s="55"/>
      <c r="E279" s="55"/>
      <c r="F279" s="56"/>
      <c r="G279" s="57" t="str">
        <f>IF(ISBLANK(C279),"",
   IFERROR(
      IF(
         INDEX(DB_materiali!C$2:C$5000,
               MATCH(C279, DB_materiali!A$2:A$5000, 0)
         )="FALSE",
         "N",
         "Y"
      ),
   "")
)</f>
        <v/>
      </c>
      <c r="H279" s="20"/>
      <c r="I279" s="20"/>
      <c r="J279" s="20"/>
      <c r="K279" s="20"/>
      <c r="M279" s="2" t="str">
        <f>IF(ISBLANK(C279),"",IF(IFERROR(VLOOKUP(C279,DB_materiali!$A$2:$A$5000,1,FALSE),"Kļūda artikulā")=C279,"✔",tulkojums!A$42))</f>
        <v/>
      </c>
      <c r="N279" s="2" t="str">
        <f>IF(ISBLANK(C279),"",IF(ISNUMBER(F279)=TRUE,"✔",tulkojums!A$43))</f>
        <v/>
      </c>
      <c r="O279" s="2" t="str">
        <f>IF(ISBLANK(C279),"",IF(G279="Y","✔",IF(G279="X","✔",IF(G279="N","✔",tulkojums!A$44))))</f>
        <v/>
      </c>
      <c r="P279" s="2" t="str">
        <f>IF(ISBLANK(H279),"",IF(INDEX(DB_materiali!$E$2:$E$5000,MATCH($C279,DB_materiali!$A$2:$A$5000,0))&gt;=INDEX(DB_malas!$C$2:$C$5000,MATCH(H279,DB_malas!$A$2:$A$5000,0)),IF(INDEX(DB_materiali!$E$2:$E$5000,MATCH($C279,DB_materiali!$A$2:$A$5000,0))&lt;=INDEX(DB_malas!$D$2:$D$5000,MATCH(H279,DB_malas!$A$2:$A$5000,0)),IF(OR(INDEX(DB_materiali!$B$2:$B$5000,MATCH($C279,DB_materiali!$A$2:$A$5000,0))=INDEX(DB_malas!$B$2:$B$5000,MATCH(H279,DB_malas!$A$2:$A$5000,0)),$H279="ORG"),"✔",tulkojums!$A$38),tulkojums!$A$39),tulkojums!$A$39))</f>
        <v/>
      </c>
      <c r="Q279" s="2" t="str">
        <f>IF(ISBLANK(I279),"",IF(INDEX(DB_materiali!$E$2:$E$5000,MATCH($C279,DB_materiali!$A$2:$A$5000,0))&gt;=INDEX(DB_malas!$C$2:$C$5000,MATCH(I279,DB_malas!$A$2:$A$5000,0)),IF(INDEX(DB_materiali!$E$2:$E$5000,MATCH($C279,DB_materiali!$A$2:$A$5000,0))&lt;=INDEX(DB_malas!$D$2:$D$5000,MATCH(I279,DB_malas!$A$2:$A$5000,0)),IF(OR(INDEX(DB_materiali!$B$2:$B$5000,MATCH($C279,DB_materiali!$A$2:$A$5000,0))=INDEX(DB_malas!$B$2:$B$5000,MATCH(I279,DB_malas!$A$2:$A$5000,0)),$H279="ORG"),"✔",tulkojums!$A$38),tulkojums!$A$39),tulkojums!$A$39))</f>
        <v/>
      </c>
      <c r="R279" s="2" t="str">
        <f>IF(ISBLANK(J279),"",IF(INDEX(DB_materiali!$E$2:$E$5000,MATCH($C279,DB_materiali!$A$2:$A$5000,0))&gt;=INDEX(DB_malas!$C$2:$C$5000,MATCH(J279,DB_malas!$A$2:$A$5000,0)),IF(INDEX(DB_materiali!$E$2:$E$5000,MATCH($C279,DB_materiali!$A$2:$A$5000,0))&lt;=INDEX(DB_malas!$D$2:$D$5000,MATCH(J279,DB_malas!$A$2:$A$5000,0)),IF(INDEX(DB_materiali!$B$2:$B$5000,MATCH($C279,DB_materiali!$A$2:$A$5000,0))=INDEX(DB_malas!$B$2:$B$5000,MATCH(J279,DB_malas!$A$2:$A$5000,0)),"✔",tulkojums!$A$38),tulkojums!$A$39),tulkojums!$A$39))</f>
        <v/>
      </c>
      <c r="S279" s="2" t="str">
        <f>IF(ISBLANK(K279),"",IF(INDEX(DB_materiali!$E$2:$E$5000,MATCH($C279,DB_materiali!$A$2:$A$5000,0))&gt;=INDEX(DB_malas!$C$2:$C$5000,MATCH(K279,DB_malas!$A$2:$A$5000,0)),IF(INDEX(DB_materiali!$E$2:$E$5000,MATCH($C279,DB_materiali!$A$2:$A$5000,0))&lt;=INDEX(DB_malas!$D$2:$D$5000,MATCH(K279,DB_malas!$A$2:$A$5000,0)),IF(INDEX(DB_materiali!$B$2:$B$5000,MATCH($C279,DB_materiali!$A$2:$A$5000,0))=INDEX(DB_malas!$B$2:$B$5000,MATCH(K279,DB_malas!$A$2:$A$5000,0)),"✔",tulkojums!$A$38),tulkojums!$A$39),tulkojums!$A$39))</f>
        <v/>
      </c>
      <c r="T279" s="2"/>
      <c r="U279" s="2"/>
      <c r="V279" s="2"/>
      <c r="W279" s="2"/>
      <c r="X279" s="2"/>
      <c r="Y279" s="2"/>
      <c r="Z279" s="2"/>
    </row>
    <row r="280" spans="1:26" ht="15.75" customHeight="1">
      <c r="A280" s="17"/>
      <c r="B280" s="18"/>
      <c r="C280" s="19"/>
      <c r="D280" s="55"/>
      <c r="E280" s="55"/>
      <c r="F280" s="56"/>
      <c r="G280" s="57" t="str">
        <f>IF(ISBLANK(C280),"",
   IFERROR(
      IF(
         INDEX(DB_materiali!C$2:C$5000,
               MATCH(C280, DB_materiali!A$2:A$5000, 0)
         )="FALSE",
         "N",
         "Y"
      ),
   "")
)</f>
        <v/>
      </c>
      <c r="H280" s="20"/>
      <c r="I280" s="20"/>
      <c r="J280" s="20"/>
      <c r="K280" s="20"/>
      <c r="M280" s="2" t="str">
        <f>IF(ISBLANK(C280),"",IF(IFERROR(VLOOKUP(C280,DB_materiali!$A$2:$A$5000,1,FALSE),"Kļūda artikulā")=C280,"✔",tulkojums!A$42))</f>
        <v/>
      </c>
      <c r="N280" s="2" t="str">
        <f>IF(ISBLANK(C280),"",IF(ISNUMBER(F280)=TRUE,"✔",tulkojums!A$43))</f>
        <v/>
      </c>
      <c r="O280" s="2" t="str">
        <f>IF(ISBLANK(C280),"",IF(G280="Y","✔",IF(G280="X","✔",IF(G280="N","✔",tulkojums!A$44))))</f>
        <v/>
      </c>
      <c r="P280" s="2" t="str">
        <f>IF(ISBLANK(H280),"",IF(INDEX(DB_materiali!$E$2:$E$5000,MATCH($C280,DB_materiali!$A$2:$A$5000,0))&gt;=INDEX(DB_malas!$C$2:$C$5000,MATCH(H280,DB_malas!$A$2:$A$5000,0)),IF(INDEX(DB_materiali!$E$2:$E$5000,MATCH($C280,DB_materiali!$A$2:$A$5000,0))&lt;=INDEX(DB_malas!$D$2:$D$5000,MATCH(H280,DB_malas!$A$2:$A$5000,0)),IF(OR(INDEX(DB_materiali!$B$2:$B$5000,MATCH($C280,DB_materiali!$A$2:$A$5000,0))=INDEX(DB_malas!$B$2:$B$5000,MATCH(H280,DB_malas!$A$2:$A$5000,0)),$H280="ORG"),"✔",tulkojums!$A$38),tulkojums!$A$39),tulkojums!$A$39))</f>
        <v/>
      </c>
      <c r="Q280" s="2" t="str">
        <f>IF(ISBLANK(I280),"",IF(INDEX(DB_materiali!$E$2:$E$5000,MATCH($C280,DB_materiali!$A$2:$A$5000,0))&gt;=INDEX(DB_malas!$C$2:$C$5000,MATCH(I280,DB_malas!$A$2:$A$5000,0)),IF(INDEX(DB_materiali!$E$2:$E$5000,MATCH($C280,DB_materiali!$A$2:$A$5000,0))&lt;=INDEX(DB_malas!$D$2:$D$5000,MATCH(I280,DB_malas!$A$2:$A$5000,0)),IF(OR(INDEX(DB_materiali!$B$2:$B$5000,MATCH($C280,DB_materiali!$A$2:$A$5000,0))=INDEX(DB_malas!$B$2:$B$5000,MATCH(I280,DB_malas!$A$2:$A$5000,0)),$H280="ORG"),"✔",tulkojums!$A$38),tulkojums!$A$39),tulkojums!$A$39))</f>
        <v/>
      </c>
      <c r="R280" s="2" t="str">
        <f>IF(ISBLANK(J280),"",IF(INDEX(DB_materiali!$E$2:$E$5000,MATCH($C280,DB_materiali!$A$2:$A$5000,0))&gt;=INDEX(DB_malas!$C$2:$C$5000,MATCH(J280,DB_malas!$A$2:$A$5000,0)),IF(INDEX(DB_materiali!$E$2:$E$5000,MATCH($C280,DB_materiali!$A$2:$A$5000,0))&lt;=INDEX(DB_malas!$D$2:$D$5000,MATCH(J280,DB_malas!$A$2:$A$5000,0)),IF(INDEX(DB_materiali!$B$2:$B$5000,MATCH($C280,DB_materiali!$A$2:$A$5000,0))=INDEX(DB_malas!$B$2:$B$5000,MATCH(J280,DB_malas!$A$2:$A$5000,0)),"✔",tulkojums!$A$38),tulkojums!$A$39),tulkojums!$A$39))</f>
        <v/>
      </c>
      <c r="S280" s="2" t="str">
        <f>IF(ISBLANK(K280),"",IF(INDEX(DB_materiali!$E$2:$E$5000,MATCH($C280,DB_materiali!$A$2:$A$5000,0))&gt;=INDEX(DB_malas!$C$2:$C$5000,MATCH(K280,DB_malas!$A$2:$A$5000,0)),IF(INDEX(DB_materiali!$E$2:$E$5000,MATCH($C280,DB_materiali!$A$2:$A$5000,0))&lt;=INDEX(DB_malas!$D$2:$D$5000,MATCH(K280,DB_malas!$A$2:$A$5000,0)),IF(INDEX(DB_materiali!$B$2:$B$5000,MATCH($C280,DB_materiali!$A$2:$A$5000,0))=INDEX(DB_malas!$B$2:$B$5000,MATCH(K280,DB_malas!$A$2:$A$5000,0)),"✔",tulkojums!$A$38),tulkojums!$A$39),tulkojums!$A$39))</f>
        <v/>
      </c>
      <c r="T280" s="2"/>
      <c r="U280" s="2"/>
      <c r="V280" s="2"/>
      <c r="W280" s="2"/>
      <c r="X280" s="2"/>
      <c r="Y280" s="2"/>
      <c r="Z280" s="2"/>
    </row>
    <row r="281" spans="1:26" ht="15.75" customHeight="1">
      <c r="A281" s="17"/>
      <c r="B281" s="18"/>
      <c r="C281" s="19"/>
      <c r="D281" s="55"/>
      <c r="E281" s="55"/>
      <c r="F281" s="56"/>
      <c r="G281" s="57" t="str">
        <f>IF(ISBLANK(C281),"",
   IFERROR(
      IF(
         INDEX(DB_materiali!C$2:C$5000,
               MATCH(C281, DB_materiali!A$2:A$5000, 0)
         )="FALSE",
         "N",
         "Y"
      ),
   "")
)</f>
        <v/>
      </c>
      <c r="H281" s="20"/>
      <c r="I281" s="20"/>
      <c r="J281" s="20"/>
      <c r="K281" s="20"/>
      <c r="M281" s="2" t="str">
        <f>IF(ISBLANK(C281),"",IF(IFERROR(VLOOKUP(C281,DB_materiali!$A$2:$A$5000,1,FALSE),"Kļūda artikulā")=C281,"✔",tulkojums!A$42))</f>
        <v/>
      </c>
      <c r="N281" s="2" t="str">
        <f>IF(ISBLANK(C281),"",IF(ISNUMBER(F281)=TRUE,"✔",tulkojums!A$43))</f>
        <v/>
      </c>
      <c r="O281" s="2" t="str">
        <f>IF(ISBLANK(C281),"",IF(G281="Y","✔",IF(G281="X","✔",IF(G281="N","✔",tulkojums!A$44))))</f>
        <v/>
      </c>
      <c r="P281" s="2" t="str">
        <f>IF(ISBLANK(H281),"",IF(INDEX(DB_materiali!$E$2:$E$5000,MATCH($C281,DB_materiali!$A$2:$A$5000,0))&gt;=INDEX(DB_malas!$C$2:$C$5000,MATCH(H281,DB_malas!$A$2:$A$5000,0)),IF(INDEX(DB_materiali!$E$2:$E$5000,MATCH($C281,DB_materiali!$A$2:$A$5000,0))&lt;=INDEX(DB_malas!$D$2:$D$5000,MATCH(H281,DB_malas!$A$2:$A$5000,0)),IF(OR(INDEX(DB_materiali!$B$2:$B$5000,MATCH($C281,DB_materiali!$A$2:$A$5000,0))=INDEX(DB_malas!$B$2:$B$5000,MATCH(H281,DB_malas!$A$2:$A$5000,0)),$H281="ORG"),"✔",tulkojums!$A$38),tulkojums!$A$39),tulkojums!$A$39))</f>
        <v/>
      </c>
      <c r="Q281" s="2" t="str">
        <f>IF(ISBLANK(I281),"",IF(INDEX(DB_materiali!$E$2:$E$5000,MATCH($C281,DB_materiali!$A$2:$A$5000,0))&gt;=INDEX(DB_malas!$C$2:$C$5000,MATCH(I281,DB_malas!$A$2:$A$5000,0)),IF(INDEX(DB_materiali!$E$2:$E$5000,MATCH($C281,DB_materiali!$A$2:$A$5000,0))&lt;=INDEX(DB_malas!$D$2:$D$5000,MATCH(I281,DB_malas!$A$2:$A$5000,0)),IF(OR(INDEX(DB_materiali!$B$2:$B$5000,MATCH($C281,DB_materiali!$A$2:$A$5000,0))=INDEX(DB_malas!$B$2:$B$5000,MATCH(I281,DB_malas!$A$2:$A$5000,0)),$H281="ORG"),"✔",tulkojums!$A$38),tulkojums!$A$39),tulkojums!$A$39))</f>
        <v/>
      </c>
      <c r="R281" s="2" t="str">
        <f>IF(ISBLANK(J281),"",IF(INDEX(DB_materiali!$E$2:$E$5000,MATCH($C281,DB_materiali!$A$2:$A$5000,0))&gt;=INDEX(DB_malas!$C$2:$C$5000,MATCH(J281,DB_malas!$A$2:$A$5000,0)),IF(INDEX(DB_materiali!$E$2:$E$5000,MATCH($C281,DB_materiali!$A$2:$A$5000,0))&lt;=INDEX(DB_malas!$D$2:$D$5000,MATCH(J281,DB_malas!$A$2:$A$5000,0)),IF(INDEX(DB_materiali!$B$2:$B$5000,MATCH($C281,DB_materiali!$A$2:$A$5000,0))=INDEX(DB_malas!$B$2:$B$5000,MATCH(J281,DB_malas!$A$2:$A$5000,0)),"✔",tulkojums!$A$38),tulkojums!$A$39),tulkojums!$A$39))</f>
        <v/>
      </c>
      <c r="S281" s="2" t="str">
        <f>IF(ISBLANK(K281),"",IF(INDEX(DB_materiali!$E$2:$E$5000,MATCH($C281,DB_materiali!$A$2:$A$5000,0))&gt;=INDEX(DB_malas!$C$2:$C$5000,MATCH(K281,DB_malas!$A$2:$A$5000,0)),IF(INDEX(DB_materiali!$E$2:$E$5000,MATCH($C281,DB_materiali!$A$2:$A$5000,0))&lt;=INDEX(DB_malas!$D$2:$D$5000,MATCH(K281,DB_malas!$A$2:$A$5000,0)),IF(INDEX(DB_materiali!$B$2:$B$5000,MATCH($C281,DB_materiali!$A$2:$A$5000,0))=INDEX(DB_malas!$B$2:$B$5000,MATCH(K281,DB_malas!$A$2:$A$5000,0)),"✔",tulkojums!$A$38),tulkojums!$A$39),tulkojums!$A$39))</f>
        <v/>
      </c>
      <c r="T281" s="2"/>
      <c r="U281" s="2"/>
      <c r="V281" s="2"/>
      <c r="W281" s="2"/>
      <c r="X281" s="2"/>
      <c r="Y281" s="2"/>
      <c r="Z281" s="2"/>
    </row>
    <row r="282" spans="1:26" ht="15.75" customHeight="1">
      <c r="A282" s="17"/>
      <c r="B282" s="18"/>
      <c r="C282" s="19"/>
      <c r="D282" s="55"/>
      <c r="E282" s="55"/>
      <c r="F282" s="56"/>
      <c r="G282" s="57" t="str">
        <f>IF(ISBLANK(C282),"",
   IFERROR(
      IF(
         INDEX(DB_materiali!C$2:C$5000,
               MATCH(C282, DB_materiali!A$2:A$5000, 0)
         )="FALSE",
         "N",
         "Y"
      ),
   "")
)</f>
        <v/>
      </c>
      <c r="H282" s="20"/>
      <c r="I282" s="20"/>
      <c r="J282" s="20"/>
      <c r="K282" s="20"/>
      <c r="M282" s="2" t="str">
        <f>IF(ISBLANK(C282),"",IF(IFERROR(VLOOKUP(C282,DB_materiali!$A$2:$A$5000,1,FALSE),"Kļūda artikulā")=C282,"✔",tulkojums!A$42))</f>
        <v/>
      </c>
      <c r="N282" s="2" t="str">
        <f>IF(ISBLANK(C282),"",IF(ISNUMBER(F282)=TRUE,"✔",tulkojums!A$43))</f>
        <v/>
      </c>
      <c r="O282" s="2" t="str">
        <f>IF(ISBLANK(C282),"",IF(G282="Y","✔",IF(G282="X","✔",IF(G282="N","✔",tulkojums!A$44))))</f>
        <v/>
      </c>
      <c r="P282" s="2" t="str">
        <f>IF(ISBLANK(H282),"",IF(INDEX(DB_materiali!$E$2:$E$5000,MATCH($C282,DB_materiali!$A$2:$A$5000,0))&gt;=INDEX(DB_malas!$C$2:$C$5000,MATCH(H282,DB_malas!$A$2:$A$5000,0)),IF(INDEX(DB_materiali!$E$2:$E$5000,MATCH($C282,DB_materiali!$A$2:$A$5000,0))&lt;=INDEX(DB_malas!$D$2:$D$5000,MATCH(H282,DB_malas!$A$2:$A$5000,0)),IF(OR(INDEX(DB_materiali!$B$2:$B$5000,MATCH($C282,DB_materiali!$A$2:$A$5000,0))=INDEX(DB_malas!$B$2:$B$5000,MATCH(H282,DB_malas!$A$2:$A$5000,0)),$H282="ORG"),"✔",tulkojums!$A$38),tulkojums!$A$39),tulkojums!$A$39))</f>
        <v/>
      </c>
      <c r="Q282" s="2" t="str">
        <f>IF(ISBLANK(I282),"",IF(INDEX(DB_materiali!$E$2:$E$5000,MATCH($C282,DB_materiali!$A$2:$A$5000,0))&gt;=INDEX(DB_malas!$C$2:$C$5000,MATCH(I282,DB_malas!$A$2:$A$5000,0)),IF(INDEX(DB_materiali!$E$2:$E$5000,MATCH($C282,DB_materiali!$A$2:$A$5000,0))&lt;=INDEX(DB_malas!$D$2:$D$5000,MATCH(I282,DB_malas!$A$2:$A$5000,0)),IF(OR(INDEX(DB_materiali!$B$2:$B$5000,MATCH($C282,DB_materiali!$A$2:$A$5000,0))=INDEX(DB_malas!$B$2:$B$5000,MATCH(I282,DB_malas!$A$2:$A$5000,0)),$H282="ORG"),"✔",tulkojums!$A$38),tulkojums!$A$39),tulkojums!$A$39))</f>
        <v/>
      </c>
      <c r="R282" s="2" t="str">
        <f>IF(ISBLANK(J282),"",IF(INDEX(DB_materiali!$E$2:$E$5000,MATCH($C282,DB_materiali!$A$2:$A$5000,0))&gt;=INDEX(DB_malas!$C$2:$C$5000,MATCH(J282,DB_malas!$A$2:$A$5000,0)),IF(INDEX(DB_materiali!$E$2:$E$5000,MATCH($C282,DB_materiali!$A$2:$A$5000,0))&lt;=INDEX(DB_malas!$D$2:$D$5000,MATCH(J282,DB_malas!$A$2:$A$5000,0)),IF(INDEX(DB_materiali!$B$2:$B$5000,MATCH($C282,DB_materiali!$A$2:$A$5000,0))=INDEX(DB_malas!$B$2:$B$5000,MATCH(J282,DB_malas!$A$2:$A$5000,0)),"✔",tulkojums!$A$38),tulkojums!$A$39),tulkojums!$A$39))</f>
        <v/>
      </c>
      <c r="S282" s="2" t="str">
        <f>IF(ISBLANK(K282),"",IF(INDEX(DB_materiali!$E$2:$E$5000,MATCH($C282,DB_materiali!$A$2:$A$5000,0))&gt;=INDEX(DB_malas!$C$2:$C$5000,MATCH(K282,DB_malas!$A$2:$A$5000,0)),IF(INDEX(DB_materiali!$E$2:$E$5000,MATCH($C282,DB_materiali!$A$2:$A$5000,0))&lt;=INDEX(DB_malas!$D$2:$D$5000,MATCH(K282,DB_malas!$A$2:$A$5000,0)),IF(INDEX(DB_materiali!$B$2:$B$5000,MATCH($C282,DB_materiali!$A$2:$A$5000,0))=INDEX(DB_malas!$B$2:$B$5000,MATCH(K282,DB_malas!$A$2:$A$5000,0)),"✔",tulkojums!$A$38),tulkojums!$A$39),tulkojums!$A$39))</f>
        <v/>
      </c>
      <c r="T282" s="2"/>
      <c r="U282" s="2"/>
      <c r="V282" s="2"/>
      <c r="W282" s="2"/>
      <c r="X282" s="2"/>
      <c r="Y282" s="2"/>
      <c r="Z282" s="2"/>
    </row>
    <row r="283" spans="1:26" ht="15.75" customHeight="1">
      <c r="A283" s="17"/>
      <c r="B283" s="18"/>
      <c r="C283" s="19"/>
      <c r="D283" s="55"/>
      <c r="E283" s="55"/>
      <c r="F283" s="56"/>
      <c r="G283" s="57" t="str">
        <f>IF(ISBLANK(C283),"",
   IFERROR(
      IF(
         INDEX(DB_materiali!C$2:C$5000,
               MATCH(C283, DB_materiali!A$2:A$5000, 0)
         )="FALSE",
         "N",
         "Y"
      ),
   "")
)</f>
        <v/>
      </c>
      <c r="H283" s="20"/>
      <c r="I283" s="20"/>
      <c r="J283" s="20"/>
      <c r="K283" s="20"/>
      <c r="M283" s="2" t="str">
        <f>IF(ISBLANK(C283),"",IF(IFERROR(VLOOKUP(C283,DB_materiali!$A$2:$A$5000,1,FALSE),"Kļūda artikulā")=C283,"✔",tulkojums!A$42))</f>
        <v/>
      </c>
      <c r="N283" s="2" t="str">
        <f>IF(ISBLANK(C283),"",IF(ISNUMBER(F283)=TRUE,"✔",tulkojums!A$43))</f>
        <v/>
      </c>
      <c r="O283" s="2" t="str">
        <f>IF(ISBLANK(C283),"",IF(G283="Y","✔",IF(G283="X","✔",IF(G283="N","✔",tulkojums!A$44))))</f>
        <v/>
      </c>
      <c r="P283" s="2" t="str">
        <f>IF(ISBLANK(H283),"",IF(INDEX(DB_materiali!$E$2:$E$5000,MATCH($C283,DB_materiali!$A$2:$A$5000,0))&gt;=INDEX(DB_malas!$C$2:$C$5000,MATCH(H283,DB_malas!$A$2:$A$5000,0)),IF(INDEX(DB_materiali!$E$2:$E$5000,MATCH($C283,DB_materiali!$A$2:$A$5000,0))&lt;=INDEX(DB_malas!$D$2:$D$5000,MATCH(H283,DB_malas!$A$2:$A$5000,0)),IF(OR(INDEX(DB_materiali!$B$2:$B$5000,MATCH($C283,DB_materiali!$A$2:$A$5000,0))=INDEX(DB_malas!$B$2:$B$5000,MATCH(H283,DB_malas!$A$2:$A$5000,0)),$H283="ORG"),"✔",tulkojums!$A$38),tulkojums!$A$39),tulkojums!$A$39))</f>
        <v/>
      </c>
      <c r="Q283" s="2" t="str">
        <f>IF(ISBLANK(I283),"",IF(INDEX(DB_materiali!$E$2:$E$5000,MATCH($C283,DB_materiali!$A$2:$A$5000,0))&gt;=INDEX(DB_malas!$C$2:$C$5000,MATCH(I283,DB_malas!$A$2:$A$5000,0)),IF(INDEX(DB_materiali!$E$2:$E$5000,MATCH($C283,DB_materiali!$A$2:$A$5000,0))&lt;=INDEX(DB_malas!$D$2:$D$5000,MATCH(I283,DB_malas!$A$2:$A$5000,0)),IF(OR(INDEX(DB_materiali!$B$2:$B$5000,MATCH($C283,DB_materiali!$A$2:$A$5000,0))=INDEX(DB_malas!$B$2:$B$5000,MATCH(I283,DB_malas!$A$2:$A$5000,0)),$H283="ORG"),"✔",tulkojums!$A$38),tulkojums!$A$39),tulkojums!$A$39))</f>
        <v/>
      </c>
      <c r="R283" s="2" t="str">
        <f>IF(ISBLANK(J283),"",IF(INDEX(DB_materiali!$E$2:$E$5000,MATCH($C283,DB_materiali!$A$2:$A$5000,0))&gt;=INDEX(DB_malas!$C$2:$C$5000,MATCH(J283,DB_malas!$A$2:$A$5000,0)),IF(INDEX(DB_materiali!$E$2:$E$5000,MATCH($C283,DB_materiali!$A$2:$A$5000,0))&lt;=INDEX(DB_malas!$D$2:$D$5000,MATCH(J283,DB_malas!$A$2:$A$5000,0)),IF(INDEX(DB_materiali!$B$2:$B$5000,MATCH($C283,DB_materiali!$A$2:$A$5000,0))=INDEX(DB_malas!$B$2:$B$5000,MATCH(J283,DB_malas!$A$2:$A$5000,0)),"✔",tulkojums!$A$38),tulkojums!$A$39),tulkojums!$A$39))</f>
        <v/>
      </c>
      <c r="S283" s="2" t="str">
        <f>IF(ISBLANK(K283),"",IF(INDEX(DB_materiali!$E$2:$E$5000,MATCH($C283,DB_materiali!$A$2:$A$5000,0))&gt;=INDEX(DB_malas!$C$2:$C$5000,MATCH(K283,DB_malas!$A$2:$A$5000,0)),IF(INDEX(DB_materiali!$E$2:$E$5000,MATCH($C283,DB_materiali!$A$2:$A$5000,0))&lt;=INDEX(DB_malas!$D$2:$D$5000,MATCH(K283,DB_malas!$A$2:$A$5000,0)),IF(INDEX(DB_materiali!$B$2:$B$5000,MATCH($C283,DB_materiali!$A$2:$A$5000,0))=INDEX(DB_malas!$B$2:$B$5000,MATCH(K283,DB_malas!$A$2:$A$5000,0)),"✔",tulkojums!$A$38),tulkojums!$A$39),tulkojums!$A$39))</f>
        <v/>
      </c>
      <c r="T283" s="2"/>
      <c r="U283" s="2"/>
      <c r="V283" s="2"/>
      <c r="W283" s="2"/>
      <c r="X283" s="2"/>
      <c r="Y283" s="2"/>
      <c r="Z283" s="2"/>
    </row>
    <row r="284" spans="1:26" ht="15.75" customHeight="1">
      <c r="A284" s="17"/>
      <c r="B284" s="18"/>
      <c r="C284" s="19"/>
      <c r="D284" s="55"/>
      <c r="E284" s="55"/>
      <c r="F284" s="56"/>
      <c r="G284" s="57" t="str">
        <f>IF(ISBLANK(C284),"",
   IFERROR(
      IF(
         INDEX(DB_materiali!C$2:C$5000,
               MATCH(C284, DB_materiali!A$2:A$5000, 0)
         )="FALSE",
         "N",
         "Y"
      ),
   "")
)</f>
        <v/>
      </c>
      <c r="H284" s="20"/>
      <c r="I284" s="20"/>
      <c r="J284" s="20"/>
      <c r="K284" s="20"/>
      <c r="M284" s="2" t="str">
        <f>IF(ISBLANK(C284),"",IF(IFERROR(VLOOKUP(C284,DB_materiali!$A$2:$A$5000,1,FALSE),"Kļūda artikulā")=C284,"✔",tulkojums!A$42))</f>
        <v/>
      </c>
      <c r="N284" s="2" t="str">
        <f>IF(ISBLANK(C284),"",IF(ISNUMBER(F284)=TRUE,"✔",tulkojums!A$43))</f>
        <v/>
      </c>
      <c r="O284" s="2" t="str">
        <f>IF(ISBLANK(C284),"",IF(G284="Y","✔",IF(G284="X","✔",IF(G284="N","✔",tulkojums!A$44))))</f>
        <v/>
      </c>
      <c r="P284" s="2" t="str">
        <f>IF(ISBLANK(H284),"",IF(INDEX(DB_materiali!$E$2:$E$5000,MATCH($C284,DB_materiali!$A$2:$A$5000,0))&gt;=INDEX(DB_malas!$C$2:$C$5000,MATCH(H284,DB_malas!$A$2:$A$5000,0)),IF(INDEX(DB_materiali!$E$2:$E$5000,MATCH($C284,DB_materiali!$A$2:$A$5000,0))&lt;=INDEX(DB_malas!$D$2:$D$5000,MATCH(H284,DB_malas!$A$2:$A$5000,0)),IF(OR(INDEX(DB_materiali!$B$2:$B$5000,MATCH($C284,DB_materiali!$A$2:$A$5000,0))=INDEX(DB_malas!$B$2:$B$5000,MATCH(H284,DB_malas!$A$2:$A$5000,0)),$H284="ORG"),"✔",tulkojums!$A$38),tulkojums!$A$39),tulkojums!$A$39))</f>
        <v/>
      </c>
      <c r="Q284" s="2" t="str">
        <f>IF(ISBLANK(I284),"",IF(INDEX(DB_materiali!$E$2:$E$5000,MATCH($C284,DB_materiali!$A$2:$A$5000,0))&gt;=INDEX(DB_malas!$C$2:$C$5000,MATCH(I284,DB_malas!$A$2:$A$5000,0)),IF(INDEX(DB_materiali!$E$2:$E$5000,MATCH($C284,DB_materiali!$A$2:$A$5000,0))&lt;=INDEX(DB_malas!$D$2:$D$5000,MATCH(I284,DB_malas!$A$2:$A$5000,0)),IF(OR(INDEX(DB_materiali!$B$2:$B$5000,MATCH($C284,DB_materiali!$A$2:$A$5000,0))=INDEX(DB_malas!$B$2:$B$5000,MATCH(I284,DB_malas!$A$2:$A$5000,0)),$H284="ORG"),"✔",tulkojums!$A$38),tulkojums!$A$39),tulkojums!$A$39))</f>
        <v/>
      </c>
      <c r="R284" s="2" t="str">
        <f>IF(ISBLANK(J284),"",IF(INDEX(DB_materiali!$E$2:$E$5000,MATCH($C284,DB_materiali!$A$2:$A$5000,0))&gt;=INDEX(DB_malas!$C$2:$C$5000,MATCH(J284,DB_malas!$A$2:$A$5000,0)),IF(INDEX(DB_materiali!$E$2:$E$5000,MATCH($C284,DB_materiali!$A$2:$A$5000,0))&lt;=INDEX(DB_malas!$D$2:$D$5000,MATCH(J284,DB_malas!$A$2:$A$5000,0)),IF(INDEX(DB_materiali!$B$2:$B$5000,MATCH($C284,DB_materiali!$A$2:$A$5000,0))=INDEX(DB_malas!$B$2:$B$5000,MATCH(J284,DB_malas!$A$2:$A$5000,0)),"✔",tulkojums!$A$38),tulkojums!$A$39),tulkojums!$A$39))</f>
        <v/>
      </c>
      <c r="S284" s="2" t="str">
        <f>IF(ISBLANK(K284),"",IF(INDEX(DB_materiali!$E$2:$E$5000,MATCH($C284,DB_materiali!$A$2:$A$5000,0))&gt;=INDEX(DB_malas!$C$2:$C$5000,MATCH(K284,DB_malas!$A$2:$A$5000,0)),IF(INDEX(DB_materiali!$E$2:$E$5000,MATCH($C284,DB_materiali!$A$2:$A$5000,0))&lt;=INDEX(DB_malas!$D$2:$D$5000,MATCH(K284,DB_malas!$A$2:$A$5000,0)),IF(INDEX(DB_materiali!$B$2:$B$5000,MATCH($C284,DB_materiali!$A$2:$A$5000,0))=INDEX(DB_malas!$B$2:$B$5000,MATCH(K284,DB_malas!$A$2:$A$5000,0)),"✔",tulkojums!$A$38),tulkojums!$A$39),tulkojums!$A$39))</f>
        <v/>
      </c>
      <c r="T284" s="2"/>
      <c r="U284" s="2"/>
      <c r="V284" s="2"/>
      <c r="W284" s="2"/>
      <c r="X284" s="2"/>
      <c r="Y284" s="2"/>
      <c r="Z284" s="2"/>
    </row>
    <row r="285" spans="1:26" ht="15.75" customHeight="1">
      <c r="A285" s="17"/>
      <c r="B285" s="18"/>
      <c r="C285" s="19"/>
      <c r="D285" s="55"/>
      <c r="E285" s="55"/>
      <c r="F285" s="56"/>
      <c r="G285" s="57" t="str">
        <f>IF(ISBLANK(C285),"",
   IFERROR(
      IF(
         INDEX(DB_materiali!C$2:C$5000,
               MATCH(C285, DB_materiali!A$2:A$5000, 0)
         )="FALSE",
         "N",
         "Y"
      ),
   "")
)</f>
        <v/>
      </c>
      <c r="H285" s="20"/>
      <c r="I285" s="20"/>
      <c r="J285" s="20"/>
      <c r="K285" s="20"/>
      <c r="M285" s="2" t="str">
        <f>IF(ISBLANK(C285),"",IF(IFERROR(VLOOKUP(C285,DB_materiali!$A$2:$A$5000,1,FALSE),"Kļūda artikulā")=C285,"✔",tulkojums!A$42))</f>
        <v/>
      </c>
      <c r="N285" s="2" t="str">
        <f>IF(ISBLANK(C285),"",IF(ISNUMBER(F285)=TRUE,"✔",tulkojums!A$43))</f>
        <v/>
      </c>
      <c r="O285" s="2" t="str">
        <f>IF(ISBLANK(C285),"",IF(G285="Y","✔",IF(G285="X","✔",IF(G285="N","✔",tulkojums!A$44))))</f>
        <v/>
      </c>
      <c r="P285" s="2" t="str">
        <f>IF(ISBLANK(H285),"",IF(INDEX(DB_materiali!$E$2:$E$5000,MATCH($C285,DB_materiali!$A$2:$A$5000,0))&gt;=INDEX(DB_malas!$C$2:$C$5000,MATCH(H285,DB_malas!$A$2:$A$5000,0)),IF(INDEX(DB_materiali!$E$2:$E$5000,MATCH($C285,DB_materiali!$A$2:$A$5000,0))&lt;=INDEX(DB_malas!$D$2:$D$5000,MATCH(H285,DB_malas!$A$2:$A$5000,0)),IF(OR(INDEX(DB_materiali!$B$2:$B$5000,MATCH($C285,DB_materiali!$A$2:$A$5000,0))=INDEX(DB_malas!$B$2:$B$5000,MATCH(H285,DB_malas!$A$2:$A$5000,0)),$H285="ORG"),"✔",tulkojums!$A$38),tulkojums!$A$39),tulkojums!$A$39))</f>
        <v/>
      </c>
      <c r="Q285" s="2" t="str">
        <f>IF(ISBLANK(I285),"",IF(INDEX(DB_materiali!$E$2:$E$5000,MATCH($C285,DB_materiali!$A$2:$A$5000,0))&gt;=INDEX(DB_malas!$C$2:$C$5000,MATCH(I285,DB_malas!$A$2:$A$5000,0)),IF(INDEX(DB_materiali!$E$2:$E$5000,MATCH($C285,DB_materiali!$A$2:$A$5000,0))&lt;=INDEX(DB_malas!$D$2:$D$5000,MATCH(I285,DB_malas!$A$2:$A$5000,0)),IF(OR(INDEX(DB_materiali!$B$2:$B$5000,MATCH($C285,DB_materiali!$A$2:$A$5000,0))=INDEX(DB_malas!$B$2:$B$5000,MATCH(I285,DB_malas!$A$2:$A$5000,0)),$H285="ORG"),"✔",tulkojums!$A$38),tulkojums!$A$39),tulkojums!$A$39))</f>
        <v/>
      </c>
      <c r="R285" s="2" t="str">
        <f>IF(ISBLANK(J285),"",IF(INDEX(DB_materiali!$E$2:$E$5000,MATCH($C285,DB_materiali!$A$2:$A$5000,0))&gt;=INDEX(DB_malas!$C$2:$C$5000,MATCH(J285,DB_malas!$A$2:$A$5000,0)),IF(INDEX(DB_materiali!$E$2:$E$5000,MATCH($C285,DB_materiali!$A$2:$A$5000,0))&lt;=INDEX(DB_malas!$D$2:$D$5000,MATCH(J285,DB_malas!$A$2:$A$5000,0)),IF(INDEX(DB_materiali!$B$2:$B$5000,MATCH($C285,DB_materiali!$A$2:$A$5000,0))=INDEX(DB_malas!$B$2:$B$5000,MATCH(J285,DB_malas!$A$2:$A$5000,0)),"✔",tulkojums!$A$38),tulkojums!$A$39),tulkojums!$A$39))</f>
        <v/>
      </c>
      <c r="S285" s="2" t="str">
        <f>IF(ISBLANK(K285),"",IF(INDEX(DB_materiali!$E$2:$E$5000,MATCH($C285,DB_materiali!$A$2:$A$5000,0))&gt;=INDEX(DB_malas!$C$2:$C$5000,MATCH(K285,DB_malas!$A$2:$A$5000,0)),IF(INDEX(DB_materiali!$E$2:$E$5000,MATCH($C285,DB_materiali!$A$2:$A$5000,0))&lt;=INDEX(DB_malas!$D$2:$D$5000,MATCH(K285,DB_malas!$A$2:$A$5000,0)),IF(INDEX(DB_materiali!$B$2:$B$5000,MATCH($C285,DB_materiali!$A$2:$A$5000,0))=INDEX(DB_malas!$B$2:$B$5000,MATCH(K285,DB_malas!$A$2:$A$5000,0)),"✔",tulkojums!$A$38),tulkojums!$A$39),tulkojums!$A$39))</f>
        <v/>
      </c>
      <c r="T285" s="2"/>
      <c r="U285" s="2"/>
      <c r="V285" s="2"/>
      <c r="W285" s="2"/>
      <c r="X285" s="2"/>
      <c r="Y285" s="2"/>
      <c r="Z285" s="2"/>
    </row>
    <row r="286" spans="1:26" ht="15.75" customHeight="1">
      <c r="A286" s="17"/>
      <c r="B286" s="18"/>
      <c r="C286" s="19"/>
      <c r="D286" s="55"/>
      <c r="E286" s="55"/>
      <c r="F286" s="56"/>
      <c r="G286" s="57" t="str">
        <f>IF(ISBLANK(C286),"",
   IFERROR(
      IF(
         INDEX(DB_materiali!C$2:C$5000,
               MATCH(C286, DB_materiali!A$2:A$5000, 0)
         )="FALSE",
         "N",
         "Y"
      ),
   "")
)</f>
        <v/>
      </c>
      <c r="H286" s="20"/>
      <c r="I286" s="20"/>
      <c r="J286" s="20"/>
      <c r="K286" s="20"/>
      <c r="M286" s="2" t="str">
        <f>IF(ISBLANK(C286),"",IF(IFERROR(VLOOKUP(C286,DB_materiali!$A$2:$A$5000,1,FALSE),"Kļūda artikulā")=C286,"✔",tulkojums!A$42))</f>
        <v/>
      </c>
      <c r="N286" s="2" t="str">
        <f>IF(ISBLANK(C286),"",IF(ISNUMBER(F286)=TRUE,"✔",tulkojums!A$43))</f>
        <v/>
      </c>
      <c r="O286" s="2" t="str">
        <f>IF(ISBLANK(C286),"",IF(G286="Y","✔",IF(G286="X","✔",IF(G286="N","✔",tulkojums!A$44))))</f>
        <v/>
      </c>
      <c r="P286" s="2" t="str">
        <f>IF(ISBLANK(H286),"",IF(INDEX(DB_materiali!$E$2:$E$5000,MATCH($C286,DB_materiali!$A$2:$A$5000,0))&gt;=INDEX(DB_malas!$C$2:$C$5000,MATCH(H286,DB_malas!$A$2:$A$5000,0)),IF(INDEX(DB_materiali!$E$2:$E$5000,MATCH($C286,DB_materiali!$A$2:$A$5000,0))&lt;=INDEX(DB_malas!$D$2:$D$5000,MATCH(H286,DB_malas!$A$2:$A$5000,0)),IF(OR(INDEX(DB_materiali!$B$2:$B$5000,MATCH($C286,DB_materiali!$A$2:$A$5000,0))=INDEX(DB_malas!$B$2:$B$5000,MATCH(H286,DB_malas!$A$2:$A$5000,0)),$H286="ORG"),"✔",tulkojums!$A$38),tulkojums!$A$39),tulkojums!$A$39))</f>
        <v/>
      </c>
      <c r="Q286" s="2" t="str">
        <f>IF(ISBLANK(I286),"",IF(INDEX(DB_materiali!$E$2:$E$5000,MATCH($C286,DB_materiali!$A$2:$A$5000,0))&gt;=INDEX(DB_malas!$C$2:$C$5000,MATCH(I286,DB_malas!$A$2:$A$5000,0)),IF(INDEX(DB_materiali!$E$2:$E$5000,MATCH($C286,DB_materiali!$A$2:$A$5000,0))&lt;=INDEX(DB_malas!$D$2:$D$5000,MATCH(I286,DB_malas!$A$2:$A$5000,0)),IF(OR(INDEX(DB_materiali!$B$2:$B$5000,MATCH($C286,DB_materiali!$A$2:$A$5000,0))=INDEX(DB_malas!$B$2:$B$5000,MATCH(I286,DB_malas!$A$2:$A$5000,0)),$H286="ORG"),"✔",tulkojums!$A$38),tulkojums!$A$39),tulkojums!$A$39))</f>
        <v/>
      </c>
      <c r="R286" s="2" t="str">
        <f>IF(ISBLANK(J286),"",IF(INDEX(DB_materiali!$E$2:$E$5000,MATCH($C286,DB_materiali!$A$2:$A$5000,0))&gt;=INDEX(DB_malas!$C$2:$C$5000,MATCH(J286,DB_malas!$A$2:$A$5000,0)),IF(INDEX(DB_materiali!$E$2:$E$5000,MATCH($C286,DB_materiali!$A$2:$A$5000,0))&lt;=INDEX(DB_malas!$D$2:$D$5000,MATCH(J286,DB_malas!$A$2:$A$5000,0)),IF(INDEX(DB_materiali!$B$2:$B$5000,MATCH($C286,DB_materiali!$A$2:$A$5000,0))=INDEX(DB_malas!$B$2:$B$5000,MATCH(J286,DB_malas!$A$2:$A$5000,0)),"✔",tulkojums!$A$38),tulkojums!$A$39),tulkojums!$A$39))</f>
        <v/>
      </c>
      <c r="S286" s="2" t="str">
        <f>IF(ISBLANK(K286),"",IF(INDEX(DB_materiali!$E$2:$E$5000,MATCH($C286,DB_materiali!$A$2:$A$5000,0))&gt;=INDEX(DB_malas!$C$2:$C$5000,MATCH(K286,DB_malas!$A$2:$A$5000,0)),IF(INDEX(DB_materiali!$E$2:$E$5000,MATCH($C286,DB_materiali!$A$2:$A$5000,0))&lt;=INDEX(DB_malas!$D$2:$D$5000,MATCH(K286,DB_malas!$A$2:$A$5000,0)),IF(INDEX(DB_materiali!$B$2:$B$5000,MATCH($C286,DB_materiali!$A$2:$A$5000,0))=INDEX(DB_malas!$B$2:$B$5000,MATCH(K286,DB_malas!$A$2:$A$5000,0)),"✔",tulkojums!$A$38),tulkojums!$A$39),tulkojums!$A$39))</f>
        <v/>
      </c>
      <c r="T286" s="2"/>
      <c r="U286" s="2"/>
      <c r="V286" s="2"/>
      <c r="W286" s="2"/>
      <c r="X286" s="2"/>
      <c r="Y286" s="2"/>
      <c r="Z286" s="2"/>
    </row>
    <row r="287" spans="1:26" ht="15.75" customHeight="1">
      <c r="A287" s="17"/>
      <c r="B287" s="18"/>
      <c r="C287" s="19"/>
      <c r="D287" s="55"/>
      <c r="E287" s="55"/>
      <c r="F287" s="56"/>
      <c r="G287" s="57" t="str">
        <f>IF(ISBLANK(C287),"",
   IFERROR(
      IF(
         INDEX(DB_materiali!C$2:C$5000,
               MATCH(C287, DB_materiali!A$2:A$5000, 0)
         )="FALSE",
         "N",
         "Y"
      ),
   "")
)</f>
        <v/>
      </c>
      <c r="H287" s="20"/>
      <c r="I287" s="20"/>
      <c r="J287" s="20"/>
      <c r="K287" s="20"/>
      <c r="M287" s="2" t="str">
        <f>IF(ISBLANK(C287),"",IF(IFERROR(VLOOKUP(C287,DB_materiali!$A$2:$A$5000,1,FALSE),"Kļūda artikulā")=C287,"✔",tulkojums!A$42))</f>
        <v/>
      </c>
      <c r="N287" s="2" t="str">
        <f>IF(ISBLANK(C287),"",IF(ISNUMBER(F287)=TRUE,"✔",tulkojums!A$43))</f>
        <v/>
      </c>
      <c r="O287" s="2" t="str">
        <f>IF(ISBLANK(C287),"",IF(G287="Y","✔",IF(G287="X","✔",IF(G287="N","✔",tulkojums!A$44))))</f>
        <v/>
      </c>
      <c r="P287" s="2" t="str">
        <f>IF(ISBLANK(H287),"",IF(INDEX(DB_materiali!$E$2:$E$5000,MATCH($C287,DB_materiali!$A$2:$A$5000,0))&gt;=INDEX(DB_malas!$C$2:$C$5000,MATCH(H287,DB_malas!$A$2:$A$5000,0)),IF(INDEX(DB_materiali!$E$2:$E$5000,MATCH($C287,DB_materiali!$A$2:$A$5000,0))&lt;=INDEX(DB_malas!$D$2:$D$5000,MATCH(H287,DB_malas!$A$2:$A$5000,0)),IF(OR(INDEX(DB_materiali!$B$2:$B$5000,MATCH($C287,DB_materiali!$A$2:$A$5000,0))=INDEX(DB_malas!$B$2:$B$5000,MATCH(H287,DB_malas!$A$2:$A$5000,0)),$H287="ORG"),"✔",tulkojums!$A$38),tulkojums!$A$39),tulkojums!$A$39))</f>
        <v/>
      </c>
      <c r="Q287" s="2" t="str">
        <f>IF(ISBLANK(I287),"",IF(INDEX(DB_materiali!$E$2:$E$5000,MATCH($C287,DB_materiali!$A$2:$A$5000,0))&gt;=INDEX(DB_malas!$C$2:$C$5000,MATCH(I287,DB_malas!$A$2:$A$5000,0)),IF(INDEX(DB_materiali!$E$2:$E$5000,MATCH($C287,DB_materiali!$A$2:$A$5000,0))&lt;=INDEX(DB_malas!$D$2:$D$5000,MATCH(I287,DB_malas!$A$2:$A$5000,0)),IF(OR(INDEX(DB_materiali!$B$2:$B$5000,MATCH($C287,DB_materiali!$A$2:$A$5000,0))=INDEX(DB_malas!$B$2:$B$5000,MATCH(I287,DB_malas!$A$2:$A$5000,0)),$H287="ORG"),"✔",tulkojums!$A$38),tulkojums!$A$39),tulkojums!$A$39))</f>
        <v/>
      </c>
      <c r="R287" s="2" t="str">
        <f>IF(ISBLANK(J287),"",IF(INDEX(DB_materiali!$E$2:$E$5000,MATCH($C287,DB_materiali!$A$2:$A$5000,0))&gt;=INDEX(DB_malas!$C$2:$C$5000,MATCH(J287,DB_malas!$A$2:$A$5000,0)),IF(INDEX(DB_materiali!$E$2:$E$5000,MATCH($C287,DB_materiali!$A$2:$A$5000,0))&lt;=INDEX(DB_malas!$D$2:$D$5000,MATCH(J287,DB_malas!$A$2:$A$5000,0)),IF(INDEX(DB_materiali!$B$2:$B$5000,MATCH($C287,DB_materiali!$A$2:$A$5000,0))=INDEX(DB_malas!$B$2:$B$5000,MATCH(J287,DB_malas!$A$2:$A$5000,0)),"✔",tulkojums!$A$38),tulkojums!$A$39),tulkojums!$A$39))</f>
        <v/>
      </c>
      <c r="S287" s="2" t="str">
        <f>IF(ISBLANK(K287),"",IF(INDEX(DB_materiali!$E$2:$E$5000,MATCH($C287,DB_materiali!$A$2:$A$5000,0))&gt;=INDEX(DB_malas!$C$2:$C$5000,MATCH(K287,DB_malas!$A$2:$A$5000,0)),IF(INDEX(DB_materiali!$E$2:$E$5000,MATCH($C287,DB_materiali!$A$2:$A$5000,0))&lt;=INDEX(DB_malas!$D$2:$D$5000,MATCH(K287,DB_malas!$A$2:$A$5000,0)),IF(INDEX(DB_materiali!$B$2:$B$5000,MATCH($C287,DB_materiali!$A$2:$A$5000,0))=INDEX(DB_malas!$B$2:$B$5000,MATCH(K287,DB_malas!$A$2:$A$5000,0)),"✔",tulkojums!$A$38),tulkojums!$A$39),tulkojums!$A$39))</f>
        <v/>
      </c>
      <c r="T287" s="2"/>
      <c r="U287" s="2"/>
      <c r="V287" s="2"/>
      <c r="W287" s="2"/>
      <c r="X287" s="2"/>
      <c r="Y287" s="2"/>
      <c r="Z287" s="2"/>
    </row>
    <row r="288" spans="1:26" ht="15.75" customHeight="1">
      <c r="A288" s="17"/>
      <c r="B288" s="18"/>
      <c r="C288" s="19"/>
      <c r="D288" s="55"/>
      <c r="E288" s="55"/>
      <c r="F288" s="56"/>
      <c r="G288" s="57" t="str">
        <f>IF(ISBLANK(C288),"",
   IFERROR(
      IF(
         INDEX(DB_materiali!C$2:C$5000,
               MATCH(C288, DB_materiali!A$2:A$5000, 0)
         )="FALSE",
         "N",
         "Y"
      ),
   "")
)</f>
        <v/>
      </c>
      <c r="H288" s="20"/>
      <c r="I288" s="20"/>
      <c r="J288" s="20"/>
      <c r="K288" s="20"/>
      <c r="M288" s="2" t="str">
        <f>IF(ISBLANK(C288),"",IF(IFERROR(VLOOKUP(C288,DB_materiali!$A$2:$A$5000,1,FALSE),"Kļūda artikulā")=C288,"✔",tulkojums!A$42))</f>
        <v/>
      </c>
      <c r="N288" s="2" t="str">
        <f>IF(ISBLANK(C288),"",IF(ISNUMBER(F288)=TRUE,"✔",tulkojums!A$43))</f>
        <v/>
      </c>
      <c r="O288" s="2" t="str">
        <f>IF(ISBLANK(C288),"",IF(G288="Y","✔",IF(G288="X","✔",IF(G288="N","✔",tulkojums!A$44))))</f>
        <v/>
      </c>
      <c r="P288" s="2" t="str">
        <f>IF(ISBLANK(H288),"",IF(INDEX(DB_materiali!$E$2:$E$5000,MATCH($C288,DB_materiali!$A$2:$A$5000,0))&gt;=INDEX(DB_malas!$C$2:$C$5000,MATCH(H288,DB_malas!$A$2:$A$5000,0)),IF(INDEX(DB_materiali!$E$2:$E$5000,MATCH($C288,DB_materiali!$A$2:$A$5000,0))&lt;=INDEX(DB_malas!$D$2:$D$5000,MATCH(H288,DB_malas!$A$2:$A$5000,0)),IF(OR(INDEX(DB_materiali!$B$2:$B$5000,MATCH($C288,DB_materiali!$A$2:$A$5000,0))=INDEX(DB_malas!$B$2:$B$5000,MATCH(H288,DB_malas!$A$2:$A$5000,0)),$H288="ORG"),"✔",tulkojums!$A$38),tulkojums!$A$39),tulkojums!$A$39))</f>
        <v/>
      </c>
      <c r="Q288" s="2" t="str">
        <f>IF(ISBLANK(I288),"",IF(INDEX(DB_materiali!$E$2:$E$5000,MATCH($C288,DB_materiali!$A$2:$A$5000,0))&gt;=INDEX(DB_malas!$C$2:$C$5000,MATCH(I288,DB_malas!$A$2:$A$5000,0)),IF(INDEX(DB_materiali!$E$2:$E$5000,MATCH($C288,DB_materiali!$A$2:$A$5000,0))&lt;=INDEX(DB_malas!$D$2:$D$5000,MATCH(I288,DB_malas!$A$2:$A$5000,0)),IF(OR(INDEX(DB_materiali!$B$2:$B$5000,MATCH($C288,DB_materiali!$A$2:$A$5000,0))=INDEX(DB_malas!$B$2:$B$5000,MATCH(I288,DB_malas!$A$2:$A$5000,0)),$H288="ORG"),"✔",tulkojums!$A$38),tulkojums!$A$39),tulkojums!$A$39))</f>
        <v/>
      </c>
      <c r="R288" s="2" t="str">
        <f>IF(ISBLANK(J288),"",IF(INDEX(DB_materiali!$E$2:$E$5000,MATCH($C288,DB_materiali!$A$2:$A$5000,0))&gt;=INDEX(DB_malas!$C$2:$C$5000,MATCH(J288,DB_malas!$A$2:$A$5000,0)),IF(INDEX(DB_materiali!$E$2:$E$5000,MATCH($C288,DB_materiali!$A$2:$A$5000,0))&lt;=INDEX(DB_malas!$D$2:$D$5000,MATCH(J288,DB_malas!$A$2:$A$5000,0)),IF(INDEX(DB_materiali!$B$2:$B$5000,MATCH($C288,DB_materiali!$A$2:$A$5000,0))=INDEX(DB_malas!$B$2:$B$5000,MATCH(J288,DB_malas!$A$2:$A$5000,0)),"✔",tulkojums!$A$38),tulkojums!$A$39),tulkojums!$A$39))</f>
        <v/>
      </c>
      <c r="S288" s="2" t="str">
        <f>IF(ISBLANK(K288),"",IF(INDEX(DB_materiali!$E$2:$E$5000,MATCH($C288,DB_materiali!$A$2:$A$5000,0))&gt;=INDEX(DB_malas!$C$2:$C$5000,MATCH(K288,DB_malas!$A$2:$A$5000,0)),IF(INDEX(DB_materiali!$E$2:$E$5000,MATCH($C288,DB_materiali!$A$2:$A$5000,0))&lt;=INDEX(DB_malas!$D$2:$D$5000,MATCH(K288,DB_malas!$A$2:$A$5000,0)),IF(INDEX(DB_materiali!$B$2:$B$5000,MATCH($C288,DB_materiali!$A$2:$A$5000,0))=INDEX(DB_malas!$B$2:$B$5000,MATCH(K288,DB_malas!$A$2:$A$5000,0)),"✔",tulkojums!$A$38),tulkojums!$A$39),tulkojums!$A$39))</f>
        <v/>
      </c>
      <c r="T288" s="2"/>
      <c r="U288" s="2"/>
      <c r="V288" s="2"/>
      <c r="W288" s="2"/>
      <c r="X288" s="2"/>
      <c r="Y288" s="2"/>
      <c r="Z288" s="2"/>
    </row>
    <row r="289" spans="1:26" ht="15.75" customHeight="1">
      <c r="A289" s="17"/>
      <c r="B289" s="18"/>
      <c r="C289" s="19"/>
      <c r="D289" s="55"/>
      <c r="E289" s="55"/>
      <c r="F289" s="56"/>
      <c r="G289" s="57" t="str">
        <f>IF(ISBLANK(C289),"",
   IFERROR(
      IF(
         INDEX(DB_materiali!C$2:C$5000,
               MATCH(C289, DB_materiali!A$2:A$5000, 0)
         )="FALSE",
         "N",
         "Y"
      ),
   "")
)</f>
        <v/>
      </c>
      <c r="H289" s="20"/>
      <c r="I289" s="20"/>
      <c r="J289" s="20"/>
      <c r="K289" s="20"/>
      <c r="M289" s="2" t="str">
        <f>IF(ISBLANK(C289),"",IF(IFERROR(VLOOKUP(C289,DB_materiali!$A$2:$A$5000,1,FALSE),"Kļūda artikulā")=C289,"✔",tulkojums!A$42))</f>
        <v/>
      </c>
      <c r="N289" s="2" t="str">
        <f>IF(ISBLANK(C289),"",IF(ISNUMBER(F289)=TRUE,"✔",tulkojums!A$43))</f>
        <v/>
      </c>
      <c r="O289" s="2" t="str">
        <f>IF(ISBLANK(C289),"",IF(G289="Y","✔",IF(G289="X","✔",IF(G289="N","✔",tulkojums!A$44))))</f>
        <v/>
      </c>
      <c r="P289" s="2" t="str">
        <f>IF(ISBLANK(H289),"",IF(INDEX(DB_materiali!$E$2:$E$5000,MATCH($C289,DB_materiali!$A$2:$A$5000,0))&gt;=INDEX(DB_malas!$C$2:$C$5000,MATCH(H289,DB_malas!$A$2:$A$5000,0)),IF(INDEX(DB_materiali!$E$2:$E$5000,MATCH($C289,DB_materiali!$A$2:$A$5000,0))&lt;=INDEX(DB_malas!$D$2:$D$5000,MATCH(H289,DB_malas!$A$2:$A$5000,0)),IF(OR(INDEX(DB_materiali!$B$2:$B$5000,MATCH($C289,DB_materiali!$A$2:$A$5000,0))=INDEX(DB_malas!$B$2:$B$5000,MATCH(H289,DB_malas!$A$2:$A$5000,0)),$H289="ORG"),"✔",tulkojums!$A$38),tulkojums!$A$39),tulkojums!$A$39))</f>
        <v/>
      </c>
      <c r="Q289" s="2" t="str">
        <f>IF(ISBLANK(I289),"",IF(INDEX(DB_materiali!$E$2:$E$5000,MATCH($C289,DB_materiali!$A$2:$A$5000,0))&gt;=INDEX(DB_malas!$C$2:$C$5000,MATCH(I289,DB_malas!$A$2:$A$5000,0)),IF(INDEX(DB_materiali!$E$2:$E$5000,MATCH($C289,DB_materiali!$A$2:$A$5000,0))&lt;=INDEX(DB_malas!$D$2:$D$5000,MATCH(I289,DB_malas!$A$2:$A$5000,0)),IF(OR(INDEX(DB_materiali!$B$2:$B$5000,MATCH($C289,DB_materiali!$A$2:$A$5000,0))=INDEX(DB_malas!$B$2:$B$5000,MATCH(I289,DB_malas!$A$2:$A$5000,0)),$H289="ORG"),"✔",tulkojums!$A$38),tulkojums!$A$39),tulkojums!$A$39))</f>
        <v/>
      </c>
      <c r="R289" s="2" t="str">
        <f>IF(ISBLANK(J289),"",IF(INDEX(DB_materiali!$E$2:$E$5000,MATCH($C289,DB_materiali!$A$2:$A$5000,0))&gt;=INDEX(DB_malas!$C$2:$C$5000,MATCH(J289,DB_malas!$A$2:$A$5000,0)),IF(INDEX(DB_materiali!$E$2:$E$5000,MATCH($C289,DB_materiali!$A$2:$A$5000,0))&lt;=INDEX(DB_malas!$D$2:$D$5000,MATCH(J289,DB_malas!$A$2:$A$5000,0)),IF(INDEX(DB_materiali!$B$2:$B$5000,MATCH($C289,DB_materiali!$A$2:$A$5000,0))=INDEX(DB_malas!$B$2:$B$5000,MATCH(J289,DB_malas!$A$2:$A$5000,0)),"✔",tulkojums!$A$38),tulkojums!$A$39),tulkojums!$A$39))</f>
        <v/>
      </c>
      <c r="S289" s="2" t="str">
        <f>IF(ISBLANK(K289),"",IF(INDEX(DB_materiali!$E$2:$E$5000,MATCH($C289,DB_materiali!$A$2:$A$5000,0))&gt;=INDEX(DB_malas!$C$2:$C$5000,MATCH(K289,DB_malas!$A$2:$A$5000,0)),IF(INDEX(DB_materiali!$E$2:$E$5000,MATCH($C289,DB_materiali!$A$2:$A$5000,0))&lt;=INDEX(DB_malas!$D$2:$D$5000,MATCH(K289,DB_malas!$A$2:$A$5000,0)),IF(INDEX(DB_materiali!$B$2:$B$5000,MATCH($C289,DB_materiali!$A$2:$A$5000,0))=INDEX(DB_malas!$B$2:$B$5000,MATCH(K289,DB_malas!$A$2:$A$5000,0)),"✔",tulkojums!$A$38),tulkojums!$A$39),tulkojums!$A$39))</f>
        <v/>
      </c>
      <c r="T289" s="2"/>
      <c r="U289" s="2"/>
      <c r="V289" s="2"/>
      <c r="W289" s="2"/>
      <c r="X289" s="2"/>
      <c r="Y289" s="2"/>
      <c r="Z289" s="2"/>
    </row>
    <row r="290" spans="1:26" ht="15.75" customHeight="1">
      <c r="A290" s="17"/>
      <c r="B290" s="18"/>
      <c r="C290" s="19"/>
      <c r="D290" s="55"/>
      <c r="E290" s="55"/>
      <c r="F290" s="56"/>
      <c r="G290" s="57" t="str">
        <f>IF(ISBLANK(C290),"",
   IFERROR(
      IF(
         INDEX(DB_materiali!C$2:C$5000,
               MATCH(C290, DB_materiali!A$2:A$5000, 0)
         )="FALSE",
         "N",
         "Y"
      ),
   "")
)</f>
        <v/>
      </c>
      <c r="H290" s="20"/>
      <c r="I290" s="20"/>
      <c r="J290" s="20"/>
      <c r="K290" s="20"/>
      <c r="M290" s="2" t="str">
        <f>IF(ISBLANK(C290),"",IF(IFERROR(VLOOKUP(C290,DB_materiali!$A$2:$A$5000,1,FALSE),"Kļūda artikulā")=C290,"✔",tulkojums!A$42))</f>
        <v/>
      </c>
      <c r="N290" s="2" t="str">
        <f>IF(ISBLANK(C290),"",IF(ISNUMBER(F290)=TRUE,"✔",tulkojums!A$43))</f>
        <v/>
      </c>
      <c r="O290" s="2" t="str">
        <f>IF(ISBLANK(C290),"",IF(G290="Y","✔",IF(G290="X","✔",IF(G290="N","✔",tulkojums!A$44))))</f>
        <v/>
      </c>
      <c r="P290" s="2" t="str">
        <f>IF(ISBLANK(H290),"",IF(INDEX(DB_materiali!$E$2:$E$5000,MATCH($C290,DB_materiali!$A$2:$A$5000,0))&gt;=INDEX(DB_malas!$C$2:$C$5000,MATCH(H290,DB_malas!$A$2:$A$5000,0)),IF(INDEX(DB_materiali!$E$2:$E$5000,MATCH($C290,DB_materiali!$A$2:$A$5000,0))&lt;=INDEX(DB_malas!$D$2:$D$5000,MATCH(H290,DB_malas!$A$2:$A$5000,0)),IF(OR(INDEX(DB_materiali!$B$2:$B$5000,MATCH($C290,DB_materiali!$A$2:$A$5000,0))=INDEX(DB_malas!$B$2:$B$5000,MATCH(H290,DB_malas!$A$2:$A$5000,0)),$H290="ORG"),"✔",tulkojums!$A$38),tulkojums!$A$39),tulkojums!$A$39))</f>
        <v/>
      </c>
      <c r="Q290" s="2" t="str">
        <f>IF(ISBLANK(I290),"",IF(INDEX(DB_materiali!$E$2:$E$5000,MATCH($C290,DB_materiali!$A$2:$A$5000,0))&gt;=INDEX(DB_malas!$C$2:$C$5000,MATCH(I290,DB_malas!$A$2:$A$5000,0)),IF(INDEX(DB_materiali!$E$2:$E$5000,MATCH($C290,DB_materiali!$A$2:$A$5000,0))&lt;=INDEX(DB_malas!$D$2:$D$5000,MATCH(I290,DB_malas!$A$2:$A$5000,0)),IF(OR(INDEX(DB_materiali!$B$2:$B$5000,MATCH($C290,DB_materiali!$A$2:$A$5000,0))=INDEX(DB_malas!$B$2:$B$5000,MATCH(I290,DB_malas!$A$2:$A$5000,0)),$H290="ORG"),"✔",tulkojums!$A$38),tulkojums!$A$39),tulkojums!$A$39))</f>
        <v/>
      </c>
      <c r="R290" s="2" t="str">
        <f>IF(ISBLANK(J290),"",IF(INDEX(DB_materiali!$E$2:$E$5000,MATCH($C290,DB_materiali!$A$2:$A$5000,0))&gt;=INDEX(DB_malas!$C$2:$C$5000,MATCH(J290,DB_malas!$A$2:$A$5000,0)),IF(INDEX(DB_materiali!$E$2:$E$5000,MATCH($C290,DB_materiali!$A$2:$A$5000,0))&lt;=INDEX(DB_malas!$D$2:$D$5000,MATCH(J290,DB_malas!$A$2:$A$5000,0)),IF(INDEX(DB_materiali!$B$2:$B$5000,MATCH($C290,DB_materiali!$A$2:$A$5000,0))=INDEX(DB_malas!$B$2:$B$5000,MATCH(J290,DB_malas!$A$2:$A$5000,0)),"✔",tulkojums!$A$38),tulkojums!$A$39),tulkojums!$A$39))</f>
        <v/>
      </c>
      <c r="S290" s="2" t="str">
        <f>IF(ISBLANK(K290),"",IF(INDEX(DB_materiali!$E$2:$E$5000,MATCH($C290,DB_materiali!$A$2:$A$5000,0))&gt;=INDEX(DB_malas!$C$2:$C$5000,MATCH(K290,DB_malas!$A$2:$A$5000,0)),IF(INDEX(DB_materiali!$E$2:$E$5000,MATCH($C290,DB_materiali!$A$2:$A$5000,0))&lt;=INDEX(DB_malas!$D$2:$D$5000,MATCH(K290,DB_malas!$A$2:$A$5000,0)),IF(INDEX(DB_materiali!$B$2:$B$5000,MATCH($C290,DB_materiali!$A$2:$A$5000,0))=INDEX(DB_malas!$B$2:$B$5000,MATCH(K290,DB_malas!$A$2:$A$5000,0)),"✔",tulkojums!$A$38),tulkojums!$A$39),tulkojums!$A$39))</f>
        <v/>
      </c>
      <c r="T290" s="2"/>
      <c r="U290" s="2"/>
      <c r="V290" s="2"/>
      <c r="W290" s="2"/>
      <c r="X290" s="2"/>
      <c r="Y290" s="2"/>
      <c r="Z290" s="2"/>
    </row>
    <row r="291" spans="1:26" ht="15.75" customHeight="1">
      <c r="A291" s="17"/>
      <c r="B291" s="18"/>
      <c r="C291" s="19"/>
      <c r="D291" s="55"/>
      <c r="E291" s="55"/>
      <c r="F291" s="56"/>
      <c r="G291" s="57" t="str">
        <f>IF(ISBLANK(C291),"",
   IFERROR(
      IF(
         INDEX(DB_materiali!C$2:C$5000,
               MATCH(C291, DB_materiali!A$2:A$5000, 0)
         )="FALSE",
         "N",
         "Y"
      ),
   "")
)</f>
        <v/>
      </c>
      <c r="H291" s="20"/>
      <c r="I291" s="20"/>
      <c r="J291" s="20"/>
      <c r="K291" s="20"/>
      <c r="M291" s="2" t="str">
        <f>IF(ISBLANK(C291),"",IF(IFERROR(VLOOKUP(C291,DB_materiali!$A$2:$A$5000,1,FALSE),"Kļūda artikulā")=C291,"✔",tulkojums!A$42))</f>
        <v/>
      </c>
      <c r="N291" s="2" t="str">
        <f>IF(ISBLANK(C291),"",IF(ISNUMBER(F291)=TRUE,"✔",tulkojums!A$43))</f>
        <v/>
      </c>
      <c r="O291" s="2" t="str">
        <f>IF(ISBLANK(C291),"",IF(G291="Y","✔",IF(G291="X","✔",IF(G291="N","✔",tulkojums!A$44))))</f>
        <v/>
      </c>
      <c r="P291" s="2" t="str">
        <f>IF(ISBLANK(H291),"",IF(INDEX(DB_materiali!$E$2:$E$5000,MATCH($C291,DB_materiali!$A$2:$A$5000,0))&gt;=INDEX(DB_malas!$C$2:$C$5000,MATCH(H291,DB_malas!$A$2:$A$5000,0)),IF(INDEX(DB_materiali!$E$2:$E$5000,MATCH($C291,DB_materiali!$A$2:$A$5000,0))&lt;=INDEX(DB_malas!$D$2:$D$5000,MATCH(H291,DB_malas!$A$2:$A$5000,0)),IF(OR(INDEX(DB_materiali!$B$2:$B$5000,MATCH($C291,DB_materiali!$A$2:$A$5000,0))=INDEX(DB_malas!$B$2:$B$5000,MATCH(H291,DB_malas!$A$2:$A$5000,0)),$H291="ORG"),"✔",tulkojums!$A$38),tulkojums!$A$39),tulkojums!$A$39))</f>
        <v/>
      </c>
      <c r="Q291" s="2" t="str">
        <f>IF(ISBLANK(I291),"",IF(INDEX(DB_materiali!$E$2:$E$5000,MATCH($C291,DB_materiali!$A$2:$A$5000,0))&gt;=INDEX(DB_malas!$C$2:$C$5000,MATCH(I291,DB_malas!$A$2:$A$5000,0)),IF(INDEX(DB_materiali!$E$2:$E$5000,MATCH($C291,DB_materiali!$A$2:$A$5000,0))&lt;=INDEX(DB_malas!$D$2:$D$5000,MATCH(I291,DB_malas!$A$2:$A$5000,0)),IF(OR(INDEX(DB_materiali!$B$2:$B$5000,MATCH($C291,DB_materiali!$A$2:$A$5000,0))=INDEX(DB_malas!$B$2:$B$5000,MATCH(I291,DB_malas!$A$2:$A$5000,0)),$H291="ORG"),"✔",tulkojums!$A$38),tulkojums!$A$39),tulkojums!$A$39))</f>
        <v/>
      </c>
      <c r="R291" s="2" t="str">
        <f>IF(ISBLANK(J291),"",IF(INDEX(DB_materiali!$E$2:$E$5000,MATCH($C291,DB_materiali!$A$2:$A$5000,0))&gt;=INDEX(DB_malas!$C$2:$C$5000,MATCH(J291,DB_malas!$A$2:$A$5000,0)),IF(INDEX(DB_materiali!$E$2:$E$5000,MATCH($C291,DB_materiali!$A$2:$A$5000,0))&lt;=INDEX(DB_malas!$D$2:$D$5000,MATCH(J291,DB_malas!$A$2:$A$5000,0)),IF(INDEX(DB_materiali!$B$2:$B$5000,MATCH($C291,DB_materiali!$A$2:$A$5000,0))=INDEX(DB_malas!$B$2:$B$5000,MATCH(J291,DB_malas!$A$2:$A$5000,0)),"✔",tulkojums!$A$38),tulkojums!$A$39),tulkojums!$A$39))</f>
        <v/>
      </c>
      <c r="S291" s="2" t="str">
        <f>IF(ISBLANK(K291),"",IF(INDEX(DB_materiali!$E$2:$E$5000,MATCH($C291,DB_materiali!$A$2:$A$5000,0))&gt;=INDEX(DB_malas!$C$2:$C$5000,MATCH(K291,DB_malas!$A$2:$A$5000,0)),IF(INDEX(DB_materiali!$E$2:$E$5000,MATCH($C291,DB_materiali!$A$2:$A$5000,0))&lt;=INDEX(DB_malas!$D$2:$D$5000,MATCH(K291,DB_malas!$A$2:$A$5000,0)),IF(INDEX(DB_materiali!$B$2:$B$5000,MATCH($C291,DB_materiali!$A$2:$A$5000,0))=INDEX(DB_malas!$B$2:$B$5000,MATCH(K291,DB_malas!$A$2:$A$5000,0)),"✔",tulkojums!$A$38),tulkojums!$A$39),tulkojums!$A$39))</f>
        <v/>
      </c>
      <c r="T291" s="2"/>
      <c r="U291" s="2"/>
      <c r="V291" s="2"/>
      <c r="W291" s="2"/>
      <c r="X291" s="2"/>
      <c r="Y291" s="2"/>
      <c r="Z291" s="2"/>
    </row>
    <row r="292" spans="1:26" ht="15.75" customHeight="1">
      <c r="A292" s="17"/>
      <c r="B292" s="18"/>
      <c r="C292" s="19"/>
      <c r="D292" s="55"/>
      <c r="E292" s="55"/>
      <c r="F292" s="56"/>
      <c r="G292" s="57" t="str">
        <f>IF(ISBLANK(C292),"",
   IFERROR(
      IF(
         INDEX(DB_materiali!C$2:C$5000,
               MATCH(C292, DB_materiali!A$2:A$5000, 0)
         )="FALSE",
         "N",
         "Y"
      ),
   "")
)</f>
        <v/>
      </c>
      <c r="H292" s="20"/>
      <c r="I292" s="20"/>
      <c r="J292" s="20"/>
      <c r="K292" s="20"/>
      <c r="M292" s="2" t="str">
        <f>IF(ISBLANK(C292),"",IF(IFERROR(VLOOKUP(C292,DB_materiali!$A$2:$A$5000,1,FALSE),"Kļūda artikulā")=C292,"✔",tulkojums!A$42))</f>
        <v/>
      </c>
      <c r="N292" s="2" t="str">
        <f>IF(ISBLANK(C292),"",IF(ISNUMBER(F292)=TRUE,"✔",tulkojums!A$43))</f>
        <v/>
      </c>
      <c r="O292" s="2" t="str">
        <f>IF(ISBLANK(C292),"",IF(G292="Y","✔",IF(G292="X","✔",IF(G292="N","✔",tulkojums!A$44))))</f>
        <v/>
      </c>
      <c r="P292" s="2" t="str">
        <f>IF(ISBLANK(H292),"",IF(INDEX(DB_materiali!$E$2:$E$5000,MATCH($C292,DB_materiali!$A$2:$A$5000,0))&gt;=INDEX(DB_malas!$C$2:$C$5000,MATCH(H292,DB_malas!$A$2:$A$5000,0)),IF(INDEX(DB_materiali!$E$2:$E$5000,MATCH($C292,DB_materiali!$A$2:$A$5000,0))&lt;=INDEX(DB_malas!$D$2:$D$5000,MATCH(H292,DB_malas!$A$2:$A$5000,0)),IF(OR(INDEX(DB_materiali!$B$2:$B$5000,MATCH($C292,DB_materiali!$A$2:$A$5000,0))=INDEX(DB_malas!$B$2:$B$5000,MATCH(H292,DB_malas!$A$2:$A$5000,0)),$H292="ORG"),"✔",tulkojums!$A$38),tulkojums!$A$39),tulkojums!$A$39))</f>
        <v/>
      </c>
      <c r="Q292" s="2" t="str">
        <f>IF(ISBLANK(I292),"",IF(INDEX(DB_materiali!$E$2:$E$5000,MATCH($C292,DB_materiali!$A$2:$A$5000,0))&gt;=INDEX(DB_malas!$C$2:$C$5000,MATCH(I292,DB_malas!$A$2:$A$5000,0)),IF(INDEX(DB_materiali!$E$2:$E$5000,MATCH($C292,DB_materiali!$A$2:$A$5000,0))&lt;=INDEX(DB_malas!$D$2:$D$5000,MATCH(I292,DB_malas!$A$2:$A$5000,0)),IF(OR(INDEX(DB_materiali!$B$2:$B$5000,MATCH($C292,DB_materiali!$A$2:$A$5000,0))=INDEX(DB_malas!$B$2:$B$5000,MATCH(I292,DB_malas!$A$2:$A$5000,0)),$H292="ORG"),"✔",tulkojums!$A$38),tulkojums!$A$39),tulkojums!$A$39))</f>
        <v/>
      </c>
      <c r="R292" s="2" t="str">
        <f>IF(ISBLANK(J292),"",IF(INDEX(DB_materiali!$E$2:$E$5000,MATCH($C292,DB_materiali!$A$2:$A$5000,0))&gt;=INDEX(DB_malas!$C$2:$C$5000,MATCH(J292,DB_malas!$A$2:$A$5000,0)),IF(INDEX(DB_materiali!$E$2:$E$5000,MATCH($C292,DB_materiali!$A$2:$A$5000,0))&lt;=INDEX(DB_malas!$D$2:$D$5000,MATCH(J292,DB_malas!$A$2:$A$5000,0)),IF(INDEX(DB_materiali!$B$2:$B$5000,MATCH($C292,DB_materiali!$A$2:$A$5000,0))=INDEX(DB_malas!$B$2:$B$5000,MATCH(J292,DB_malas!$A$2:$A$5000,0)),"✔",tulkojums!$A$38),tulkojums!$A$39),tulkojums!$A$39))</f>
        <v/>
      </c>
      <c r="S292" s="2" t="str">
        <f>IF(ISBLANK(K292),"",IF(INDEX(DB_materiali!$E$2:$E$5000,MATCH($C292,DB_materiali!$A$2:$A$5000,0))&gt;=INDEX(DB_malas!$C$2:$C$5000,MATCH(K292,DB_malas!$A$2:$A$5000,0)),IF(INDEX(DB_materiali!$E$2:$E$5000,MATCH($C292,DB_materiali!$A$2:$A$5000,0))&lt;=INDEX(DB_malas!$D$2:$D$5000,MATCH(K292,DB_malas!$A$2:$A$5000,0)),IF(INDEX(DB_materiali!$B$2:$B$5000,MATCH($C292,DB_materiali!$A$2:$A$5000,0))=INDEX(DB_malas!$B$2:$B$5000,MATCH(K292,DB_malas!$A$2:$A$5000,0)),"✔",tulkojums!$A$38),tulkojums!$A$39),tulkojums!$A$39))</f>
        <v/>
      </c>
      <c r="T292" s="2"/>
      <c r="U292" s="2"/>
      <c r="V292" s="2"/>
      <c r="W292" s="2"/>
      <c r="X292" s="2"/>
      <c r="Y292" s="2"/>
      <c r="Z292" s="2"/>
    </row>
    <row r="293" spans="1:26" ht="15.75" customHeight="1">
      <c r="A293" s="17"/>
      <c r="B293" s="18"/>
      <c r="C293" s="19"/>
      <c r="D293" s="55"/>
      <c r="E293" s="55"/>
      <c r="F293" s="56"/>
      <c r="G293" s="57" t="str">
        <f>IF(ISBLANK(C293),"",
   IFERROR(
      IF(
         INDEX(DB_materiali!C$2:C$5000,
               MATCH(C293, DB_materiali!A$2:A$5000, 0)
         )="FALSE",
         "N",
         "Y"
      ),
   "")
)</f>
        <v/>
      </c>
      <c r="H293" s="20"/>
      <c r="I293" s="20"/>
      <c r="J293" s="20"/>
      <c r="K293" s="20"/>
      <c r="M293" s="2" t="str">
        <f>IF(ISBLANK(C293),"",IF(IFERROR(VLOOKUP(C293,DB_materiali!$A$2:$A$5000,1,FALSE),"Kļūda artikulā")=C293,"✔",tulkojums!A$42))</f>
        <v/>
      </c>
      <c r="N293" s="2" t="str">
        <f>IF(ISBLANK(C293),"",IF(ISNUMBER(F293)=TRUE,"✔",tulkojums!A$43))</f>
        <v/>
      </c>
      <c r="O293" s="2" t="str">
        <f>IF(ISBLANK(C293),"",IF(G293="Y","✔",IF(G293="X","✔",IF(G293="N","✔",tulkojums!A$44))))</f>
        <v/>
      </c>
      <c r="P293" s="2" t="str">
        <f>IF(ISBLANK(H293),"",IF(INDEX(DB_materiali!$E$2:$E$5000,MATCH($C293,DB_materiali!$A$2:$A$5000,0))&gt;=INDEX(DB_malas!$C$2:$C$5000,MATCH(H293,DB_malas!$A$2:$A$5000,0)),IF(INDEX(DB_materiali!$E$2:$E$5000,MATCH($C293,DB_materiali!$A$2:$A$5000,0))&lt;=INDEX(DB_malas!$D$2:$D$5000,MATCH(H293,DB_malas!$A$2:$A$5000,0)),IF(OR(INDEX(DB_materiali!$B$2:$B$5000,MATCH($C293,DB_materiali!$A$2:$A$5000,0))=INDEX(DB_malas!$B$2:$B$5000,MATCH(H293,DB_malas!$A$2:$A$5000,0)),$H293="ORG"),"✔",tulkojums!$A$38),tulkojums!$A$39),tulkojums!$A$39))</f>
        <v/>
      </c>
      <c r="Q293" s="2" t="str">
        <f>IF(ISBLANK(I293),"",IF(INDEX(DB_materiali!$E$2:$E$5000,MATCH($C293,DB_materiali!$A$2:$A$5000,0))&gt;=INDEX(DB_malas!$C$2:$C$5000,MATCH(I293,DB_malas!$A$2:$A$5000,0)),IF(INDEX(DB_materiali!$E$2:$E$5000,MATCH($C293,DB_materiali!$A$2:$A$5000,0))&lt;=INDEX(DB_malas!$D$2:$D$5000,MATCH(I293,DB_malas!$A$2:$A$5000,0)),IF(OR(INDEX(DB_materiali!$B$2:$B$5000,MATCH($C293,DB_materiali!$A$2:$A$5000,0))=INDEX(DB_malas!$B$2:$B$5000,MATCH(I293,DB_malas!$A$2:$A$5000,0)),$H293="ORG"),"✔",tulkojums!$A$38),tulkojums!$A$39),tulkojums!$A$39))</f>
        <v/>
      </c>
      <c r="R293" s="2" t="str">
        <f>IF(ISBLANK(J293),"",IF(INDEX(DB_materiali!$E$2:$E$5000,MATCH($C293,DB_materiali!$A$2:$A$5000,0))&gt;=INDEX(DB_malas!$C$2:$C$5000,MATCH(J293,DB_malas!$A$2:$A$5000,0)),IF(INDEX(DB_materiali!$E$2:$E$5000,MATCH($C293,DB_materiali!$A$2:$A$5000,0))&lt;=INDEX(DB_malas!$D$2:$D$5000,MATCH(J293,DB_malas!$A$2:$A$5000,0)),IF(INDEX(DB_materiali!$B$2:$B$5000,MATCH($C293,DB_materiali!$A$2:$A$5000,0))=INDEX(DB_malas!$B$2:$B$5000,MATCH(J293,DB_malas!$A$2:$A$5000,0)),"✔",tulkojums!$A$38),tulkojums!$A$39),tulkojums!$A$39))</f>
        <v/>
      </c>
      <c r="S293" s="2" t="str">
        <f>IF(ISBLANK(K293),"",IF(INDEX(DB_materiali!$E$2:$E$5000,MATCH($C293,DB_materiali!$A$2:$A$5000,0))&gt;=INDEX(DB_malas!$C$2:$C$5000,MATCH(K293,DB_malas!$A$2:$A$5000,0)),IF(INDEX(DB_materiali!$E$2:$E$5000,MATCH($C293,DB_materiali!$A$2:$A$5000,0))&lt;=INDEX(DB_malas!$D$2:$D$5000,MATCH(K293,DB_malas!$A$2:$A$5000,0)),IF(INDEX(DB_materiali!$B$2:$B$5000,MATCH($C293,DB_materiali!$A$2:$A$5000,0))=INDEX(DB_malas!$B$2:$B$5000,MATCH(K293,DB_malas!$A$2:$A$5000,0)),"✔",tulkojums!$A$38),tulkojums!$A$39),tulkojums!$A$39))</f>
        <v/>
      </c>
      <c r="T293" s="2"/>
      <c r="U293" s="2"/>
      <c r="V293" s="2"/>
      <c r="W293" s="2"/>
      <c r="X293" s="2"/>
      <c r="Y293" s="2"/>
      <c r="Z293" s="2"/>
    </row>
    <row r="294" spans="1:26" ht="15.75" customHeight="1">
      <c r="A294" s="17"/>
      <c r="B294" s="18"/>
      <c r="C294" s="19"/>
      <c r="D294" s="55"/>
      <c r="E294" s="55"/>
      <c r="F294" s="56"/>
      <c r="G294" s="57" t="str">
        <f>IF(ISBLANK(C294),"",
   IFERROR(
      IF(
         INDEX(DB_materiali!C$2:C$5000,
               MATCH(C294, DB_materiali!A$2:A$5000, 0)
         )="FALSE",
         "N",
         "Y"
      ),
   "")
)</f>
        <v/>
      </c>
      <c r="H294" s="20"/>
      <c r="I294" s="20"/>
      <c r="J294" s="20"/>
      <c r="K294" s="20"/>
      <c r="M294" s="2" t="str">
        <f>IF(ISBLANK(C294),"",IF(IFERROR(VLOOKUP(C294,DB_materiali!$A$2:$A$5000,1,FALSE),"Kļūda artikulā")=C294,"✔",tulkojums!A$42))</f>
        <v/>
      </c>
      <c r="N294" s="2" t="str">
        <f>IF(ISBLANK(C294),"",IF(ISNUMBER(F294)=TRUE,"✔",tulkojums!A$43))</f>
        <v/>
      </c>
      <c r="O294" s="2" t="str">
        <f>IF(ISBLANK(C294),"",IF(G294="Y","✔",IF(G294="X","✔",IF(G294="N","✔",tulkojums!A$44))))</f>
        <v/>
      </c>
      <c r="P294" s="2" t="str">
        <f>IF(ISBLANK(H294),"",IF(INDEX(DB_materiali!$E$2:$E$5000,MATCH($C294,DB_materiali!$A$2:$A$5000,0))&gt;=INDEX(DB_malas!$C$2:$C$5000,MATCH(H294,DB_malas!$A$2:$A$5000,0)),IF(INDEX(DB_materiali!$E$2:$E$5000,MATCH($C294,DB_materiali!$A$2:$A$5000,0))&lt;=INDEX(DB_malas!$D$2:$D$5000,MATCH(H294,DB_malas!$A$2:$A$5000,0)),IF(OR(INDEX(DB_materiali!$B$2:$B$5000,MATCH($C294,DB_materiali!$A$2:$A$5000,0))=INDEX(DB_malas!$B$2:$B$5000,MATCH(H294,DB_malas!$A$2:$A$5000,0)),$H294="ORG"),"✔",tulkojums!$A$38),tulkojums!$A$39),tulkojums!$A$39))</f>
        <v/>
      </c>
      <c r="Q294" s="2" t="str">
        <f>IF(ISBLANK(I294),"",IF(INDEX(DB_materiali!$E$2:$E$5000,MATCH($C294,DB_materiali!$A$2:$A$5000,0))&gt;=INDEX(DB_malas!$C$2:$C$5000,MATCH(I294,DB_malas!$A$2:$A$5000,0)),IF(INDEX(DB_materiali!$E$2:$E$5000,MATCH($C294,DB_materiali!$A$2:$A$5000,0))&lt;=INDEX(DB_malas!$D$2:$D$5000,MATCH(I294,DB_malas!$A$2:$A$5000,0)),IF(OR(INDEX(DB_materiali!$B$2:$B$5000,MATCH($C294,DB_materiali!$A$2:$A$5000,0))=INDEX(DB_malas!$B$2:$B$5000,MATCH(I294,DB_malas!$A$2:$A$5000,0)),$H294="ORG"),"✔",tulkojums!$A$38),tulkojums!$A$39),tulkojums!$A$39))</f>
        <v/>
      </c>
      <c r="R294" s="2" t="str">
        <f>IF(ISBLANK(J294),"",IF(INDEX(DB_materiali!$E$2:$E$5000,MATCH($C294,DB_materiali!$A$2:$A$5000,0))&gt;=INDEX(DB_malas!$C$2:$C$5000,MATCH(J294,DB_malas!$A$2:$A$5000,0)),IF(INDEX(DB_materiali!$E$2:$E$5000,MATCH($C294,DB_materiali!$A$2:$A$5000,0))&lt;=INDEX(DB_malas!$D$2:$D$5000,MATCH(J294,DB_malas!$A$2:$A$5000,0)),IF(INDEX(DB_materiali!$B$2:$B$5000,MATCH($C294,DB_materiali!$A$2:$A$5000,0))=INDEX(DB_malas!$B$2:$B$5000,MATCH(J294,DB_malas!$A$2:$A$5000,0)),"✔",tulkojums!$A$38),tulkojums!$A$39),tulkojums!$A$39))</f>
        <v/>
      </c>
      <c r="S294" s="2" t="str">
        <f>IF(ISBLANK(K294),"",IF(INDEX(DB_materiali!$E$2:$E$5000,MATCH($C294,DB_materiali!$A$2:$A$5000,0))&gt;=INDEX(DB_malas!$C$2:$C$5000,MATCH(K294,DB_malas!$A$2:$A$5000,0)),IF(INDEX(DB_materiali!$E$2:$E$5000,MATCH($C294,DB_materiali!$A$2:$A$5000,0))&lt;=INDEX(DB_malas!$D$2:$D$5000,MATCH(K294,DB_malas!$A$2:$A$5000,0)),IF(INDEX(DB_materiali!$B$2:$B$5000,MATCH($C294,DB_materiali!$A$2:$A$5000,0))=INDEX(DB_malas!$B$2:$B$5000,MATCH(K294,DB_malas!$A$2:$A$5000,0)),"✔",tulkojums!$A$38),tulkojums!$A$39),tulkojums!$A$39))</f>
        <v/>
      </c>
      <c r="T294" s="2"/>
      <c r="U294" s="2"/>
      <c r="V294" s="2"/>
      <c r="W294" s="2"/>
      <c r="X294" s="2"/>
      <c r="Y294" s="2"/>
      <c r="Z294" s="2"/>
    </row>
    <row r="295" spans="1:26" ht="15.75" customHeight="1">
      <c r="A295" s="17"/>
      <c r="B295" s="18"/>
      <c r="C295" s="19"/>
      <c r="D295" s="55"/>
      <c r="E295" s="55"/>
      <c r="F295" s="56"/>
      <c r="G295" s="57" t="str">
        <f>IF(ISBLANK(C295),"",
   IFERROR(
      IF(
         INDEX(DB_materiali!C$2:C$5000,
               MATCH(C295, DB_materiali!A$2:A$5000, 0)
         )="FALSE",
         "N",
         "Y"
      ),
   "")
)</f>
        <v/>
      </c>
      <c r="H295" s="20"/>
      <c r="I295" s="20"/>
      <c r="J295" s="20"/>
      <c r="K295" s="20"/>
      <c r="M295" s="2" t="str">
        <f>IF(ISBLANK(C295),"",IF(IFERROR(VLOOKUP(C295,DB_materiali!$A$2:$A$5000,1,FALSE),"Kļūda artikulā")=C295,"✔",tulkojums!A$42))</f>
        <v/>
      </c>
      <c r="N295" s="2" t="str">
        <f>IF(ISBLANK(C295),"",IF(ISNUMBER(F295)=TRUE,"✔",tulkojums!A$43))</f>
        <v/>
      </c>
      <c r="O295" s="2" t="str">
        <f>IF(ISBLANK(C295),"",IF(G295="Y","✔",IF(G295="X","✔",IF(G295="N","✔",tulkojums!A$44))))</f>
        <v/>
      </c>
      <c r="P295" s="2" t="str">
        <f>IF(ISBLANK(H295),"",IF(INDEX(DB_materiali!$E$2:$E$5000,MATCH($C295,DB_materiali!$A$2:$A$5000,0))&gt;=INDEX(DB_malas!$C$2:$C$5000,MATCH(H295,DB_malas!$A$2:$A$5000,0)),IF(INDEX(DB_materiali!$E$2:$E$5000,MATCH($C295,DB_materiali!$A$2:$A$5000,0))&lt;=INDEX(DB_malas!$D$2:$D$5000,MATCH(H295,DB_malas!$A$2:$A$5000,0)),IF(OR(INDEX(DB_materiali!$B$2:$B$5000,MATCH($C295,DB_materiali!$A$2:$A$5000,0))=INDEX(DB_malas!$B$2:$B$5000,MATCH(H295,DB_malas!$A$2:$A$5000,0)),$H295="ORG"),"✔",tulkojums!$A$38),tulkojums!$A$39),tulkojums!$A$39))</f>
        <v/>
      </c>
      <c r="Q295" s="2" t="str">
        <f>IF(ISBLANK(I295),"",IF(INDEX(DB_materiali!$E$2:$E$5000,MATCH($C295,DB_materiali!$A$2:$A$5000,0))&gt;=INDEX(DB_malas!$C$2:$C$5000,MATCH(I295,DB_malas!$A$2:$A$5000,0)),IF(INDEX(DB_materiali!$E$2:$E$5000,MATCH($C295,DB_materiali!$A$2:$A$5000,0))&lt;=INDEX(DB_malas!$D$2:$D$5000,MATCH(I295,DB_malas!$A$2:$A$5000,0)),IF(OR(INDEX(DB_materiali!$B$2:$B$5000,MATCH($C295,DB_materiali!$A$2:$A$5000,0))=INDEX(DB_malas!$B$2:$B$5000,MATCH(I295,DB_malas!$A$2:$A$5000,0)),$H295="ORG"),"✔",tulkojums!$A$38),tulkojums!$A$39),tulkojums!$A$39))</f>
        <v/>
      </c>
      <c r="R295" s="2" t="str">
        <f>IF(ISBLANK(J295),"",IF(INDEX(DB_materiali!$E$2:$E$5000,MATCH($C295,DB_materiali!$A$2:$A$5000,0))&gt;=INDEX(DB_malas!$C$2:$C$5000,MATCH(J295,DB_malas!$A$2:$A$5000,0)),IF(INDEX(DB_materiali!$E$2:$E$5000,MATCH($C295,DB_materiali!$A$2:$A$5000,0))&lt;=INDEX(DB_malas!$D$2:$D$5000,MATCH(J295,DB_malas!$A$2:$A$5000,0)),IF(INDEX(DB_materiali!$B$2:$B$5000,MATCH($C295,DB_materiali!$A$2:$A$5000,0))=INDEX(DB_malas!$B$2:$B$5000,MATCH(J295,DB_malas!$A$2:$A$5000,0)),"✔",tulkojums!$A$38),tulkojums!$A$39),tulkojums!$A$39))</f>
        <v/>
      </c>
      <c r="S295" s="2" t="str">
        <f>IF(ISBLANK(K295),"",IF(INDEX(DB_materiali!$E$2:$E$5000,MATCH($C295,DB_materiali!$A$2:$A$5000,0))&gt;=INDEX(DB_malas!$C$2:$C$5000,MATCH(K295,DB_malas!$A$2:$A$5000,0)),IF(INDEX(DB_materiali!$E$2:$E$5000,MATCH($C295,DB_materiali!$A$2:$A$5000,0))&lt;=INDEX(DB_malas!$D$2:$D$5000,MATCH(K295,DB_malas!$A$2:$A$5000,0)),IF(INDEX(DB_materiali!$B$2:$B$5000,MATCH($C295,DB_materiali!$A$2:$A$5000,0))=INDEX(DB_malas!$B$2:$B$5000,MATCH(K295,DB_malas!$A$2:$A$5000,0)),"✔",tulkojums!$A$38),tulkojums!$A$39),tulkojums!$A$39))</f>
        <v/>
      </c>
      <c r="T295" s="2"/>
      <c r="U295" s="2"/>
      <c r="V295" s="2"/>
      <c r="W295" s="2"/>
      <c r="X295" s="2"/>
      <c r="Y295" s="2"/>
      <c r="Z295" s="2"/>
    </row>
    <row r="296" spans="1:26" ht="15.75" customHeight="1">
      <c r="A296" s="17"/>
      <c r="B296" s="18"/>
      <c r="C296" s="19"/>
      <c r="D296" s="55"/>
      <c r="E296" s="55"/>
      <c r="F296" s="56"/>
      <c r="G296" s="57" t="str">
        <f>IF(ISBLANK(C296),"",
   IFERROR(
      IF(
         INDEX(DB_materiali!C$2:C$5000,
               MATCH(C296, DB_materiali!A$2:A$5000, 0)
         )="FALSE",
         "N",
         "Y"
      ),
   "")
)</f>
        <v/>
      </c>
      <c r="H296" s="20"/>
      <c r="I296" s="20"/>
      <c r="J296" s="20"/>
      <c r="K296" s="20"/>
      <c r="M296" s="2" t="str">
        <f>IF(ISBLANK(C296),"",IF(IFERROR(VLOOKUP(C296,DB_materiali!$A$2:$A$5000,1,FALSE),"Kļūda artikulā")=C296,"✔",tulkojums!A$42))</f>
        <v/>
      </c>
      <c r="N296" s="2" t="str">
        <f>IF(ISBLANK(C296),"",IF(ISNUMBER(F296)=TRUE,"✔",tulkojums!A$43))</f>
        <v/>
      </c>
      <c r="O296" s="2" t="str">
        <f>IF(ISBLANK(C296),"",IF(G296="Y","✔",IF(G296="X","✔",IF(G296="N","✔",tulkojums!A$44))))</f>
        <v/>
      </c>
      <c r="P296" s="2" t="str">
        <f>IF(ISBLANK(H296),"",IF(INDEX(DB_materiali!$E$2:$E$5000,MATCH($C296,DB_materiali!$A$2:$A$5000,0))&gt;=INDEX(DB_malas!$C$2:$C$5000,MATCH(H296,DB_malas!$A$2:$A$5000,0)),IF(INDEX(DB_materiali!$E$2:$E$5000,MATCH($C296,DB_materiali!$A$2:$A$5000,0))&lt;=INDEX(DB_malas!$D$2:$D$5000,MATCH(H296,DB_malas!$A$2:$A$5000,0)),IF(OR(INDEX(DB_materiali!$B$2:$B$5000,MATCH($C296,DB_materiali!$A$2:$A$5000,0))=INDEX(DB_malas!$B$2:$B$5000,MATCH(H296,DB_malas!$A$2:$A$5000,0)),$H296="ORG"),"✔",tulkojums!$A$38),tulkojums!$A$39),tulkojums!$A$39))</f>
        <v/>
      </c>
      <c r="Q296" s="2" t="str">
        <f>IF(ISBLANK(I296),"",IF(INDEX(DB_materiali!$E$2:$E$5000,MATCH($C296,DB_materiali!$A$2:$A$5000,0))&gt;=INDEX(DB_malas!$C$2:$C$5000,MATCH(I296,DB_malas!$A$2:$A$5000,0)),IF(INDEX(DB_materiali!$E$2:$E$5000,MATCH($C296,DB_materiali!$A$2:$A$5000,0))&lt;=INDEX(DB_malas!$D$2:$D$5000,MATCH(I296,DB_malas!$A$2:$A$5000,0)),IF(OR(INDEX(DB_materiali!$B$2:$B$5000,MATCH($C296,DB_materiali!$A$2:$A$5000,0))=INDEX(DB_malas!$B$2:$B$5000,MATCH(I296,DB_malas!$A$2:$A$5000,0)),$H296="ORG"),"✔",tulkojums!$A$38),tulkojums!$A$39),tulkojums!$A$39))</f>
        <v/>
      </c>
      <c r="R296" s="2" t="str">
        <f>IF(ISBLANK(J296),"",IF(INDEX(DB_materiali!$E$2:$E$5000,MATCH($C296,DB_materiali!$A$2:$A$5000,0))&gt;=INDEX(DB_malas!$C$2:$C$5000,MATCH(J296,DB_malas!$A$2:$A$5000,0)),IF(INDEX(DB_materiali!$E$2:$E$5000,MATCH($C296,DB_materiali!$A$2:$A$5000,0))&lt;=INDEX(DB_malas!$D$2:$D$5000,MATCH(J296,DB_malas!$A$2:$A$5000,0)),IF(INDEX(DB_materiali!$B$2:$B$5000,MATCH($C296,DB_materiali!$A$2:$A$5000,0))=INDEX(DB_malas!$B$2:$B$5000,MATCH(J296,DB_malas!$A$2:$A$5000,0)),"✔",tulkojums!$A$38),tulkojums!$A$39),tulkojums!$A$39))</f>
        <v/>
      </c>
      <c r="S296" s="2" t="str">
        <f>IF(ISBLANK(K296),"",IF(INDEX(DB_materiali!$E$2:$E$5000,MATCH($C296,DB_materiali!$A$2:$A$5000,0))&gt;=INDEX(DB_malas!$C$2:$C$5000,MATCH(K296,DB_malas!$A$2:$A$5000,0)),IF(INDEX(DB_materiali!$E$2:$E$5000,MATCH($C296,DB_materiali!$A$2:$A$5000,0))&lt;=INDEX(DB_malas!$D$2:$D$5000,MATCH(K296,DB_malas!$A$2:$A$5000,0)),IF(INDEX(DB_materiali!$B$2:$B$5000,MATCH($C296,DB_materiali!$A$2:$A$5000,0))=INDEX(DB_malas!$B$2:$B$5000,MATCH(K296,DB_malas!$A$2:$A$5000,0)),"✔",tulkojums!$A$38),tulkojums!$A$39),tulkojums!$A$39))</f>
        <v/>
      </c>
      <c r="T296" s="2"/>
      <c r="U296" s="2"/>
      <c r="V296" s="2"/>
      <c r="W296" s="2"/>
      <c r="X296" s="2"/>
      <c r="Y296" s="2"/>
      <c r="Z296" s="2"/>
    </row>
    <row r="297" spans="1:26" ht="15.75" customHeight="1">
      <c r="A297" s="17"/>
      <c r="B297" s="18"/>
      <c r="C297" s="19"/>
      <c r="D297" s="55"/>
      <c r="E297" s="55"/>
      <c r="F297" s="56"/>
      <c r="G297" s="57" t="str">
        <f>IF(ISBLANK(C297),"",
   IFERROR(
      IF(
         INDEX(DB_materiali!C$2:C$5000,
               MATCH(C297, DB_materiali!A$2:A$5000, 0)
         )="FALSE",
         "N",
         "Y"
      ),
   "")
)</f>
        <v/>
      </c>
      <c r="H297" s="20"/>
      <c r="I297" s="20"/>
      <c r="J297" s="20"/>
      <c r="K297" s="20"/>
      <c r="M297" s="2" t="str">
        <f>IF(ISBLANK(C297),"",IF(IFERROR(VLOOKUP(C297,DB_materiali!$A$2:$A$5000,1,FALSE),"Kļūda artikulā")=C297,"✔",tulkojums!A$42))</f>
        <v/>
      </c>
      <c r="N297" s="2" t="str">
        <f>IF(ISBLANK(C297),"",IF(ISNUMBER(F297)=TRUE,"✔",tulkojums!A$43))</f>
        <v/>
      </c>
      <c r="O297" s="2" t="str">
        <f>IF(ISBLANK(C297),"",IF(G297="Y","✔",IF(G297="X","✔",IF(G297="N","✔",tulkojums!A$44))))</f>
        <v/>
      </c>
      <c r="P297" s="2" t="str">
        <f>IF(ISBLANK(H297),"",IF(INDEX(DB_materiali!$E$2:$E$5000,MATCH($C297,DB_materiali!$A$2:$A$5000,0))&gt;=INDEX(DB_malas!$C$2:$C$5000,MATCH(H297,DB_malas!$A$2:$A$5000,0)),IF(INDEX(DB_materiali!$E$2:$E$5000,MATCH($C297,DB_materiali!$A$2:$A$5000,0))&lt;=INDEX(DB_malas!$D$2:$D$5000,MATCH(H297,DB_malas!$A$2:$A$5000,0)),IF(OR(INDEX(DB_materiali!$B$2:$B$5000,MATCH($C297,DB_materiali!$A$2:$A$5000,0))=INDEX(DB_malas!$B$2:$B$5000,MATCH(H297,DB_malas!$A$2:$A$5000,0)),$H297="ORG"),"✔",tulkojums!$A$38),tulkojums!$A$39),tulkojums!$A$39))</f>
        <v/>
      </c>
      <c r="Q297" s="2" t="str">
        <f>IF(ISBLANK(I297),"",IF(INDEX(DB_materiali!$E$2:$E$5000,MATCH($C297,DB_materiali!$A$2:$A$5000,0))&gt;=INDEX(DB_malas!$C$2:$C$5000,MATCH(I297,DB_malas!$A$2:$A$5000,0)),IF(INDEX(DB_materiali!$E$2:$E$5000,MATCH($C297,DB_materiali!$A$2:$A$5000,0))&lt;=INDEX(DB_malas!$D$2:$D$5000,MATCH(I297,DB_malas!$A$2:$A$5000,0)),IF(OR(INDEX(DB_materiali!$B$2:$B$5000,MATCH($C297,DB_materiali!$A$2:$A$5000,0))=INDEX(DB_malas!$B$2:$B$5000,MATCH(I297,DB_malas!$A$2:$A$5000,0)),$H297="ORG"),"✔",tulkojums!$A$38),tulkojums!$A$39),tulkojums!$A$39))</f>
        <v/>
      </c>
      <c r="R297" s="2" t="str">
        <f>IF(ISBLANK(J297),"",IF(INDEX(DB_materiali!$E$2:$E$5000,MATCH($C297,DB_materiali!$A$2:$A$5000,0))&gt;=INDEX(DB_malas!$C$2:$C$5000,MATCH(J297,DB_malas!$A$2:$A$5000,0)),IF(INDEX(DB_materiali!$E$2:$E$5000,MATCH($C297,DB_materiali!$A$2:$A$5000,0))&lt;=INDEX(DB_malas!$D$2:$D$5000,MATCH(J297,DB_malas!$A$2:$A$5000,0)),IF(INDEX(DB_materiali!$B$2:$B$5000,MATCH($C297,DB_materiali!$A$2:$A$5000,0))=INDEX(DB_malas!$B$2:$B$5000,MATCH(J297,DB_malas!$A$2:$A$5000,0)),"✔",tulkojums!$A$38),tulkojums!$A$39),tulkojums!$A$39))</f>
        <v/>
      </c>
      <c r="S297" s="2" t="str">
        <f>IF(ISBLANK(K297),"",IF(INDEX(DB_materiali!$E$2:$E$5000,MATCH($C297,DB_materiali!$A$2:$A$5000,0))&gt;=INDEX(DB_malas!$C$2:$C$5000,MATCH(K297,DB_malas!$A$2:$A$5000,0)),IF(INDEX(DB_materiali!$E$2:$E$5000,MATCH($C297,DB_materiali!$A$2:$A$5000,0))&lt;=INDEX(DB_malas!$D$2:$D$5000,MATCH(K297,DB_malas!$A$2:$A$5000,0)),IF(INDEX(DB_materiali!$B$2:$B$5000,MATCH($C297,DB_materiali!$A$2:$A$5000,0))=INDEX(DB_malas!$B$2:$B$5000,MATCH(K297,DB_malas!$A$2:$A$5000,0)),"✔",tulkojums!$A$38),tulkojums!$A$39),tulkojums!$A$39))</f>
        <v/>
      </c>
      <c r="T297" s="2"/>
      <c r="U297" s="2"/>
      <c r="V297" s="2"/>
      <c r="W297" s="2"/>
      <c r="X297" s="2"/>
      <c r="Y297" s="2"/>
      <c r="Z297" s="2"/>
    </row>
    <row r="298" spans="1:26" ht="15.75" customHeight="1">
      <c r="A298" s="17"/>
      <c r="B298" s="18"/>
      <c r="C298" s="19"/>
      <c r="D298" s="55"/>
      <c r="E298" s="55"/>
      <c r="F298" s="56"/>
      <c r="G298" s="57" t="str">
        <f>IF(ISBLANK(C298),"",
   IFERROR(
      IF(
         INDEX(DB_materiali!C$2:C$5000,
               MATCH(C298, DB_materiali!A$2:A$5000, 0)
         )="FALSE",
         "N",
         "Y"
      ),
   "")
)</f>
        <v/>
      </c>
      <c r="H298" s="20"/>
      <c r="I298" s="20"/>
      <c r="J298" s="20"/>
      <c r="K298" s="20"/>
      <c r="M298" s="2" t="str">
        <f>IF(ISBLANK(C298),"",IF(IFERROR(VLOOKUP(C298,DB_materiali!$A$2:$A$5000,1,FALSE),"Kļūda artikulā")=C298,"✔",tulkojums!A$42))</f>
        <v/>
      </c>
      <c r="N298" s="2" t="str">
        <f>IF(ISBLANK(C298),"",IF(ISNUMBER(F298)=TRUE,"✔",tulkojums!A$43))</f>
        <v/>
      </c>
      <c r="O298" s="2" t="str">
        <f>IF(ISBLANK(C298),"",IF(G298="Y","✔",IF(G298="X","✔",IF(G298="N","✔",tulkojums!A$44))))</f>
        <v/>
      </c>
      <c r="P298" s="2" t="str">
        <f>IF(ISBLANK(H298),"",IF(INDEX(DB_materiali!$E$2:$E$5000,MATCH($C298,DB_materiali!$A$2:$A$5000,0))&gt;=INDEX(DB_malas!$C$2:$C$5000,MATCH(H298,DB_malas!$A$2:$A$5000,0)),IF(INDEX(DB_materiali!$E$2:$E$5000,MATCH($C298,DB_materiali!$A$2:$A$5000,0))&lt;=INDEX(DB_malas!$D$2:$D$5000,MATCH(H298,DB_malas!$A$2:$A$5000,0)),IF(OR(INDEX(DB_materiali!$B$2:$B$5000,MATCH($C298,DB_materiali!$A$2:$A$5000,0))=INDEX(DB_malas!$B$2:$B$5000,MATCH(H298,DB_malas!$A$2:$A$5000,0)),$H298="ORG"),"✔",tulkojums!$A$38),tulkojums!$A$39),tulkojums!$A$39))</f>
        <v/>
      </c>
      <c r="Q298" s="2" t="str">
        <f>IF(ISBLANK(I298),"",IF(INDEX(DB_materiali!$E$2:$E$5000,MATCH($C298,DB_materiali!$A$2:$A$5000,0))&gt;=INDEX(DB_malas!$C$2:$C$5000,MATCH(I298,DB_malas!$A$2:$A$5000,0)),IF(INDEX(DB_materiali!$E$2:$E$5000,MATCH($C298,DB_materiali!$A$2:$A$5000,0))&lt;=INDEX(DB_malas!$D$2:$D$5000,MATCH(I298,DB_malas!$A$2:$A$5000,0)),IF(OR(INDEX(DB_materiali!$B$2:$B$5000,MATCH($C298,DB_materiali!$A$2:$A$5000,0))=INDEX(DB_malas!$B$2:$B$5000,MATCH(I298,DB_malas!$A$2:$A$5000,0)),$H298="ORG"),"✔",tulkojums!$A$38),tulkojums!$A$39),tulkojums!$A$39))</f>
        <v/>
      </c>
      <c r="R298" s="2" t="str">
        <f>IF(ISBLANK(J298),"",IF(INDEX(DB_materiali!$E$2:$E$5000,MATCH($C298,DB_materiali!$A$2:$A$5000,0))&gt;=INDEX(DB_malas!$C$2:$C$5000,MATCH(J298,DB_malas!$A$2:$A$5000,0)),IF(INDEX(DB_materiali!$E$2:$E$5000,MATCH($C298,DB_materiali!$A$2:$A$5000,0))&lt;=INDEX(DB_malas!$D$2:$D$5000,MATCH(J298,DB_malas!$A$2:$A$5000,0)),IF(INDEX(DB_materiali!$B$2:$B$5000,MATCH($C298,DB_materiali!$A$2:$A$5000,0))=INDEX(DB_malas!$B$2:$B$5000,MATCH(J298,DB_malas!$A$2:$A$5000,0)),"✔",tulkojums!$A$38),tulkojums!$A$39),tulkojums!$A$39))</f>
        <v/>
      </c>
      <c r="S298" s="2" t="str">
        <f>IF(ISBLANK(K298),"",IF(INDEX(DB_materiali!$E$2:$E$5000,MATCH($C298,DB_materiali!$A$2:$A$5000,0))&gt;=INDEX(DB_malas!$C$2:$C$5000,MATCH(K298,DB_malas!$A$2:$A$5000,0)),IF(INDEX(DB_materiali!$E$2:$E$5000,MATCH($C298,DB_materiali!$A$2:$A$5000,0))&lt;=INDEX(DB_malas!$D$2:$D$5000,MATCH(K298,DB_malas!$A$2:$A$5000,0)),IF(INDEX(DB_materiali!$B$2:$B$5000,MATCH($C298,DB_materiali!$A$2:$A$5000,0))=INDEX(DB_malas!$B$2:$B$5000,MATCH(K298,DB_malas!$A$2:$A$5000,0)),"✔",tulkojums!$A$38),tulkojums!$A$39),tulkojums!$A$39))</f>
        <v/>
      </c>
      <c r="T298" s="2"/>
      <c r="U298" s="2"/>
      <c r="V298" s="2"/>
      <c r="W298" s="2"/>
      <c r="X298" s="2"/>
      <c r="Y298" s="2"/>
      <c r="Z298" s="2"/>
    </row>
    <row r="299" spans="1:26" ht="15.75" customHeight="1">
      <c r="A299" s="17"/>
      <c r="B299" s="18"/>
      <c r="C299" s="19"/>
      <c r="D299" s="55"/>
      <c r="E299" s="55"/>
      <c r="F299" s="56"/>
      <c r="G299" s="57" t="str">
        <f>IF(ISBLANK(C299),"",
   IFERROR(
      IF(
         INDEX(DB_materiali!C$2:C$5000,
               MATCH(C299, DB_materiali!A$2:A$5000, 0)
         )="FALSE",
         "N",
         "Y"
      ),
   "")
)</f>
        <v/>
      </c>
      <c r="H299" s="20"/>
      <c r="I299" s="20"/>
      <c r="J299" s="20"/>
      <c r="K299" s="20"/>
      <c r="M299" s="2" t="str">
        <f>IF(ISBLANK(C299),"",IF(IFERROR(VLOOKUP(C299,DB_materiali!$A$2:$A$5000,1,FALSE),"Kļūda artikulā")=C299,"✔",tulkojums!A$42))</f>
        <v/>
      </c>
      <c r="N299" s="2" t="str">
        <f>IF(ISBLANK(C299),"",IF(ISNUMBER(F299)=TRUE,"✔",tulkojums!A$43))</f>
        <v/>
      </c>
      <c r="O299" s="2" t="str">
        <f>IF(ISBLANK(C299),"",IF(G299="Y","✔",IF(G299="X","✔",IF(G299="N","✔",tulkojums!A$44))))</f>
        <v/>
      </c>
      <c r="P299" s="2" t="str">
        <f>IF(ISBLANK(H299),"",IF(INDEX(DB_materiali!$E$2:$E$5000,MATCH($C299,DB_materiali!$A$2:$A$5000,0))&gt;=INDEX(DB_malas!$C$2:$C$5000,MATCH(H299,DB_malas!$A$2:$A$5000,0)),IF(INDEX(DB_materiali!$E$2:$E$5000,MATCH($C299,DB_materiali!$A$2:$A$5000,0))&lt;=INDEX(DB_malas!$D$2:$D$5000,MATCH(H299,DB_malas!$A$2:$A$5000,0)),IF(OR(INDEX(DB_materiali!$B$2:$B$5000,MATCH($C299,DB_materiali!$A$2:$A$5000,0))=INDEX(DB_malas!$B$2:$B$5000,MATCH(H299,DB_malas!$A$2:$A$5000,0)),$H299="ORG"),"✔",tulkojums!$A$38),tulkojums!$A$39),tulkojums!$A$39))</f>
        <v/>
      </c>
      <c r="Q299" s="2" t="str">
        <f>IF(ISBLANK(I299),"",IF(INDEX(DB_materiali!$E$2:$E$5000,MATCH($C299,DB_materiali!$A$2:$A$5000,0))&gt;=INDEX(DB_malas!$C$2:$C$5000,MATCH(I299,DB_malas!$A$2:$A$5000,0)),IF(INDEX(DB_materiali!$E$2:$E$5000,MATCH($C299,DB_materiali!$A$2:$A$5000,0))&lt;=INDEX(DB_malas!$D$2:$D$5000,MATCH(I299,DB_malas!$A$2:$A$5000,0)),IF(OR(INDEX(DB_materiali!$B$2:$B$5000,MATCH($C299,DB_materiali!$A$2:$A$5000,0))=INDEX(DB_malas!$B$2:$B$5000,MATCH(I299,DB_malas!$A$2:$A$5000,0)),$H299="ORG"),"✔",tulkojums!$A$38),tulkojums!$A$39),tulkojums!$A$39))</f>
        <v/>
      </c>
      <c r="R299" s="2" t="str">
        <f>IF(ISBLANK(J299),"",IF(INDEX(DB_materiali!$E$2:$E$5000,MATCH($C299,DB_materiali!$A$2:$A$5000,0))&gt;=INDEX(DB_malas!$C$2:$C$5000,MATCH(J299,DB_malas!$A$2:$A$5000,0)),IF(INDEX(DB_materiali!$E$2:$E$5000,MATCH($C299,DB_materiali!$A$2:$A$5000,0))&lt;=INDEX(DB_malas!$D$2:$D$5000,MATCH(J299,DB_malas!$A$2:$A$5000,0)),IF(INDEX(DB_materiali!$B$2:$B$5000,MATCH($C299,DB_materiali!$A$2:$A$5000,0))=INDEX(DB_malas!$B$2:$B$5000,MATCH(J299,DB_malas!$A$2:$A$5000,0)),"✔",tulkojums!$A$38),tulkojums!$A$39),tulkojums!$A$39))</f>
        <v/>
      </c>
      <c r="S299" s="2" t="str">
        <f>IF(ISBLANK(K299),"",IF(INDEX(DB_materiali!$E$2:$E$5000,MATCH($C299,DB_materiali!$A$2:$A$5000,0))&gt;=INDEX(DB_malas!$C$2:$C$5000,MATCH(K299,DB_malas!$A$2:$A$5000,0)),IF(INDEX(DB_materiali!$E$2:$E$5000,MATCH($C299,DB_materiali!$A$2:$A$5000,0))&lt;=INDEX(DB_malas!$D$2:$D$5000,MATCH(K299,DB_malas!$A$2:$A$5000,0)),IF(INDEX(DB_materiali!$B$2:$B$5000,MATCH($C299,DB_materiali!$A$2:$A$5000,0))=INDEX(DB_malas!$B$2:$B$5000,MATCH(K299,DB_malas!$A$2:$A$5000,0)),"✔",tulkojums!$A$38),tulkojums!$A$39),tulkojums!$A$39))</f>
        <v/>
      </c>
      <c r="T299" s="2"/>
      <c r="U299" s="2"/>
      <c r="V299" s="2"/>
      <c r="W299" s="2"/>
      <c r="X299" s="2"/>
      <c r="Y299" s="2"/>
      <c r="Z299" s="2"/>
    </row>
    <row r="300" spans="1:26" ht="15.75" customHeight="1">
      <c r="A300" s="17"/>
      <c r="B300" s="18"/>
      <c r="C300" s="19"/>
      <c r="D300" s="55"/>
      <c r="E300" s="55"/>
      <c r="F300" s="56"/>
      <c r="G300" s="57" t="str">
        <f>IF(ISBLANK(C300),"",
   IFERROR(
      IF(
         INDEX(DB_materiali!C$2:C$5000,
               MATCH(C300, DB_materiali!A$2:A$5000, 0)
         )="FALSE",
         "N",
         "Y"
      ),
   "")
)</f>
        <v/>
      </c>
      <c r="H300" s="20"/>
      <c r="I300" s="20"/>
      <c r="J300" s="20"/>
      <c r="K300" s="20"/>
      <c r="M300" s="2" t="str">
        <f>IF(ISBLANK(C300),"",IF(IFERROR(VLOOKUP(C300,DB_materiali!$A$2:$A$5000,1,FALSE),"Kļūda artikulā")=C300,"✔",tulkojums!A$42))</f>
        <v/>
      </c>
      <c r="N300" s="2" t="str">
        <f>IF(ISBLANK(C300),"",IF(ISNUMBER(F300)=TRUE,"✔",tulkojums!A$43))</f>
        <v/>
      </c>
      <c r="O300" s="2" t="str">
        <f>IF(ISBLANK(C300),"",IF(G300="Y","✔",IF(G300="X","✔",IF(G300="N","✔",tulkojums!A$44))))</f>
        <v/>
      </c>
      <c r="P300" s="2" t="str">
        <f>IF(ISBLANK(H300),"",IF(INDEX(DB_materiali!$E$2:$E$5000,MATCH($C300,DB_materiali!$A$2:$A$5000,0))&gt;=INDEX(DB_malas!$C$2:$C$5000,MATCH(H300,DB_malas!$A$2:$A$5000,0)),IF(INDEX(DB_materiali!$E$2:$E$5000,MATCH($C300,DB_materiali!$A$2:$A$5000,0))&lt;=INDEX(DB_malas!$D$2:$D$5000,MATCH(H300,DB_malas!$A$2:$A$5000,0)),IF(OR(INDEX(DB_materiali!$B$2:$B$5000,MATCH($C300,DB_materiali!$A$2:$A$5000,0))=INDEX(DB_malas!$B$2:$B$5000,MATCH(H300,DB_malas!$A$2:$A$5000,0)),$H300="ORG"),"✔",tulkojums!$A$38),tulkojums!$A$39),tulkojums!$A$39))</f>
        <v/>
      </c>
      <c r="Q300" s="2" t="str">
        <f>IF(ISBLANK(I300),"",IF(INDEX(DB_materiali!$E$2:$E$5000,MATCH($C300,DB_materiali!$A$2:$A$5000,0))&gt;=INDEX(DB_malas!$C$2:$C$5000,MATCH(I300,DB_malas!$A$2:$A$5000,0)),IF(INDEX(DB_materiali!$E$2:$E$5000,MATCH($C300,DB_materiali!$A$2:$A$5000,0))&lt;=INDEX(DB_malas!$D$2:$D$5000,MATCH(I300,DB_malas!$A$2:$A$5000,0)),IF(OR(INDEX(DB_materiali!$B$2:$B$5000,MATCH($C300,DB_materiali!$A$2:$A$5000,0))=INDEX(DB_malas!$B$2:$B$5000,MATCH(I300,DB_malas!$A$2:$A$5000,0)),$H300="ORG"),"✔",tulkojums!$A$38),tulkojums!$A$39),tulkojums!$A$39))</f>
        <v/>
      </c>
      <c r="R300" s="2" t="str">
        <f>IF(ISBLANK(J300),"",IF(INDEX(DB_materiali!$E$2:$E$5000,MATCH($C300,DB_materiali!$A$2:$A$5000,0))&gt;=INDEX(DB_malas!$C$2:$C$5000,MATCH(J300,DB_malas!$A$2:$A$5000,0)),IF(INDEX(DB_materiali!$E$2:$E$5000,MATCH($C300,DB_materiali!$A$2:$A$5000,0))&lt;=INDEX(DB_malas!$D$2:$D$5000,MATCH(J300,DB_malas!$A$2:$A$5000,0)),IF(INDEX(DB_materiali!$B$2:$B$5000,MATCH($C300,DB_materiali!$A$2:$A$5000,0))=INDEX(DB_malas!$B$2:$B$5000,MATCH(J300,DB_malas!$A$2:$A$5000,0)),"✔",tulkojums!$A$38),tulkojums!$A$39),tulkojums!$A$39))</f>
        <v/>
      </c>
      <c r="S300" s="2" t="str">
        <f>IF(ISBLANK(K300),"",IF(INDEX(DB_materiali!$E$2:$E$5000,MATCH($C300,DB_materiali!$A$2:$A$5000,0))&gt;=INDEX(DB_malas!$C$2:$C$5000,MATCH(K300,DB_malas!$A$2:$A$5000,0)),IF(INDEX(DB_materiali!$E$2:$E$5000,MATCH($C300,DB_materiali!$A$2:$A$5000,0))&lt;=INDEX(DB_malas!$D$2:$D$5000,MATCH(K300,DB_malas!$A$2:$A$5000,0)),IF(INDEX(DB_materiali!$B$2:$B$5000,MATCH($C300,DB_materiali!$A$2:$A$5000,0))=INDEX(DB_malas!$B$2:$B$5000,MATCH(K300,DB_malas!$A$2:$A$5000,0)),"✔",tulkojums!$A$38),tulkojums!$A$39),tulkojums!$A$39))</f>
        <v/>
      </c>
      <c r="T300" s="2"/>
      <c r="U300" s="2"/>
      <c r="V300" s="2"/>
      <c r="W300" s="2"/>
      <c r="X300" s="2"/>
      <c r="Y300" s="2"/>
      <c r="Z300" s="2"/>
    </row>
    <row r="301" spans="1:26" ht="15.75" customHeight="1">
      <c r="A301" s="17"/>
      <c r="B301" s="18"/>
      <c r="C301" s="19"/>
      <c r="D301" s="55"/>
      <c r="E301" s="55"/>
      <c r="F301" s="56"/>
      <c r="G301" s="57" t="str">
        <f>IF(ISBLANK(C301),"",
   IFERROR(
      IF(
         INDEX(DB_materiali!C$2:C$5000,
               MATCH(C301, DB_materiali!A$2:A$5000, 0)
         )="FALSE",
         "N",
         "Y"
      ),
   "")
)</f>
        <v/>
      </c>
      <c r="H301" s="20"/>
      <c r="I301" s="20"/>
      <c r="J301" s="20"/>
      <c r="K301" s="20"/>
      <c r="M301" s="2" t="str">
        <f>IF(ISBLANK(C301),"",IF(IFERROR(VLOOKUP(C301,DB_materiali!$A$2:$A$5000,1,FALSE),"Kļūda artikulā")=C301,"✔",tulkojums!A$42))</f>
        <v/>
      </c>
      <c r="N301" s="2" t="str">
        <f>IF(ISBLANK(C301),"",IF(ISNUMBER(F301)=TRUE,"✔",tulkojums!A$43))</f>
        <v/>
      </c>
      <c r="O301" s="2" t="str">
        <f>IF(ISBLANK(C301),"",IF(G301="Y","✔",IF(G301="X","✔",IF(G301="N","✔",tulkojums!A$44))))</f>
        <v/>
      </c>
      <c r="P301" s="2" t="str">
        <f>IF(ISBLANK(H301),"",IF(INDEX(DB_materiali!$E$2:$E$5000,MATCH($C301,DB_materiali!$A$2:$A$5000,0))&gt;=INDEX(DB_malas!$C$2:$C$5000,MATCH(H301,DB_malas!$A$2:$A$5000,0)),IF(INDEX(DB_materiali!$E$2:$E$5000,MATCH($C301,DB_materiali!$A$2:$A$5000,0))&lt;=INDEX(DB_malas!$D$2:$D$5000,MATCH(H301,DB_malas!$A$2:$A$5000,0)),IF(OR(INDEX(DB_materiali!$B$2:$B$5000,MATCH($C301,DB_materiali!$A$2:$A$5000,0))=INDEX(DB_malas!$B$2:$B$5000,MATCH(H301,DB_malas!$A$2:$A$5000,0)),$H301="ORG"),"✔",tulkojums!$A$38),tulkojums!$A$39),tulkojums!$A$39))</f>
        <v/>
      </c>
      <c r="Q301" s="2" t="str">
        <f>IF(ISBLANK(I301),"",IF(INDEX(DB_materiali!$E$2:$E$5000,MATCH($C301,DB_materiali!$A$2:$A$5000,0))&gt;=INDEX(DB_malas!$C$2:$C$5000,MATCH(I301,DB_malas!$A$2:$A$5000,0)),IF(INDEX(DB_materiali!$E$2:$E$5000,MATCH($C301,DB_materiali!$A$2:$A$5000,0))&lt;=INDEX(DB_malas!$D$2:$D$5000,MATCH(I301,DB_malas!$A$2:$A$5000,0)),IF(OR(INDEX(DB_materiali!$B$2:$B$5000,MATCH($C301,DB_materiali!$A$2:$A$5000,0))=INDEX(DB_malas!$B$2:$B$5000,MATCH(I301,DB_malas!$A$2:$A$5000,0)),$H301="ORG"),"✔",tulkojums!$A$38),tulkojums!$A$39),tulkojums!$A$39))</f>
        <v/>
      </c>
      <c r="R301" s="2" t="str">
        <f>IF(ISBLANK(J301),"",IF(INDEX(DB_materiali!$E$2:$E$5000,MATCH($C301,DB_materiali!$A$2:$A$5000,0))&gt;=INDEX(DB_malas!$C$2:$C$5000,MATCH(J301,DB_malas!$A$2:$A$5000,0)),IF(INDEX(DB_materiali!$E$2:$E$5000,MATCH($C301,DB_materiali!$A$2:$A$5000,0))&lt;=INDEX(DB_malas!$D$2:$D$5000,MATCH(J301,DB_malas!$A$2:$A$5000,0)),IF(INDEX(DB_materiali!$B$2:$B$5000,MATCH($C301,DB_materiali!$A$2:$A$5000,0))=INDEX(DB_malas!$B$2:$B$5000,MATCH(J301,DB_malas!$A$2:$A$5000,0)),"✔",tulkojums!$A$38),tulkojums!$A$39),tulkojums!$A$39))</f>
        <v/>
      </c>
      <c r="S301" s="2" t="str">
        <f>IF(ISBLANK(K301),"",IF(INDEX(DB_materiali!$E$2:$E$5000,MATCH($C301,DB_materiali!$A$2:$A$5000,0))&gt;=INDEX(DB_malas!$C$2:$C$5000,MATCH(K301,DB_malas!$A$2:$A$5000,0)),IF(INDEX(DB_materiali!$E$2:$E$5000,MATCH($C301,DB_materiali!$A$2:$A$5000,0))&lt;=INDEX(DB_malas!$D$2:$D$5000,MATCH(K301,DB_malas!$A$2:$A$5000,0)),IF(INDEX(DB_materiali!$B$2:$B$5000,MATCH($C301,DB_materiali!$A$2:$A$5000,0))=INDEX(DB_malas!$B$2:$B$5000,MATCH(K301,DB_malas!$A$2:$A$5000,0)),"✔",tulkojums!$A$38),tulkojums!$A$39),tulkojums!$A$39))</f>
        <v/>
      </c>
      <c r="T301" s="2"/>
      <c r="U301" s="2"/>
      <c r="V301" s="2"/>
      <c r="W301" s="2"/>
      <c r="X301" s="2"/>
      <c r="Y301" s="2"/>
      <c r="Z301" s="2"/>
    </row>
    <row r="302" spans="1:26" ht="15.75" customHeight="1">
      <c r="A302" s="17"/>
      <c r="B302" s="18"/>
      <c r="C302" s="19"/>
      <c r="D302" s="55"/>
      <c r="E302" s="55"/>
      <c r="F302" s="56"/>
      <c r="G302" s="57" t="str">
        <f>IF(ISBLANK(C302),"",
   IFERROR(
      IF(
         INDEX(DB_materiali!C$2:C$5000,
               MATCH(C302, DB_materiali!A$2:A$5000, 0)
         )="FALSE",
         "N",
         "Y"
      ),
   "")
)</f>
        <v/>
      </c>
      <c r="H302" s="20"/>
      <c r="I302" s="20"/>
      <c r="J302" s="20"/>
      <c r="K302" s="20"/>
      <c r="M302" s="2" t="str">
        <f>IF(ISBLANK(C302),"",IF(IFERROR(VLOOKUP(C302,DB_materiali!$A$2:$A$5000,1,FALSE),"Kļūda artikulā")=C302,"✔",tulkojums!A$42))</f>
        <v/>
      </c>
      <c r="N302" s="2" t="str">
        <f>IF(ISBLANK(C302),"",IF(ISNUMBER(F302)=TRUE,"✔",tulkojums!A$43))</f>
        <v/>
      </c>
      <c r="O302" s="2" t="str">
        <f>IF(ISBLANK(C302),"",IF(G302="Y","✔",IF(G302="X","✔",IF(G302="N","✔",tulkojums!A$44))))</f>
        <v/>
      </c>
      <c r="P302" s="2" t="str">
        <f>IF(ISBLANK(H302),"",IF(INDEX(DB_materiali!$E$2:$E$5000,MATCH($C302,DB_materiali!$A$2:$A$5000,0))&gt;=INDEX(DB_malas!$C$2:$C$5000,MATCH(H302,DB_malas!$A$2:$A$5000,0)),IF(INDEX(DB_materiali!$E$2:$E$5000,MATCH($C302,DB_materiali!$A$2:$A$5000,0))&lt;=INDEX(DB_malas!$D$2:$D$5000,MATCH(H302,DB_malas!$A$2:$A$5000,0)),IF(OR(INDEX(DB_materiali!$B$2:$B$5000,MATCH($C302,DB_materiali!$A$2:$A$5000,0))=INDEX(DB_malas!$B$2:$B$5000,MATCH(H302,DB_malas!$A$2:$A$5000,0)),$H302="ORG"),"✔",tulkojums!$A$38),tulkojums!$A$39),tulkojums!$A$39))</f>
        <v/>
      </c>
      <c r="Q302" s="2" t="str">
        <f>IF(ISBLANK(I302),"",IF(INDEX(DB_materiali!$E$2:$E$5000,MATCH($C302,DB_materiali!$A$2:$A$5000,0))&gt;=INDEX(DB_malas!$C$2:$C$5000,MATCH(I302,DB_malas!$A$2:$A$5000,0)),IF(INDEX(DB_materiali!$E$2:$E$5000,MATCH($C302,DB_materiali!$A$2:$A$5000,0))&lt;=INDEX(DB_malas!$D$2:$D$5000,MATCH(I302,DB_malas!$A$2:$A$5000,0)),IF(OR(INDEX(DB_materiali!$B$2:$B$5000,MATCH($C302,DB_materiali!$A$2:$A$5000,0))=INDEX(DB_malas!$B$2:$B$5000,MATCH(I302,DB_malas!$A$2:$A$5000,0)),$H302="ORG"),"✔",tulkojums!$A$38),tulkojums!$A$39),tulkojums!$A$39))</f>
        <v/>
      </c>
      <c r="R302" s="2" t="str">
        <f>IF(ISBLANK(J302),"",IF(INDEX(DB_materiali!$E$2:$E$5000,MATCH($C302,DB_materiali!$A$2:$A$5000,0))&gt;=INDEX(DB_malas!$C$2:$C$5000,MATCH(J302,DB_malas!$A$2:$A$5000,0)),IF(INDEX(DB_materiali!$E$2:$E$5000,MATCH($C302,DB_materiali!$A$2:$A$5000,0))&lt;=INDEX(DB_malas!$D$2:$D$5000,MATCH(J302,DB_malas!$A$2:$A$5000,0)),IF(INDEX(DB_materiali!$B$2:$B$5000,MATCH($C302,DB_materiali!$A$2:$A$5000,0))=INDEX(DB_malas!$B$2:$B$5000,MATCH(J302,DB_malas!$A$2:$A$5000,0)),"✔",tulkojums!$A$38),tulkojums!$A$39),tulkojums!$A$39))</f>
        <v/>
      </c>
      <c r="S302" s="2" t="str">
        <f>IF(ISBLANK(K302),"",IF(INDEX(DB_materiali!$E$2:$E$5000,MATCH($C302,DB_materiali!$A$2:$A$5000,0))&gt;=INDEX(DB_malas!$C$2:$C$5000,MATCH(K302,DB_malas!$A$2:$A$5000,0)),IF(INDEX(DB_materiali!$E$2:$E$5000,MATCH($C302,DB_materiali!$A$2:$A$5000,0))&lt;=INDEX(DB_malas!$D$2:$D$5000,MATCH(K302,DB_malas!$A$2:$A$5000,0)),IF(INDEX(DB_materiali!$B$2:$B$5000,MATCH($C302,DB_materiali!$A$2:$A$5000,0))=INDEX(DB_malas!$B$2:$B$5000,MATCH(K302,DB_malas!$A$2:$A$5000,0)),"✔",tulkojums!$A$38),tulkojums!$A$39),tulkojums!$A$39))</f>
        <v/>
      </c>
      <c r="T302" s="2"/>
      <c r="U302" s="2"/>
      <c r="V302" s="2"/>
      <c r="W302" s="2"/>
      <c r="X302" s="2"/>
      <c r="Y302" s="2"/>
      <c r="Z302" s="2"/>
    </row>
    <row r="303" spans="1:26" ht="15.75" customHeight="1">
      <c r="A303" s="17"/>
      <c r="B303" s="18"/>
      <c r="C303" s="19"/>
      <c r="D303" s="55"/>
      <c r="E303" s="55"/>
      <c r="F303" s="56"/>
      <c r="G303" s="57" t="str">
        <f>IF(ISBLANK(C303),"",
   IFERROR(
      IF(
         INDEX(DB_materiali!C$2:C$5000,
               MATCH(C303, DB_materiali!A$2:A$5000, 0)
         )="FALSE",
         "N",
         "Y"
      ),
   "")
)</f>
        <v/>
      </c>
      <c r="H303" s="20"/>
      <c r="I303" s="20"/>
      <c r="J303" s="20"/>
      <c r="K303" s="20"/>
      <c r="M303" s="2" t="str">
        <f>IF(ISBLANK(C303),"",IF(IFERROR(VLOOKUP(C303,DB_materiali!$A$2:$A$5000,1,FALSE),"Kļūda artikulā")=C303,"✔",tulkojums!A$42))</f>
        <v/>
      </c>
      <c r="N303" s="2" t="str">
        <f>IF(ISBLANK(C303),"",IF(ISNUMBER(F303)=TRUE,"✔",tulkojums!A$43))</f>
        <v/>
      </c>
      <c r="O303" s="2" t="str">
        <f>IF(ISBLANK(C303),"",IF(G303="Y","✔",IF(G303="X","✔",IF(G303="N","✔",tulkojums!A$44))))</f>
        <v/>
      </c>
      <c r="P303" s="2" t="str">
        <f>IF(ISBLANK(H303),"",IF(INDEX(DB_materiali!$E$2:$E$5000,MATCH($C303,DB_materiali!$A$2:$A$5000,0))&gt;=INDEX(DB_malas!$C$2:$C$5000,MATCH(H303,DB_malas!$A$2:$A$5000,0)),IF(INDEX(DB_materiali!$E$2:$E$5000,MATCH($C303,DB_materiali!$A$2:$A$5000,0))&lt;=INDEX(DB_malas!$D$2:$D$5000,MATCH(H303,DB_malas!$A$2:$A$5000,0)),IF(OR(INDEX(DB_materiali!$B$2:$B$5000,MATCH($C303,DB_materiali!$A$2:$A$5000,0))=INDEX(DB_malas!$B$2:$B$5000,MATCH(H303,DB_malas!$A$2:$A$5000,0)),$H303="ORG"),"✔",tulkojums!$A$38),tulkojums!$A$39),tulkojums!$A$39))</f>
        <v/>
      </c>
      <c r="Q303" s="2" t="str">
        <f>IF(ISBLANK(I303),"",IF(INDEX(DB_materiali!$E$2:$E$5000,MATCH($C303,DB_materiali!$A$2:$A$5000,0))&gt;=INDEX(DB_malas!$C$2:$C$5000,MATCH(I303,DB_malas!$A$2:$A$5000,0)),IF(INDEX(DB_materiali!$E$2:$E$5000,MATCH($C303,DB_materiali!$A$2:$A$5000,0))&lt;=INDEX(DB_malas!$D$2:$D$5000,MATCH(I303,DB_malas!$A$2:$A$5000,0)),IF(OR(INDEX(DB_materiali!$B$2:$B$5000,MATCH($C303,DB_materiali!$A$2:$A$5000,0))=INDEX(DB_malas!$B$2:$B$5000,MATCH(I303,DB_malas!$A$2:$A$5000,0)),$H303="ORG"),"✔",tulkojums!$A$38),tulkojums!$A$39),tulkojums!$A$39))</f>
        <v/>
      </c>
      <c r="R303" s="2" t="str">
        <f>IF(ISBLANK(J303),"",IF(INDEX(DB_materiali!$E$2:$E$5000,MATCH($C303,DB_materiali!$A$2:$A$5000,0))&gt;=INDEX(DB_malas!$C$2:$C$5000,MATCH(J303,DB_malas!$A$2:$A$5000,0)),IF(INDEX(DB_materiali!$E$2:$E$5000,MATCH($C303,DB_materiali!$A$2:$A$5000,0))&lt;=INDEX(DB_malas!$D$2:$D$5000,MATCH(J303,DB_malas!$A$2:$A$5000,0)),IF(INDEX(DB_materiali!$B$2:$B$5000,MATCH($C303,DB_materiali!$A$2:$A$5000,0))=INDEX(DB_malas!$B$2:$B$5000,MATCH(J303,DB_malas!$A$2:$A$5000,0)),"✔",tulkojums!$A$38),tulkojums!$A$39),tulkojums!$A$39))</f>
        <v/>
      </c>
      <c r="S303" s="2" t="str">
        <f>IF(ISBLANK(K303),"",IF(INDEX(DB_materiali!$E$2:$E$5000,MATCH($C303,DB_materiali!$A$2:$A$5000,0))&gt;=INDEX(DB_malas!$C$2:$C$5000,MATCH(K303,DB_malas!$A$2:$A$5000,0)),IF(INDEX(DB_materiali!$E$2:$E$5000,MATCH($C303,DB_materiali!$A$2:$A$5000,0))&lt;=INDEX(DB_malas!$D$2:$D$5000,MATCH(K303,DB_malas!$A$2:$A$5000,0)),IF(INDEX(DB_materiali!$B$2:$B$5000,MATCH($C303,DB_materiali!$A$2:$A$5000,0))=INDEX(DB_malas!$B$2:$B$5000,MATCH(K303,DB_malas!$A$2:$A$5000,0)),"✔",tulkojums!$A$38),tulkojums!$A$39),tulkojums!$A$39))</f>
        <v/>
      </c>
      <c r="T303" s="2"/>
      <c r="U303" s="2"/>
      <c r="V303" s="2"/>
      <c r="W303" s="2"/>
      <c r="X303" s="2"/>
      <c r="Y303" s="2"/>
      <c r="Z303" s="2"/>
    </row>
    <row r="304" spans="1:26" ht="15.75" customHeight="1">
      <c r="A304" s="17"/>
      <c r="B304" s="18"/>
      <c r="C304" s="19"/>
      <c r="D304" s="55"/>
      <c r="E304" s="55"/>
      <c r="F304" s="56"/>
      <c r="G304" s="57" t="str">
        <f>IF(ISBLANK(C304),"",
   IFERROR(
      IF(
         INDEX(DB_materiali!C$2:C$5000,
               MATCH(C304, DB_materiali!A$2:A$5000, 0)
         )="FALSE",
         "N",
         "Y"
      ),
   "")
)</f>
        <v/>
      </c>
      <c r="H304" s="20"/>
      <c r="I304" s="20"/>
      <c r="J304" s="20"/>
      <c r="K304" s="20"/>
      <c r="M304" s="2" t="str">
        <f>IF(ISBLANK(C304),"",IF(IFERROR(VLOOKUP(C304,DB_materiali!$A$2:$A$5000,1,FALSE),"Kļūda artikulā")=C304,"✔",tulkojums!A$42))</f>
        <v/>
      </c>
      <c r="N304" s="2" t="str">
        <f>IF(ISBLANK(C304),"",IF(ISNUMBER(F304)=TRUE,"✔",tulkojums!A$43))</f>
        <v/>
      </c>
      <c r="O304" s="2" t="str">
        <f>IF(ISBLANK(C304),"",IF(G304="Y","✔",IF(G304="X","✔",IF(G304="N","✔",tulkojums!A$44))))</f>
        <v/>
      </c>
      <c r="P304" s="2" t="str">
        <f>IF(ISBLANK(H304),"",IF(INDEX(DB_materiali!$E$2:$E$5000,MATCH($C304,DB_materiali!$A$2:$A$5000,0))&gt;=INDEX(DB_malas!$C$2:$C$5000,MATCH(H304,DB_malas!$A$2:$A$5000,0)),IF(INDEX(DB_materiali!$E$2:$E$5000,MATCH($C304,DB_materiali!$A$2:$A$5000,0))&lt;=INDEX(DB_malas!$D$2:$D$5000,MATCH(H304,DB_malas!$A$2:$A$5000,0)),IF(OR(INDEX(DB_materiali!$B$2:$B$5000,MATCH($C304,DB_materiali!$A$2:$A$5000,0))=INDEX(DB_malas!$B$2:$B$5000,MATCH(H304,DB_malas!$A$2:$A$5000,0)),$H304="ORG"),"✔",tulkojums!$A$38),tulkojums!$A$39),tulkojums!$A$39))</f>
        <v/>
      </c>
      <c r="Q304" s="2" t="str">
        <f>IF(ISBLANK(I304),"",IF(INDEX(DB_materiali!$E$2:$E$5000,MATCH($C304,DB_materiali!$A$2:$A$5000,0))&gt;=INDEX(DB_malas!$C$2:$C$5000,MATCH(I304,DB_malas!$A$2:$A$5000,0)),IF(INDEX(DB_materiali!$E$2:$E$5000,MATCH($C304,DB_materiali!$A$2:$A$5000,0))&lt;=INDEX(DB_malas!$D$2:$D$5000,MATCH(I304,DB_malas!$A$2:$A$5000,0)),IF(OR(INDEX(DB_materiali!$B$2:$B$5000,MATCH($C304,DB_materiali!$A$2:$A$5000,0))=INDEX(DB_malas!$B$2:$B$5000,MATCH(I304,DB_malas!$A$2:$A$5000,0)),$H304="ORG"),"✔",tulkojums!$A$38),tulkojums!$A$39),tulkojums!$A$39))</f>
        <v/>
      </c>
      <c r="R304" s="2" t="str">
        <f>IF(ISBLANK(J304),"",IF(INDEX(DB_materiali!$E$2:$E$5000,MATCH($C304,DB_materiali!$A$2:$A$5000,0))&gt;=INDEX(DB_malas!$C$2:$C$5000,MATCH(J304,DB_malas!$A$2:$A$5000,0)),IF(INDEX(DB_materiali!$E$2:$E$5000,MATCH($C304,DB_materiali!$A$2:$A$5000,0))&lt;=INDEX(DB_malas!$D$2:$D$5000,MATCH(J304,DB_malas!$A$2:$A$5000,0)),IF(INDEX(DB_materiali!$B$2:$B$5000,MATCH($C304,DB_materiali!$A$2:$A$5000,0))=INDEX(DB_malas!$B$2:$B$5000,MATCH(J304,DB_malas!$A$2:$A$5000,0)),"✔",tulkojums!$A$38),tulkojums!$A$39),tulkojums!$A$39))</f>
        <v/>
      </c>
      <c r="S304" s="2" t="str">
        <f>IF(ISBLANK(K304),"",IF(INDEX(DB_materiali!$E$2:$E$5000,MATCH($C304,DB_materiali!$A$2:$A$5000,0))&gt;=INDEX(DB_malas!$C$2:$C$5000,MATCH(K304,DB_malas!$A$2:$A$5000,0)),IF(INDEX(DB_materiali!$E$2:$E$5000,MATCH($C304,DB_materiali!$A$2:$A$5000,0))&lt;=INDEX(DB_malas!$D$2:$D$5000,MATCH(K304,DB_malas!$A$2:$A$5000,0)),IF(INDEX(DB_materiali!$B$2:$B$5000,MATCH($C304,DB_materiali!$A$2:$A$5000,0))=INDEX(DB_malas!$B$2:$B$5000,MATCH(K304,DB_malas!$A$2:$A$5000,0)),"✔",tulkojums!$A$38),tulkojums!$A$39),tulkojums!$A$39))</f>
        <v/>
      </c>
      <c r="T304" s="2"/>
      <c r="U304" s="2"/>
      <c r="V304" s="2"/>
      <c r="W304" s="2"/>
      <c r="X304" s="2"/>
      <c r="Y304" s="2"/>
      <c r="Z304" s="2"/>
    </row>
    <row r="305" spans="1:26" ht="15.75" customHeight="1">
      <c r="A305" s="17"/>
      <c r="B305" s="18"/>
      <c r="C305" s="19"/>
      <c r="D305" s="55"/>
      <c r="E305" s="55"/>
      <c r="F305" s="56"/>
      <c r="G305" s="57" t="str">
        <f>IF(ISBLANK(C305),"",
   IFERROR(
      IF(
         INDEX(DB_materiali!C$2:C$5000,
               MATCH(C305, DB_materiali!A$2:A$5000, 0)
         )="FALSE",
         "N",
         "Y"
      ),
   "")
)</f>
        <v/>
      </c>
      <c r="H305" s="20"/>
      <c r="I305" s="20"/>
      <c r="J305" s="20"/>
      <c r="K305" s="20"/>
      <c r="M305" s="2" t="str">
        <f>IF(ISBLANK(C305),"",IF(IFERROR(VLOOKUP(C305,DB_materiali!$A$2:$A$5000,1,FALSE),"Kļūda artikulā")=C305,"✔",tulkojums!A$42))</f>
        <v/>
      </c>
      <c r="N305" s="2" t="str">
        <f>IF(ISBLANK(C305),"",IF(ISNUMBER(F305)=TRUE,"✔",tulkojums!A$43))</f>
        <v/>
      </c>
      <c r="O305" s="2" t="str">
        <f>IF(ISBLANK(C305),"",IF(G305="Y","✔",IF(G305="X","✔",IF(G305="N","✔",tulkojums!A$44))))</f>
        <v/>
      </c>
      <c r="P305" s="2" t="str">
        <f>IF(ISBLANK(H305),"",IF(INDEX(DB_materiali!$E$2:$E$5000,MATCH($C305,DB_materiali!$A$2:$A$5000,0))&gt;=INDEX(DB_malas!$C$2:$C$5000,MATCH(H305,DB_malas!$A$2:$A$5000,0)),IF(INDEX(DB_materiali!$E$2:$E$5000,MATCH($C305,DB_materiali!$A$2:$A$5000,0))&lt;=INDEX(DB_malas!$D$2:$D$5000,MATCH(H305,DB_malas!$A$2:$A$5000,0)),IF(OR(INDEX(DB_materiali!$B$2:$B$5000,MATCH($C305,DB_materiali!$A$2:$A$5000,0))=INDEX(DB_malas!$B$2:$B$5000,MATCH(H305,DB_malas!$A$2:$A$5000,0)),$H305="ORG"),"✔",tulkojums!$A$38),tulkojums!$A$39),tulkojums!$A$39))</f>
        <v/>
      </c>
      <c r="Q305" s="2" t="str">
        <f>IF(ISBLANK(I305),"",IF(INDEX(DB_materiali!$E$2:$E$5000,MATCH($C305,DB_materiali!$A$2:$A$5000,0))&gt;=INDEX(DB_malas!$C$2:$C$5000,MATCH(I305,DB_malas!$A$2:$A$5000,0)),IF(INDEX(DB_materiali!$E$2:$E$5000,MATCH($C305,DB_materiali!$A$2:$A$5000,0))&lt;=INDEX(DB_malas!$D$2:$D$5000,MATCH(I305,DB_malas!$A$2:$A$5000,0)),IF(OR(INDEX(DB_materiali!$B$2:$B$5000,MATCH($C305,DB_materiali!$A$2:$A$5000,0))=INDEX(DB_malas!$B$2:$B$5000,MATCH(I305,DB_malas!$A$2:$A$5000,0)),$H305="ORG"),"✔",tulkojums!$A$38),tulkojums!$A$39),tulkojums!$A$39))</f>
        <v/>
      </c>
      <c r="R305" s="2" t="str">
        <f>IF(ISBLANK(J305),"",IF(INDEX(DB_materiali!$E$2:$E$5000,MATCH($C305,DB_materiali!$A$2:$A$5000,0))&gt;=INDEX(DB_malas!$C$2:$C$5000,MATCH(J305,DB_malas!$A$2:$A$5000,0)),IF(INDEX(DB_materiali!$E$2:$E$5000,MATCH($C305,DB_materiali!$A$2:$A$5000,0))&lt;=INDEX(DB_malas!$D$2:$D$5000,MATCH(J305,DB_malas!$A$2:$A$5000,0)),IF(INDEX(DB_materiali!$B$2:$B$5000,MATCH($C305,DB_materiali!$A$2:$A$5000,0))=INDEX(DB_malas!$B$2:$B$5000,MATCH(J305,DB_malas!$A$2:$A$5000,0)),"✔",tulkojums!$A$38),tulkojums!$A$39),tulkojums!$A$39))</f>
        <v/>
      </c>
      <c r="S305" s="2" t="str">
        <f>IF(ISBLANK(K305),"",IF(INDEX(DB_materiali!$E$2:$E$5000,MATCH($C305,DB_materiali!$A$2:$A$5000,0))&gt;=INDEX(DB_malas!$C$2:$C$5000,MATCH(K305,DB_malas!$A$2:$A$5000,0)),IF(INDEX(DB_materiali!$E$2:$E$5000,MATCH($C305,DB_materiali!$A$2:$A$5000,0))&lt;=INDEX(DB_malas!$D$2:$D$5000,MATCH(K305,DB_malas!$A$2:$A$5000,0)),IF(INDEX(DB_materiali!$B$2:$B$5000,MATCH($C305,DB_materiali!$A$2:$A$5000,0))=INDEX(DB_malas!$B$2:$B$5000,MATCH(K305,DB_malas!$A$2:$A$5000,0)),"✔",tulkojums!$A$38),tulkojums!$A$39),tulkojums!$A$39))</f>
        <v/>
      </c>
      <c r="T305" s="2"/>
      <c r="U305" s="2"/>
      <c r="V305" s="2"/>
      <c r="W305" s="2"/>
      <c r="X305" s="2"/>
      <c r="Y305" s="2"/>
      <c r="Z305" s="2"/>
    </row>
    <row r="306" spans="1:26" ht="15.75" customHeight="1">
      <c r="A306" s="17"/>
      <c r="B306" s="18"/>
      <c r="C306" s="19"/>
      <c r="D306" s="55"/>
      <c r="E306" s="55"/>
      <c r="F306" s="56"/>
      <c r="G306" s="57" t="str">
        <f>IF(ISBLANK(C306),"",
   IFERROR(
      IF(
         INDEX(DB_materiali!C$2:C$5000,
               MATCH(C306, DB_materiali!A$2:A$5000, 0)
         )="FALSE",
         "N",
         "Y"
      ),
   "")
)</f>
        <v/>
      </c>
      <c r="H306" s="20"/>
      <c r="I306" s="20"/>
      <c r="J306" s="20"/>
      <c r="K306" s="20"/>
      <c r="M306" s="2" t="str">
        <f>IF(ISBLANK(C306),"",IF(IFERROR(VLOOKUP(C306,DB_materiali!$A$2:$A$5000,1,FALSE),"Kļūda artikulā")=C306,"✔",tulkojums!A$42))</f>
        <v/>
      </c>
      <c r="N306" s="2" t="str">
        <f>IF(ISBLANK(C306),"",IF(ISNUMBER(F306)=TRUE,"✔",tulkojums!A$43))</f>
        <v/>
      </c>
      <c r="O306" s="2" t="str">
        <f>IF(ISBLANK(C306),"",IF(G306="Y","✔",IF(G306="X","✔",IF(G306="N","✔",tulkojums!A$44))))</f>
        <v/>
      </c>
      <c r="P306" s="2" t="str">
        <f>IF(ISBLANK(H306),"",IF(INDEX(DB_materiali!$E$2:$E$5000,MATCH($C306,DB_materiali!$A$2:$A$5000,0))&gt;=INDEX(DB_malas!$C$2:$C$5000,MATCH(H306,DB_malas!$A$2:$A$5000,0)),IF(INDEX(DB_materiali!$E$2:$E$5000,MATCH($C306,DB_materiali!$A$2:$A$5000,0))&lt;=INDEX(DB_malas!$D$2:$D$5000,MATCH(H306,DB_malas!$A$2:$A$5000,0)),IF(OR(INDEX(DB_materiali!$B$2:$B$5000,MATCH($C306,DB_materiali!$A$2:$A$5000,0))=INDEX(DB_malas!$B$2:$B$5000,MATCH(H306,DB_malas!$A$2:$A$5000,0)),$H306="ORG"),"✔",tulkojums!$A$38),tulkojums!$A$39),tulkojums!$A$39))</f>
        <v/>
      </c>
      <c r="Q306" s="2" t="str">
        <f>IF(ISBLANK(I306),"",IF(INDEX(DB_materiali!$E$2:$E$5000,MATCH($C306,DB_materiali!$A$2:$A$5000,0))&gt;=INDEX(DB_malas!$C$2:$C$5000,MATCH(I306,DB_malas!$A$2:$A$5000,0)),IF(INDEX(DB_materiali!$E$2:$E$5000,MATCH($C306,DB_materiali!$A$2:$A$5000,0))&lt;=INDEX(DB_malas!$D$2:$D$5000,MATCH(I306,DB_malas!$A$2:$A$5000,0)),IF(OR(INDEX(DB_materiali!$B$2:$B$5000,MATCH($C306,DB_materiali!$A$2:$A$5000,0))=INDEX(DB_malas!$B$2:$B$5000,MATCH(I306,DB_malas!$A$2:$A$5000,0)),$H306="ORG"),"✔",tulkojums!$A$38),tulkojums!$A$39),tulkojums!$A$39))</f>
        <v/>
      </c>
      <c r="R306" s="2" t="str">
        <f>IF(ISBLANK(J306),"",IF(INDEX(DB_materiali!$E$2:$E$5000,MATCH($C306,DB_materiali!$A$2:$A$5000,0))&gt;=INDEX(DB_malas!$C$2:$C$5000,MATCH(J306,DB_malas!$A$2:$A$5000,0)),IF(INDEX(DB_materiali!$E$2:$E$5000,MATCH($C306,DB_materiali!$A$2:$A$5000,0))&lt;=INDEX(DB_malas!$D$2:$D$5000,MATCH(J306,DB_malas!$A$2:$A$5000,0)),IF(INDEX(DB_materiali!$B$2:$B$5000,MATCH($C306,DB_materiali!$A$2:$A$5000,0))=INDEX(DB_malas!$B$2:$B$5000,MATCH(J306,DB_malas!$A$2:$A$5000,0)),"✔",tulkojums!$A$38),tulkojums!$A$39),tulkojums!$A$39))</f>
        <v/>
      </c>
      <c r="S306" s="2" t="str">
        <f>IF(ISBLANK(K306),"",IF(INDEX(DB_materiali!$E$2:$E$5000,MATCH($C306,DB_materiali!$A$2:$A$5000,0))&gt;=INDEX(DB_malas!$C$2:$C$5000,MATCH(K306,DB_malas!$A$2:$A$5000,0)),IF(INDEX(DB_materiali!$E$2:$E$5000,MATCH($C306,DB_materiali!$A$2:$A$5000,0))&lt;=INDEX(DB_malas!$D$2:$D$5000,MATCH(K306,DB_malas!$A$2:$A$5000,0)),IF(INDEX(DB_materiali!$B$2:$B$5000,MATCH($C306,DB_materiali!$A$2:$A$5000,0))=INDEX(DB_malas!$B$2:$B$5000,MATCH(K306,DB_malas!$A$2:$A$5000,0)),"✔",tulkojums!$A$38),tulkojums!$A$39),tulkojums!$A$39))</f>
        <v/>
      </c>
      <c r="T306" s="2"/>
      <c r="U306" s="2"/>
      <c r="V306" s="2"/>
      <c r="W306" s="2"/>
      <c r="X306" s="2"/>
      <c r="Y306" s="2"/>
      <c r="Z306" s="2"/>
    </row>
    <row r="307" spans="1:26" ht="15.75" customHeight="1">
      <c r="A307" s="17"/>
      <c r="B307" s="18"/>
      <c r="C307" s="19"/>
      <c r="D307" s="55"/>
      <c r="E307" s="55"/>
      <c r="F307" s="56"/>
      <c r="G307" s="57" t="str">
        <f>IF(ISBLANK(C307),"",
   IFERROR(
      IF(
         INDEX(DB_materiali!C$2:C$5000,
               MATCH(C307, DB_materiali!A$2:A$5000, 0)
         )="FALSE",
         "N",
         "Y"
      ),
   "")
)</f>
        <v/>
      </c>
      <c r="H307" s="20"/>
      <c r="I307" s="20"/>
      <c r="J307" s="20"/>
      <c r="K307" s="20"/>
      <c r="M307" s="2" t="str">
        <f>IF(ISBLANK(C307),"",IF(IFERROR(VLOOKUP(C307,DB_materiali!$A$2:$A$5000,1,FALSE),"Kļūda artikulā")=C307,"✔",tulkojums!A$42))</f>
        <v/>
      </c>
      <c r="N307" s="2" t="str">
        <f>IF(ISBLANK(C307),"",IF(ISNUMBER(F307)=TRUE,"✔",tulkojums!A$43))</f>
        <v/>
      </c>
      <c r="O307" s="2" t="str">
        <f>IF(ISBLANK(C307),"",IF(G307="Y","✔",IF(G307="X","✔",IF(G307="N","✔",tulkojums!A$44))))</f>
        <v/>
      </c>
      <c r="P307" s="2" t="str">
        <f>IF(ISBLANK(H307),"",IF(INDEX(DB_materiali!$E$2:$E$5000,MATCH($C307,DB_materiali!$A$2:$A$5000,0))&gt;=INDEX(DB_malas!$C$2:$C$5000,MATCH(H307,DB_malas!$A$2:$A$5000,0)),IF(INDEX(DB_materiali!$E$2:$E$5000,MATCH($C307,DB_materiali!$A$2:$A$5000,0))&lt;=INDEX(DB_malas!$D$2:$D$5000,MATCH(H307,DB_malas!$A$2:$A$5000,0)),IF(OR(INDEX(DB_materiali!$B$2:$B$5000,MATCH($C307,DB_materiali!$A$2:$A$5000,0))=INDEX(DB_malas!$B$2:$B$5000,MATCH(H307,DB_malas!$A$2:$A$5000,0)),$H307="ORG"),"✔",tulkojums!$A$38),tulkojums!$A$39),tulkojums!$A$39))</f>
        <v/>
      </c>
      <c r="Q307" s="2" t="str">
        <f>IF(ISBLANK(I307),"",IF(INDEX(DB_materiali!$E$2:$E$5000,MATCH($C307,DB_materiali!$A$2:$A$5000,0))&gt;=INDEX(DB_malas!$C$2:$C$5000,MATCH(I307,DB_malas!$A$2:$A$5000,0)),IF(INDEX(DB_materiali!$E$2:$E$5000,MATCH($C307,DB_materiali!$A$2:$A$5000,0))&lt;=INDEX(DB_malas!$D$2:$D$5000,MATCH(I307,DB_malas!$A$2:$A$5000,0)),IF(OR(INDEX(DB_materiali!$B$2:$B$5000,MATCH($C307,DB_materiali!$A$2:$A$5000,0))=INDEX(DB_malas!$B$2:$B$5000,MATCH(I307,DB_malas!$A$2:$A$5000,0)),$H307="ORG"),"✔",tulkojums!$A$38),tulkojums!$A$39),tulkojums!$A$39))</f>
        <v/>
      </c>
      <c r="R307" s="2" t="str">
        <f>IF(ISBLANK(J307),"",IF(INDEX(DB_materiali!$E$2:$E$5000,MATCH($C307,DB_materiali!$A$2:$A$5000,0))&gt;=INDEX(DB_malas!$C$2:$C$5000,MATCH(J307,DB_malas!$A$2:$A$5000,0)),IF(INDEX(DB_materiali!$E$2:$E$5000,MATCH($C307,DB_materiali!$A$2:$A$5000,0))&lt;=INDEX(DB_malas!$D$2:$D$5000,MATCH(J307,DB_malas!$A$2:$A$5000,0)),IF(INDEX(DB_materiali!$B$2:$B$5000,MATCH($C307,DB_materiali!$A$2:$A$5000,0))=INDEX(DB_malas!$B$2:$B$5000,MATCH(J307,DB_malas!$A$2:$A$5000,0)),"✔",tulkojums!$A$38),tulkojums!$A$39),tulkojums!$A$39))</f>
        <v/>
      </c>
      <c r="S307" s="2" t="str">
        <f>IF(ISBLANK(K307),"",IF(INDEX(DB_materiali!$E$2:$E$5000,MATCH($C307,DB_materiali!$A$2:$A$5000,0))&gt;=INDEX(DB_malas!$C$2:$C$5000,MATCH(K307,DB_malas!$A$2:$A$5000,0)),IF(INDEX(DB_materiali!$E$2:$E$5000,MATCH($C307,DB_materiali!$A$2:$A$5000,0))&lt;=INDEX(DB_malas!$D$2:$D$5000,MATCH(K307,DB_malas!$A$2:$A$5000,0)),IF(INDEX(DB_materiali!$B$2:$B$5000,MATCH($C307,DB_materiali!$A$2:$A$5000,0))=INDEX(DB_malas!$B$2:$B$5000,MATCH(K307,DB_malas!$A$2:$A$5000,0)),"✔",tulkojums!$A$38),tulkojums!$A$39),tulkojums!$A$39))</f>
        <v/>
      </c>
      <c r="T307" s="2"/>
      <c r="U307" s="2"/>
      <c r="V307" s="2"/>
      <c r="W307" s="2"/>
      <c r="X307" s="2"/>
      <c r="Y307" s="2"/>
      <c r="Z307" s="2"/>
    </row>
    <row r="308" spans="1:26" ht="15.75" customHeight="1">
      <c r="A308" s="17"/>
      <c r="B308" s="18"/>
      <c r="C308" s="19"/>
      <c r="D308" s="55"/>
      <c r="E308" s="55"/>
      <c r="F308" s="56"/>
      <c r="G308" s="57" t="str">
        <f>IF(ISBLANK(C308),"",
   IFERROR(
      IF(
         INDEX(DB_materiali!C$2:C$5000,
               MATCH(C308, DB_materiali!A$2:A$5000, 0)
         )="FALSE",
         "N",
         "Y"
      ),
   "")
)</f>
        <v/>
      </c>
      <c r="H308" s="20"/>
      <c r="I308" s="20"/>
      <c r="J308" s="20"/>
      <c r="K308" s="20"/>
      <c r="M308" s="2" t="str">
        <f>IF(ISBLANK(C308),"",IF(IFERROR(VLOOKUP(C308,DB_materiali!$A$2:$A$5000,1,FALSE),"Kļūda artikulā")=C308,"✔",tulkojums!A$42))</f>
        <v/>
      </c>
      <c r="N308" s="2" t="str">
        <f>IF(ISBLANK(C308),"",IF(ISNUMBER(F308)=TRUE,"✔",tulkojums!A$43))</f>
        <v/>
      </c>
      <c r="O308" s="2" t="str">
        <f>IF(ISBLANK(C308),"",IF(G308="Y","✔",IF(G308="X","✔",IF(G308="N","✔",tulkojums!A$44))))</f>
        <v/>
      </c>
      <c r="P308" s="2" t="str">
        <f>IF(ISBLANK(H308),"",IF(INDEX(DB_materiali!$E$2:$E$5000,MATCH($C308,DB_materiali!$A$2:$A$5000,0))&gt;=INDEX(DB_malas!$C$2:$C$5000,MATCH(H308,DB_malas!$A$2:$A$5000,0)),IF(INDEX(DB_materiali!$E$2:$E$5000,MATCH($C308,DB_materiali!$A$2:$A$5000,0))&lt;=INDEX(DB_malas!$D$2:$D$5000,MATCH(H308,DB_malas!$A$2:$A$5000,0)),IF(OR(INDEX(DB_materiali!$B$2:$B$5000,MATCH($C308,DB_materiali!$A$2:$A$5000,0))=INDEX(DB_malas!$B$2:$B$5000,MATCH(H308,DB_malas!$A$2:$A$5000,0)),$H308="ORG"),"✔",tulkojums!$A$38),tulkojums!$A$39),tulkojums!$A$39))</f>
        <v/>
      </c>
      <c r="Q308" s="2" t="str">
        <f>IF(ISBLANK(I308),"",IF(INDEX(DB_materiali!$E$2:$E$5000,MATCH($C308,DB_materiali!$A$2:$A$5000,0))&gt;=INDEX(DB_malas!$C$2:$C$5000,MATCH(I308,DB_malas!$A$2:$A$5000,0)),IF(INDEX(DB_materiali!$E$2:$E$5000,MATCH($C308,DB_materiali!$A$2:$A$5000,0))&lt;=INDEX(DB_malas!$D$2:$D$5000,MATCH(I308,DB_malas!$A$2:$A$5000,0)),IF(OR(INDEX(DB_materiali!$B$2:$B$5000,MATCH($C308,DB_materiali!$A$2:$A$5000,0))=INDEX(DB_malas!$B$2:$B$5000,MATCH(I308,DB_malas!$A$2:$A$5000,0)),$H308="ORG"),"✔",tulkojums!$A$38),tulkojums!$A$39),tulkojums!$A$39))</f>
        <v/>
      </c>
      <c r="R308" s="2" t="str">
        <f>IF(ISBLANK(J308),"",IF(INDEX(DB_materiali!$E$2:$E$5000,MATCH($C308,DB_materiali!$A$2:$A$5000,0))&gt;=INDEX(DB_malas!$C$2:$C$5000,MATCH(J308,DB_malas!$A$2:$A$5000,0)),IF(INDEX(DB_materiali!$E$2:$E$5000,MATCH($C308,DB_materiali!$A$2:$A$5000,0))&lt;=INDEX(DB_malas!$D$2:$D$5000,MATCH(J308,DB_malas!$A$2:$A$5000,0)),IF(INDEX(DB_materiali!$B$2:$B$5000,MATCH($C308,DB_materiali!$A$2:$A$5000,0))=INDEX(DB_malas!$B$2:$B$5000,MATCH(J308,DB_malas!$A$2:$A$5000,0)),"✔",tulkojums!$A$38),tulkojums!$A$39),tulkojums!$A$39))</f>
        <v/>
      </c>
      <c r="S308" s="2" t="str">
        <f>IF(ISBLANK(K308),"",IF(INDEX(DB_materiali!$E$2:$E$5000,MATCH($C308,DB_materiali!$A$2:$A$5000,0))&gt;=INDEX(DB_malas!$C$2:$C$5000,MATCH(K308,DB_malas!$A$2:$A$5000,0)),IF(INDEX(DB_materiali!$E$2:$E$5000,MATCH($C308,DB_materiali!$A$2:$A$5000,0))&lt;=INDEX(DB_malas!$D$2:$D$5000,MATCH(K308,DB_malas!$A$2:$A$5000,0)),IF(INDEX(DB_materiali!$B$2:$B$5000,MATCH($C308,DB_materiali!$A$2:$A$5000,0))=INDEX(DB_malas!$B$2:$B$5000,MATCH(K308,DB_malas!$A$2:$A$5000,0)),"✔",tulkojums!$A$38),tulkojums!$A$39),tulkojums!$A$39))</f>
        <v/>
      </c>
      <c r="T308" s="2"/>
      <c r="U308" s="2"/>
      <c r="V308" s="2"/>
      <c r="W308" s="2"/>
      <c r="X308" s="2"/>
      <c r="Y308" s="2"/>
      <c r="Z308" s="2"/>
    </row>
    <row r="309" spans="1:26" ht="15.75" customHeight="1">
      <c r="A309" s="17"/>
      <c r="B309" s="18"/>
      <c r="C309" s="19"/>
      <c r="D309" s="55"/>
      <c r="E309" s="55"/>
      <c r="F309" s="56"/>
      <c r="G309" s="57" t="str">
        <f>IF(ISBLANK(C309),"",
   IFERROR(
      IF(
         INDEX(DB_materiali!C$2:C$5000,
               MATCH(C309, DB_materiali!A$2:A$5000, 0)
         )="FALSE",
         "N",
         "Y"
      ),
   "")
)</f>
        <v/>
      </c>
      <c r="H309" s="20"/>
      <c r="I309" s="20"/>
      <c r="J309" s="20"/>
      <c r="K309" s="20"/>
      <c r="M309" s="2" t="str">
        <f>IF(ISBLANK(C309),"",IF(IFERROR(VLOOKUP(C309,DB_materiali!$A$2:$A$5000,1,FALSE),"Kļūda artikulā")=C309,"✔",tulkojums!A$42))</f>
        <v/>
      </c>
      <c r="N309" s="2" t="str">
        <f>IF(ISBLANK(C309),"",IF(ISNUMBER(F309)=TRUE,"✔",tulkojums!A$43))</f>
        <v/>
      </c>
      <c r="O309" s="2" t="str">
        <f>IF(ISBLANK(C309),"",IF(G309="Y","✔",IF(G309="X","✔",IF(G309="N","✔",tulkojums!A$44))))</f>
        <v/>
      </c>
      <c r="P309" s="2" t="str">
        <f>IF(ISBLANK(H309),"",IF(INDEX(DB_materiali!$E$2:$E$5000,MATCH($C309,DB_materiali!$A$2:$A$5000,0))&gt;=INDEX(DB_malas!$C$2:$C$5000,MATCH(H309,DB_malas!$A$2:$A$5000,0)),IF(INDEX(DB_materiali!$E$2:$E$5000,MATCH($C309,DB_materiali!$A$2:$A$5000,0))&lt;=INDEX(DB_malas!$D$2:$D$5000,MATCH(H309,DB_malas!$A$2:$A$5000,0)),IF(OR(INDEX(DB_materiali!$B$2:$B$5000,MATCH($C309,DB_materiali!$A$2:$A$5000,0))=INDEX(DB_malas!$B$2:$B$5000,MATCH(H309,DB_malas!$A$2:$A$5000,0)),$H309="ORG"),"✔",tulkojums!$A$38),tulkojums!$A$39),tulkojums!$A$39))</f>
        <v/>
      </c>
      <c r="Q309" s="2" t="str">
        <f>IF(ISBLANK(I309),"",IF(INDEX(DB_materiali!$E$2:$E$5000,MATCH($C309,DB_materiali!$A$2:$A$5000,0))&gt;=INDEX(DB_malas!$C$2:$C$5000,MATCH(I309,DB_malas!$A$2:$A$5000,0)),IF(INDEX(DB_materiali!$E$2:$E$5000,MATCH($C309,DB_materiali!$A$2:$A$5000,0))&lt;=INDEX(DB_malas!$D$2:$D$5000,MATCH(I309,DB_malas!$A$2:$A$5000,0)),IF(OR(INDEX(DB_materiali!$B$2:$B$5000,MATCH($C309,DB_materiali!$A$2:$A$5000,0))=INDEX(DB_malas!$B$2:$B$5000,MATCH(I309,DB_malas!$A$2:$A$5000,0)),$H309="ORG"),"✔",tulkojums!$A$38),tulkojums!$A$39),tulkojums!$A$39))</f>
        <v/>
      </c>
      <c r="R309" s="2" t="str">
        <f>IF(ISBLANK(J309),"",IF(INDEX(DB_materiali!$E$2:$E$5000,MATCH($C309,DB_materiali!$A$2:$A$5000,0))&gt;=INDEX(DB_malas!$C$2:$C$5000,MATCH(J309,DB_malas!$A$2:$A$5000,0)),IF(INDEX(DB_materiali!$E$2:$E$5000,MATCH($C309,DB_materiali!$A$2:$A$5000,0))&lt;=INDEX(DB_malas!$D$2:$D$5000,MATCH(J309,DB_malas!$A$2:$A$5000,0)),IF(INDEX(DB_materiali!$B$2:$B$5000,MATCH($C309,DB_materiali!$A$2:$A$5000,0))=INDEX(DB_malas!$B$2:$B$5000,MATCH(J309,DB_malas!$A$2:$A$5000,0)),"✔",tulkojums!$A$38),tulkojums!$A$39),tulkojums!$A$39))</f>
        <v/>
      </c>
      <c r="S309" s="2" t="str">
        <f>IF(ISBLANK(K309),"",IF(INDEX(DB_materiali!$E$2:$E$5000,MATCH($C309,DB_materiali!$A$2:$A$5000,0))&gt;=INDEX(DB_malas!$C$2:$C$5000,MATCH(K309,DB_malas!$A$2:$A$5000,0)),IF(INDEX(DB_materiali!$E$2:$E$5000,MATCH($C309,DB_materiali!$A$2:$A$5000,0))&lt;=INDEX(DB_malas!$D$2:$D$5000,MATCH(K309,DB_malas!$A$2:$A$5000,0)),IF(INDEX(DB_materiali!$B$2:$B$5000,MATCH($C309,DB_materiali!$A$2:$A$5000,0))=INDEX(DB_malas!$B$2:$B$5000,MATCH(K309,DB_malas!$A$2:$A$5000,0)),"✔",tulkojums!$A$38),tulkojums!$A$39),tulkojums!$A$39))</f>
        <v/>
      </c>
      <c r="T309" s="2"/>
      <c r="U309" s="2"/>
      <c r="V309" s="2"/>
      <c r="W309" s="2"/>
      <c r="X309" s="2"/>
      <c r="Y309" s="2"/>
      <c r="Z309" s="2"/>
    </row>
    <row r="310" spans="1:26" ht="15.75" customHeight="1">
      <c r="A310" s="17"/>
      <c r="B310" s="18"/>
      <c r="C310" s="19"/>
      <c r="D310" s="55"/>
      <c r="E310" s="55"/>
      <c r="F310" s="56"/>
      <c r="G310" s="57" t="str">
        <f>IF(ISBLANK(C310),"",
   IFERROR(
      IF(
         INDEX(DB_materiali!C$2:C$5000,
               MATCH(C310, DB_materiali!A$2:A$5000, 0)
         )="FALSE",
         "N",
         "Y"
      ),
   "")
)</f>
        <v/>
      </c>
      <c r="H310" s="20"/>
      <c r="I310" s="20"/>
      <c r="J310" s="20"/>
      <c r="K310" s="20"/>
      <c r="M310" s="2" t="str">
        <f>IF(ISBLANK(C310),"",IF(IFERROR(VLOOKUP(C310,DB_materiali!$A$2:$A$5000,1,FALSE),"Kļūda artikulā")=C310,"✔",tulkojums!A$42))</f>
        <v/>
      </c>
      <c r="N310" s="2" t="str">
        <f>IF(ISBLANK(C310),"",IF(ISNUMBER(F310)=TRUE,"✔",tulkojums!A$43))</f>
        <v/>
      </c>
      <c r="O310" s="2" t="str">
        <f>IF(ISBLANK(C310),"",IF(G310="Y","✔",IF(G310="X","✔",IF(G310="N","✔",tulkojums!A$44))))</f>
        <v/>
      </c>
      <c r="P310" s="2" t="str">
        <f>IF(ISBLANK(H310),"",IF(INDEX(DB_materiali!$E$2:$E$5000,MATCH($C310,DB_materiali!$A$2:$A$5000,0))&gt;=INDEX(DB_malas!$C$2:$C$5000,MATCH(H310,DB_malas!$A$2:$A$5000,0)),IF(INDEX(DB_materiali!$E$2:$E$5000,MATCH($C310,DB_materiali!$A$2:$A$5000,0))&lt;=INDEX(DB_malas!$D$2:$D$5000,MATCH(H310,DB_malas!$A$2:$A$5000,0)),IF(OR(INDEX(DB_materiali!$B$2:$B$5000,MATCH($C310,DB_materiali!$A$2:$A$5000,0))=INDEX(DB_malas!$B$2:$B$5000,MATCH(H310,DB_malas!$A$2:$A$5000,0)),$H310="ORG"),"✔",tulkojums!$A$38),tulkojums!$A$39),tulkojums!$A$39))</f>
        <v/>
      </c>
      <c r="Q310" s="2" t="str">
        <f>IF(ISBLANK(I310),"",IF(INDEX(DB_materiali!$E$2:$E$5000,MATCH($C310,DB_materiali!$A$2:$A$5000,0))&gt;=INDEX(DB_malas!$C$2:$C$5000,MATCH(I310,DB_malas!$A$2:$A$5000,0)),IF(INDEX(DB_materiali!$E$2:$E$5000,MATCH($C310,DB_materiali!$A$2:$A$5000,0))&lt;=INDEX(DB_malas!$D$2:$D$5000,MATCH(I310,DB_malas!$A$2:$A$5000,0)),IF(OR(INDEX(DB_materiali!$B$2:$B$5000,MATCH($C310,DB_materiali!$A$2:$A$5000,0))=INDEX(DB_malas!$B$2:$B$5000,MATCH(I310,DB_malas!$A$2:$A$5000,0)),$H310="ORG"),"✔",tulkojums!$A$38),tulkojums!$A$39),tulkojums!$A$39))</f>
        <v/>
      </c>
      <c r="R310" s="2" t="str">
        <f>IF(ISBLANK(J310),"",IF(INDEX(DB_materiali!$E$2:$E$5000,MATCH($C310,DB_materiali!$A$2:$A$5000,0))&gt;=INDEX(DB_malas!$C$2:$C$5000,MATCH(J310,DB_malas!$A$2:$A$5000,0)),IF(INDEX(DB_materiali!$E$2:$E$5000,MATCH($C310,DB_materiali!$A$2:$A$5000,0))&lt;=INDEX(DB_malas!$D$2:$D$5000,MATCH(J310,DB_malas!$A$2:$A$5000,0)),IF(INDEX(DB_materiali!$B$2:$B$5000,MATCH($C310,DB_materiali!$A$2:$A$5000,0))=INDEX(DB_malas!$B$2:$B$5000,MATCH(J310,DB_malas!$A$2:$A$5000,0)),"✔",tulkojums!$A$38),tulkojums!$A$39),tulkojums!$A$39))</f>
        <v/>
      </c>
      <c r="S310" s="2" t="str">
        <f>IF(ISBLANK(K310),"",IF(INDEX(DB_materiali!$E$2:$E$5000,MATCH($C310,DB_materiali!$A$2:$A$5000,0))&gt;=INDEX(DB_malas!$C$2:$C$5000,MATCH(K310,DB_malas!$A$2:$A$5000,0)),IF(INDEX(DB_materiali!$E$2:$E$5000,MATCH($C310,DB_materiali!$A$2:$A$5000,0))&lt;=INDEX(DB_malas!$D$2:$D$5000,MATCH(K310,DB_malas!$A$2:$A$5000,0)),IF(INDEX(DB_materiali!$B$2:$B$5000,MATCH($C310,DB_materiali!$A$2:$A$5000,0))=INDEX(DB_malas!$B$2:$B$5000,MATCH(K310,DB_malas!$A$2:$A$5000,0)),"✔",tulkojums!$A$38),tulkojums!$A$39),tulkojums!$A$39))</f>
        <v/>
      </c>
      <c r="T310" s="2"/>
      <c r="U310" s="2"/>
      <c r="V310" s="2"/>
      <c r="W310" s="2"/>
      <c r="X310" s="2"/>
      <c r="Y310" s="2"/>
      <c r="Z310" s="2"/>
    </row>
    <row r="311" spans="1:26" ht="15.75" customHeight="1">
      <c r="A311" s="17"/>
      <c r="B311" s="18"/>
      <c r="C311" s="19"/>
      <c r="D311" s="55"/>
      <c r="E311" s="55"/>
      <c r="F311" s="56"/>
      <c r="G311" s="57" t="str">
        <f>IF(ISBLANK(C311),"",
   IFERROR(
      IF(
         INDEX(DB_materiali!C$2:C$5000,
               MATCH(C311, DB_materiali!A$2:A$5000, 0)
         )="FALSE",
         "N",
         "Y"
      ),
   "")
)</f>
        <v/>
      </c>
      <c r="H311" s="20"/>
      <c r="I311" s="20"/>
      <c r="J311" s="20"/>
      <c r="K311" s="20"/>
      <c r="M311" s="2" t="str">
        <f>IF(ISBLANK(C311),"",IF(IFERROR(VLOOKUP(C311,DB_materiali!$A$2:$A$5000,1,FALSE),"Kļūda artikulā")=C311,"✔",tulkojums!A$42))</f>
        <v/>
      </c>
      <c r="N311" s="2" t="str">
        <f>IF(ISBLANK(C311),"",IF(ISNUMBER(F311)=TRUE,"✔",tulkojums!A$43))</f>
        <v/>
      </c>
      <c r="O311" s="2" t="str">
        <f>IF(ISBLANK(C311),"",IF(G311="Y","✔",IF(G311="X","✔",IF(G311="N","✔",tulkojums!A$44))))</f>
        <v/>
      </c>
      <c r="P311" s="2" t="str">
        <f>IF(ISBLANK(H311),"",IF(INDEX(DB_materiali!$E$2:$E$5000,MATCH($C311,DB_materiali!$A$2:$A$5000,0))&gt;=INDEX(DB_malas!$C$2:$C$5000,MATCH(H311,DB_malas!$A$2:$A$5000,0)),IF(INDEX(DB_materiali!$E$2:$E$5000,MATCH($C311,DB_materiali!$A$2:$A$5000,0))&lt;=INDEX(DB_malas!$D$2:$D$5000,MATCH(H311,DB_malas!$A$2:$A$5000,0)),IF(OR(INDEX(DB_materiali!$B$2:$B$5000,MATCH($C311,DB_materiali!$A$2:$A$5000,0))=INDEX(DB_malas!$B$2:$B$5000,MATCH(H311,DB_malas!$A$2:$A$5000,0)),$H311="ORG"),"✔",tulkojums!$A$38),tulkojums!$A$39),tulkojums!$A$39))</f>
        <v/>
      </c>
      <c r="Q311" s="2" t="str">
        <f>IF(ISBLANK(I311),"",IF(INDEX(DB_materiali!$E$2:$E$5000,MATCH($C311,DB_materiali!$A$2:$A$5000,0))&gt;=INDEX(DB_malas!$C$2:$C$5000,MATCH(I311,DB_malas!$A$2:$A$5000,0)),IF(INDEX(DB_materiali!$E$2:$E$5000,MATCH($C311,DB_materiali!$A$2:$A$5000,0))&lt;=INDEX(DB_malas!$D$2:$D$5000,MATCH(I311,DB_malas!$A$2:$A$5000,0)),IF(OR(INDEX(DB_materiali!$B$2:$B$5000,MATCH($C311,DB_materiali!$A$2:$A$5000,0))=INDEX(DB_malas!$B$2:$B$5000,MATCH(I311,DB_malas!$A$2:$A$5000,0)),$H311="ORG"),"✔",tulkojums!$A$38),tulkojums!$A$39),tulkojums!$A$39))</f>
        <v/>
      </c>
      <c r="R311" s="2" t="str">
        <f>IF(ISBLANK(J311),"",IF(INDEX(DB_materiali!$E$2:$E$5000,MATCH($C311,DB_materiali!$A$2:$A$5000,0))&gt;=INDEX(DB_malas!$C$2:$C$5000,MATCH(J311,DB_malas!$A$2:$A$5000,0)),IF(INDEX(DB_materiali!$E$2:$E$5000,MATCH($C311,DB_materiali!$A$2:$A$5000,0))&lt;=INDEX(DB_malas!$D$2:$D$5000,MATCH(J311,DB_malas!$A$2:$A$5000,0)),IF(INDEX(DB_materiali!$B$2:$B$5000,MATCH($C311,DB_materiali!$A$2:$A$5000,0))=INDEX(DB_malas!$B$2:$B$5000,MATCH(J311,DB_malas!$A$2:$A$5000,0)),"✔",tulkojums!$A$38),tulkojums!$A$39),tulkojums!$A$39))</f>
        <v/>
      </c>
      <c r="S311" s="2" t="str">
        <f>IF(ISBLANK(K311),"",IF(INDEX(DB_materiali!$E$2:$E$5000,MATCH($C311,DB_materiali!$A$2:$A$5000,0))&gt;=INDEX(DB_malas!$C$2:$C$5000,MATCH(K311,DB_malas!$A$2:$A$5000,0)),IF(INDEX(DB_materiali!$E$2:$E$5000,MATCH($C311,DB_materiali!$A$2:$A$5000,0))&lt;=INDEX(DB_malas!$D$2:$D$5000,MATCH(K311,DB_malas!$A$2:$A$5000,0)),IF(INDEX(DB_materiali!$B$2:$B$5000,MATCH($C311,DB_materiali!$A$2:$A$5000,0))=INDEX(DB_malas!$B$2:$B$5000,MATCH(K311,DB_malas!$A$2:$A$5000,0)),"✔",tulkojums!$A$38),tulkojums!$A$39),tulkojums!$A$39))</f>
        <v/>
      </c>
      <c r="T311" s="2"/>
      <c r="U311" s="2"/>
      <c r="V311" s="2"/>
      <c r="W311" s="2"/>
      <c r="X311" s="2"/>
      <c r="Y311" s="2"/>
      <c r="Z311" s="2"/>
    </row>
    <row r="312" spans="1:26" ht="15.75" customHeight="1">
      <c r="A312" s="17"/>
      <c r="B312" s="18"/>
      <c r="C312" s="19"/>
      <c r="D312" s="55"/>
      <c r="E312" s="55"/>
      <c r="F312" s="56"/>
      <c r="G312" s="57" t="str">
        <f>IF(ISBLANK(C312),"",
   IFERROR(
      IF(
         INDEX(DB_materiali!C$2:C$5000,
               MATCH(C312, DB_materiali!A$2:A$5000, 0)
         )="FALSE",
         "N",
         "Y"
      ),
   "")
)</f>
        <v/>
      </c>
      <c r="H312" s="20"/>
      <c r="I312" s="20"/>
      <c r="J312" s="20"/>
      <c r="K312" s="20"/>
      <c r="M312" s="2" t="str">
        <f>IF(ISBLANK(C312),"",IF(IFERROR(VLOOKUP(C312,DB_materiali!$A$2:$A$5000,1,FALSE),"Kļūda artikulā")=C312,"✔",tulkojums!A$42))</f>
        <v/>
      </c>
      <c r="N312" s="2" t="str">
        <f>IF(ISBLANK(C312),"",IF(ISNUMBER(F312)=TRUE,"✔",tulkojums!A$43))</f>
        <v/>
      </c>
      <c r="O312" s="2" t="str">
        <f>IF(ISBLANK(C312),"",IF(G312="Y","✔",IF(G312="X","✔",IF(G312="N","✔",tulkojums!A$44))))</f>
        <v/>
      </c>
      <c r="P312" s="2" t="str">
        <f>IF(ISBLANK(H312),"",IF(INDEX(DB_materiali!$E$2:$E$5000,MATCH($C312,DB_materiali!$A$2:$A$5000,0))&gt;=INDEX(DB_malas!$C$2:$C$5000,MATCH(H312,DB_malas!$A$2:$A$5000,0)),IF(INDEX(DB_materiali!$E$2:$E$5000,MATCH($C312,DB_materiali!$A$2:$A$5000,0))&lt;=INDEX(DB_malas!$D$2:$D$5000,MATCH(H312,DB_malas!$A$2:$A$5000,0)),IF(OR(INDEX(DB_materiali!$B$2:$B$5000,MATCH($C312,DB_materiali!$A$2:$A$5000,0))=INDEX(DB_malas!$B$2:$B$5000,MATCH(H312,DB_malas!$A$2:$A$5000,0)),$H312="ORG"),"✔",tulkojums!$A$38),tulkojums!$A$39),tulkojums!$A$39))</f>
        <v/>
      </c>
      <c r="Q312" s="2" t="str">
        <f>IF(ISBLANK(I312),"",IF(INDEX(DB_materiali!$E$2:$E$5000,MATCH($C312,DB_materiali!$A$2:$A$5000,0))&gt;=INDEX(DB_malas!$C$2:$C$5000,MATCH(I312,DB_malas!$A$2:$A$5000,0)),IF(INDEX(DB_materiali!$E$2:$E$5000,MATCH($C312,DB_materiali!$A$2:$A$5000,0))&lt;=INDEX(DB_malas!$D$2:$D$5000,MATCH(I312,DB_malas!$A$2:$A$5000,0)),IF(OR(INDEX(DB_materiali!$B$2:$B$5000,MATCH($C312,DB_materiali!$A$2:$A$5000,0))=INDEX(DB_malas!$B$2:$B$5000,MATCH(I312,DB_malas!$A$2:$A$5000,0)),$H312="ORG"),"✔",tulkojums!$A$38),tulkojums!$A$39),tulkojums!$A$39))</f>
        <v/>
      </c>
      <c r="R312" s="2" t="str">
        <f>IF(ISBLANK(J312),"",IF(INDEX(DB_materiali!$E$2:$E$5000,MATCH($C312,DB_materiali!$A$2:$A$5000,0))&gt;=INDEX(DB_malas!$C$2:$C$5000,MATCH(J312,DB_malas!$A$2:$A$5000,0)),IF(INDEX(DB_materiali!$E$2:$E$5000,MATCH($C312,DB_materiali!$A$2:$A$5000,0))&lt;=INDEX(DB_malas!$D$2:$D$5000,MATCH(J312,DB_malas!$A$2:$A$5000,0)),IF(INDEX(DB_materiali!$B$2:$B$5000,MATCH($C312,DB_materiali!$A$2:$A$5000,0))=INDEX(DB_malas!$B$2:$B$5000,MATCH(J312,DB_malas!$A$2:$A$5000,0)),"✔",tulkojums!$A$38),tulkojums!$A$39),tulkojums!$A$39))</f>
        <v/>
      </c>
      <c r="S312" s="2" t="str">
        <f>IF(ISBLANK(K312),"",IF(INDEX(DB_materiali!$E$2:$E$5000,MATCH($C312,DB_materiali!$A$2:$A$5000,0))&gt;=INDEX(DB_malas!$C$2:$C$5000,MATCH(K312,DB_malas!$A$2:$A$5000,0)),IF(INDEX(DB_materiali!$E$2:$E$5000,MATCH($C312,DB_materiali!$A$2:$A$5000,0))&lt;=INDEX(DB_malas!$D$2:$D$5000,MATCH(K312,DB_malas!$A$2:$A$5000,0)),IF(INDEX(DB_materiali!$B$2:$B$5000,MATCH($C312,DB_materiali!$A$2:$A$5000,0))=INDEX(DB_malas!$B$2:$B$5000,MATCH(K312,DB_malas!$A$2:$A$5000,0)),"✔",tulkojums!$A$38),tulkojums!$A$39),tulkojums!$A$39))</f>
        <v/>
      </c>
      <c r="T312" s="2"/>
      <c r="U312" s="2"/>
      <c r="V312" s="2"/>
      <c r="W312" s="2"/>
      <c r="X312" s="2"/>
      <c r="Y312" s="2"/>
      <c r="Z312" s="2"/>
    </row>
    <row r="313" spans="1:26" ht="15.75" customHeight="1">
      <c r="A313" s="17"/>
      <c r="B313" s="18"/>
      <c r="C313" s="19"/>
      <c r="D313" s="55"/>
      <c r="E313" s="55"/>
      <c r="F313" s="56"/>
      <c r="G313" s="57" t="str">
        <f>IF(ISBLANK(C313),"",
   IFERROR(
      IF(
         INDEX(DB_materiali!C$2:C$5000,
               MATCH(C313, DB_materiali!A$2:A$5000, 0)
         )="FALSE",
         "N",
         "Y"
      ),
   "")
)</f>
        <v/>
      </c>
      <c r="H313" s="20"/>
      <c r="I313" s="20"/>
      <c r="J313" s="20"/>
      <c r="K313" s="20"/>
      <c r="M313" s="2" t="str">
        <f>IF(ISBLANK(C313),"",IF(IFERROR(VLOOKUP(C313,DB_materiali!$A$2:$A$5000,1,FALSE),"Kļūda artikulā")=C313,"✔",tulkojums!A$42))</f>
        <v/>
      </c>
      <c r="N313" s="2" t="str">
        <f>IF(ISBLANK(C313),"",IF(ISNUMBER(F313)=TRUE,"✔",tulkojums!A$43))</f>
        <v/>
      </c>
      <c r="O313" s="2" t="str">
        <f>IF(ISBLANK(C313),"",IF(G313="Y","✔",IF(G313="X","✔",IF(G313="N","✔",tulkojums!A$44))))</f>
        <v/>
      </c>
      <c r="P313" s="2" t="str">
        <f>IF(ISBLANK(H313),"",IF(INDEX(DB_materiali!$E$2:$E$5000,MATCH($C313,DB_materiali!$A$2:$A$5000,0))&gt;=INDEX(DB_malas!$C$2:$C$5000,MATCH(H313,DB_malas!$A$2:$A$5000,0)),IF(INDEX(DB_materiali!$E$2:$E$5000,MATCH($C313,DB_materiali!$A$2:$A$5000,0))&lt;=INDEX(DB_malas!$D$2:$D$5000,MATCH(H313,DB_malas!$A$2:$A$5000,0)),IF(OR(INDEX(DB_materiali!$B$2:$B$5000,MATCH($C313,DB_materiali!$A$2:$A$5000,0))=INDEX(DB_malas!$B$2:$B$5000,MATCH(H313,DB_malas!$A$2:$A$5000,0)),$H313="ORG"),"✔",tulkojums!$A$38),tulkojums!$A$39),tulkojums!$A$39))</f>
        <v/>
      </c>
      <c r="Q313" s="2" t="str">
        <f>IF(ISBLANK(I313),"",IF(INDEX(DB_materiali!$E$2:$E$5000,MATCH($C313,DB_materiali!$A$2:$A$5000,0))&gt;=INDEX(DB_malas!$C$2:$C$5000,MATCH(I313,DB_malas!$A$2:$A$5000,0)),IF(INDEX(DB_materiali!$E$2:$E$5000,MATCH($C313,DB_materiali!$A$2:$A$5000,0))&lt;=INDEX(DB_malas!$D$2:$D$5000,MATCH(I313,DB_malas!$A$2:$A$5000,0)),IF(OR(INDEX(DB_materiali!$B$2:$B$5000,MATCH($C313,DB_materiali!$A$2:$A$5000,0))=INDEX(DB_malas!$B$2:$B$5000,MATCH(I313,DB_malas!$A$2:$A$5000,0)),$H313="ORG"),"✔",tulkojums!$A$38),tulkojums!$A$39),tulkojums!$A$39))</f>
        <v/>
      </c>
      <c r="R313" s="2" t="str">
        <f>IF(ISBLANK(J313),"",IF(INDEX(DB_materiali!$E$2:$E$5000,MATCH($C313,DB_materiali!$A$2:$A$5000,0))&gt;=INDEX(DB_malas!$C$2:$C$5000,MATCH(J313,DB_malas!$A$2:$A$5000,0)),IF(INDEX(DB_materiali!$E$2:$E$5000,MATCH($C313,DB_materiali!$A$2:$A$5000,0))&lt;=INDEX(DB_malas!$D$2:$D$5000,MATCH(J313,DB_malas!$A$2:$A$5000,0)),IF(INDEX(DB_materiali!$B$2:$B$5000,MATCH($C313,DB_materiali!$A$2:$A$5000,0))=INDEX(DB_malas!$B$2:$B$5000,MATCH(J313,DB_malas!$A$2:$A$5000,0)),"✔",tulkojums!$A$38),tulkojums!$A$39),tulkojums!$A$39))</f>
        <v/>
      </c>
      <c r="S313" s="2" t="str">
        <f>IF(ISBLANK(K313),"",IF(INDEX(DB_materiali!$E$2:$E$5000,MATCH($C313,DB_materiali!$A$2:$A$5000,0))&gt;=INDEX(DB_malas!$C$2:$C$5000,MATCH(K313,DB_malas!$A$2:$A$5000,0)),IF(INDEX(DB_materiali!$E$2:$E$5000,MATCH($C313,DB_materiali!$A$2:$A$5000,0))&lt;=INDEX(DB_malas!$D$2:$D$5000,MATCH(K313,DB_malas!$A$2:$A$5000,0)),IF(INDEX(DB_materiali!$B$2:$B$5000,MATCH($C313,DB_materiali!$A$2:$A$5000,0))=INDEX(DB_malas!$B$2:$B$5000,MATCH(K313,DB_malas!$A$2:$A$5000,0)),"✔",tulkojums!$A$38),tulkojums!$A$39),tulkojums!$A$39))</f>
        <v/>
      </c>
      <c r="T313" s="2"/>
      <c r="U313" s="2"/>
      <c r="V313" s="2"/>
      <c r="W313" s="2"/>
      <c r="X313" s="2"/>
      <c r="Y313" s="2"/>
      <c r="Z313" s="2"/>
    </row>
    <row r="314" spans="1:26" ht="15.75" customHeight="1">
      <c r="A314" s="17"/>
      <c r="B314" s="18"/>
      <c r="C314" s="19"/>
      <c r="D314" s="55"/>
      <c r="E314" s="55"/>
      <c r="F314" s="56"/>
      <c r="G314" s="57" t="str">
        <f>IF(ISBLANK(C314),"",
   IFERROR(
      IF(
         INDEX(DB_materiali!C$2:C$5000,
               MATCH(C314, DB_materiali!A$2:A$5000, 0)
         )="FALSE",
         "N",
         "Y"
      ),
   "")
)</f>
        <v/>
      </c>
      <c r="H314" s="20"/>
      <c r="I314" s="20"/>
      <c r="J314" s="20"/>
      <c r="K314" s="20"/>
      <c r="M314" s="2" t="str">
        <f>IF(ISBLANK(C314),"",IF(IFERROR(VLOOKUP(C314,DB_materiali!$A$2:$A$5000,1,FALSE),"Kļūda artikulā")=C314,"✔",tulkojums!A$42))</f>
        <v/>
      </c>
      <c r="N314" s="2" t="str">
        <f>IF(ISBLANK(C314),"",IF(ISNUMBER(F314)=TRUE,"✔",tulkojums!A$43))</f>
        <v/>
      </c>
      <c r="O314" s="2" t="str">
        <f>IF(ISBLANK(C314),"",IF(G314="Y","✔",IF(G314="X","✔",IF(G314="N","✔",tulkojums!A$44))))</f>
        <v/>
      </c>
      <c r="P314" s="2" t="str">
        <f>IF(ISBLANK(H314),"",IF(INDEX(DB_materiali!$E$2:$E$5000,MATCH($C314,DB_materiali!$A$2:$A$5000,0))&gt;=INDEX(DB_malas!$C$2:$C$5000,MATCH(H314,DB_malas!$A$2:$A$5000,0)),IF(INDEX(DB_materiali!$E$2:$E$5000,MATCH($C314,DB_materiali!$A$2:$A$5000,0))&lt;=INDEX(DB_malas!$D$2:$D$5000,MATCH(H314,DB_malas!$A$2:$A$5000,0)),IF(OR(INDEX(DB_materiali!$B$2:$B$5000,MATCH($C314,DB_materiali!$A$2:$A$5000,0))=INDEX(DB_malas!$B$2:$B$5000,MATCH(H314,DB_malas!$A$2:$A$5000,0)),$H314="ORG"),"✔",tulkojums!$A$38),tulkojums!$A$39),tulkojums!$A$39))</f>
        <v/>
      </c>
      <c r="Q314" s="2" t="str">
        <f>IF(ISBLANK(I314),"",IF(INDEX(DB_materiali!$E$2:$E$5000,MATCH($C314,DB_materiali!$A$2:$A$5000,0))&gt;=INDEX(DB_malas!$C$2:$C$5000,MATCH(I314,DB_malas!$A$2:$A$5000,0)),IF(INDEX(DB_materiali!$E$2:$E$5000,MATCH($C314,DB_materiali!$A$2:$A$5000,0))&lt;=INDEX(DB_malas!$D$2:$D$5000,MATCH(I314,DB_malas!$A$2:$A$5000,0)),IF(OR(INDEX(DB_materiali!$B$2:$B$5000,MATCH($C314,DB_materiali!$A$2:$A$5000,0))=INDEX(DB_malas!$B$2:$B$5000,MATCH(I314,DB_malas!$A$2:$A$5000,0)),$H314="ORG"),"✔",tulkojums!$A$38),tulkojums!$A$39),tulkojums!$A$39))</f>
        <v/>
      </c>
      <c r="R314" s="2" t="str">
        <f>IF(ISBLANK(J314),"",IF(INDEX(DB_materiali!$E$2:$E$5000,MATCH($C314,DB_materiali!$A$2:$A$5000,0))&gt;=INDEX(DB_malas!$C$2:$C$5000,MATCH(J314,DB_malas!$A$2:$A$5000,0)),IF(INDEX(DB_materiali!$E$2:$E$5000,MATCH($C314,DB_materiali!$A$2:$A$5000,0))&lt;=INDEX(DB_malas!$D$2:$D$5000,MATCH(J314,DB_malas!$A$2:$A$5000,0)),IF(INDEX(DB_materiali!$B$2:$B$5000,MATCH($C314,DB_materiali!$A$2:$A$5000,0))=INDEX(DB_malas!$B$2:$B$5000,MATCH(J314,DB_malas!$A$2:$A$5000,0)),"✔",tulkojums!$A$38),tulkojums!$A$39),tulkojums!$A$39))</f>
        <v/>
      </c>
      <c r="S314" s="2" t="str">
        <f>IF(ISBLANK(K314),"",IF(INDEX(DB_materiali!$E$2:$E$5000,MATCH($C314,DB_materiali!$A$2:$A$5000,0))&gt;=INDEX(DB_malas!$C$2:$C$5000,MATCH(K314,DB_malas!$A$2:$A$5000,0)),IF(INDEX(DB_materiali!$E$2:$E$5000,MATCH($C314,DB_materiali!$A$2:$A$5000,0))&lt;=INDEX(DB_malas!$D$2:$D$5000,MATCH(K314,DB_malas!$A$2:$A$5000,0)),IF(INDEX(DB_materiali!$B$2:$B$5000,MATCH($C314,DB_materiali!$A$2:$A$5000,0))=INDEX(DB_malas!$B$2:$B$5000,MATCH(K314,DB_malas!$A$2:$A$5000,0)),"✔",tulkojums!$A$38),tulkojums!$A$39),tulkojums!$A$39))</f>
        <v/>
      </c>
      <c r="T314" s="2"/>
      <c r="U314" s="2"/>
      <c r="V314" s="2"/>
      <c r="W314" s="2"/>
      <c r="X314" s="2"/>
      <c r="Y314" s="2"/>
      <c r="Z314" s="2"/>
    </row>
    <row r="315" spans="1:26" ht="15.75" customHeight="1">
      <c r="A315" s="17"/>
      <c r="B315" s="18"/>
      <c r="C315" s="19"/>
      <c r="D315" s="55"/>
      <c r="E315" s="55"/>
      <c r="F315" s="56"/>
      <c r="G315" s="57" t="str">
        <f>IF(ISBLANK(C315),"",
   IFERROR(
      IF(
         INDEX(DB_materiali!C$2:C$5000,
               MATCH(C315, DB_materiali!A$2:A$5000, 0)
         )="FALSE",
         "N",
         "Y"
      ),
   "")
)</f>
        <v/>
      </c>
      <c r="H315" s="20"/>
      <c r="I315" s="20"/>
      <c r="J315" s="20"/>
      <c r="K315" s="20"/>
      <c r="M315" s="2" t="str">
        <f>IF(ISBLANK(C315),"",IF(IFERROR(VLOOKUP(C315,DB_materiali!$A$2:$A$5000,1,FALSE),"Kļūda artikulā")=C315,"✔",tulkojums!A$42))</f>
        <v/>
      </c>
      <c r="N315" s="2" t="str">
        <f>IF(ISBLANK(C315),"",IF(ISNUMBER(F315)=TRUE,"✔",tulkojums!A$43))</f>
        <v/>
      </c>
      <c r="O315" s="2" t="str">
        <f>IF(ISBLANK(C315),"",IF(G315="Y","✔",IF(G315="X","✔",IF(G315="N","✔",tulkojums!A$44))))</f>
        <v/>
      </c>
      <c r="P315" s="2" t="str">
        <f>IF(ISBLANK(H315),"",IF(INDEX(DB_materiali!$E$2:$E$5000,MATCH($C315,DB_materiali!$A$2:$A$5000,0))&gt;=INDEX(DB_malas!$C$2:$C$5000,MATCH(H315,DB_malas!$A$2:$A$5000,0)),IF(INDEX(DB_materiali!$E$2:$E$5000,MATCH($C315,DB_materiali!$A$2:$A$5000,0))&lt;=INDEX(DB_malas!$D$2:$D$5000,MATCH(H315,DB_malas!$A$2:$A$5000,0)),IF(OR(INDEX(DB_materiali!$B$2:$B$5000,MATCH($C315,DB_materiali!$A$2:$A$5000,0))=INDEX(DB_malas!$B$2:$B$5000,MATCH(H315,DB_malas!$A$2:$A$5000,0)),$H315="ORG"),"✔",tulkojums!$A$38),tulkojums!$A$39),tulkojums!$A$39))</f>
        <v/>
      </c>
      <c r="Q315" s="2" t="str">
        <f>IF(ISBLANK(I315),"",IF(INDEX(DB_materiali!$E$2:$E$5000,MATCH($C315,DB_materiali!$A$2:$A$5000,0))&gt;=INDEX(DB_malas!$C$2:$C$5000,MATCH(I315,DB_malas!$A$2:$A$5000,0)),IF(INDEX(DB_materiali!$E$2:$E$5000,MATCH($C315,DB_materiali!$A$2:$A$5000,0))&lt;=INDEX(DB_malas!$D$2:$D$5000,MATCH(I315,DB_malas!$A$2:$A$5000,0)),IF(OR(INDEX(DB_materiali!$B$2:$B$5000,MATCH($C315,DB_materiali!$A$2:$A$5000,0))=INDEX(DB_malas!$B$2:$B$5000,MATCH(I315,DB_malas!$A$2:$A$5000,0)),$H315="ORG"),"✔",tulkojums!$A$38),tulkojums!$A$39),tulkojums!$A$39))</f>
        <v/>
      </c>
      <c r="R315" s="2" t="str">
        <f>IF(ISBLANK(J315),"",IF(INDEX(DB_materiali!$E$2:$E$5000,MATCH($C315,DB_materiali!$A$2:$A$5000,0))&gt;=INDEX(DB_malas!$C$2:$C$5000,MATCH(J315,DB_malas!$A$2:$A$5000,0)),IF(INDEX(DB_materiali!$E$2:$E$5000,MATCH($C315,DB_materiali!$A$2:$A$5000,0))&lt;=INDEX(DB_malas!$D$2:$D$5000,MATCH(J315,DB_malas!$A$2:$A$5000,0)),IF(INDEX(DB_materiali!$B$2:$B$5000,MATCH($C315,DB_materiali!$A$2:$A$5000,0))=INDEX(DB_malas!$B$2:$B$5000,MATCH(J315,DB_malas!$A$2:$A$5000,0)),"✔",tulkojums!$A$38),tulkojums!$A$39),tulkojums!$A$39))</f>
        <v/>
      </c>
      <c r="S315" s="2" t="str">
        <f>IF(ISBLANK(K315),"",IF(INDEX(DB_materiali!$E$2:$E$5000,MATCH($C315,DB_materiali!$A$2:$A$5000,0))&gt;=INDEX(DB_malas!$C$2:$C$5000,MATCH(K315,DB_malas!$A$2:$A$5000,0)),IF(INDEX(DB_materiali!$E$2:$E$5000,MATCH($C315,DB_materiali!$A$2:$A$5000,0))&lt;=INDEX(DB_malas!$D$2:$D$5000,MATCH(K315,DB_malas!$A$2:$A$5000,0)),IF(INDEX(DB_materiali!$B$2:$B$5000,MATCH($C315,DB_materiali!$A$2:$A$5000,0))=INDEX(DB_malas!$B$2:$B$5000,MATCH(K315,DB_malas!$A$2:$A$5000,0)),"✔",tulkojums!$A$38),tulkojums!$A$39),tulkojums!$A$39))</f>
        <v/>
      </c>
      <c r="T315" s="2"/>
      <c r="U315" s="2"/>
      <c r="V315" s="2"/>
      <c r="W315" s="2"/>
      <c r="X315" s="2"/>
      <c r="Y315" s="2"/>
      <c r="Z315" s="2"/>
    </row>
    <row r="316" spans="1:26" ht="15.75" customHeight="1">
      <c r="A316" s="17"/>
      <c r="B316" s="18"/>
      <c r="C316" s="19"/>
      <c r="D316" s="55"/>
      <c r="E316" s="55"/>
      <c r="F316" s="56"/>
      <c r="G316" s="57" t="str">
        <f>IF(ISBLANK(C316),"",
   IFERROR(
      IF(
         INDEX(DB_materiali!C$2:C$5000,
               MATCH(C316, DB_materiali!A$2:A$5000, 0)
         )="FALSE",
         "N",
         "Y"
      ),
   "")
)</f>
        <v/>
      </c>
      <c r="H316" s="20"/>
      <c r="I316" s="20"/>
      <c r="J316" s="20"/>
      <c r="K316" s="20"/>
      <c r="M316" s="2" t="str">
        <f>IF(ISBLANK(C316),"",IF(IFERROR(VLOOKUP(C316,DB_materiali!$A$2:$A$5000,1,FALSE),"Kļūda artikulā")=C316,"✔",tulkojums!A$42))</f>
        <v/>
      </c>
      <c r="N316" s="2" t="str">
        <f>IF(ISBLANK(C316),"",IF(ISNUMBER(F316)=TRUE,"✔",tulkojums!A$43))</f>
        <v/>
      </c>
      <c r="O316" s="2" t="str">
        <f>IF(ISBLANK(C316),"",IF(G316="Y","✔",IF(G316="X","✔",IF(G316="N","✔",tulkojums!A$44))))</f>
        <v/>
      </c>
      <c r="P316" s="2" t="str">
        <f>IF(ISBLANK(H316),"",IF(INDEX(DB_materiali!$E$2:$E$5000,MATCH($C316,DB_materiali!$A$2:$A$5000,0))&gt;=INDEX(DB_malas!$C$2:$C$5000,MATCH(H316,DB_malas!$A$2:$A$5000,0)),IF(INDEX(DB_materiali!$E$2:$E$5000,MATCH($C316,DB_materiali!$A$2:$A$5000,0))&lt;=INDEX(DB_malas!$D$2:$D$5000,MATCH(H316,DB_malas!$A$2:$A$5000,0)),IF(OR(INDEX(DB_materiali!$B$2:$B$5000,MATCH($C316,DB_materiali!$A$2:$A$5000,0))=INDEX(DB_malas!$B$2:$B$5000,MATCH(H316,DB_malas!$A$2:$A$5000,0)),$H316="ORG"),"✔",tulkojums!$A$38),tulkojums!$A$39),tulkojums!$A$39))</f>
        <v/>
      </c>
      <c r="Q316" s="2" t="str">
        <f>IF(ISBLANK(I316),"",IF(INDEX(DB_materiali!$E$2:$E$5000,MATCH($C316,DB_materiali!$A$2:$A$5000,0))&gt;=INDEX(DB_malas!$C$2:$C$5000,MATCH(I316,DB_malas!$A$2:$A$5000,0)),IF(INDEX(DB_materiali!$E$2:$E$5000,MATCH($C316,DB_materiali!$A$2:$A$5000,0))&lt;=INDEX(DB_malas!$D$2:$D$5000,MATCH(I316,DB_malas!$A$2:$A$5000,0)),IF(OR(INDEX(DB_materiali!$B$2:$B$5000,MATCH($C316,DB_materiali!$A$2:$A$5000,0))=INDEX(DB_malas!$B$2:$B$5000,MATCH(I316,DB_malas!$A$2:$A$5000,0)),$H316="ORG"),"✔",tulkojums!$A$38),tulkojums!$A$39),tulkojums!$A$39))</f>
        <v/>
      </c>
      <c r="R316" s="2" t="str">
        <f>IF(ISBLANK(J316),"",IF(INDEX(DB_materiali!$E$2:$E$5000,MATCH($C316,DB_materiali!$A$2:$A$5000,0))&gt;=INDEX(DB_malas!$C$2:$C$5000,MATCH(J316,DB_malas!$A$2:$A$5000,0)),IF(INDEX(DB_materiali!$E$2:$E$5000,MATCH($C316,DB_materiali!$A$2:$A$5000,0))&lt;=INDEX(DB_malas!$D$2:$D$5000,MATCH(J316,DB_malas!$A$2:$A$5000,0)),IF(INDEX(DB_materiali!$B$2:$B$5000,MATCH($C316,DB_materiali!$A$2:$A$5000,0))=INDEX(DB_malas!$B$2:$B$5000,MATCH(J316,DB_malas!$A$2:$A$5000,0)),"✔",tulkojums!$A$38),tulkojums!$A$39),tulkojums!$A$39))</f>
        <v/>
      </c>
      <c r="S316" s="2" t="str">
        <f>IF(ISBLANK(K316),"",IF(INDEX(DB_materiali!$E$2:$E$5000,MATCH($C316,DB_materiali!$A$2:$A$5000,0))&gt;=INDEX(DB_malas!$C$2:$C$5000,MATCH(K316,DB_malas!$A$2:$A$5000,0)),IF(INDEX(DB_materiali!$E$2:$E$5000,MATCH($C316,DB_materiali!$A$2:$A$5000,0))&lt;=INDEX(DB_malas!$D$2:$D$5000,MATCH(K316,DB_malas!$A$2:$A$5000,0)),IF(INDEX(DB_materiali!$B$2:$B$5000,MATCH($C316,DB_materiali!$A$2:$A$5000,0))=INDEX(DB_malas!$B$2:$B$5000,MATCH(K316,DB_malas!$A$2:$A$5000,0)),"✔",tulkojums!$A$38),tulkojums!$A$39),tulkojums!$A$39))</f>
        <v/>
      </c>
      <c r="T316" s="2"/>
      <c r="U316" s="2"/>
      <c r="V316" s="2"/>
      <c r="W316" s="2"/>
      <c r="X316" s="2"/>
      <c r="Y316" s="2"/>
      <c r="Z316" s="2"/>
    </row>
    <row r="317" spans="1:26" ht="15.75" customHeight="1">
      <c r="A317" s="17"/>
      <c r="B317" s="18"/>
      <c r="C317" s="19"/>
      <c r="D317" s="55"/>
      <c r="E317" s="55"/>
      <c r="F317" s="56"/>
      <c r="G317" s="57" t="str">
        <f>IF(ISBLANK(C317),"",
   IFERROR(
      IF(
         INDEX(DB_materiali!C$2:C$5000,
               MATCH(C317, DB_materiali!A$2:A$5000, 0)
         )="FALSE",
         "N",
         "Y"
      ),
   "")
)</f>
        <v/>
      </c>
      <c r="H317" s="20"/>
      <c r="I317" s="20"/>
      <c r="J317" s="20"/>
      <c r="K317" s="20"/>
      <c r="M317" s="2" t="str">
        <f>IF(ISBLANK(C317),"",IF(IFERROR(VLOOKUP(C317,DB_materiali!$A$2:$A$5000,1,FALSE),"Kļūda artikulā")=C317,"✔",tulkojums!A$42))</f>
        <v/>
      </c>
      <c r="N317" s="2" t="str">
        <f>IF(ISBLANK(C317),"",IF(ISNUMBER(F317)=TRUE,"✔",tulkojums!A$43))</f>
        <v/>
      </c>
      <c r="O317" s="2" t="str">
        <f>IF(ISBLANK(C317),"",IF(G317="Y","✔",IF(G317="X","✔",IF(G317="N","✔",tulkojums!A$44))))</f>
        <v/>
      </c>
      <c r="P317" s="2" t="str">
        <f>IF(ISBLANK(H317),"",IF(INDEX(DB_materiali!$E$2:$E$5000,MATCH($C317,DB_materiali!$A$2:$A$5000,0))&gt;=INDEX(DB_malas!$C$2:$C$5000,MATCH(H317,DB_malas!$A$2:$A$5000,0)),IF(INDEX(DB_materiali!$E$2:$E$5000,MATCH($C317,DB_materiali!$A$2:$A$5000,0))&lt;=INDEX(DB_malas!$D$2:$D$5000,MATCH(H317,DB_malas!$A$2:$A$5000,0)),IF(OR(INDEX(DB_materiali!$B$2:$B$5000,MATCH($C317,DB_materiali!$A$2:$A$5000,0))=INDEX(DB_malas!$B$2:$B$5000,MATCH(H317,DB_malas!$A$2:$A$5000,0)),$H317="ORG"),"✔",tulkojums!$A$38),tulkojums!$A$39),tulkojums!$A$39))</f>
        <v/>
      </c>
      <c r="Q317" s="2" t="str">
        <f>IF(ISBLANK(I317),"",IF(INDEX(DB_materiali!$E$2:$E$5000,MATCH($C317,DB_materiali!$A$2:$A$5000,0))&gt;=INDEX(DB_malas!$C$2:$C$5000,MATCH(I317,DB_malas!$A$2:$A$5000,0)),IF(INDEX(DB_materiali!$E$2:$E$5000,MATCH($C317,DB_materiali!$A$2:$A$5000,0))&lt;=INDEX(DB_malas!$D$2:$D$5000,MATCH(I317,DB_malas!$A$2:$A$5000,0)),IF(OR(INDEX(DB_materiali!$B$2:$B$5000,MATCH($C317,DB_materiali!$A$2:$A$5000,0))=INDEX(DB_malas!$B$2:$B$5000,MATCH(I317,DB_malas!$A$2:$A$5000,0)),$H317="ORG"),"✔",tulkojums!$A$38),tulkojums!$A$39),tulkojums!$A$39))</f>
        <v/>
      </c>
      <c r="R317" s="2" t="str">
        <f>IF(ISBLANK(J317),"",IF(INDEX(DB_materiali!$E$2:$E$5000,MATCH($C317,DB_materiali!$A$2:$A$5000,0))&gt;=INDEX(DB_malas!$C$2:$C$5000,MATCH(J317,DB_malas!$A$2:$A$5000,0)),IF(INDEX(DB_materiali!$E$2:$E$5000,MATCH($C317,DB_materiali!$A$2:$A$5000,0))&lt;=INDEX(DB_malas!$D$2:$D$5000,MATCH(J317,DB_malas!$A$2:$A$5000,0)),IF(INDEX(DB_materiali!$B$2:$B$5000,MATCH($C317,DB_materiali!$A$2:$A$5000,0))=INDEX(DB_malas!$B$2:$B$5000,MATCH(J317,DB_malas!$A$2:$A$5000,0)),"✔",tulkojums!$A$38),tulkojums!$A$39),tulkojums!$A$39))</f>
        <v/>
      </c>
      <c r="S317" s="2" t="str">
        <f>IF(ISBLANK(K317),"",IF(INDEX(DB_materiali!$E$2:$E$5000,MATCH($C317,DB_materiali!$A$2:$A$5000,0))&gt;=INDEX(DB_malas!$C$2:$C$5000,MATCH(K317,DB_malas!$A$2:$A$5000,0)),IF(INDEX(DB_materiali!$E$2:$E$5000,MATCH($C317,DB_materiali!$A$2:$A$5000,0))&lt;=INDEX(DB_malas!$D$2:$D$5000,MATCH(K317,DB_malas!$A$2:$A$5000,0)),IF(INDEX(DB_materiali!$B$2:$B$5000,MATCH($C317,DB_materiali!$A$2:$A$5000,0))=INDEX(DB_malas!$B$2:$B$5000,MATCH(K317,DB_malas!$A$2:$A$5000,0)),"✔",tulkojums!$A$38),tulkojums!$A$39),tulkojums!$A$39))</f>
        <v/>
      </c>
      <c r="T317" s="2"/>
      <c r="U317" s="2"/>
      <c r="V317" s="2"/>
      <c r="W317" s="2"/>
      <c r="X317" s="2"/>
      <c r="Y317" s="2"/>
      <c r="Z317" s="2"/>
    </row>
    <row r="318" spans="1:26" ht="15.75" customHeight="1">
      <c r="A318" s="17"/>
      <c r="B318" s="18"/>
      <c r="C318" s="19"/>
      <c r="D318" s="55"/>
      <c r="E318" s="55"/>
      <c r="F318" s="56"/>
      <c r="G318" s="57" t="str">
        <f>IF(ISBLANK(C318),"",
   IFERROR(
      IF(
         INDEX(DB_materiali!C$2:C$5000,
               MATCH(C318, DB_materiali!A$2:A$5000, 0)
         )="FALSE",
         "N",
         "Y"
      ),
   "")
)</f>
        <v/>
      </c>
      <c r="H318" s="20"/>
      <c r="I318" s="20"/>
      <c r="J318" s="20"/>
      <c r="K318" s="20"/>
      <c r="M318" s="2" t="str">
        <f>IF(ISBLANK(C318),"",IF(IFERROR(VLOOKUP(C318,DB_materiali!$A$2:$A$5000,1,FALSE),"Kļūda artikulā")=C318,"✔",tulkojums!A$42))</f>
        <v/>
      </c>
      <c r="N318" s="2" t="str">
        <f>IF(ISBLANK(C318),"",IF(ISNUMBER(F318)=TRUE,"✔",tulkojums!A$43))</f>
        <v/>
      </c>
      <c r="O318" s="2" t="str">
        <f>IF(ISBLANK(C318),"",IF(G318="Y","✔",IF(G318="X","✔",IF(G318="N","✔",tulkojums!A$44))))</f>
        <v/>
      </c>
      <c r="P318" s="2" t="str">
        <f>IF(ISBLANK(H318),"",IF(INDEX(DB_materiali!$E$2:$E$5000,MATCH($C318,DB_materiali!$A$2:$A$5000,0))&gt;=INDEX(DB_malas!$C$2:$C$5000,MATCH(H318,DB_malas!$A$2:$A$5000,0)),IF(INDEX(DB_materiali!$E$2:$E$5000,MATCH($C318,DB_materiali!$A$2:$A$5000,0))&lt;=INDEX(DB_malas!$D$2:$D$5000,MATCH(H318,DB_malas!$A$2:$A$5000,0)),IF(OR(INDEX(DB_materiali!$B$2:$B$5000,MATCH($C318,DB_materiali!$A$2:$A$5000,0))=INDEX(DB_malas!$B$2:$B$5000,MATCH(H318,DB_malas!$A$2:$A$5000,0)),$H318="ORG"),"✔",tulkojums!$A$38),tulkojums!$A$39),tulkojums!$A$39))</f>
        <v/>
      </c>
      <c r="Q318" s="2" t="str">
        <f>IF(ISBLANK(I318),"",IF(INDEX(DB_materiali!$E$2:$E$5000,MATCH($C318,DB_materiali!$A$2:$A$5000,0))&gt;=INDEX(DB_malas!$C$2:$C$5000,MATCH(I318,DB_malas!$A$2:$A$5000,0)),IF(INDEX(DB_materiali!$E$2:$E$5000,MATCH($C318,DB_materiali!$A$2:$A$5000,0))&lt;=INDEX(DB_malas!$D$2:$D$5000,MATCH(I318,DB_malas!$A$2:$A$5000,0)),IF(OR(INDEX(DB_materiali!$B$2:$B$5000,MATCH($C318,DB_materiali!$A$2:$A$5000,0))=INDEX(DB_malas!$B$2:$B$5000,MATCH(I318,DB_malas!$A$2:$A$5000,0)),$H318="ORG"),"✔",tulkojums!$A$38),tulkojums!$A$39),tulkojums!$A$39))</f>
        <v/>
      </c>
      <c r="R318" s="2" t="str">
        <f>IF(ISBLANK(J318),"",IF(INDEX(DB_materiali!$E$2:$E$5000,MATCH($C318,DB_materiali!$A$2:$A$5000,0))&gt;=INDEX(DB_malas!$C$2:$C$5000,MATCH(J318,DB_malas!$A$2:$A$5000,0)),IF(INDEX(DB_materiali!$E$2:$E$5000,MATCH($C318,DB_materiali!$A$2:$A$5000,0))&lt;=INDEX(DB_malas!$D$2:$D$5000,MATCH(J318,DB_malas!$A$2:$A$5000,0)),IF(INDEX(DB_materiali!$B$2:$B$5000,MATCH($C318,DB_materiali!$A$2:$A$5000,0))=INDEX(DB_malas!$B$2:$B$5000,MATCH(J318,DB_malas!$A$2:$A$5000,0)),"✔",tulkojums!$A$38),tulkojums!$A$39),tulkojums!$A$39))</f>
        <v/>
      </c>
      <c r="S318" s="2" t="str">
        <f>IF(ISBLANK(K318),"",IF(INDEX(DB_materiali!$E$2:$E$5000,MATCH($C318,DB_materiali!$A$2:$A$5000,0))&gt;=INDEX(DB_malas!$C$2:$C$5000,MATCH(K318,DB_malas!$A$2:$A$5000,0)),IF(INDEX(DB_materiali!$E$2:$E$5000,MATCH($C318,DB_materiali!$A$2:$A$5000,0))&lt;=INDEX(DB_malas!$D$2:$D$5000,MATCH(K318,DB_malas!$A$2:$A$5000,0)),IF(INDEX(DB_materiali!$B$2:$B$5000,MATCH($C318,DB_materiali!$A$2:$A$5000,0))=INDEX(DB_malas!$B$2:$B$5000,MATCH(K318,DB_malas!$A$2:$A$5000,0)),"✔",tulkojums!$A$38),tulkojums!$A$39),tulkojums!$A$39))</f>
        <v/>
      </c>
      <c r="T318" s="2"/>
      <c r="U318" s="2"/>
      <c r="V318" s="2"/>
      <c r="W318" s="2"/>
      <c r="X318" s="2"/>
      <c r="Y318" s="2"/>
      <c r="Z318" s="2"/>
    </row>
    <row r="319" spans="1:26" ht="15.75" customHeight="1">
      <c r="A319" s="17"/>
      <c r="B319" s="18"/>
      <c r="C319" s="19"/>
      <c r="D319" s="55"/>
      <c r="E319" s="55"/>
      <c r="F319" s="56"/>
      <c r="G319" s="57" t="str">
        <f>IF(ISBLANK(C319),"",
   IFERROR(
      IF(
         INDEX(DB_materiali!C$2:C$5000,
               MATCH(C319, DB_materiali!A$2:A$5000, 0)
         )="FALSE",
         "N",
         "Y"
      ),
   "")
)</f>
        <v/>
      </c>
      <c r="H319" s="20"/>
      <c r="I319" s="20"/>
      <c r="J319" s="20"/>
      <c r="K319" s="20"/>
      <c r="M319" s="2" t="str">
        <f>IF(ISBLANK(C319),"",IF(IFERROR(VLOOKUP(C319,DB_materiali!$A$2:$A$5000,1,FALSE),"Kļūda artikulā")=C319,"✔",tulkojums!A$42))</f>
        <v/>
      </c>
      <c r="N319" s="2" t="str">
        <f>IF(ISBLANK(C319),"",IF(ISNUMBER(F319)=TRUE,"✔",tulkojums!A$43))</f>
        <v/>
      </c>
      <c r="O319" s="2" t="str">
        <f>IF(ISBLANK(C319),"",IF(G319="Y","✔",IF(G319="X","✔",IF(G319="N","✔",tulkojums!A$44))))</f>
        <v/>
      </c>
      <c r="P319" s="2" t="str">
        <f>IF(ISBLANK(H319),"",IF(INDEX(DB_materiali!$E$2:$E$5000,MATCH($C319,DB_materiali!$A$2:$A$5000,0))&gt;=INDEX(DB_malas!$C$2:$C$5000,MATCH(H319,DB_malas!$A$2:$A$5000,0)),IF(INDEX(DB_materiali!$E$2:$E$5000,MATCH($C319,DB_materiali!$A$2:$A$5000,0))&lt;=INDEX(DB_malas!$D$2:$D$5000,MATCH(H319,DB_malas!$A$2:$A$5000,0)),IF(OR(INDEX(DB_materiali!$B$2:$B$5000,MATCH($C319,DB_materiali!$A$2:$A$5000,0))=INDEX(DB_malas!$B$2:$B$5000,MATCH(H319,DB_malas!$A$2:$A$5000,0)),$H319="ORG"),"✔",tulkojums!$A$38),tulkojums!$A$39),tulkojums!$A$39))</f>
        <v/>
      </c>
      <c r="Q319" s="2" t="str">
        <f>IF(ISBLANK(I319),"",IF(INDEX(DB_materiali!$E$2:$E$5000,MATCH($C319,DB_materiali!$A$2:$A$5000,0))&gt;=INDEX(DB_malas!$C$2:$C$5000,MATCH(I319,DB_malas!$A$2:$A$5000,0)),IF(INDEX(DB_materiali!$E$2:$E$5000,MATCH($C319,DB_materiali!$A$2:$A$5000,0))&lt;=INDEX(DB_malas!$D$2:$D$5000,MATCH(I319,DB_malas!$A$2:$A$5000,0)),IF(OR(INDEX(DB_materiali!$B$2:$B$5000,MATCH($C319,DB_materiali!$A$2:$A$5000,0))=INDEX(DB_malas!$B$2:$B$5000,MATCH(I319,DB_malas!$A$2:$A$5000,0)),$H319="ORG"),"✔",tulkojums!$A$38),tulkojums!$A$39),tulkojums!$A$39))</f>
        <v/>
      </c>
      <c r="R319" s="2" t="str">
        <f>IF(ISBLANK(J319),"",IF(INDEX(DB_materiali!$E$2:$E$5000,MATCH($C319,DB_materiali!$A$2:$A$5000,0))&gt;=INDEX(DB_malas!$C$2:$C$5000,MATCH(J319,DB_malas!$A$2:$A$5000,0)),IF(INDEX(DB_materiali!$E$2:$E$5000,MATCH($C319,DB_materiali!$A$2:$A$5000,0))&lt;=INDEX(DB_malas!$D$2:$D$5000,MATCH(J319,DB_malas!$A$2:$A$5000,0)),IF(INDEX(DB_materiali!$B$2:$B$5000,MATCH($C319,DB_materiali!$A$2:$A$5000,0))=INDEX(DB_malas!$B$2:$B$5000,MATCH(J319,DB_malas!$A$2:$A$5000,0)),"✔",tulkojums!$A$38),tulkojums!$A$39),tulkojums!$A$39))</f>
        <v/>
      </c>
      <c r="S319" s="2" t="str">
        <f>IF(ISBLANK(K319),"",IF(INDEX(DB_materiali!$E$2:$E$5000,MATCH($C319,DB_materiali!$A$2:$A$5000,0))&gt;=INDEX(DB_malas!$C$2:$C$5000,MATCH(K319,DB_malas!$A$2:$A$5000,0)),IF(INDEX(DB_materiali!$E$2:$E$5000,MATCH($C319,DB_materiali!$A$2:$A$5000,0))&lt;=INDEX(DB_malas!$D$2:$D$5000,MATCH(K319,DB_malas!$A$2:$A$5000,0)),IF(INDEX(DB_materiali!$B$2:$B$5000,MATCH($C319,DB_materiali!$A$2:$A$5000,0))=INDEX(DB_malas!$B$2:$B$5000,MATCH(K319,DB_malas!$A$2:$A$5000,0)),"✔",tulkojums!$A$38),tulkojums!$A$39),tulkojums!$A$39))</f>
        <v/>
      </c>
      <c r="T319" s="2"/>
      <c r="U319" s="2"/>
      <c r="V319" s="2"/>
      <c r="W319" s="2"/>
      <c r="X319" s="2"/>
      <c r="Y319" s="2"/>
      <c r="Z319" s="2"/>
    </row>
    <row r="320" spans="1:26" ht="15.75" customHeight="1">
      <c r="A320" s="17"/>
      <c r="B320" s="18"/>
      <c r="C320" s="19"/>
      <c r="D320" s="55"/>
      <c r="E320" s="55"/>
      <c r="F320" s="56"/>
      <c r="G320" s="57" t="str">
        <f>IF(ISBLANK(C320),"",
   IFERROR(
      IF(
         INDEX(DB_materiali!C$2:C$5000,
               MATCH(C320, DB_materiali!A$2:A$5000, 0)
         )="FALSE",
         "N",
         "Y"
      ),
   "")
)</f>
        <v/>
      </c>
      <c r="H320" s="20"/>
      <c r="I320" s="20"/>
      <c r="J320" s="20"/>
      <c r="K320" s="20"/>
      <c r="M320" s="2" t="str">
        <f>IF(ISBLANK(C320),"",IF(IFERROR(VLOOKUP(C320,DB_materiali!$A$2:$A$5000,1,FALSE),"Kļūda artikulā")=C320,"✔",tulkojums!A$42))</f>
        <v/>
      </c>
      <c r="N320" s="2" t="str">
        <f>IF(ISBLANK(C320),"",IF(ISNUMBER(F320)=TRUE,"✔",tulkojums!A$43))</f>
        <v/>
      </c>
      <c r="O320" s="2" t="str">
        <f>IF(ISBLANK(C320),"",IF(G320="Y","✔",IF(G320="X","✔",IF(G320="N","✔",tulkojums!A$44))))</f>
        <v/>
      </c>
      <c r="P320" s="2" t="str">
        <f>IF(ISBLANK(H320),"",IF(INDEX(DB_materiali!$E$2:$E$5000,MATCH($C320,DB_materiali!$A$2:$A$5000,0))&gt;=INDEX(DB_malas!$C$2:$C$5000,MATCH(H320,DB_malas!$A$2:$A$5000,0)),IF(INDEX(DB_materiali!$E$2:$E$5000,MATCH($C320,DB_materiali!$A$2:$A$5000,0))&lt;=INDEX(DB_malas!$D$2:$D$5000,MATCH(H320,DB_malas!$A$2:$A$5000,0)),IF(OR(INDEX(DB_materiali!$B$2:$B$5000,MATCH($C320,DB_materiali!$A$2:$A$5000,0))=INDEX(DB_malas!$B$2:$B$5000,MATCH(H320,DB_malas!$A$2:$A$5000,0)),$H320="ORG"),"✔",tulkojums!$A$38),tulkojums!$A$39),tulkojums!$A$39))</f>
        <v/>
      </c>
      <c r="Q320" s="2" t="str">
        <f>IF(ISBLANK(I320),"",IF(INDEX(DB_materiali!$E$2:$E$5000,MATCH($C320,DB_materiali!$A$2:$A$5000,0))&gt;=INDEX(DB_malas!$C$2:$C$5000,MATCH(I320,DB_malas!$A$2:$A$5000,0)),IF(INDEX(DB_materiali!$E$2:$E$5000,MATCH($C320,DB_materiali!$A$2:$A$5000,0))&lt;=INDEX(DB_malas!$D$2:$D$5000,MATCH(I320,DB_malas!$A$2:$A$5000,0)),IF(OR(INDEX(DB_materiali!$B$2:$B$5000,MATCH($C320,DB_materiali!$A$2:$A$5000,0))=INDEX(DB_malas!$B$2:$B$5000,MATCH(I320,DB_malas!$A$2:$A$5000,0)),$H320="ORG"),"✔",tulkojums!$A$38),tulkojums!$A$39),tulkojums!$A$39))</f>
        <v/>
      </c>
      <c r="R320" s="2" t="str">
        <f>IF(ISBLANK(J320),"",IF(INDEX(DB_materiali!$E$2:$E$5000,MATCH($C320,DB_materiali!$A$2:$A$5000,0))&gt;=INDEX(DB_malas!$C$2:$C$5000,MATCH(J320,DB_malas!$A$2:$A$5000,0)),IF(INDEX(DB_materiali!$E$2:$E$5000,MATCH($C320,DB_materiali!$A$2:$A$5000,0))&lt;=INDEX(DB_malas!$D$2:$D$5000,MATCH(J320,DB_malas!$A$2:$A$5000,0)),IF(INDEX(DB_materiali!$B$2:$B$5000,MATCH($C320,DB_materiali!$A$2:$A$5000,0))=INDEX(DB_malas!$B$2:$B$5000,MATCH(J320,DB_malas!$A$2:$A$5000,0)),"✔",tulkojums!$A$38),tulkojums!$A$39),tulkojums!$A$39))</f>
        <v/>
      </c>
      <c r="S320" s="2" t="str">
        <f>IF(ISBLANK(K320),"",IF(INDEX(DB_materiali!$E$2:$E$5000,MATCH($C320,DB_materiali!$A$2:$A$5000,0))&gt;=INDEX(DB_malas!$C$2:$C$5000,MATCH(K320,DB_malas!$A$2:$A$5000,0)),IF(INDEX(DB_materiali!$E$2:$E$5000,MATCH($C320,DB_materiali!$A$2:$A$5000,0))&lt;=INDEX(DB_malas!$D$2:$D$5000,MATCH(K320,DB_malas!$A$2:$A$5000,0)),IF(INDEX(DB_materiali!$B$2:$B$5000,MATCH($C320,DB_materiali!$A$2:$A$5000,0))=INDEX(DB_malas!$B$2:$B$5000,MATCH(K320,DB_malas!$A$2:$A$5000,0)),"✔",tulkojums!$A$38),tulkojums!$A$39),tulkojums!$A$39))</f>
        <v/>
      </c>
      <c r="T320" s="2"/>
      <c r="U320" s="2"/>
      <c r="V320" s="2"/>
      <c r="W320" s="2"/>
      <c r="X320" s="2"/>
      <c r="Y320" s="2"/>
      <c r="Z320" s="2"/>
    </row>
    <row r="321" spans="1:26" ht="15.75" customHeight="1">
      <c r="A321" s="17"/>
      <c r="B321" s="18"/>
      <c r="C321" s="19"/>
      <c r="D321" s="55"/>
      <c r="E321" s="55"/>
      <c r="F321" s="56"/>
      <c r="G321" s="57" t="str">
        <f>IF(ISBLANK(C321),"",
   IFERROR(
      IF(
         INDEX(DB_materiali!C$2:C$5000,
               MATCH(C321, DB_materiali!A$2:A$5000, 0)
         )="FALSE",
         "N",
         "Y"
      ),
   "")
)</f>
        <v/>
      </c>
      <c r="H321" s="20"/>
      <c r="I321" s="20"/>
      <c r="J321" s="20"/>
      <c r="K321" s="20"/>
      <c r="M321" s="2" t="str">
        <f>IF(ISBLANK(C321),"",IF(IFERROR(VLOOKUP(C321,DB_materiali!$A$2:$A$5000,1,FALSE),"Kļūda artikulā")=C321,"✔",tulkojums!A$42))</f>
        <v/>
      </c>
      <c r="N321" s="2" t="str">
        <f>IF(ISBLANK(C321),"",IF(ISNUMBER(F321)=TRUE,"✔",tulkojums!A$43))</f>
        <v/>
      </c>
      <c r="O321" s="2" t="str">
        <f>IF(ISBLANK(C321),"",IF(G321="Y","✔",IF(G321="X","✔",IF(G321="N","✔",tulkojums!A$44))))</f>
        <v/>
      </c>
      <c r="P321" s="2" t="str">
        <f>IF(ISBLANK(H321),"",IF(INDEX(DB_materiali!$E$2:$E$5000,MATCH($C321,DB_materiali!$A$2:$A$5000,0))&gt;=INDEX(DB_malas!$C$2:$C$5000,MATCH(H321,DB_malas!$A$2:$A$5000,0)),IF(INDEX(DB_materiali!$E$2:$E$5000,MATCH($C321,DB_materiali!$A$2:$A$5000,0))&lt;=INDEX(DB_malas!$D$2:$D$5000,MATCH(H321,DB_malas!$A$2:$A$5000,0)),IF(OR(INDEX(DB_materiali!$B$2:$B$5000,MATCH($C321,DB_materiali!$A$2:$A$5000,0))=INDEX(DB_malas!$B$2:$B$5000,MATCH(H321,DB_malas!$A$2:$A$5000,0)),$H321="ORG"),"✔",tulkojums!$A$38),tulkojums!$A$39),tulkojums!$A$39))</f>
        <v/>
      </c>
      <c r="Q321" s="2" t="str">
        <f>IF(ISBLANK(I321),"",IF(INDEX(DB_materiali!$E$2:$E$5000,MATCH($C321,DB_materiali!$A$2:$A$5000,0))&gt;=INDEX(DB_malas!$C$2:$C$5000,MATCH(I321,DB_malas!$A$2:$A$5000,0)),IF(INDEX(DB_materiali!$E$2:$E$5000,MATCH($C321,DB_materiali!$A$2:$A$5000,0))&lt;=INDEX(DB_malas!$D$2:$D$5000,MATCH(I321,DB_malas!$A$2:$A$5000,0)),IF(OR(INDEX(DB_materiali!$B$2:$B$5000,MATCH($C321,DB_materiali!$A$2:$A$5000,0))=INDEX(DB_malas!$B$2:$B$5000,MATCH(I321,DB_malas!$A$2:$A$5000,0)),$H321="ORG"),"✔",tulkojums!$A$38),tulkojums!$A$39),tulkojums!$A$39))</f>
        <v/>
      </c>
      <c r="R321" s="2" t="str">
        <f>IF(ISBLANK(J321),"",IF(INDEX(DB_materiali!$E$2:$E$5000,MATCH($C321,DB_materiali!$A$2:$A$5000,0))&gt;=INDEX(DB_malas!$C$2:$C$5000,MATCH(J321,DB_malas!$A$2:$A$5000,0)),IF(INDEX(DB_materiali!$E$2:$E$5000,MATCH($C321,DB_materiali!$A$2:$A$5000,0))&lt;=INDEX(DB_malas!$D$2:$D$5000,MATCH(J321,DB_malas!$A$2:$A$5000,0)),IF(INDEX(DB_materiali!$B$2:$B$5000,MATCH($C321,DB_materiali!$A$2:$A$5000,0))=INDEX(DB_malas!$B$2:$B$5000,MATCH(J321,DB_malas!$A$2:$A$5000,0)),"✔",tulkojums!$A$38),tulkojums!$A$39),tulkojums!$A$39))</f>
        <v/>
      </c>
      <c r="S321" s="2" t="str">
        <f>IF(ISBLANK(K321),"",IF(INDEX(DB_materiali!$E$2:$E$5000,MATCH($C321,DB_materiali!$A$2:$A$5000,0))&gt;=INDEX(DB_malas!$C$2:$C$5000,MATCH(K321,DB_malas!$A$2:$A$5000,0)),IF(INDEX(DB_materiali!$E$2:$E$5000,MATCH($C321,DB_materiali!$A$2:$A$5000,0))&lt;=INDEX(DB_malas!$D$2:$D$5000,MATCH(K321,DB_malas!$A$2:$A$5000,0)),IF(INDEX(DB_materiali!$B$2:$B$5000,MATCH($C321,DB_materiali!$A$2:$A$5000,0))=INDEX(DB_malas!$B$2:$B$5000,MATCH(K321,DB_malas!$A$2:$A$5000,0)),"✔",tulkojums!$A$38),tulkojums!$A$39),tulkojums!$A$39))</f>
        <v/>
      </c>
      <c r="T321" s="2"/>
      <c r="U321" s="2"/>
      <c r="V321" s="2"/>
      <c r="W321" s="2"/>
      <c r="X321" s="2"/>
      <c r="Y321" s="2"/>
      <c r="Z321" s="2"/>
    </row>
    <row r="322" spans="1:26" ht="15.75" customHeight="1">
      <c r="A322" s="17"/>
      <c r="B322" s="18"/>
      <c r="C322" s="19"/>
      <c r="D322" s="55"/>
      <c r="E322" s="55"/>
      <c r="F322" s="56"/>
      <c r="G322" s="57" t="str">
        <f>IF(ISBLANK(C322),"",
   IFERROR(
      IF(
         INDEX(DB_materiali!C$2:C$5000,
               MATCH(C322, DB_materiali!A$2:A$5000, 0)
         )="FALSE",
         "N",
         "Y"
      ),
   "")
)</f>
        <v/>
      </c>
      <c r="H322" s="20"/>
      <c r="I322" s="20"/>
      <c r="J322" s="20"/>
      <c r="K322" s="20"/>
      <c r="M322" s="2" t="str">
        <f>IF(ISBLANK(C322),"",IF(IFERROR(VLOOKUP(C322,DB_materiali!$A$2:$A$5000,1,FALSE),"Kļūda artikulā")=C322,"✔",tulkojums!A$42))</f>
        <v/>
      </c>
      <c r="N322" s="2" t="str">
        <f>IF(ISBLANK(C322),"",IF(ISNUMBER(F322)=TRUE,"✔",tulkojums!A$43))</f>
        <v/>
      </c>
      <c r="O322" s="2" t="str">
        <f>IF(ISBLANK(C322),"",IF(G322="Y","✔",IF(G322="X","✔",IF(G322="N","✔",tulkojums!A$44))))</f>
        <v/>
      </c>
      <c r="P322" s="2" t="str">
        <f>IF(ISBLANK(H322),"",IF(INDEX(DB_materiali!$E$2:$E$5000,MATCH($C322,DB_materiali!$A$2:$A$5000,0))&gt;=INDEX(DB_malas!$C$2:$C$5000,MATCH(H322,DB_malas!$A$2:$A$5000,0)),IF(INDEX(DB_materiali!$E$2:$E$5000,MATCH($C322,DB_materiali!$A$2:$A$5000,0))&lt;=INDEX(DB_malas!$D$2:$D$5000,MATCH(H322,DB_malas!$A$2:$A$5000,0)),IF(OR(INDEX(DB_materiali!$B$2:$B$5000,MATCH($C322,DB_materiali!$A$2:$A$5000,0))=INDEX(DB_malas!$B$2:$B$5000,MATCH(H322,DB_malas!$A$2:$A$5000,0)),$H322="ORG"),"✔",tulkojums!$A$38),tulkojums!$A$39),tulkojums!$A$39))</f>
        <v/>
      </c>
      <c r="Q322" s="2" t="str">
        <f>IF(ISBLANK(I322),"",IF(INDEX(DB_materiali!$E$2:$E$5000,MATCH($C322,DB_materiali!$A$2:$A$5000,0))&gt;=INDEX(DB_malas!$C$2:$C$5000,MATCH(I322,DB_malas!$A$2:$A$5000,0)),IF(INDEX(DB_materiali!$E$2:$E$5000,MATCH($C322,DB_materiali!$A$2:$A$5000,0))&lt;=INDEX(DB_malas!$D$2:$D$5000,MATCH(I322,DB_malas!$A$2:$A$5000,0)),IF(OR(INDEX(DB_materiali!$B$2:$B$5000,MATCH($C322,DB_materiali!$A$2:$A$5000,0))=INDEX(DB_malas!$B$2:$B$5000,MATCH(I322,DB_malas!$A$2:$A$5000,0)),$H322="ORG"),"✔",tulkojums!$A$38),tulkojums!$A$39),tulkojums!$A$39))</f>
        <v/>
      </c>
      <c r="R322" s="2" t="str">
        <f>IF(ISBLANK(J322),"",IF(INDEX(DB_materiali!$E$2:$E$5000,MATCH($C322,DB_materiali!$A$2:$A$5000,0))&gt;=INDEX(DB_malas!$C$2:$C$5000,MATCH(J322,DB_malas!$A$2:$A$5000,0)),IF(INDEX(DB_materiali!$E$2:$E$5000,MATCH($C322,DB_materiali!$A$2:$A$5000,0))&lt;=INDEX(DB_malas!$D$2:$D$5000,MATCH(J322,DB_malas!$A$2:$A$5000,0)),IF(INDEX(DB_materiali!$B$2:$B$5000,MATCH($C322,DB_materiali!$A$2:$A$5000,0))=INDEX(DB_malas!$B$2:$B$5000,MATCH(J322,DB_malas!$A$2:$A$5000,0)),"✔",tulkojums!$A$38),tulkojums!$A$39),tulkojums!$A$39))</f>
        <v/>
      </c>
      <c r="S322" s="2" t="str">
        <f>IF(ISBLANK(K322),"",IF(INDEX(DB_materiali!$E$2:$E$5000,MATCH($C322,DB_materiali!$A$2:$A$5000,0))&gt;=INDEX(DB_malas!$C$2:$C$5000,MATCH(K322,DB_malas!$A$2:$A$5000,0)),IF(INDEX(DB_materiali!$E$2:$E$5000,MATCH($C322,DB_materiali!$A$2:$A$5000,0))&lt;=INDEX(DB_malas!$D$2:$D$5000,MATCH(K322,DB_malas!$A$2:$A$5000,0)),IF(INDEX(DB_materiali!$B$2:$B$5000,MATCH($C322,DB_materiali!$A$2:$A$5000,0))=INDEX(DB_malas!$B$2:$B$5000,MATCH(K322,DB_malas!$A$2:$A$5000,0)),"✔",tulkojums!$A$38),tulkojums!$A$39),tulkojums!$A$39))</f>
        <v/>
      </c>
      <c r="T322" s="2"/>
      <c r="U322" s="2"/>
      <c r="V322" s="2"/>
      <c r="W322" s="2"/>
      <c r="X322" s="2"/>
      <c r="Y322" s="2"/>
      <c r="Z322" s="2"/>
    </row>
    <row r="323" spans="1:26" ht="15.75" customHeight="1">
      <c r="A323" s="17"/>
      <c r="B323" s="18"/>
      <c r="C323" s="19"/>
      <c r="D323" s="55"/>
      <c r="E323" s="55"/>
      <c r="F323" s="56"/>
      <c r="G323" s="57" t="str">
        <f>IF(ISBLANK(C323),"",
   IFERROR(
      IF(
         INDEX(DB_materiali!C$2:C$5000,
               MATCH(C323, DB_materiali!A$2:A$5000, 0)
         )="FALSE",
         "N",
         "Y"
      ),
   "")
)</f>
        <v/>
      </c>
      <c r="H323" s="20"/>
      <c r="I323" s="20"/>
      <c r="J323" s="20"/>
      <c r="K323" s="20"/>
      <c r="M323" s="2" t="str">
        <f>IF(ISBLANK(C323),"",IF(IFERROR(VLOOKUP(C323,DB_materiali!$A$2:$A$5000,1,FALSE),"Kļūda artikulā")=C323,"✔",tulkojums!A$42))</f>
        <v/>
      </c>
      <c r="N323" s="2" t="str">
        <f>IF(ISBLANK(C323),"",IF(ISNUMBER(F323)=TRUE,"✔",tulkojums!A$43))</f>
        <v/>
      </c>
      <c r="O323" s="2" t="str">
        <f>IF(ISBLANK(C323),"",IF(G323="Y","✔",IF(G323="X","✔",IF(G323="N","✔",tulkojums!A$44))))</f>
        <v/>
      </c>
      <c r="P323" s="2" t="str">
        <f>IF(ISBLANK(H323),"",IF(INDEX(DB_materiali!$E$2:$E$5000,MATCH($C323,DB_materiali!$A$2:$A$5000,0))&gt;=INDEX(DB_malas!$C$2:$C$5000,MATCH(H323,DB_malas!$A$2:$A$5000,0)),IF(INDEX(DB_materiali!$E$2:$E$5000,MATCH($C323,DB_materiali!$A$2:$A$5000,0))&lt;=INDEX(DB_malas!$D$2:$D$5000,MATCH(H323,DB_malas!$A$2:$A$5000,0)),IF(OR(INDEX(DB_materiali!$B$2:$B$5000,MATCH($C323,DB_materiali!$A$2:$A$5000,0))=INDEX(DB_malas!$B$2:$B$5000,MATCH(H323,DB_malas!$A$2:$A$5000,0)),$H323="ORG"),"✔",tulkojums!$A$38),tulkojums!$A$39),tulkojums!$A$39))</f>
        <v/>
      </c>
      <c r="Q323" s="2" t="str">
        <f>IF(ISBLANK(I323),"",IF(INDEX(DB_materiali!$E$2:$E$5000,MATCH($C323,DB_materiali!$A$2:$A$5000,0))&gt;=INDEX(DB_malas!$C$2:$C$5000,MATCH(I323,DB_malas!$A$2:$A$5000,0)),IF(INDEX(DB_materiali!$E$2:$E$5000,MATCH($C323,DB_materiali!$A$2:$A$5000,0))&lt;=INDEX(DB_malas!$D$2:$D$5000,MATCH(I323,DB_malas!$A$2:$A$5000,0)),IF(OR(INDEX(DB_materiali!$B$2:$B$5000,MATCH($C323,DB_materiali!$A$2:$A$5000,0))=INDEX(DB_malas!$B$2:$B$5000,MATCH(I323,DB_malas!$A$2:$A$5000,0)),$H323="ORG"),"✔",tulkojums!$A$38),tulkojums!$A$39),tulkojums!$A$39))</f>
        <v/>
      </c>
      <c r="R323" s="2" t="str">
        <f>IF(ISBLANK(J323),"",IF(INDEX(DB_materiali!$E$2:$E$5000,MATCH($C323,DB_materiali!$A$2:$A$5000,0))&gt;=INDEX(DB_malas!$C$2:$C$5000,MATCH(J323,DB_malas!$A$2:$A$5000,0)),IF(INDEX(DB_materiali!$E$2:$E$5000,MATCH($C323,DB_materiali!$A$2:$A$5000,0))&lt;=INDEX(DB_malas!$D$2:$D$5000,MATCH(J323,DB_malas!$A$2:$A$5000,0)),IF(INDEX(DB_materiali!$B$2:$B$5000,MATCH($C323,DB_materiali!$A$2:$A$5000,0))=INDEX(DB_malas!$B$2:$B$5000,MATCH(J323,DB_malas!$A$2:$A$5000,0)),"✔",tulkojums!$A$38),tulkojums!$A$39),tulkojums!$A$39))</f>
        <v/>
      </c>
      <c r="S323" s="2" t="str">
        <f>IF(ISBLANK(K323),"",IF(INDEX(DB_materiali!$E$2:$E$5000,MATCH($C323,DB_materiali!$A$2:$A$5000,0))&gt;=INDEX(DB_malas!$C$2:$C$5000,MATCH(K323,DB_malas!$A$2:$A$5000,0)),IF(INDEX(DB_materiali!$E$2:$E$5000,MATCH($C323,DB_materiali!$A$2:$A$5000,0))&lt;=INDEX(DB_malas!$D$2:$D$5000,MATCH(K323,DB_malas!$A$2:$A$5000,0)),IF(INDEX(DB_materiali!$B$2:$B$5000,MATCH($C323,DB_materiali!$A$2:$A$5000,0))=INDEX(DB_malas!$B$2:$B$5000,MATCH(K323,DB_malas!$A$2:$A$5000,0)),"✔",tulkojums!$A$38),tulkojums!$A$39),tulkojums!$A$39))</f>
        <v/>
      </c>
      <c r="T323" s="2"/>
      <c r="U323" s="2"/>
      <c r="V323" s="2"/>
      <c r="W323" s="2"/>
      <c r="X323" s="2"/>
      <c r="Y323" s="2"/>
      <c r="Z323" s="2"/>
    </row>
    <row r="324" spans="1:26" ht="15.75" customHeight="1">
      <c r="A324" s="17"/>
      <c r="B324" s="18"/>
      <c r="C324" s="19"/>
      <c r="D324" s="55"/>
      <c r="E324" s="55"/>
      <c r="F324" s="56"/>
      <c r="G324" s="57" t="str">
        <f>IF(ISBLANK(C324),"",
   IFERROR(
      IF(
         INDEX(DB_materiali!C$2:C$5000,
               MATCH(C324, DB_materiali!A$2:A$5000, 0)
         )="FALSE",
         "N",
         "Y"
      ),
   "")
)</f>
        <v/>
      </c>
      <c r="H324" s="20"/>
      <c r="I324" s="20"/>
      <c r="J324" s="20"/>
      <c r="K324" s="20"/>
      <c r="M324" s="2" t="str">
        <f>IF(ISBLANK(C324),"",IF(IFERROR(VLOOKUP(C324,DB_materiali!$A$2:$A$5000,1,FALSE),"Kļūda artikulā")=C324,"✔",tulkojums!A$42))</f>
        <v/>
      </c>
      <c r="N324" s="2" t="str">
        <f>IF(ISBLANK(C324),"",IF(ISNUMBER(F324)=TRUE,"✔",tulkojums!A$43))</f>
        <v/>
      </c>
      <c r="O324" s="2" t="str">
        <f>IF(ISBLANK(C324),"",IF(G324="Y","✔",IF(G324="X","✔",IF(G324="N","✔",tulkojums!A$44))))</f>
        <v/>
      </c>
      <c r="P324" s="2" t="str">
        <f>IF(ISBLANK(H324),"",IF(INDEX(DB_materiali!$E$2:$E$5000,MATCH($C324,DB_materiali!$A$2:$A$5000,0))&gt;=INDEX(DB_malas!$C$2:$C$5000,MATCH(H324,DB_malas!$A$2:$A$5000,0)),IF(INDEX(DB_materiali!$E$2:$E$5000,MATCH($C324,DB_materiali!$A$2:$A$5000,0))&lt;=INDEX(DB_malas!$D$2:$D$5000,MATCH(H324,DB_malas!$A$2:$A$5000,0)),IF(OR(INDEX(DB_materiali!$B$2:$B$5000,MATCH($C324,DB_materiali!$A$2:$A$5000,0))=INDEX(DB_malas!$B$2:$B$5000,MATCH(H324,DB_malas!$A$2:$A$5000,0)),$H324="ORG"),"✔",tulkojums!$A$38),tulkojums!$A$39),tulkojums!$A$39))</f>
        <v/>
      </c>
      <c r="Q324" s="2" t="str">
        <f>IF(ISBLANK(I324),"",IF(INDEX(DB_materiali!$E$2:$E$5000,MATCH($C324,DB_materiali!$A$2:$A$5000,0))&gt;=INDEX(DB_malas!$C$2:$C$5000,MATCH(I324,DB_malas!$A$2:$A$5000,0)),IF(INDEX(DB_materiali!$E$2:$E$5000,MATCH($C324,DB_materiali!$A$2:$A$5000,0))&lt;=INDEX(DB_malas!$D$2:$D$5000,MATCH(I324,DB_malas!$A$2:$A$5000,0)),IF(OR(INDEX(DB_materiali!$B$2:$B$5000,MATCH($C324,DB_materiali!$A$2:$A$5000,0))=INDEX(DB_malas!$B$2:$B$5000,MATCH(I324,DB_malas!$A$2:$A$5000,0)),$H324="ORG"),"✔",tulkojums!$A$38),tulkojums!$A$39),tulkojums!$A$39))</f>
        <v/>
      </c>
      <c r="R324" s="2" t="str">
        <f>IF(ISBLANK(J324),"",IF(INDEX(DB_materiali!$E$2:$E$5000,MATCH($C324,DB_materiali!$A$2:$A$5000,0))&gt;=INDEX(DB_malas!$C$2:$C$5000,MATCH(J324,DB_malas!$A$2:$A$5000,0)),IF(INDEX(DB_materiali!$E$2:$E$5000,MATCH($C324,DB_materiali!$A$2:$A$5000,0))&lt;=INDEX(DB_malas!$D$2:$D$5000,MATCH(J324,DB_malas!$A$2:$A$5000,0)),IF(INDEX(DB_materiali!$B$2:$B$5000,MATCH($C324,DB_materiali!$A$2:$A$5000,0))=INDEX(DB_malas!$B$2:$B$5000,MATCH(J324,DB_malas!$A$2:$A$5000,0)),"✔",tulkojums!$A$38),tulkojums!$A$39),tulkojums!$A$39))</f>
        <v/>
      </c>
      <c r="S324" s="2" t="str">
        <f>IF(ISBLANK(K324),"",IF(INDEX(DB_materiali!$E$2:$E$5000,MATCH($C324,DB_materiali!$A$2:$A$5000,0))&gt;=INDEX(DB_malas!$C$2:$C$5000,MATCH(K324,DB_malas!$A$2:$A$5000,0)),IF(INDEX(DB_materiali!$E$2:$E$5000,MATCH($C324,DB_materiali!$A$2:$A$5000,0))&lt;=INDEX(DB_malas!$D$2:$D$5000,MATCH(K324,DB_malas!$A$2:$A$5000,0)),IF(INDEX(DB_materiali!$B$2:$B$5000,MATCH($C324,DB_materiali!$A$2:$A$5000,0))=INDEX(DB_malas!$B$2:$B$5000,MATCH(K324,DB_malas!$A$2:$A$5000,0)),"✔",tulkojums!$A$38),tulkojums!$A$39),tulkojums!$A$39))</f>
        <v/>
      </c>
      <c r="T324" s="2"/>
      <c r="U324" s="2"/>
      <c r="V324" s="2"/>
      <c r="W324" s="2"/>
      <c r="X324" s="2"/>
      <c r="Y324" s="2"/>
      <c r="Z324" s="2"/>
    </row>
    <row r="325" spans="1:26" ht="15.75" customHeight="1">
      <c r="A325" s="17"/>
      <c r="B325" s="18"/>
      <c r="C325" s="19"/>
      <c r="D325" s="55"/>
      <c r="E325" s="55"/>
      <c r="F325" s="56"/>
      <c r="G325" s="57" t="str">
        <f>IF(ISBLANK(C325),"",
   IFERROR(
      IF(
         INDEX(DB_materiali!C$2:C$5000,
               MATCH(C325, DB_materiali!A$2:A$5000, 0)
         )="FALSE",
         "N",
         "Y"
      ),
   "")
)</f>
        <v/>
      </c>
      <c r="H325" s="20"/>
      <c r="I325" s="20"/>
      <c r="J325" s="20"/>
      <c r="K325" s="20"/>
      <c r="M325" s="2" t="str">
        <f>IF(ISBLANK(C325),"",IF(IFERROR(VLOOKUP(C325,DB_materiali!$A$2:$A$5000,1,FALSE),"Kļūda artikulā")=C325,"✔",tulkojums!A$42))</f>
        <v/>
      </c>
      <c r="N325" s="2" t="str">
        <f>IF(ISBLANK(C325),"",IF(ISNUMBER(F325)=TRUE,"✔",tulkojums!A$43))</f>
        <v/>
      </c>
      <c r="O325" s="2" t="str">
        <f>IF(ISBLANK(C325),"",IF(G325="Y","✔",IF(G325="X","✔",IF(G325="N","✔",tulkojums!A$44))))</f>
        <v/>
      </c>
      <c r="P325" s="2" t="str">
        <f>IF(ISBLANK(H325),"",IF(INDEX(DB_materiali!$E$2:$E$5000,MATCH($C325,DB_materiali!$A$2:$A$5000,0))&gt;=INDEX(DB_malas!$C$2:$C$5000,MATCH(H325,DB_malas!$A$2:$A$5000,0)),IF(INDEX(DB_materiali!$E$2:$E$5000,MATCH($C325,DB_materiali!$A$2:$A$5000,0))&lt;=INDEX(DB_malas!$D$2:$D$5000,MATCH(H325,DB_malas!$A$2:$A$5000,0)),IF(OR(INDEX(DB_materiali!$B$2:$B$5000,MATCH($C325,DB_materiali!$A$2:$A$5000,0))=INDEX(DB_malas!$B$2:$B$5000,MATCH(H325,DB_malas!$A$2:$A$5000,0)),$H325="ORG"),"✔",tulkojums!$A$38),tulkojums!$A$39),tulkojums!$A$39))</f>
        <v/>
      </c>
      <c r="Q325" s="2" t="str">
        <f>IF(ISBLANK(I325),"",IF(INDEX(DB_materiali!$E$2:$E$5000,MATCH($C325,DB_materiali!$A$2:$A$5000,0))&gt;=INDEX(DB_malas!$C$2:$C$5000,MATCH(I325,DB_malas!$A$2:$A$5000,0)),IF(INDEX(DB_materiali!$E$2:$E$5000,MATCH($C325,DB_materiali!$A$2:$A$5000,0))&lt;=INDEX(DB_malas!$D$2:$D$5000,MATCH(I325,DB_malas!$A$2:$A$5000,0)),IF(OR(INDEX(DB_materiali!$B$2:$B$5000,MATCH($C325,DB_materiali!$A$2:$A$5000,0))=INDEX(DB_malas!$B$2:$B$5000,MATCH(I325,DB_malas!$A$2:$A$5000,0)),$H325="ORG"),"✔",tulkojums!$A$38),tulkojums!$A$39),tulkojums!$A$39))</f>
        <v/>
      </c>
      <c r="R325" s="2" t="str">
        <f>IF(ISBLANK(J325),"",IF(INDEX(DB_materiali!$E$2:$E$5000,MATCH($C325,DB_materiali!$A$2:$A$5000,0))&gt;=INDEX(DB_malas!$C$2:$C$5000,MATCH(J325,DB_malas!$A$2:$A$5000,0)),IF(INDEX(DB_materiali!$E$2:$E$5000,MATCH($C325,DB_materiali!$A$2:$A$5000,0))&lt;=INDEX(DB_malas!$D$2:$D$5000,MATCH(J325,DB_malas!$A$2:$A$5000,0)),IF(INDEX(DB_materiali!$B$2:$B$5000,MATCH($C325,DB_materiali!$A$2:$A$5000,0))=INDEX(DB_malas!$B$2:$B$5000,MATCH(J325,DB_malas!$A$2:$A$5000,0)),"✔",tulkojums!$A$38),tulkojums!$A$39),tulkojums!$A$39))</f>
        <v/>
      </c>
      <c r="S325" s="2" t="str">
        <f>IF(ISBLANK(K325),"",IF(INDEX(DB_materiali!$E$2:$E$5000,MATCH($C325,DB_materiali!$A$2:$A$5000,0))&gt;=INDEX(DB_malas!$C$2:$C$5000,MATCH(K325,DB_malas!$A$2:$A$5000,0)),IF(INDEX(DB_materiali!$E$2:$E$5000,MATCH($C325,DB_materiali!$A$2:$A$5000,0))&lt;=INDEX(DB_malas!$D$2:$D$5000,MATCH(K325,DB_malas!$A$2:$A$5000,0)),IF(INDEX(DB_materiali!$B$2:$B$5000,MATCH($C325,DB_materiali!$A$2:$A$5000,0))=INDEX(DB_malas!$B$2:$B$5000,MATCH(K325,DB_malas!$A$2:$A$5000,0)),"✔",tulkojums!$A$38),tulkojums!$A$39),tulkojums!$A$39))</f>
        <v/>
      </c>
      <c r="T325" s="2"/>
      <c r="U325" s="2"/>
      <c r="V325" s="2"/>
      <c r="W325" s="2"/>
      <c r="X325" s="2"/>
      <c r="Y325" s="2"/>
      <c r="Z325" s="2"/>
    </row>
    <row r="326" spans="1:26" ht="15.75" customHeight="1">
      <c r="A326" s="17"/>
      <c r="B326" s="18"/>
      <c r="C326" s="19"/>
      <c r="D326" s="55"/>
      <c r="E326" s="55"/>
      <c r="F326" s="56"/>
      <c r="G326" s="57" t="str">
        <f>IF(ISBLANK(C326),"",
   IFERROR(
      IF(
         INDEX(DB_materiali!C$2:C$5000,
               MATCH(C326, DB_materiali!A$2:A$5000, 0)
         )="FALSE",
         "N",
         "Y"
      ),
   "")
)</f>
        <v/>
      </c>
      <c r="H326" s="20"/>
      <c r="I326" s="20"/>
      <c r="J326" s="20"/>
      <c r="K326" s="20"/>
      <c r="M326" s="2" t="str">
        <f>IF(ISBLANK(C326),"",IF(IFERROR(VLOOKUP(C326,DB_materiali!$A$2:$A$5000,1,FALSE),"Kļūda artikulā")=C326,"✔",tulkojums!A$42))</f>
        <v/>
      </c>
      <c r="N326" s="2" t="str">
        <f>IF(ISBLANK(C326),"",IF(ISNUMBER(F326)=TRUE,"✔",tulkojums!A$43))</f>
        <v/>
      </c>
      <c r="O326" s="2" t="str">
        <f>IF(ISBLANK(C326),"",IF(G326="Y","✔",IF(G326="X","✔",IF(G326="N","✔",tulkojums!A$44))))</f>
        <v/>
      </c>
      <c r="P326" s="2" t="str">
        <f>IF(ISBLANK(H326),"",IF(INDEX(DB_materiali!$E$2:$E$5000,MATCH($C326,DB_materiali!$A$2:$A$5000,0))&gt;=INDEX(DB_malas!$C$2:$C$5000,MATCH(H326,DB_malas!$A$2:$A$5000,0)),IF(INDEX(DB_materiali!$E$2:$E$5000,MATCH($C326,DB_materiali!$A$2:$A$5000,0))&lt;=INDEX(DB_malas!$D$2:$D$5000,MATCH(H326,DB_malas!$A$2:$A$5000,0)),IF(OR(INDEX(DB_materiali!$B$2:$B$5000,MATCH($C326,DB_materiali!$A$2:$A$5000,0))=INDEX(DB_malas!$B$2:$B$5000,MATCH(H326,DB_malas!$A$2:$A$5000,0)),$H326="ORG"),"✔",tulkojums!$A$38),tulkojums!$A$39),tulkojums!$A$39))</f>
        <v/>
      </c>
      <c r="Q326" s="2" t="str">
        <f>IF(ISBLANK(I326),"",IF(INDEX(DB_materiali!$E$2:$E$5000,MATCH($C326,DB_materiali!$A$2:$A$5000,0))&gt;=INDEX(DB_malas!$C$2:$C$5000,MATCH(I326,DB_malas!$A$2:$A$5000,0)),IF(INDEX(DB_materiali!$E$2:$E$5000,MATCH($C326,DB_materiali!$A$2:$A$5000,0))&lt;=INDEX(DB_malas!$D$2:$D$5000,MATCH(I326,DB_malas!$A$2:$A$5000,0)),IF(OR(INDEX(DB_materiali!$B$2:$B$5000,MATCH($C326,DB_materiali!$A$2:$A$5000,0))=INDEX(DB_malas!$B$2:$B$5000,MATCH(I326,DB_malas!$A$2:$A$5000,0)),$H326="ORG"),"✔",tulkojums!$A$38),tulkojums!$A$39),tulkojums!$A$39))</f>
        <v/>
      </c>
      <c r="R326" s="2" t="str">
        <f>IF(ISBLANK(J326),"",IF(INDEX(DB_materiali!$E$2:$E$5000,MATCH($C326,DB_materiali!$A$2:$A$5000,0))&gt;=INDEX(DB_malas!$C$2:$C$5000,MATCH(J326,DB_malas!$A$2:$A$5000,0)),IF(INDEX(DB_materiali!$E$2:$E$5000,MATCH($C326,DB_materiali!$A$2:$A$5000,0))&lt;=INDEX(DB_malas!$D$2:$D$5000,MATCH(J326,DB_malas!$A$2:$A$5000,0)),IF(INDEX(DB_materiali!$B$2:$B$5000,MATCH($C326,DB_materiali!$A$2:$A$5000,0))=INDEX(DB_malas!$B$2:$B$5000,MATCH(J326,DB_malas!$A$2:$A$5000,0)),"✔",tulkojums!$A$38),tulkojums!$A$39),tulkojums!$A$39))</f>
        <v/>
      </c>
      <c r="S326" s="2" t="str">
        <f>IF(ISBLANK(K326),"",IF(INDEX(DB_materiali!$E$2:$E$5000,MATCH($C326,DB_materiali!$A$2:$A$5000,0))&gt;=INDEX(DB_malas!$C$2:$C$5000,MATCH(K326,DB_malas!$A$2:$A$5000,0)),IF(INDEX(DB_materiali!$E$2:$E$5000,MATCH($C326,DB_materiali!$A$2:$A$5000,0))&lt;=INDEX(DB_malas!$D$2:$D$5000,MATCH(K326,DB_malas!$A$2:$A$5000,0)),IF(INDEX(DB_materiali!$B$2:$B$5000,MATCH($C326,DB_materiali!$A$2:$A$5000,0))=INDEX(DB_malas!$B$2:$B$5000,MATCH(K326,DB_malas!$A$2:$A$5000,0)),"✔",tulkojums!$A$38),tulkojums!$A$39),tulkojums!$A$39))</f>
        <v/>
      </c>
      <c r="T326" s="2"/>
      <c r="U326" s="2"/>
      <c r="V326" s="2"/>
      <c r="W326" s="2"/>
      <c r="X326" s="2"/>
      <c r="Y326" s="2"/>
      <c r="Z326" s="2"/>
    </row>
    <row r="327" spans="1:26" ht="15.75" customHeight="1">
      <c r="A327" s="17"/>
      <c r="B327" s="18"/>
      <c r="C327" s="19"/>
      <c r="D327" s="55"/>
      <c r="E327" s="55"/>
      <c r="F327" s="56"/>
      <c r="G327" s="57" t="str">
        <f>IF(ISBLANK(C327),"",
   IFERROR(
      IF(
         INDEX(DB_materiali!C$2:C$5000,
               MATCH(C327, DB_materiali!A$2:A$5000, 0)
         )="FALSE",
         "N",
         "Y"
      ),
   "")
)</f>
        <v/>
      </c>
      <c r="H327" s="20"/>
      <c r="I327" s="20"/>
      <c r="J327" s="20"/>
      <c r="K327" s="20"/>
      <c r="M327" s="2" t="str">
        <f>IF(ISBLANK(C327),"",IF(IFERROR(VLOOKUP(C327,DB_materiali!$A$2:$A$5000,1,FALSE),"Kļūda artikulā")=C327,"✔",tulkojums!A$42))</f>
        <v/>
      </c>
      <c r="N327" s="2" t="str">
        <f>IF(ISBLANK(C327),"",IF(ISNUMBER(F327)=TRUE,"✔",tulkojums!A$43))</f>
        <v/>
      </c>
      <c r="O327" s="2" t="str">
        <f>IF(ISBLANK(C327),"",IF(G327="Y","✔",IF(G327="X","✔",IF(G327="N","✔",tulkojums!A$44))))</f>
        <v/>
      </c>
      <c r="P327" s="2" t="str">
        <f>IF(ISBLANK(H327),"",IF(INDEX(DB_materiali!$E$2:$E$5000,MATCH($C327,DB_materiali!$A$2:$A$5000,0))&gt;=INDEX(DB_malas!$C$2:$C$5000,MATCH(H327,DB_malas!$A$2:$A$5000,0)),IF(INDEX(DB_materiali!$E$2:$E$5000,MATCH($C327,DB_materiali!$A$2:$A$5000,0))&lt;=INDEX(DB_malas!$D$2:$D$5000,MATCH(H327,DB_malas!$A$2:$A$5000,0)),IF(OR(INDEX(DB_materiali!$B$2:$B$5000,MATCH($C327,DB_materiali!$A$2:$A$5000,0))=INDEX(DB_malas!$B$2:$B$5000,MATCH(H327,DB_malas!$A$2:$A$5000,0)),$H327="ORG"),"✔",tulkojums!$A$38),tulkojums!$A$39),tulkojums!$A$39))</f>
        <v/>
      </c>
      <c r="Q327" s="2" t="str">
        <f>IF(ISBLANK(I327),"",IF(INDEX(DB_materiali!$E$2:$E$5000,MATCH($C327,DB_materiali!$A$2:$A$5000,0))&gt;=INDEX(DB_malas!$C$2:$C$5000,MATCH(I327,DB_malas!$A$2:$A$5000,0)),IF(INDEX(DB_materiali!$E$2:$E$5000,MATCH($C327,DB_materiali!$A$2:$A$5000,0))&lt;=INDEX(DB_malas!$D$2:$D$5000,MATCH(I327,DB_malas!$A$2:$A$5000,0)),IF(OR(INDEX(DB_materiali!$B$2:$B$5000,MATCH($C327,DB_materiali!$A$2:$A$5000,0))=INDEX(DB_malas!$B$2:$B$5000,MATCH(I327,DB_malas!$A$2:$A$5000,0)),$H327="ORG"),"✔",tulkojums!$A$38),tulkojums!$A$39),tulkojums!$A$39))</f>
        <v/>
      </c>
      <c r="R327" s="2" t="str">
        <f>IF(ISBLANK(J327),"",IF(INDEX(DB_materiali!$E$2:$E$5000,MATCH($C327,DB_materiali!$A$2:$A$5000,0))&gt;=INDEX(DB_malas!$C$2:$C$5000,MATCH(J327,DB_malas!$A$2:$A$5000,0)),IF(INDEX(DB_materiali!$E$2:$E$5000,MATCH($C327,DB_materiali!$A$2:$A$5000,0))&lt;=INDEX(DB_malas!$D$2:$D$5000,MATCH(J327,DB_malas!$A$2:$A$5000,0)),IF(INDEX(DB_materiali!$B$2:$B$5000,MATCH($C327,DB_materiali!$A$2:$A$5000,0))=INDEX(DB_malas!$B$2:$B$5000,MATCH(J327,DB_malas!$A$2:$A$5000,0)),"✔",tulkojums!$A$38),tulkojums!$A$39),tulkojums!$A$39))</f>
        <v/>
      </c>
      <c r="S327" s="2" t="str">
        <f>IF(ISBLANK(K327),"",IF(INDEX(DB_materiali!$E$2:$E$5000,MATCH($C327,DB_materiali!$A$2:$A$5000,0))&gt;=INDEX(DB_malas!$C$2:$C$5000,MATCH(K327,DB_malas!$A$2:$A$5000,0)),IF(INDEX(DB_materiali!$E$2:$E$5000,MATCH($C327,DB_materiali!$A$2:$A$5000,0))&lt;=INDEX(DB_malas!$D$2:$D$5000,MATCH(K327,DB_malas!$A$2:$A$5000,0)),IF(INDEX(DB_materiali!$B$2:$B$5000,MATCH($C327,DB_materiali!$A$2:$A$5000,0))=INDEX(DB_malas!$B$2:$B$5000,MATCH(K327,DB_malas!$A$2:$A$5000,0)),"✔",tulkojums!$A$38),tulkojums!$A$39),tulkojums!$A$39))</f>
        <v/>
      </c>
      <c r="T327" s="2"/>
      <c r="U327" s="2"/>
      <c r="V327" s="2"/>
      <c r="W327" s="2"/>
      <c r="X327" s="2"/>
      <c r="Y327" s="2"/>
      <c r="Z327" s="2"/>
    </row>
    <row r="328" spans="1:26" ht="15.75" customHeight="1">
      <c r="A328" s="17"/>
      <c r="B328" s="18"/>
      <c r="C328" s="19"/>
      <c r="D328" s="55"/>
      <c r="E328" s="55"/>
      <c r="F328" s="56"/>
      <c r="G328" s="57" t="str">
        <f>IF(ISBLANK(C328),"",
   IFERROR(
      IF(
         INDEX(DB_materiali!C$2:C$5000,
               MATCH(C328, DB_materiali!A$2:A$5000, 0)
         )="FALSE",
         "N",
         "Y"
      ),
   "")
)</f>
        <v/>
      </c>
      <c r="H328" s="20"/>
      <c r="I328" s="20"/>
      <c r="J328" s="20"/>
      <c r="K328" s="20"/>
      <c r="M328" s="2" t="str">
        <f>IF(ISBLANK(C328),"",IF(IFERROR(VLOOKUP(C328,DB_materiali!$A$2:$A$5000,1,FALSE),"Kļūda artikulā")=C328,"✔",tulkojums!A$42))</f>
        <v/>
      </c>
      <c r="N328" s="2" t="str">
        <f>IF(ISBLANK(C328),"",IF(ISNUMBER(F328)=TRUE,"✔",tulkojums!A$43))</f>
        <v/>
      </c>
      <c r="O328" s="2" t="str">
        <f>IF(ISBLANK(C328),"",IF(G328="Y","✔",IF(G328="X","✔",IF(G328="N","✔",tulkojums!A$44))))</f>
        <v/>
      </c>
      <c r="P328" s="2" t="str">
        <f>IF(ISBLANK(H328),"",IF(INDEX(DB_materiali!$E$2:$E$5000,MATCH($C328,DB_materiali!$A$2:$A$5000,0))&gt;=INDEX(DB_malas!$C$2:$C$5000,MATCH(H328,DB_malas!$A$2:$A$5000,0)),IF(INDEX(DB_materiali!$E$2:$E$5000,MATCH($C328,DB_materiali!$A$2:$A$5000,0))&lt;=INDEX(DB_malas!$D$2:$D$5000,MATCH(H328,DB_malas!$A$2:$A$5000,0)),IF(OR(INDEX(DB_materiali!$B$2:$B$5000,MATCH($C328,DB_materiali!$A$2:$A$5000,0))=INDEX(DB_malas!$B$2:$B$5000,MATCH(H328,DB_malas!$A$2:$A$5000,0)),$H328="ORG"),"✔",tulkojums!$A$38),tulkojums!$A$39),tulkojums!$A$39))</f>
        <v/>
      </c>
      <c r="Q328" s="2" t="str">
        <f>IF(ISBLANK(I328),"",IF(INDEX(DB_materiali!$E$2:$E$5000,MATCH($C328,DB_materiali!$A$2:$A$5000,0))&gt;=INDEX(DB_malas!$C$2:$C$5000,MATCH(I328,DB_malas!$A$2:$A$5000,0)),IF(INDEX(DB_materiali!$E$2:$E$5000,MATCH($C328,DB_materiali!$A$2:$A$5000,0))&lt;=INDEX(DB_malas!$D$2:$D$5000,MATCH(I328,DB_malas!$A$2:$A$5000,0)),IF(OR(INDEX(DB_materiali!$B$2:$B$5000,MATCH($C328,DB_materiali!$A$2:$A$5000,0))=INDEX(DB_malas!$B$2:$B$5000,MATCH(I328,DB_malas!$A$2:$A$5000,0)),$H328="ORG"),"✔",tulkojums!$A$38),tulkojums!$A$39),tulkojums!$A$39))</f>
        <v/>
      </c>
      <c r="R328" s="2" t="str">
        <f>IF(ISBLANK(J328),"",IF(INDEX(DB_materiali!$E$2:$E$5000,MATCH($C328,DB_materiali!$A$2:$A$5000,0))&gt;=INDEX(DB_malas!$C$2:$C$5000,MATCH(J328,DB_malas!$A$2:$A$5000,0)),IF(INDEX(DB_materiali!$E$2:$E$5000,MATCH($C328,DB_materiali!$A$2:$A$5000,0))&lt;=INDEX(DB_malas!$D$2:$D$5000,MATCH(J328,DB_malas!$A$2:$A$5000,0)),IF(INDEX(DB_materiali!$B$2:$B$5000,MATCH($C328,DB_materiali!$A$2:$A$5000,0))=INDEX(DB_malas!$B$2:$B$5000,MATCH(J328,DB_malas!$A$2:$A$5000,0)),"✔",tulkojums!$A$38),tulkojums!$A$39),tulkojums!$A$39))</f>
        <v/>
      </c>
      <c r="S328" s="2" t="str">
        <f>IF(ISBLANK(K328),"",IF(INDEX(DB_materiali!$E$2:$E$5000,MATCH($C328,DB_materiali!$A$2:$A$5000,0))&gt;=INDEX(DB_malas!$C$2:$C$5000,MATCH(K328,DB_malas!$A$2:$A$5000,0)),IF(INDEX(DB_materiali!$E$2:$E$5000,MATCH($C328,DB_materiali!$A$2:$A$5000,0))&lt;=INDEX(DB_malas!$D$2:$D$5000,MATCH(K328,DB_malas!$A$2:$A$5000,0)),IF(INDEX(DB_materiali!$B$2:$B$5000,MATCH($C328,DB_materiali!$A$2:$A$5000,0))=INDEX(DB_malas!$B$2:$B$5000,MATCH(K328,DB_malas!$A$2:$A$5000,0)),"✔",tulkojums!$A$38),tulkojums!$A$39),tulkojums!$A$39))</f>
        <v/>
      </c>
      <c r="T328" s="2"/>
      <c r="U328" s="2"/>
      <c r="V328" s="2"/>
      <c r="W328" s="2"/>
      <c r="X328" s="2"/>
      <c r="Y328" s="2"/>
      <c r="Z328" s="2"/>
    </row>
    <row r="329" spans="1:26" ht="15.75" customHeight="1">
      <c r="A329" s="17"/>
      <c r="B329" s="18"/>
      <c r="C329" s="19"/>
      <c r="D329" s="55"/>
      <c r="E329" s="55"/>
      <c r="F329" s="56"/>
      <c r="G329" s="57" t="str">
        <f>IF(ISBLANK(C329),"",
   IFERROR(
      IF(
         INDEX(DB_materiali!C$2:C$5000,
               MATCH(C329, DB_materiali!A$2:A$5000, 0)
         )="FALSE",
         "N",
         "Y"
      ),
   "")
)</f>
        <v/>
      </c>
      <c r="H329" s="20"/>
      <c r="I329" s="20"/>
      <c r="J329" s="20"/>
      <c r="K329" s="20"/>
      <c r="M329" s="2" t="str">
        <f>IF(ISBLANK(C329),"",IF(IFERROR(VLOOKUP(C329,DB_materiali!$A$2:$A$5000,1,FALSE),"Kļūda artikulā")=C329,"✔",tulkojums!A$42))</f>
        <v/>
      </c>
      <c r="N329" s="2" t="str">
        <f>IF(ISBLANK(C329),"",IF(ISNUMBER(F329)=TRUE,"✔",tulkojums!A$43))</f>
        <v/>
      </c>
      <c r="O329" s="2" t="str">
        <f>IF(ISBLANK(C329),"",IF(G329="Y","✔",IF(G329="X","✔",IF(G329="N","✔",tulkojums!A$44))))</f>
        <v/>
      </c>
      <c r="P329" s="2" t="str">
        <f>IF(ISBLANK(H329),"",IF(INDEX(DB_materiali!$E$2:$E$5000,MATCH($C329,DB_materiali!$A$2:$A$5000,0))&gt;=INDEX(DB_malas!$C$2:$C$5000,MATCH(H329,DB_malas!$A$2:$A$5000,0)),IF(INDEX(DB_materiali!$E$2:$E$5000,MATCH($C329,DB_materiali!$A$2:$A$5000,0))&lt;=INDEX(DB_malas!$D$2:$D$5000,MATCH(H329,DB_malas!$A$2:$A$5000,0)),IF(OR(INDEX(DB_materiali!$B$2:$B$5000,MATCH($C329,DB_materiali!$A$2:$A$5000,0))=INDEX(DB_malas!$B$2:$B$5000,MATCH(H329,DB_malas!$A$2:$A$5000,0)),$H329="ORG"),"✔",tulkojums!$A$38),tulkojums!$A$39),tulkojums!$A$39))</f>
        <v/>
      </c>
      <c r="Q329" s="2" t="str">
        <f>IF(ISBLANK(I329),"",IF(INDEX(DB_materiali!$E$2:$E$5000,MATCH($C329,DB_materiali!$A$2:$A$5000,0))&gt;=INDEX(DB_malas!$C$2:$C$5000,MATCH(I329,DB_malas!$A$2:$A$5000,0)),IF(INDEX(DB_materiali!$E$2:$E$5000,MATCH($C329,DB_materiali!$A$2:$A$5000,0))&lt;=INDEX(DB_malas!$D$2:$D$5000,MATCH(I329,DB_malas!$A$2:$A$5000,0)),IF(OR(INDEX(DB_materiali!$B$2:$B$5000,MATCH($C329,DB_materiali!$A$2:$A$5000,0))=INDEX(DB_malas!$B$2:$B$5000,MATCH(I329,DB_malas!$A$2:$A$5000,0)),$H329="ORG"),"✔",tulkojums!$A$38),tulkojums!$A$39),tulkojums!$A$39))</f>
        <v/>
      </c>
      <c r="R329" s="2" t="str">
        <f>IF(ISBLANK(J329),"",IF(INDEX(DB_materiali!$E$2:$E$5000,MATCH($C329,DB_materiali!$A$2:$A$5000,0))&gt;=INDEX(DB_malas!$C$2:$C$5000,MATCH(J329,DB_malas!$A$2:$A$5000,0)),IF(INDEX(DB_materiali!$E$2:$E$5000,MATCH($C329,DB_materiali!$A$2:$A$5000,0))&lt;=INDEX(DB_malas!$D$2:$D$5000,MATCH(J329,DB_malas!$A$2:$A$5000,0)),IF(INDEX(DB_materiali!$B$2:$B$5000,MATCH($C329,DB_materiali!$A$2:$A$5000,0))=INDEX(DB_malas!$B$2:$B$5000,MATCH(J329,DB_malas!$A$2:$A$5000,0)),"✔",tulkojums!$A$38),tulkojums!$A$39),tulkojums!$A$39))</f>
        <v/>
      </c>
      <c r="S329" s="2" t="str">
        <f>IF(ISBLANK(K329),"",IF(INDEX(DB_materiali!$E$2:$E$5000,MATCH($C329,DB_materiali!$A$2:$A$5000,0))&gt;=INDEX(DB_malas!$C$2:$C$5000,MATCH(K329,DB_malas!$A$2:$A$5000,0)),IF(INDEX(DB_materiali!$E$2:$E$5000,MATCH($C329,DB_materiali!$A$2:$A$5000,0))&lt;=INDEX(DB_malas!$D$2:$D$5000,MATCH(K329,DB_malas!$A$2:$A$5000,0)),IF(INDEX(DB_materiali!$B$2:$B$5000,MATCH($C329,DB_materiali!$A$2:$A$5000,0))=INDEX(DB_malas!$B$2:$B$5000,MATCH(K329,DB_malas!$A$2:$A$5000,0)),"✔",tulkojums!$A$38),tulkojums!$A$39),tulkojums!$A$39))</f>
        <v/>
      </c>
      <c r="T329" s="2"/>
      <c r="U329" s="2"/>
      <c r="V329" s="2"/>
      <c r="W329" s="2"/>
      <c r="X329" s="2"/>
      <c r="Y329" s="2"/>
      <c r="Z329" s="2"/>
    </row>
    <row r="330" spans="1:26" ht="15.75" customHeight="1">
      <c r="A330" s="17"/>
      <c r="B330" s="18"/>
      <c r="C330" s="19"/>
      <c r="D330" s="55"/>
      <c r="E330" s="55"/>
      <c r="F330" s="56"/>
      <c r="G330" s="57" t="str">
        <f>IF(ISBLANK(C330),"",
   IFERROR(
      IF(
         INDEX(DB_materiali!C$2:C$5000,
               MATCH(C330, DB_materiali!A$2:A$5000, 0)
         )="FALSE",
         "N",
         "Y"
      ),
   "")
)</f>
        <v/>
      </c>
      <c r="H330" s="20"/>
      <c r="I330" s="20"/>
      <c r="J330" s="20"/>
      <c r="K330" s="20"/>
      <c r="M330" s="2" t="str">
        <f>IF(ISBLANK(C330),"",IF(IFERROR(VLOOKUP(C330,DB_materiali!$A$2:$A$5000,1,FALSE),"Kļūda artikulā")=C330,"✔",tulkojums!A$42))</f>
        <v/>
      </c>
      <c r="N330" s="2" t="str">
        <f>IF(ISBLANK(C330),"",IF(ISNUMBER(F330)=TRUE,"✔",tulkojums!A$43))</f>
        <v/>
      </c>
      <c r="O330" s="2" t="str">
        <f>IF(ISBLANK(C330),"",IF(G330="Y","✔",IF(G330="X","✔",IF(G330="N","✔",tulkojums!A$44))))</f>
        <v/>
      </c>
      <c r="P330" s="2" t="str">
        <f>IF(ISBLANK(H330),"",IF(INDEX(DB_materiali!$E$2:$E$5000,MATCH($C330,DB_materiali!$A$2:$A$5000,0))&gt;=INDEX(DB_malas!$C$2:$C$5000,MATCH(H330,DB_malas!$A$2:$A$5000,0)),IF(INDEX(DB_materiali!$E$2:$E$5000,MATCH($C330,DB_materiali!$A$2:$A$5000,0))&lt;=INDEX(DB_malas!$D$2:$D$5000,MATCH(H330,DB_malas!$A$2:$A$5000,0)),IF(OR(INDEX(DB_materiali!$B$2:$B$5000,MATCH($C330,DB_materiali!$A$2:$A$5000,0))=INDEX(DB_malas!$B$2:$B$5000,MATCH(H330,DB_malas!$A$2:$A$5000,0)),$H330="ORG"),"✔",tulkojums!$A$38),tulkojums!$A$39),tulkojums!$A$39))</f>
        <v/>
      </c>
      <c r="Q330" s="2" t="str">
        <f>IF(ISBLANK(I330),"",IF(INDEX(DB_materiali!$E$2:$E$5000,MATCH($C330,DB_materiali!$A$2:$A$5000,0))&gt;=INDEX(DB_malas!$C$2:$C$5000,MATCH(I330,DB_malas!$A$2:$A$5000,0)),IF(INDEX(DB_materiali!$E$2:$E$5000,MATCH($C330,DB_materiali!$A$2:$A$5000,0))&lt;=INDEX(DB_malas!$D$2:$D$5000,MATCH(I330,DB_malas!$A$2:$A$5000,0)),IF(OR(INDEX(DB_materiali!$B$2:$B$5000,MATCH($C330,DB_materiali!$A$2:$A$5000,0))=INDEX(DB_malas!$B$2:$B$5000,MATCH(I330,DB_malas!$A$2:$A$5000,0)),$H330="ORG"),"✔",tulkojums!$A$38),tulkojums!$A$39),tulkojums!$A$39))</f>
        <v/>
      </c>
      <c r="R330" s="2" t="str">
        <f>IF(ISBLANK(J330),"",IF(INDEX(DB_materiali!$E$2:$E$5000,MATCH($C330,DB_materiali!$A$2:$A$5000,0))&gt;=INDEX(DB_malas!$C$2:$C$5000,MATCH(J330,DB_malas!$A$2:$A$5000,0)),IF(INDEX(DB_materiali!$E$2:$E$5000,MATCH($C330,DB_materiali!$A$2:$A$5000,0))&lt;=INDEX(DB_malas!$D$2:$D$5000,MATCH(J330,DB_malas!$A$2:$A$5000,0)),IF(INDEX(DB_materiali!$B$2:$B$5000,MATCH($C330,DB_materiali!$A$2:$A$5000,0))=INDEX(DB_malas!$B$2:$B$5000,MATCH(J330,DB_malas!$A$2:$A$5000,0)),"✔",tulkojums!$A$38),tulkojums!$A$39),tulkojums!$A$39))</f>
        <v/>
      </c>
      <c r="S330" s="2" t="str">
        <f>IF(ISBLANK(K330),"",IF(INDEX(DB_materiali!$E$2:$E$5000,MATCH($C330,DB_materiali!$A$2:$A$5000,0))&gt;=INDEX(DB_malas!$C$2:$C$5000,MATCH(K330,DB_malas!$A$2:$A$5000,0)),IF(INDEX(DB_materiali!$E$2:$E$5000,MATCH($C330,DB_materiali!$A$2:$A$5000,0))&lt;=INDEX(DB_malas!$D$2:$D$5000,MATCH(K330,DB_malas!$A$2:$A$5000,0)),IF(INDEX(DB_materiali!$B$2:$B$5000,MATCH($C330,DB_materiali!$A$2:$A$5000,0))=INDEX(DB_malas!$B$2:$B$5000,MATCH(K330,DB_malas!$A$2:$A$5000,0)),"✔",tulkojums!$A$38),tulkojums!$A$39),tulkojums!$A$39))</f>
        <v/>
      </c>
      <c r="T330" s="2"/>
      <c r="U330" s="2"/>
      <c r="V330" s="2"/>
      <c r="W330" s="2"/>
      <c r="X330" s="2"/>
      <c r="Y330" s="2"/>
      <c r="Z330" s="2"/>
    </row>
    <row r="331" spans="1:26" ht="15.75" customHeight="1">
      <c r="A331" s="17"/>
      <c r="B331" s="18"/>
      <c r="C331" s="19"/>
      <c r="D331" s="55"/>
      <c r="E331" s="55"/>
      <c r="F331" s="56"/>
      <c r="G331" s="57" t="str">
        <f>IF(ISBLANK(C331),"",
   IFERROR(
      IF(
         INDEX(DB_materiali!C$2:C$5000,
               MATCH(C331, DB_materiali!A$2:A$5000, 0)
         )="FALSE",
         "N",
         "Y"
      ),
   "")
)</f>
        <v/>
      </c>
      <c r="H331" s="20"/>
      <c r="I331" s="20"/>
      <c r="J331" s="20"/>
      <c r="K331" s="20"/>
      <c r="M331" s="2" t="str">
        <f>IF(ISBLANK(C331),"",IF(IFERROR(VLOOKUP(C331,DB_materiali!$A$2:$A$5000,1,FALSE),"Kļūda artikulā")=C331,"✔",tulkojums!A$42))</f>
        <v/>
      </c>
      <c r="N331" s="2" t="str">
        <f>IF(ISBLANK(C331),"",IF(ISNUMBER(F331)=TRUE,"✔",tulkojums!A$43))</f>
        <v/>
      </c>
      <c r="O331" s="2" t="str">
        <f>IF(ISBLANK(C331),"",IF(G331="Y","✔",IF(G331="X","✔",IF(G331="N","✔",tulkojums!A$44))))</f>
        <v/>
      </c>
      <c r="P331" s="2" t="str">
        <f>IF(ISBLANK(H331),"",IF(INDEX(DB_materiali!$E$2:$E$5000,MATCH($C331,DB_materiali!$A$2:$A$5000,0))&gt;=INDEX(DB_malas!$C$2:$C$5000,MATCH(H331,DB_malas!$A$2:$A$5000,0)),IF(INDEX(DB_materiali!$E$2:$E$5000,MATCH($C331,DB_materiali!$A$2:$A$5000,0))&lt;=INDEX(DB_malas!$D$2:$D$5000,MATCH(H331,DB_malas!$A$2:$A$5000,0)),IF(OR(INDEX(DB_materiali!$B$2:$B$5000,MATCH($C331,DB_materiali!$A$2:$A$5000,0))=INDEX(DB_malas!$B$2:$B$5000,MATCH(H331,DB_malas!$A$2:$A$5000,0)),$H331="ORG"),"✔",tulkojums!$A$38),tulkojums!$A$39),tulkojums!$A$39))</f>
        <v/>
      </c>
      <c r="Q331" s="2" t="str">
        <f>IF(ISBLANK(I331),"",IF(INDEX(DB_materiali!$E$2:$E$5000,MATCH($C331,DB_materiali!$A$2:$A$5000,0))&gt;=INDEX(DB_malas!$C$2:$C$5000,MATCH(I331,DB_malas!$A$2:$A$5000,0)),IF(INDEX(DB_materiali!$E$2:$E$5000,MATCH($C331,DB_materiali!$A$2:$A$5000,0))&lt;=INDEX(DB_malas!$D$2:$D$5000,MATCH(I331,DB_malas!$A$2:$A$5000,0)),IF(OR(INDEX(DB_materiali!$B$2:$B$5000,MATCH($C331,DB_materiali!$A$2:$A$5000,0))=INDEX(DB_malas!$B$2:$B$5000,MATCH(I331,DB_malas!$A$2:$A$5000,0)),$H331="ORG"),"✔",tulkojums!$A$38),tulkojums!$A$39),tulkojums!$A$39))</f>
        <v/>
      </c>
      <c r="R331" s="2" t="str">
        <f>IF(ISBLANK(J331),"",IF(INDEX(DB_materiali!$E$2:$E$5000,MATCH($C331,DB_materiali!$A$2:$A$5000,0))&gt;=INDEX(DB_malas!$C$2:$C$5000,MATCH(J331,DB_malas!$A$2:$A$5000,0)),IF(INDEX(DB_materiali!$E$2:$E$5000,MATCH($C331,DB_materiali!$A$2:$A$5000,0))&lt;=INDEX(DB_malas!$D$2:$D$5000,MATCH(J331,DB_malas!$A$2:$A$5000,0)),IF(INDEX(DB_materiali!$B$2:$B$5000,MATCH($C331,DB_materiali!$A$2:$A$5000,0))=INDEX(DB_malas!$B$2:$B$5000,MATCH(J331,DB_malas!$A$2:$A$5000,0)),"✔",tulkojums!$A$38),tulkojums!$A$39),tulkojums!$A$39))</f>
        <v/>
      </c>
      <c r="S331" s="2" t="str">
        <f>IF(ISBLANK(K331),"",IF(INDEX(DB_materiali!$E$2:$E$5000,MATCH($C331,DB_materiali!$A$2:$A$5000,0))&gt;=INDEX(DB_malas!$C$2:$C$5000,MATCH(K331,DB_malas!$A$2:$A$5000,0)),IF(INDEX(DB_materiali!$E$2:$E$5000,MATCH($C331,DB_materiali!$A$2:$A$5000,0))&lt;=INDEX(DB_malas!$D$2:$D$5000,MATCH(K331,DB_malas!$A$2:$A$5000,0)),IF(INDEX(DB_materiali!$B$2:$B$5000,MATCH($C331,DB_materiali!$A$2:$A$5000,0))=INDEX(DB_malas!$B$2:$B$5000,MATCH(K331,DB_malas!$A$2:$A$5000,0)),"✔",tulkojums!$A$38),tulkojums!$A$39),tulkojums!$A$39))</f>
        <v/>
      </c>
      <c r="T331" s="2"/>
      <c r="U331" s="2"/>
      <c r="V331" s="2"/>
      <c r="W331" s="2"/>
      <c r="X331" s="2"/>
      <c r="Y331" s="2"/>
      <c r="Z331" s="2"/>
    </row>
    <row r="332" spans="1:26" ht="15.75" customHeight="1">
      <c r="A332" s="17"/>
      <c r="B332" s="18"/>
      <c r="C332" s="19"/>
      <c r="D332" s="55"/>
      <c r="E332" s="55"/>
      <c r="F332" s="56"/>
      <c r="G332" s="57" t="str">
        <f>IF(ISBLANK(C332),"",
   IFERROR(
      IF(
         INDEX(DB_materiali!C$2:C$5000,
               MATCH(C332, DB_materiali!A$2:A$5000, 0)
         )="FALSE",
         "N",
         "Y"
      ),
   "")
)</f>
        <v/>
      </c>
      <c r="H332" s="20"/>
      <c r="I332" s="20"/>
      <c r="J332" s="20"/>
      <c r="K332" s="20"/>
      <c r="M332" s="2" t="str">
        <f>IF(ISBLANK(C332),"",IF(IFERROR(VLOOKUP(C332,DB_materiali!$A$2:$A$5000,1,FALSE),"Kļūda artikulā")=C332,"✔",tulkojums!A$42))</f>
        <v/>
      </c>
      <c r="N332" s="2" t="str">
        <f>IF(ISBLANK(C332),"",IF(ISNUMBER(F332)=TRUE,"✔",tulkojums!A$43))</f>
        <v/>
      </c>
      <c r="O332" s="2" t="str">
        <f>IF(ISBLANK(C332),"",IF(G332="Y","✔",IF(G332="X","✔",IF(G332="N","✔",tulkojums!A$44))))</f>
        <v/>
      </c>
      <c r="P332" s="2" t="str">
        <f>IF(ISBLANK(H332),"",IF(INDEX(DB_materiali!$E$2:$E$5000,MATCH($C332,DB_materiali!$A$2:$A$5000,0))&gt;=INDEX(DB_malas!$C$2:$C$5000,MATCH(H332,DB_malas!$A$2:$A$5000,0)),IF(INDEX(DB_materiali!$E$2:$E$5000,MATCH($C332,DB_materiali!$A$2:$A$5000,0))&lt;=INDEX(DB_malas!$D$2:$D$5000,MATCH(H332,DB_malas!$A$2:$A$5000,0)),IF(OR(INDEX(DB_materiali!$B$2:$B$5000,MATCH($C332,DB_materiali!$A$2:$A$5000,0))=INDEX(DB_malas!$B$2:$B$5000,MATCH(H332,DB_malas!$A$2:$A$5000,0)),$H332="ORG"),"✔",tulkojums!$A$38),tulkojums!$A$39),tulkojums!$A$39))</f>
        <v/>
      </c>
      <c r="Q332" s="2" t="str">
        <f>IF(ISBLANK(I332),"",IF(INDEX(DB_materiali!$E$2:$E$5000,MATCH($C332,DB_materiali!$A$2:$A$5000,0))&gt;=INDEX(DB_malas!$C$2:$C$5000,MATCH(I332,DB_malas!$A$2:$A$5000,0)),IF(INDEX(DB_materiali!$E$2:$E$5000,MATCH($C332,DB_materiali!$A$2:$A$5000,0))&lt;=INDEX(DB_malas!$D$2:$D$5000,MATCH(I332,DB_malas!$A$2:$A$5000,0)),IF(OR(INDEX(DB_materiali!$B$2:$B$5000,MATCH($C332,DB_materiali!$A$2:$A$5000,0))=INDEX(DB_malas!$B$2:$B$5000,MATCH(I332,DB_malas!$A$2:$A$5000,0)),$H332="ORG"),"✔",tulkojums!$A$38),tulkojums!$A$39),tulkojums!$A$39))</f>
        <v/>
      </c>
      <c r="R332" s="2" t="str">
        <f>IF(ISBLANK(J332),"",IF(INDEX(DB_materiali!$E$2:$E$5000,MATCH($C332,DB_materiali!$A$2:$A$5000,0))&gt;=INDEX(DB_malas!$C$2:$C$5000,MATCH(J332,DB_malas!$A$2:$A$5000,0)),IF(INDEX(DB_materiali!$E$2:$E$5000,MATCH($C332,DB_materiali!$A$2:$A$5000,0))&lt;=INDEX(DB_malas!$D$2:$D$5000,MATCH(J332,DB_malas!$A$2:$A$5000,0)),IF(INDEX(DB_materiali!$B$2:$B$5000,MATCH($C332,DB_materiali!$A$2:$A$5000,0))=INDEX(DB_malas!$B$2:$B$5000,MATCH(J332,DB_malas!$A$2:$A$5000,0)),"✔",tulkojums!$A$38),tulkojums!$A$39),tulkojums!$A$39))</f>
        <v/>
      </c>
      <c r="S332" s="2" t="str">
        <f>IF(ISBLANK(K332),"",IF(INDEX(DB_materiali!$E$2:$E$5000,MATCH($C332,DB_materiali!$A$2:$A$5000,0))&gt;=INDEX(DB_malas!$C$2:$C$5000,MATCH(K332,DB_malas!$A$2:$A$5000,0)),IF(INDEX(DB_materiali!$E$2:$E$5000,MATCH($C332,DB_materiali!$A$2:$A$5000,0))&lt;=INDEX(DB_malas!$D$2:$D$5000,MATCH(K332,DB_malas!$A$2:$A$5000,0)),IF(INDEX(DB_materiali!$B$2:$B$5000,MATCH($C332,DB_materiali!$A$2:$A$5000,0))=INDEX(DB_malas!$B$2:$B$5000,MATCH(K332,DB_malas!$A$2:$A$5000,0)),"✔",tulkojums!$A$38),tulkojums!$A$39),tulkojums!$A$39))</f>
        <v/>
      </c>
      <c r="T332" s="2"/>
      <c r="U332" s="2"/>
      <c r="V332" s="2"/>
      <c r="W332" s="2"/>
      <c r="X332" s="2"/>
      <c r="Y332" s="2"/>
      <c r="Z332" s="2"/>
    </row>
    <row r="333" spans="1:26" ht="15.75" customHeight="1">
      <c r="A333" s="17"/>
      <c r="B333" s="18"/>
      <c r="C333" s="19"/>
      <c r="D333" s="55"/>
      <c r="E333" s="55"/>
      <c r="F333" s="56"/>
      <c r="G333" s="57" t="str">
        <f>IF(ISBLANK(C333),"",
   IFERROR(
      IF(
         INDEX(DB_materiali!C$2:C$5000,
               MATCH(C333, DB_materiali!A$2:A$5000, 0)
         )="FALSE",
         "N",
         "Y"
      ),
   "")
)</f>
        <v/>
      </c>
      <c r="H333" s="20"/>
      <c r="I333" s="20"/>
      <c r="J333" s="20"/>
      <c r="K333" s="20"/>
      <c r="M333" s="2" t="str">
        <f>IF(ISBLANK(C333),"",IF(IFERROR(VLOOKUP(C333,DB_materiali!$A$2:$A$5000,1,FALSE),"Kļūda artikulā")=C333,"✔",tulkojums!A$42))</f>
        <v/>
      </c>
      <c r="N333" s="2" t="str">
        <f>IF(ISBLANK(C333),"",IF(ISNUMBER(F333)=TRUE,"✔",tulkojums!A$43))</f>
        <v/>
      </c>
      <c r="O333" s="2" t="str">
        <f>IF(ISBLANK(C333),"",IF(G333="Y","✔",IF(G333="X","✔",IF(G333="N","✔",tulkojums!A$44))))</f>
        <v/>
      </c>
      <c r="P333" s="2" t="str">
        <f>IF(ISBLANK(H333),"",IF(INDEX(DB_materiali!$E$2:$E$5000,MATCH($C333,DB_materiali!$A$2:$A$5000,0))&gt;=INDEX(DB_malas!$C$2:$C$5000,MATCH(H333,DB_malas!$A$2:$A$5000,0)),IF(INDEX(DB_materiali!$E$2:$E$5000,MATCH($C333,DB_materiali!$A$2:$A$5000,0))&lt;=INDEX(DB_malas!$D$2:$D$5000,MATCH(H333,DB_malas!$A$2:$A$5000,0)),IF(OR(INDEX(DB_materiali!$B$2:$B$5000,MATCH($C333,DB_materiali!$A$2:$A$5000,0))=INDEX(DB_malas!$B$2:$B$5000,MATCH(H333,DB_malas!$A$2:$A$5000,0)),$H333="ORG"),"✔",tulkojums!$A$38),tulkojums!$A$39),tulkojums!$A$39))</f>
        <v/>
      </c>
      <c r="Q333" s="2" t="str">
        <f>IF(ISBLANK(I333),"",IF(INDEX(DB_materiali!$E$2:$E$5000,MATCH($C333,DB_materiali!$A$2:$A$5000,0))&gt;=INDEX(DB_malas!$C$2:$C$5000,MATCH(I333,DB_malas!$A$2:$A$5000,0)),IF(INDEX(DB_materiali!$E$2:$E$5000,MATCH($C333,DB_materiali!$A$2:$A$5000,0))&lt;=INDEX(DB_malas!$D$2:$D$5000,MATCH(I333,DB_malas!$A$2:$A$5000,0)),IF(OR(INDEX(DB_materiali!$B$2:$B$5000,MATCH($C333,DB_materiali!$A$2:$A$5000,0))=INDEX(DB_malas!$B$2:$B$5000,MATCH(I333,DB_malas!$A$2:$A$5000,0)),$H333="ORG"),"✔",tulkojums!$A$38),tulkojums!$A$39),tulkojums!$A$39))</f>
        <v/>
      </c>
      <c r="R333" s="2" t="str">
        <f>IF(ISBLANK(J333),"",IF(INDEX(DB_materiali!$E$2:$E$5000,MATCH($C333,DB_materiali!$A$2:$A$5000,0))&gt;=INDEX(DB_malas!$C$2:$C$5000,MATCH(J333,DB_malas!$A$2:$A$5000,0)),IF(INDEX(DB_materiali!$E$2:$E$5000,MATCH($C333,DB_materiali!$A$2:$A$5000,0))&lt;=INDEX(DB_malas!$D$2:$D$5000,MATCH(J333,DB_malas!$A$2:$A$5000,0)),IF(INDEX(DB_materiali!$B$2:$B$5000,MATCH($C333,DB_materiali!$A$2:$A$5000,0))=INDEX(DB_malas!$B$2:$B$5000,MATCH(J333,DB_malas!$A$2:$A$5000,0)),"✔",tulkojums!$A$38),tulkojums!$A$39),tulkojums!$A$39))</f>
        <v/>
      </c>
      <c r="S333" s="2" t="str">
        <f>IF(ISBLANK(K333),"",IF(INDEX(DB_materiali!$E$2:$E$5000,MATCH($C333,DB_materiali!$A$2:$A$5000,0))&gt;=INDEX(DB_malas!$C$2:$C$5000,MATCH(K333,DB_malas!$A$2:$A$5000,0)),IF(INDEX(DB_materiali!$E$2:$E$5000,MATCH($C333,DB_materiali!$A$2:$A$5000,0))&lt;=INDEX(DB_malas!$D$2:$D$5000,MATCH(K333,DB_malas!$A$2:$A$5000,0)),IF(INDEX(DB_materiali!$B$2:$B$5000,MATCH($C333,DB_materiali!$A$2:$A$5000,0))=INDEX(DB_malas!$B$2:$B$5000,MATCH(K333,DB_malas!$A$2:$A$5000,0)),"✔",tulkojums!$A$38),tulkojums!$A$39),tulkojums!$A$39))</f>
        <v/>
      </c>
      <c r="T333" s="2"/>
      <c r="U333" s="2"/>
      <c r="V333" s="2"/>
      <c r="W333" s="2"/>
      <c r="X333" s="2"/>
      <c r="Y333" s="2"/>
      <c r="Z333" s="2"/>
    </row>
    <row r="334" spans="1:26" ht="15.75" customHeight="1">
      <c r="A334" s="17"/>
      <c r="B334" s="18"/>
      <c r="C334" s="19"/>
      <c r="D334" s="55"/>
      <c r="E334" s="55"/>
      <c r="F334" s="56"/>
      <c r="G334" s="57" t="str">
        <f>IF(ISBLANK(C334),"",
   IFERROR(
      IF(
         INDEX(DB_materiali!C$2:C$5000,
               MATCH(C334, DB_materiali!A$2:A$5000, 0)
         )="FALSE",
         "N",
         "Y"
      ),
   "")
)</f>
        <v/>
      </c>
      <c r="H334" s="20"/>
      <c r="I334" s="20"/>
      <c r="J334" s="20"/>
      <c r="K334" s="20"/>
      <c r="M334" s="2" t="str">
        <f>IF(ISBLANK(C334),"",IF(IFERROR(VLOOKUP(C334,DB_materiali!$A$2:$A$5000,1,FALSE),"Kļūda artikulā")=C334,"✔",tulkojums!A$42))</f>
        <v/>
      </c>
      <c r="N334" s="2" t="str">
        <f>IF(ISBLANK(C334),"",IF(ISNUMBER(F334)=TRUE,"✔",tulkojums!A$43))</f>
        <v/>
      </c>
      <c r="O334" s="2" t="str">
        <f>IF(ISBLANK(C334),"",IF(G334="Y","✔",IF(G334="X","✔",IF(G334="N","✔",tulkojums!A$44))))</f>
        <v/>
      </c>
      <c r="P334" s="2" t="str">
        <f>IF(ISBLANK(H334),"",IF(INDEX(DB_materiali!$E$2:$E$5000,MATCH($C334,DB_materiali!$A$2:$A$5000,0))&gt;=INDEX(DB_malas!$C$2:$C$5000,MATCH(H334,DB_malas!$A$2:$A$5000,0)),IF(INDEX(DB_materiali!$E$2:$E$5000,MATCH($C334,DB_materiali!$A$2:$A$5000,0))&lt;=INDEX(DB_malas!$D$2:$D$5000,MATCH(H334,DB_malas!$A$2:$A$5000,0)),IF(OR(INDEX(DB_materiali!$B$2:$B$5000,MATCH($C334,DB_materiali!$A$2:$A$5000,0))=INDEX(DB_malas!$B$2:$B$5000,MATCH(H334,DB_malas!$A$2:$A$5000,0)),$H334="ORG"),"✔",tulkojums!$A$38),tulkojums!$A$39),tulkojums!$A$39))</f>
        <v/>
      </c>
      <c r="Q334" s="2" t="str">
        <f>IF(ISBLANK(I334),"",IF(INDEX(DB_materiali!$E$2:$E$5000,MATCH($C334,DB_materiali!$A$2:$A$5000,0))&gt;=INDEX(DB_malas!$C$2:$C$5000,MATCH(I334,DB_malas!$A$2:$A$5000,0)),IF(INDEX(DB_materiali!$E$2:$E$5000,MATCH($C334,DB_materiali!$A$2:$A$5000,0))&lt;=INDEX(DB_malas!$D$2:$D$5000,MATCH(I334,DB_malas!$A$2:$A$5000,0)),IF(OR(INDEX(DB_materiali!$B$2:$B$5000,MATCH($C334,DB_materiali!$A$2:$A$5000,0))=INDEX(DB_malas!$B$2:$B$5000,MATCH(I334,DB_malas!$A$2:$A$5000,0)),$H334="ORG"),"✔",tulkojums!$A$38),tulkojums!$A$39),tulkojums!$A$39))</f>
        <v/>
      </c>
      <c r="R334" s="2" t="str">
        <f>IF(ISBLANK(J334),"",IF(INDEX(DB_materiali!$E$2:$E$5000,MATCH($C334,DB_materiali!$A$2:$A$5000,0))&gt;=INDEX(DB_malas!$C$2:$C$5000,MATCH(J334,DB_malas!$A$2:$A$5000,0)),IF(INDEX(DB_materiali!$E$2:$E$5000,MATCH($C334,DB_materiali!$A$2:$A$5000,0))&lt;=INDEX(DB_malas!$D$2:$D$5000,MATCH(J334,DB_malas!$A$2:$A$5000,0)),IF(INDEX(DB_materiali!$B$2:$B$5000,MATCH($C334,DB_materiali!$A$2:$A$5000,0))=INDEX(DB_malas!$B$2:$B$5000,MATCH(J334,DB_malas!$A$2:$A$5000,0)),"✔",tulkojums!$A$38),tulkojums!$A$39),tulkojums!$A$39))</f>
        <v/>
      </c>
      <c r="S334" s="2" t="str">
        <f>IF(ISBLANK(K334),"",IF(INDEX(DB_materiali!$E$2:$E$5000,MATCH($C334,DB_materiali!$A$2:$A$5000,0))&gt;=INDEX(DB_malas!$C$2:$C$5000,MATCH(K334,DB_malas!$A$2:$A$5000,0)),IF(INDEX(DB_materiali!$E$2:$E$5000,MATCH($C334,DB_materiali!$A$2:$A$5000,0))&lt;=INDEX(DB_malas!$D$2:$D$5000,MATCH(K334,DB_malas!$A$2:$A$5000,0)),IF(INDEX(DB_materiali!$B$2:$B$5000,MATCH($C334,DB_materiali!$A$2:$A$5000,0))=INDEX(DB_malas!$B$2:$B$5000,MATCH(K334,DB_malas!$A$2:$A$5000,0)),"✔",tulkojums!$A$38),tulkojums!$A$39),tulkojums!$A$39))</f>
        <v/>
      </c>
      <c r="T334" s="2"/>
      <c r="U334" s="2"/>
      <c r="V334" s="2"/>
      <c r="W334" s="2"/>
      <c r="X334" s="2"/>
      <c r="Y334" s="2"/>
      <c r="Z334" s="2"/>
    </row>
    <row r="335" spans="1:26" ht="15.75" customHeight="1">
      <c r="A335" s="17"/>
      <c r="B335" s="18"/>
      <c r="C335" s="19"/>
      <c r="D335" s="55"/>
      <c r="E335" s="55"/>
      <c r="F335" s="56"/>
      <c r="G335" s="57" t="str">
        <f>IF(ISBLANK(C335),"",
   IFERROR(
      IF(
         INDEX(DB_materiali!C$2:C$5000,
               MATCH(C335, DB_materiali!A$2:A$5000, 0)
         )="FALSE",
         "N",
         "Y"
      ),
   "")
)</f>
        <v/>
      </c>
      <c r="H335" s="20"/>
      <c r="I335" s="20"/>
      <c r="J335" s="20"/>
      <c r="K335" s="20"/>
      <c r="M335" s="2" t="str">
        <f>IF(ISBLANK(C335),"",IF(IFERROR(VLOOKUP(C335,DB_materiali!$A$2:$A$5000,1,FALSE),"Kļūda artikulā")=C335,"✔",tulkojums!A$42))</f>
        <v/>
      </c>
      <c r="N335" s="2" t="str">
        <f>IF(ISBLANK(C335),"",IF(ISNUMBER(F335)=TRUE,"✔",tulkojums!A$43))</f>
        <v/>
      </c>
      <c r="O335" s="2" t="str">
        <f>IF(ISBLANK(C335),"",IF(G335="Y","✔",IF(G335="X","✔",IF(G335="N","✔",tulkojums!A$44))))</f>
        <v/>
      </c>
      <c r="P335" s="2" t="str">
        <f>IF(ISBLANK(H335),"",IF(INDEX(DB_materiali!$E$2:$E$5000,MATCH($C335,DB_materiali!$A$2:$A$5000,0))&gt;=INDEX(DB_malas!$C$2:$C$5000,MATCH(H335,DB_malas!$A$2:$A$5000,0)),IF(INDEX(DB_materiali!$E$2:$E$5000,MATCH($C335,DB_materiali!$A$2:$A$5000,0))&lt;=INDEX(DB_malas!$D$2:$D$5000,MATCH(H335,DB_malas!$A$2:$A$5000,0)),IF(OR(INDEX(DB_materiali!$B$2:$B$5000,MATCH($C335,DB_materiali!$A$2:$A$5000,0))=INDEX(DB_malas!$B$2:$B$5000,MATCH(H335,DB_malas!$A$2:$A$5000,0)),$H335="ORG"),"✔",tulkojums!$A$38),tulkojums!$A$39),tulkojums!$A$39))</f>
        <v/>
      </c>
      <c r="Q335" s="2" t="str">
        <f>IF(ISBLANK(I335),"",IF(INDEX(DB_materiali!$E$2:$E$5000,MATCH($C335,DB_materiali!$A$2:$A$5000,0))&gt;=INDEX(DB_malas!$C$2:$C$5000,MATCH(I335,DB_malas!$A$2:$A$5000,0)),IF(INDEX(DB_materiali!$E$2:$E$5000,MATCH($C335,DB_materiali!$A$2:$A$5000,0))&lt;=INDEX(DB_malas!$D$2:$D$5000,MATCH(I335,DB_malas!$A$2:$A$5000,0)),IF(OR(INDEX(DB_materiali!$B$2:$B$5000,MATCH($C335,DB_materiali!$A$2:$A$5000,0))=INDEX(DB_malas!$B$2:$B$5000,MATCH(I335,DB_malas!$A$2:$A$5000,0)),$H335="ORG"),"✔",tulkojums!$A$38),tulkojums!$A$39),tulkojums!$A$39))</f>
        <v/>
      </c>
      <c r="R335" s="2" t="str">
        <f>IF(ISBLANK(J335),"",IF(INDEX(DB_materiali!$E$2:$E$5000,MATCH($C335,DB_materiali!$A$2:$A$5000,0))&gt;=INDEX(DB_malas!$C$2:$C$5000,MATCH(J335,DB_malas!$A$2:$A$5000,0)),IF(INDEX(DB_materiali!$E$2:$E$5000,MATCH($C335,DB_materiali!$A$2:$A$5000,0))&lt;=INDEX(DB_malas!$D$2:$D$5000,MATCH(J335,DB_malas!$A$2:$A$5000,0)),IF(INDEX(DB_materiali!$B$2:$B$5000,MATCH($C335,DB_materiali!$A$2:$A$5000,0))=INDEX(DB_malas!$B$2:$B$5000,MATCH(J335,DB_malas!$A$2:$A$5000,0)),"✔",tulkojums!$A$38),tulkojums!$A$39),tulkojums!$A$39))</f>
        <v/>
      </c>
      <c r="S335" s="2" t="str">
        <f>IF(ISBLANK(K335),"",IF(INDEX(DB_materiali!$E$2:$E$5000,MATCH($C335,DB_materiali!$A$2:$A$5000,0))&gt;=INDEX(DB_malas!$C$2:$C$5000,MATCH(K335,DB_malas!$A$2:$A$5000,0)),IF(INDEX(DB_materiali!$E$2:$E$5000,MATCH($C335,DB_materiali!$A$2:$A$5000,0))&lt;=INDEX(DB_malas!$D$2:$D$5000,MATCH(K335,DB_malas!$A$2:$A$5000,0)),IF(INDEX(DB_materiali!$B$2:$B$5000,MATCH($C335,DB_materiali!$A$2:$A$5000,0))=INDEX(DB_malas!$B$2:$B$5000,MATCH(K335,DB_malas!$A$2:$A$5000,0)),"✔",tulkojums!$A$38),tulkojums!$A$39),tulkojums!$A$39))</f>
        <v/>
      </c>
      <c r="T335" s="2"/>
      <c r="U335" s="2"/>
      <c r="V335" s="2"/>
      <c r="W335" s="2"/>
      <c r="X335" s="2"/>
      <c r="Y335" s="2"/>
      <c r="Z335" s="2"/>
    </row>
    <row r="336" spans="1:26" ht="15.75" customHeight="1">
      <c r="A336" s="17"/>
      <c r="B336" s="18"/>
      <c r="C336" s="19"/>
      <c r="D336" s="55"/>
      <c r="E336" s="55"/>
      <c r="F336" s="56"/>
      <c r="G336" s="57" t="str">
        <f>IF(ISBLANK(C336),"",
   IFERROR(
      IF(
         INDEX(DB_materiali!C$2:C$5000,
               MATCH(C336, DB_materiali!A$2:A$5000, 0)
         )="FALSE",
         "N",
         "Y"
      ),
   "")
)</f>
        <v/>
      </c>
      <c r="H336" s="20"/>
      <c r="I336" s="20"/>
      <c r="J336" s="20"/>
      <c r="K336" s="20"/>
      <c r="M336" s="2" t="str">
        <f>IF(ISBLANK(C336),"",IF(IFERROR(VLOOKUP(C336,DB_materiali!$A$2:$A$5000,1,FALSE),"Kļūda artikulā")=C336,"✔",tulkojums!A$42))</f>
        <v/>
      </c>
      <c r="N336" s="2" t="str">
        <f>IF(ISBLANK(C336),"",IF(ISNUMBER(F336)=TRUE,"✔",tulkojums!A$43))</f>
        <v/>
      </c>
      <c r="O336" s="2" t="str">
        <f>IF(ISBLANK(C336),"",IF(G336="Y","✔",IF(G336="X","✔",IF(G336="N","✔",tulkojums!A$44))))</f>
        <v/>
      </c>
      <c r="P336" s="2" t="str">
        <f>IF(ISBLANK(H336),"",IF(INDEX(DB_materiali!$E$2:$E$5000,MATCH($C336,DB_materiali!$A$2:$A$5000,0))&gt;=INDEX(DB_malas!$C$2:$C$5000,MATCH(H336,DB_malas!$A$2:$A$5000,0)),IF(INDEX(DB_materiali!$E$2:$E$5000,MATCH($C336,DB_materiali!$A$2:$A$5000,0))&lt;=INDEX(DB_malas!$D$2:$D$5000,MATCH(H336,DB_malas!$A$2:$A$5000,0)),IF(OR(INDEX(DB_materiali!$B$2:$B$5000,MATCH($C336,DB_materiali!$A$2:$A$5000,0))=INDEX(DB_malas!$B$2:$B$5000,MATCH(H336,DB_malas!$A$2:$A$5000,0)),$H336="ORG"),"✔",tulkojums!$A$38),tulkojums!$A$39),tulkojums!$A$39))</f>
        <v/>
      </c>
      <c r="Q336" s="2" t="str">
        <f>IF(ISBLANK(I336),"",IF(INDEX(DB_materiali!$E$2:$E$5000,MATCH($C336,DB_materiali!$A$2:$A$5000,0))&gt;=INDEX(DB_malas!$C$2:$C$5000,MATCH(I336,DB_malas!$A$2:$A$5000,0)),IF(INDEX(DB_materiali!$E$2:$E$5000,MATCH($C336,DB_materiali!$A$2:$A$5000,0))&lt;=INDEX(DB_malas!$D$2:$D$5000,MATCH(I336,DB_malas!$A$2:$A$5000,0)),IF(OR(INDEX(DB_materiali!$B$2:$B$5000,MATCH($C336,DB_materiali!$A$2:$A$5000,0))=INDEX(DB_malas!$B$2:$B$5000,MATCH(I336,DB_malas!$A$2:$A$5000,0)),$H336="ORG"),"✔",tulkojums!$A$38),tulkojums!$A$39),tulkojums!$A$39))</f>
        <v/>
      </c>
      <c r="R336" s="2" t="str">
        <f>IF(ISBLANK(J336),"",IF(INDEX(DB_materiali!$E$2:$E$5000,MATCH($C336,DB_materiali!$A$2:$A$5000,0))&gt;=INDEX(DB_malas!$C$2:$C$5000,MATCH(J336,DB_malas!$A$2:$A$5000,0)),IF(INDEX(DB_materiali!$E$2:$E$5000,MATCH($C336,DB_materiali!$A$2:$A$5000,0))&lt;=INDEX(DB_malas!$D$2:$D$5000,MATCH(J336,DB_malas!$A$2:$A$5000,0)),IF(INDEX(DB_materiali!$B$2:$B$5000,MATCH($C336,DB_materiali!$A$2:$A$5000,0))=INDEX(DB_malas!$B$2:$B$5000,MATCH(J336,DB_malas!$A$2:$A$5000,0)),"✔",tulkojums!$A$38),tulkojums!$A$39),tulkojums!$A$39))</f>
        <v/>
      </c>
      <c r="S336" s="2" t="str">
        <f>IF(ISBLANK(K336),"",IF(INDEX(DB_materiali!$E$2:$E$5000,MATCH($C336,DB_materiali!$A$2:$A$5000,0))&gt;=INDEX(DB_malas!$C$2:$C$5000,MATCH(K336,DB_malas!$A$2:$A$5000,0)),IF(INDEX(DB_materiali!$E$2:$E$5000,MATCH($C336,DB_materiali!$A$2:$A$5000,0))&lt;=INDEX(DB_malas!$D$2:$D$5000,MATCH(K336,DB_malas!$A$2:$A$5000,0)),IF(INDEX(DB_materiali!$B$2:$B$5000,MATCH($C336,DB_materiali!$A$2:$A$5000,0))=INDEX(DB_malas!$B$2:$B$5000,MATCH(K336,DB_malas!$A$2:$A$5000,0)),"✔",tulkojums!$A$38),tulkojums!$A$39),tulkojums!$A$39))</f>
        <v/>
      </c>
      <c r="T336" s="2"/>
      <c r="U336" s="2"/>
      <c r="V336" s="2"/>
      <c r="W336" s="2"/>
      <c r="X336" s="2"/>
      <c r="Y336" s="2"/>
      <c r="Z336" s="2"/>
    </row>
    <row r="337" spans="1:26" ht="15.75" customHeight="1">
      <c r="A337" s="17"/>
      <c r="B337" s="18"/>
      <c r="C337" s="19"/>
      <c r="D337" s="55"/>
      <c r="E337" s="55"/>
      <c r="F337" s="56"/>
      <c r="G337" s="57" t="str">
        <f>IF(ISBLANK(C337),"",
   IFERROR(
      IF(
         INDEX(DB_materiali!C$2:C$5000,
               MATCH(C337, DB_materiali!A$2:A$5000, 0)
         )="FALSE",
         "N",
         "Y"
      ),
   "")
)</f>
        <v/>
      </c>
      <c r="H337" s="20"/>
      <c r="I337" s="20"/>
      <c r="J337" s="20"/>
      <c r="K337" s="20"/>
      <c r="M337" s="2" t="str">
        <f>IF(ISBLANK(C337),"",IF(IFERROR(VLOOKUP(C337,DB_materiali!$A$2:$A$5000,1,FALSE),"Kļūda artikulā")=C337,"✔",tulkojums!A$42))</f>
        <v/>
      </c>
      <c r="N337" s="2" t="str">
        <f>IF(ISBLANK(C337),"",IF(ISNUMBER(F337)=TRUE,"✔",tulkojums!A$43))</f>
        <v/>
      </c>
      <c r="O337" s="2" t="str">
        <f>IF(ISBLANK(C337),"",IF(G337="Y","✔",IF(G337="X","✔",IF(G337="N","✔",tulkojums!A$44))))</f>
        <v/>
      </c>
      <c r="P337" s="2" t="str">
        <f>IF(ISBLANK(H337),"",IF(INDEX(DB_materiali!$E$2:$E$5000,MATCH($C337,DB_materiali!$A$2:$A$5000,0))&gt;=INDEX(DB_malas!$C$2:$C$5000,MATCH(H337,DB_malas!$A$2:$A$5000,0)),IF(INDEX(DB_materiali!$E$2:$E$5000,MATCH($C337,DB_materiali!$A$2:$A$5000,0))&lt;=INDEX(DB_malas!$D$2:$D$5000,MATCH(H337,DB_malas!$A$2:$A$5000,0)),IF(OR(INDEX(DB_materiali!$B$2:$B$5000,MATCH($C337,DB_materiali!$A$2:$A$5000,0))=INDEX(DB_malas!$B$2:$B$5000,MATCH(H337,DB_malas!$A$2:$A$5000,0)),$H337="ORG"),"✔",tulkojums!$A$38),tulkojums!$A$39),tulkojums!$A$39))</f>
        <v/>
      </c>
      <c r="Q337" s="2" t="str">
        <f>IF(ISBLANK(I337),"",IF(INDEX(DB_materiali!$E$2:$E$5000,MATCH($C337,DB_materiali!$A$2:$A$5000,0))&gt;=INDEX(DB_malas!$C$2:$C$5000,MATCH(I337,DB_malas!$A$2:$A$5000,0)),IF(INDEX(DB_materiali!$E$2:$E$5000,MATCH($C337,DB_materiali!$A$2:$A$5000,0))&lt;=INDEX(DB_malas!$D$2:$D$5000,MATCH(I337,DB_malas!$A$2:$A$5000,0)),IF(OR(INDEX(DB_materiali!$B$2:$B$5000,MATCH($C337,DB_materiali!$A$2:$A$5000,0))=INDEX(DB_malas!$B$2:$B$5000,MATCH(I337,DB_malas!$A$2:$A$5000,0)),$H337="ORG"),"✔",tulkojums!$A$38),tulkojums!$A$39),tulkojums!$A$39))</f>
        <v/>
      </c>
      <c r="R337" s="2" t="str">
        <f>IF(ISBLANK(J337),"",IF(INDEX(DB_materiali!$E$2:$E$5000,MATCH($C337,DB_materiali!$A$2:$A$5000,0))&gt;=INDEX(DB_malas!$C$2:$C$5000,MATCH(J337,DB_malas!$A$2:$A$5000,0)),IF(INDEX(DB_materiali!$E$2:$E$5000,MATCH($C337,DB_materiali!$A$2:$A$5000,0))&lt;=INDEX(DB_malas!$D$2:$D$5000,MATCH(J337,DB_malas!$A$2:$A$5000,0)),IF(INDEX(DB_materiali!$B$2:$B$5000,MATCH($C337,DB_materiali!$A$2:$A$5000,0))=INDEX(DB_malas!$B$2:$B$5000,MATCH(J337,DB_malas!$A$2:$A$5000,0)),"✔",tulkojums!$A$38),tulkojums!$A$39),tulkojums!$A$39))</f>
        <v/>
      </c>
      <c r="S337" s="2" t="str">
        <f>IF(ISBLANK(K337),"",IF(INDEX(DB_materiali!$E$2:$E$5000,MATCH($C337,DB_materiali!$A$2:$A$5000,0))&gt;=INDEX(DB_malas!$C$2:$C$5000,MATCH(K337,DB_malas!$A$2:$A$5000,0)),IF(INDEX(DB_materiali!$E$2:$E$5000,MATCH($C337,DB_materiali!$A$2:$A$5000,0))&lt;=INDEX(DB_malas!$D$2:$D$5000,MATCH(K337,DB_malas!$A$2:$A$5000,0)),IF(INDEX(DB_materiali!$B$2:$B$5000,MATCH($C337,DB_materiali!$A$2:$A$5000,0))=INDEX(DB_malas!$B$2:$B$5000,MATCH(K337,DB_malas!$A$2:$A$5000,0)),"✔",tulkojums!$A$38),tulkojums!$A$39),tulkojums!$A$39))</f>
        <v/>
      </c>
      <c r="T337" s="2"/>
      <c r="U337" s="2"/>
      <c r="V337" s="2"/>
      <c r="W337" s="2"/>
      <c r="X337" s="2"/>
      <c r="Y337" s="2"/>
      <c r="Z337" s="2"/>
    </row>
    <row r="338" spans="1:26" ht="15.75" customHeight="1">
      <c r="A338" s="17"/>
      <c r="B338" s="18"/>
      <c r="C338" s="19"/>
      <c r="D338" s="55"/>
      <c r="E338" s="55"/>
      <c r="F338" s="56"/>
      <c r="G338" s="57" t="str">
        <f>IF(ISBLANK(C338),"",
   IFERROR(
      IF(
         INDEX(DB_materiali!C$2:C$5000,
               MATCH(C338, DB_materiali!A$2:A$5000, 0)
         )="FALSE",
         "N",
         "Y"
      ),
   "")
)</f>
        <v/>
      </c>
      <c r="H338" s="20"/>
      <c r="I338" s="20"/>
      <c r="J338" s="20"/>
      <c r="K338" s="20"/>
      <c r="M338" s="2" t="str">
        <f>IF(ISBLANK(C338),"",IF(IFERROR(VLOOKUP(C338,DB_materiali!$A$2:$A$5000,1,FALSE),"Kļūda artikulā")=C338,"✔",tulkojums!A$42))</f>
        <v/>
      </c>
      <c r="N338" s="2" t="str">
        <f>IF(ISBLANK(C338),"",IF(ISNUMBER(F338)=TRUE,"✔",tulkojums!A$43))</f>
        <v/>
      </c>
      <c r="O338" s="2" t="str">
        <f>IF(ISBLANK(C338),"",IF(G338="Y","✔",IF(G338="X","✔",IF(G338="N","✔",tulkojums!A$44))))</f>
        <v/>
      </c>
      <c r="P338" s="2" t="str">
        <f>IF(ISBLANK(H338),"",IF(INDEX(DB_materiali!$E$2:$E$5000,MATCH($C338,DB_materiali!$A$2:$A$5000,0))&gt;=INDEX(DB_malas!$C$2:$C$5000,MATCH(H338,DB_malas!$A$2:$A$5000,0)),IF(INDEX(DB_materiali!$E$2:$E$5000,MATCH($C338,DB_materiali!$A$2:$A$5000,0))&lt;=INDEX(DB_malas!$D$2:$D$5000,MATCH(H338,DB_malas!$A$2:$A$5000,0)),IF(OR(INDEX(DB_materiali!$B$2:$B$5000,MATCH($C338,DB_materiali!$A$2:$A$5000,0))=INDEX(DB_malas!$B$2:$B$5000,MATCH(H338,DB_malas!$A$2:$A$5000,0)),$H338="ORG"),"✔",tulkojums!$A$38),tulkojums!$A$39),tulkojums!$A$39))</f>
        <v/>
      </c>
      <c r="Q338" s="2" t="str">
        <f>IF(ISBLANK(I338),"",IF(INDEX(DB_materiali!$E$2:$E$5000,MATCH($C338,DB_materiali!$A$2:$A$5000,0))&gt;=INDEX(DB_malas!$C$2:$C$5000,MATCH(I338,DB_malas!$A$2:$A$5000,0)),IF(INDEX(DB_materiali!$E$2:$E$5000,MATCH($C338,DB_materiali!$A$2:$A$5000,0))&lt;=INDEX(DB_malas!$D$2:$D$5000,MATCH(I338,DB_malas!$A$2:$A$5000,0)),IF(OR(INDEX(DB_materiali!$B$2:$B$5000,MATCH($C338,DB_materiali!$A$2:$A$5000,0))=INDEX(DB_malas!$B$2:$B$5000,MATCH(I338,DB_malas!$A$2:$A$5000,0)),$H338="ORG"),"✔",tulkojums!$A$38),tulkojums!$A$39),tulkojums!$A$39))</f>
        <v/>
      </c>
      <c r="R338" s="2" t="str">
        <f>IF(ISBLANK(J338),"",IF(INDEX(DB_materiali!$E$2:$E$5000,MATCH($C338,DB_materiali!$A$2:$A$5000,0))&gt;=INDEX(DB_malas!$C$2:$C$5000,MATCH(J338,DB_malas!$A$2:$A$5000,0)),IF(INDEX(DB_materiali!$E$2:$E$5000,MATCH($C338,DB_materiali!$A$2:$A$5000,0))&lt;=INDEX(DB_malas!$D$2:$D$5000,MATCH(J338,DB_malas!$A$2:$A$5000,0)),IF(INDEX(DB_materiali!$B$2:$B$5000,MATCH($C338,DB_materiali!$A$2:$A$5000,0))=INDEX(DB_malas!$B$2:$B$5000,MATCH(J338,DB_malas!$A$2:$A$5000,0)),"✔",tulkojums!$A$38),tulkojums!$A$39),tulkojums!$A$39))</f>
        <v/>
      </c>
      <c r="S338" s="2" t="str">
        <f>IF(ISBLANK(K338),"",IF(INDEX(DB_materiali!$E$2:$E$5000,MATCH($C338,DB_materiali!$A$2:$A$5000,0))&gt;=INDEX(DB_malas!$C$2:$C$5000,MATCH(K338,DB_malas!$A$2:$A$5000,0)),IF(INDEX(DB_materiali!$E$2:$E$5000,MATCH($C338,DB_materiali!$A$2:$A$5000,0))&lt;=INDEX(DB_malas!$D$2:$D$5000,MATCH(K338,DB_malas!$A$2:$A$5000,0)),IF(INDEX(DB_materiali!$B$2:$B$5000,MATCH($C338,DB_materiali!$A$2:$A$5000,0))=INDEX(DB_malas!$B$2:$B$5000,MATCH(K338,DB_malas!$A$2:$A$5000,0)),"✔",tulkojums!$A$38),tulkojums!$A$39),tulkojums!$A$39))</f>
        <v/>
      </c>
      <c r="T338" s="2"/>
      <c r="U338" s="2"/>
      <c r="V338" s="2"/>
      <c r="W338" s="2"/>
      <c r="X338" s="2"/>
      <c r="Y338" s="2"/>
      <c r="Z338" s="2"/>
    </row>
    <row r="339" spans="1:26" ht="15.75" customHeight="1">
      <c r="A339" s="17"/>
      <c r="B339" s="18"/>
      <c r="C339" s="19"/>
      <c r="D339" s="55"/>
      <c r="E339" s="55"/>
      <c r="F339" s="56"/>
      <c r="G339" s="57" t="str">
        <f>IF(ISBLANK(C339),"",
   IFERROR(
      IF(
         INDEX(DB_materiali!C$2:C$5000,
               MATCH(C339, DB_materiali!A$2:A$5000, 0)
         )="FALSE",
         "N",
         "Y"
      ),
   "")
)</f>
        <v/>
      </c>
      <c r="H339" s="20"/>
      <c r="I339" s="20"/>
      <c r="J339" s="20"/>
      <c r="K339" s="20"/>
      <c r="M339" s="2" t="str">
        <f>IF(ISBLANK(C339),"",IF(IFERROR(VLOOKUP(C339,DB_materiali!$A$2:$A$5000,1,FALSE),"Kļūda artikulā")=C339,"✔",tulkojums!A$42))</f>
        <v/>
      </c>
      <c r="N339" s="2" t="str">
        <f>IF(ISBLANK(C339),"",IF(ISNUMBER(F339)=TRUE,"✔",tulkojums!A$43))</f>
        <v/>
      </c>
      <c r="O339" s="2" t="str">
        <f>IF(ISBLANK(C339),"",IF(G339="Y","✔",IF(G339="X","✔",IF(G339="N","✔",tulkojums!A$44))))</f>
        <v/>
      </c>
      <c r="P339" s="2" t="str">
        <f>IF(ISBLANK(H339),"",IF(INDEX(DB_materiali!$E$2:$E$5000,MATCH($C339,DB_materiali!$A$2:$A$5000,0))&gt;=INDEX(DB_malas!$C$2:$C$5000,MATCH(H339,DB_malas!$A$2:$A$5000,0)),IF(INDEX(DB_materiali!$E$2:$E$5000,MATCH($C339,DB_materiali!$A$2:$A$5000,0))&lt;=INDEX(DB_malas!$D$2:$D$5000,MATCH(H339,DB_malas!$A$2:$A$5000,0)),IF(OR(INDEX(DB_materiali!$B$2:$B$5000,MATCH($C339,DB_materiali!$A$2:$A$5000,0))=INDEX(DB_malas!$B$2:$B$5000,MATCH(H339,DB_malas!$A$2:$A$5000,0)),$H339="ORG"),"✔",tulkojums!$A$38),tulkojums!$A$39),tulkojums!$A$39))</f>
        <v/>
      </c>
      <c r="Q339" s="2" t="str">
        <f>IF(ISBLANK(I339),"",IF(INDEX(DB_materiali!$E$2:$E$5000,MATCH($C339,DB_materiali!$A$2:$A$5000,0))&gt;=INDEX(DB_malas!$C$2:$C$5000,MATCH(I339,DB_malas!$A$2:$A$5000,0)),IF(INDEX(DB_materiali!$E$2:$E$5000,MATCH($C339,DB_materiali!$A$2:$A$5000,0))&lt;=INDEX(DB_malas!$D$2:$D$5000,MATCH(I339,DB_malas!$A$2:$A$5000,0)),IF(OR(INDEX(DB_materiali!$B$2:$B$5000,MATCH($C339,DB_materiali!$A$2:$A$5000,0))=INDEX(DB_malas!$B$2:$B$5000,MATCH(I339,DB_malas!$A$2:$A$5000,0)),$H339="ORG"),"✔",tulkojums!$A$38),tulkojums!$A$39),tulkojums!$A$39))</f>
        <v/>
      </c>
      <c r="R339" s="2" t="str">
        <f>IF(ISBLANK(J339),"",IF(INDEX(DB_materiali!$E$2:$E$5000,MATCH($C339,DB_materiali!$A$2:$A$5000,0))&gt;=INDEX(DB_malas!$C$2:$C$5000,MATCH(J339,DB_malas!$A$2:$A$5000,0)),IF(INDEX(DB_materiali!$E$2:$E$5000,MATCH($C339,DB_materiali!$A$2:$A$5000,0))&lt;=INDEX(DB_malas!$D$2:$D$5000,MATCH(J339,DB_malas!$A$2:$A$5000,0)),IF(INDEX(DB_materiali!$B$2:$B$5000,MATCH($C339,DB_materiali!$A$2:$A$5000,0))=INDEX(DB_malas!$B$2:$B$5000,MATCH(J339,DB_malas!$A$2:$A$5000,0)),"✔",tulkojums!$A$38),tulkojums!$A$39),tulkojums!$A$39))</f>
        <v/>
      </c>
      <c r="S339" s="2" t="str">
        <f>IF(ISBLANK(K339),"",IF(INDEX(DB_materiali!$E$2:$E$5000,MATCH($C339,DB_materiali!$A$2:$A$5000,0))&gt;=INDEX(DB_malas!$C$2:$C$5000,MATCH(K339,DB_malas!$A$2:$A$5000,0)),IF(INDEX(DB_materiali!$E$2:$E$5000,MATCH($C339,DB_materiali!$A$2:$A$5000,0))&lt;=INDEX(DB_malas!$D$2:$D$5000,MATCH(K339,DB_malas!$A$2:$A$5000,0)),IF(INDEX(DB_materiali!$B$2:$B$5000,MATCH($C339,DB_materiali!$A$2:$A$5000,0))=INDEX(DB_malas!$B$2:$B$5000,MATCH(K339,DB_malas!$A$2:$A$5000,0)),"✔",tulkojums!$A$38),tulkojums!$A$39),tulkojums!$A$39))</f>
        <v/>
      </c>
      <c r="T339" s="2"/>
      <c r="U339" s="2"/>
      <c r="V339" s="2"/>
      <c r="W339" s="2"/>
      <c r="X339" s="2"/>
      <c r="Y339" s="2"/>
      <c r="Z339" s="2"/>
    </row>
    <row r="340" spans="1:26" ht="15.75" customHeight="1">
      <c r="A340" s="17"/>
      <c r="B340" s="18"/>
      <c r="C340" s="19"/>
      <c r="D340" s="55"/>
      <c r="E340" s="55"/>
      <c r="F340" s="56"/>
      <c r="G340" s="57" t="str">
        <f>IF(ISBLANK(C340),"",
   IFERROR(
      IF(
         INDEX(DB_materiali!C$2:C$5000,
               MATCH(C340, DB_materiali!A$2:A$5000, 0)
         )="FALSE",
         "N",
         "Y"
      ),
   "")
)</f>
        <v/>
      </c>
      <c r="H340" s="20"/>
      <c r="I340" s="20"/>
      <c r="J340" s="20"/>
      <c r="K340" s="20"/>
      <c r="M340" s="2" t="str">
        <f>IF(ISBLANK(C340),"",IF(IFERROR(VLOOKUP(C340,DB_materiali!$A$2:$A$5000,1,FALSE),"Kļūda artikulā")=C340,"✔",tulkojums!A$42))</f>
        <v/>
      </c>
      <c r="N340" s="2" t="str">
        <f>IF(ISBLANK(C340),"",IF(ISNUMBER(F340)=TRUE,"✔",tulkojums!A$43))</f>
        <v/>
      </c>
      <c r="O340" s="2" t="str">
        <f>IF(ISBLANK(C340),"",IF(G340="Y","✔",IF(G340="X","✔",IF(G340="N","✔",tulkojums!A$44))))</f>
        <v/>
      </c>
      <c r="P340" s="2" t="str">
        <f>IF(ISBLANK(H340),"",IF(INDEX(DB_materiali!$E$2:$E$5000,MATCH($C340,DB_materiali!$A$2:$A$5000,0))&gt;=INDEX(DB_malas!$C$2:$C$5000,MATCH(H340,DB_malas!$A$2:$A$5000,0)),IF(INDEX(DB_materiali!$E$2:$E$5000,MATCH($C340,DB_materiali!$A$2:$A$5000,0))&lt;=INDEX(DB_malas!$D$2:$D$5000,MATCH(H340,DB_malas!$A$2:$A$5000,0)),IF(OR(INDEX(DB_materiali!$B$2:$B$5000,MATCH($C340,DB_materiali!$A$2:$A$5000,0))=INDEX(DB_malas!$B$2:$B$5000,MATCH(H340,DB_malas!$A$2:$A$5000,0)),$H340="ORG"),"✔",tulkojums!$A$38),tulkojums!$A$39),tulkojums!$A$39))</f>
        <v/>
      </c>
      <c r="Q340" s="2" t="str">
        <f>IF(ISBLANK(I340),"",IF(INDEX(DB_materiali!$E$2:$E$5000,MATCH($C340,DB_materiali!$A$2:$A$5000,0))&gt;=INDEX(DB_malas!$C$2:$C$5000,MATCH(I340,DB_malas!$A$2:$A$5000,0)),IF(INDEX(DB_materiali!$E$2:$E$5000,MATCH($C340,DB_materiali!$A$2:$A$5000,0))&lt;=INDEX(DB_malas!$D$2:$D$5000,MATCH(I340,DB_malas!$A$2:$A$5000,0)),IF(OR(INDEX(DB_materiali!$B$2:$B$5000,MATCH($C340,DB_materiali!$A$2:$A$5000,0))=INDEX(DB_malas!$B$2:$B$5000,MATCH(I340,DB_malas!$A$2:$A$5000,0)),$H340="ORG"),"✔",tulkojums!$A$38),tulkojums!$A$39),tulkojums!$A$39))</f>
        <v/>
      </c>
      <c r="R340" s="2" t="str">
        <f>IF(ISBLANK(J340),"",IF(INDEX(DB_materiali!$E$2:$E$5000,MATCH($C340,DB_materiali!$A$2:$A$5000,0))&gt;=INDEX(DB_malas!$C$2:$C$5000,MATCH(J340,DB_malas!$A$2:$A$5000,0)),IF(INDEX(DB_materiali!$E$2:$E$5000,MATCH($C340,DB_materiali!$A$2:$A$5000,0))&lt;=INDEX(DB_malas!$D$2:$D$5000,MATCH(J340,DB_malas!$A$2:$A$5000,0)),IF(INDEX(DB_materiali!$B$2:$B$5000,MATCH($C340,DB_materiali!$A$2:$A$5000,0))=INDEX(DB_malas!$B$2:$B$5000,MATCH(J340,DB_malas!$A$2:$A$5000,0)),"✔",tulkojums!$A$38),tulkojums!$A$39),tulkojums!$A$39))</f>
        <v/>
      </c>
      <c r="S340" s="2" t="str">
        <f>IF(ISBLANK(K340),"",IF(INDEX(DB_materiali!$E$2:$E$5000,MATCH($C340,DB_materiali!$A$2:$A$5000,0))&gt;=INDEX(DB_malas!$C$2:$C$5000,MATCH(K340,DB_malas!$A$2:$A$5000,0)),IF(INDEX(DB_materiali!$E$2:$E$5000,MATCH($C340,DB_materiali!$A$2:$A$5000,0))&lt;=INDEX(DB_malas!$D$2:$D$5000,MATCH(K340,DB_malas!$A$2:$A$5000,0)),IF(INDEX(DB_materiali!$B$2:$B$5000,MATCH($C340,DB_materiali!$A$2:$A$5000,0))=INDEX(DB_malas!$B$2:$B$5000,MATCH(K340,DB_malas!$A$2:$A$5000,0)),"✔",tulkojums!$A$38),tulkojums!$A$39),tulkojums!$A$39))</f>
        <v/>
      </c>
      <c r="T340" s="2"/>
      <c r="U340" s="2"/>
      <c r="V340" s="2"/>
      <c r="W340" s="2"/>
      <c r="X340" s="2"/>
      <c r="Y340" s="2"/>
      <c r="Z340" s="2"/>
    </row>
    <row r="341" spans="1:26" ht="15.75" customHeight="1">
      <c r="A341" s="17"/>
      <c r="B341" s="18"/>
      <c r="C341" s="19"/>
      <c r="D341" s="55"/>
      <c r="E341" s="55"/>
      <c r="F341" s="56"/>
      <c r="G341" s="57" t="str">
        <f>IF(ISBLANK(C341),"",
   IFERROR(
      IF(
         INDEX(DB_materiali!C$2:C$5000,
               MATCH(C341, DB_materiali!A$2:A$5000, 0)
         )="FALSE",
         "N",
         "Y"
      ),
   "")
)</f>
        <v/>
      </c>
      <c r="H341" s="20"/>
      <c r="I341" s="20"/>
      <c r="J341" s="20"/>
      <c r="K341" s="20"/>
      <c r="M341" s="2" t="str">
        <f>IF(ISBLANK(C341),"",IF(IFERROR(VLOOKUP(C341,DB_materiali!$A$2:$A$5000,1,FALSE),"Kļūda artikulā")=C341,"✔",tulkojums!A$42))</f>
        <v/>
      </c>
      <c r="N341" s="2" t="str">
        <f>IF(ISBLANK(C341),"",IF(ISNUMBER(F341)=TRUE,"✔",tulkojums!A$43))</f>
        <v/>
      </c>
      <c r="O341" s="2" t="str">
        <f>IF(ISBLANK(C341),"",IF(G341="Y","✔",IF(G341="X","✔",IF(G341="N","✔",tulkojums!A$44))))</f>
        <v/>
      </c>
      <c r="P341" s="2" t="str">
        <f>IF(ISBLANK(H341),"",IF(INDEX(DB_materiali!$E$2:$E$5000,MATCH($C341,DB_materiali!$A$2:$A$5000,0))&gt;=INDEX(DB_malas!$C$2:$C$5000,MATCH(H341,DB_malas!$A$2:$A$5000,0)),IF(INDEX(DB_materiali!$E$2:$E$5000,MATCH($C341,DB_materiali!$A$2:$A$5000,0))&lt;=INDEX(DB_malas!$D$2:$D$5000,MATCH(H341,DB_malas!$A$2:$A$5000,0)),IF(OR(INDEX(DB_materiali!$B$2:$B$5000,MATCH($C341,DB_materiali!$A$2:$A$5000,0))=INDEX(DB_malas!$B$2:$B$5000,MATCH(H341,DB_malas!$A$2:$A$5000,0)),$H341="ORG"),"✔",tulkojums!$A$38),tulkojums!$A$39),tulkojums!$A$39))</f>
        <v/>
      </c>
      <c r="Q341" s="2" t="str">
        <f>IF(ISBLANK(I341),"",IF(INDEX(DB_materiali!$E$2:$E$5000,MATCH($C341,DB_materiali!$A$2:$A$5000,0))&gt;=INDEX(DB_malas!$C$2:$C$5000,MATCH(I341,DB_malas!$A$2:$A$5000,0)),IF(INDEX(DB_materiali!$E$2:$E$5000,MATCH($C341,DB_materiali!$A$2:$A$5000,0))&lt;=INDEX(DB_malas!$D$2:$D$5000,MATCH(I341,DB_malas!$A$2:$A$5000,0)),IF(OR(INDEX(DB_materiali!$B$2:$B$5000,MATCH($C341,DB_materiali!$A$2:$A$5000,0))=INDEX(DB_malas!$B$2:$B$5000,MATCH(I341,DB_malas!$A$2:$A$5000,0)),$H341="ORG"),"✔",tulkojums!$A$38),tulkojums!$A$39),tulkojums!$A$39))</f>
        <v/>
      </c>
      <c r="R341" s="2" t="str">
        <f>IF(ISBLANK(J341),"",IF(INDEX(DB_materiali!$E$2:$E$5000,MATCH($C341,DB_materiali!$A$2:$A$5000,0))&gt;=INDEX(DB_malas!$C$2:$C$5000,MATCH(J341,DB_malas!$A$2:$A$5000,0)),IF(INDEX(DB_materiali!$E$2:$E$5000,MATCH($C341,DB_materiali!$A$2:$A$5000,0))&lt;=INDEX(DB_malas!$D$2:$D$5000,MATCH(J341,DB_malas!$A$2:$A$5000,0)),IF(INDEX(DB_materiali!$B$2:$B$5000,MATCH($C341,DB_materiali!$A$2:$A$5000,0))=INDEX(DB_malas!$B$2:$B$5000,MATCH(J341,DB_malas!$A$2:$A$5000,0)),"✔",tulkojums!$A$38),tulkojums!$A$39),tulkojums!$A$39))</f>
        <v/>
      </c>
      <c r="S341" s="2" t="str">
        <f>IF(ISBLANK(K341),"",IF(INDEX(DB_materiali!$E$2:$E$5000,MATCH($C341,DB_materiali!$A$2:$A$5000,0))&gt;=INDEX(DB_malas!$C$2:$C$5000,MATCH(K341,DB_malas!$A$2:$A$5000,0)),IF(INDEX(DB_materiali!$E$2:$E$5000,MATCH($C341,DB_materiali!$A$2:$A$5000,0))&lt;=INDEX(DB_malas!$D$2:$D$5000,MATCH(K341,DB_malas!$A$2:$A$5000,0)),IF(INDEX(DB_materiali!$B$2:$B$5000,MATCH($C341,DB_materiali!$A$2:$A$5000,0))=INDEX(DB_malas!$B$2:$B$5000,MATCH(K341,DB_malas!$A$2:$A$5000,0)),"✔",tulkojums!$A$38),tulkojums!$A$39),tulkojums!$A$39))</f>
        <v/>
      </c>
      <c r="T341" s="2"/>
      <c r="U341" s="2"/>
      <c r="V341" s="2"/>
      <c r="W341" s="2"/>
      <c r="X341" s="2"/>
      <c r="Y341" s="2"/>
      <c r="Z341" s="2"/>
    </row>
    <row r="342" spans="1:26" ht="15.75" customHeight="1">
      <c r="A342" s="17"/>
      <c r="B342" s="18"/>
      <c r="C342" s="19"/>
      <c r="D342" s="55"/>
      <c r="E342" s="55"/>
      <c r="F342" s="56"/>
      <c r="G342" s="57" t="str">
        <f>IF(ISBLANK(C342),"",
   IFERROR(
      IF(
         INDEX(DB_materiali!C$2:C$5000,
               MATCH(C342, DB_materiali!A$2:A$5000, 0)
         )="FALSE",
         "N",
         "Y"
      ),
   "")
)</f>
        <v/>
      </c>
      <c r="H342" s="20"/>
      <c r="I342" s="20"/>
      <c r="J342" s="20"/>
      <c r="K342" s="20"/>
      <c r="M342" s="2" t="str">
        <f>IF(ISBLANK(C342),"",IF(IFERROR(VLOOKUP(C342,DB_materiali!$A$2:$A$5000,1,FALSE),"Kļūda artikulā")=C342,"✔",tulkojums!A$42))</f>
        <v/>
      </c>
      <c r="N342" s="2" t="str">
        <f>IF(ISBLANK(C342),"",IF(ISNUMBER(F342)=TRUE,"✔",tulkojums!A$43))</f>
        <v/>
      </c>
      <c r="O342" s="2" t="str">
        <f>IF(ISBLANK(C342),"",IF(G342="Y","✔",IF(G342="X","✔",IF(G342="N","✔",tulkojums!A$44))))</f>
        <v/>
      </c>
      <c r="P342" s="2" t="str">
        <f>IF(ISBLANK(H342),"",IF(INDEX(DB_materiali!$E$2:$E$5000,MATCH($C342,DB_materiali!$A$2:$A$5000,0))&gt;=INDEX(DB_malas!$C$2:$C$5000,MATCH(H342,DB_malas!$A$2:$A$5000,0)),IF(INDEX(DB_materiali!$E$2:$E$5000,MATCH($C342,DB_materiali!$A$2:$A$5000,0))&lt;=INDEX(DB_malas!$D$2:$D$5000,MATCH(H342,DB_malas!$A$2:$A$5000,0)),IF(OR(INDEX(DB_materiali!$B$2:$B$5000,MATCH($C342,DB_materiali!$A$2:$A$5000,0))=INDEX(DB_malas!$B$2:$B$5000,MATCH(H342,DB_malas!$A$2:$A$5000,0)),$H342="ORG"),"✔",tulkojums!$A$38),tulkojums!$A$39),tulkojums!$A$39))</f>
        <v/>
      </c>
      <c r="Q342" s="2" t="str">
        <f>IF(ISBLANK(I342),"",IF(INDEX(DB_materiali!$E$2:$E$5000,MATCH($C342,DB_materiali!$A$2:$A$5000,0))&gt;=INDEX(DB_malas!$C$2:$C$5000,MATCH(I342,DB_malas!$A$2:$A$5000,0)),IF(INDEX(DB_materiali!$E$2:$E$5000,MATCH($C342,DB_materiali!$A$2:$A$5000,0))&lt;=INDEX(DB_malas!$D$2:$D$5000,MATCH(I342,DB_malas!$A$2:$A$5000,0)),IF(OR(INDEX(DB_materiali!$B$2:$B$5000,MATCH($C342,DB_materiali!$A$2:$A$5000,0))=INDEX(DB_malas!$B$2:$B$5000,MATCH(I342,DB_malas!$A$2:$A$5000,0)),$H342="ORG"),"✔",tulkojums!$A$38),tulkojums!$A$39),tulkojums!$A$39))</f>
        <v/>
      </c>
      <c r="R342" s="2" t="str">
        <f>IF(ISBLANK(J342),"",IF(INDEX(DB_materiali!$E$2:$E$5000,MATCH($C342,DB_materiali!$A$2:$A$5000,0))&gt;=INDEX(DB_malas!$C$2:$C$5000,MATCH(J342,DB_malas!$A$2:$A$5000,0)),IF(INDEX(DB_materiali!$E$2:$E$5000,MATCH($C342,DB_materiali!$A$2:$A$5000,0))&lt;=INDEX(DB_malas!$D$2:$D$5000,MATCH(J342,DB_malas!$A$2:$A$5000,0)),IF(INDEX(DB_materiali!$B$2:$B$5000,MATCH($C342,DB_materiali!$A$2:$A$5000,0))=INDEX(DB_malas!$B$2:$B$5000,MATCH(J342,DB_malas!$A$2:$A$5000,0)),"✔",tulkojums!$A$38),tulkojums!$A$39),tulkojums!$A$39))</f>
        <v/>
      </c>
      <c r="S342" s="2" t="str">
        <f>IF(ISBLANK(K342),"",IF(INDEX(DB_materiali!$E$2:$E$5000,MATCH($C342,DB_materiali!$A$2:$A$5000,0))&gt;=INDEX(DB_malas!$C$2:$C$5000,MATCH(K342,DB_malas!$A$2:$A$5000,0)),IF(INDEX(DB_materiali!$E$2:$E$5000,MATCH($C342,DB_materiali!$A$2:$A$5000,0))&lt;=INDEX(DB_malas!$D$2:$D$5000,MATCH(K342,DB_malas!$A$2:$A$5000,0)),IF(INDEX(DB_materiali!$B$2:$B$5000,MATCH($C342,DB_materiali!$A$2:$A$5000,0))=INDEX(DB_malas!$B$2:$B$5000,MATCH(K342,DB_malas!$A$2:$A$5000,0)),"✔",tulkojums!$A$38),tulkojums!$A$39),tulkojums!$A$39))</f>
        <v/>
      </c>
      <c r="T342" s="2"/>
      <c r="U342" s="2"/>
      <c r="V342" s="2"/>
      <c r="W342" s="2"/>
      <c r="X342" s="2"/>
      <c r="Y342" s="2"/>
      <c r="Z342" s="2"/>
    </row>
    <row r="343" spans="1:26" ht="15.75" customHeight="1">
      <c r="A343" s="17"/>
      <c r="B343" s="18"/>
      <c r="C343" s="19"/>
      <c r="D343" s="55"/>
      <c r="E343" s="55"/>
      <c r="F343" s="56"/>
      <c r="G343" s="57" t="str">
        <f>IF(ISBLANK(C343),"",
   IFERROR(
      IF(
         INDEX(DB_materiali!C$2:C$5000,
               MATCH(C343, DB_materiali!A$2:A$5000, 0)
         )="FALSE",
         "N",
         "Y"
      ),
   "")
)</f>
        <v/>
      </c>
      <c r="H343" s="20"/>
      <c r="I343" s="20"/>
      <c r="J343" s="20"/>
      <c r="K343" s="20"/>
      <c r="M343" s="2" t="str">
        <f>IF(ISBLANK(C343),"",IF(IFERROR(VLOOKUP(C343,DB_materiali!$A$2:$A$5000,1,FALSE),"Kļūda artikulā")=C343,"✔",tulkojums!A$42))</f>
        <v/>
      </c>
      <c r="N343" s="2" t="str">
        <f>IF(ISBLANK(C343),"",IF(ISNUMBER(F343)=TRUE,"✔",tulkojums!A$43))</f>
        <v/>
      </c>
      <c r="O343" s="2" t="str">
        <f>IF(ISBLANK(C343),"",IF(G343="Y","✔",IF(G343="X","✔",IF(G343="N","✔",tulkojums!A$44))))</f>
        <v/>
      </c>
      <c r="P343" s="2" t="str">
        <f>IF(ISBLANK(H343),"",IF(INDEX(DB_materiali!$E$2:$E$5000,MATCH($C343,DB_materiali!$A$2:$A$5000,0))&gt;=INDEX(DB_malas!$C$2:$C$5000,MATCH(H343,DB_malas!$A$2:$A$5000,0)),IF(INDEX(DB_materiali!$E$2:$E$5000,MATCH($C343,DB_materiali!$A$2:$A$5000,0))&lt;=INDEX(DB_malas!$D$2:$D$5000,MATCH(H343,DB_malas!$A$2:$A$5000,0)),IF(OR(INDEX(DB_materiali!$B$2:$B$5000,MATCH($C343,DB_materiali!$A$2:$A$5000,0))=INDEX(DB_malas!$B$2:$B$5000,MATCH(H343,DB_malas!$A$2:$A$5000,0)),$H343="ORG"),"✔",tulkojums!$A$38),tulkojums!$A$39),tulkojums!$A$39))</f>
        <v/>
      </c>
      <c r="Q343" s="2" t="str">
        <f>IF(ISBLANK(I343),"",IF(INDEX(DB_materiali!$E$2:$E$5000,MATCH($C343,DB_materiali!$A$2:$A$5000,0))&gt;=INDEX(DB_malas!$C$2:$C$5000,MATCH(I343,DB_malas!$A$2:$A$5000,0)),IF(INDEX(DB_materiali!$E$2:$E$5000,MATCH($C343,DB_materiali!$A$2:$A$5000,0))&lt;=INDEX(DB_malas!$D$2:$D$5000,MATCH(I343,DB_malas!$A$2:$A$5000,0)),IF(OR(INDEX(DB_materiali!$B$2:$B$5000,MATCH($C343,DB_materiali!$A$2:$A$5000,0))=INDEX(DB_malas!$B$2:$B$5000,MATCH(I343,DB_malas!$A$2:$A$5000,0)),$H343="ORG"),"✔",tulkojums!$A$38),tulkojums!$A$39),tulkojums!$A$39))</f>
        <v/>
      </c>
      <c r="R343" s="2" t="str">
        <f>IF(ISBLANK(J343),"",IF(INDEX(DB_materiali!$E$2:$E$5000,MATCH($C343,DB_materiali!$A$2:$A$5000,0))&gt;=INDEX(DB_malas!$C$2:$C$5000,MATCH(J343,DB_malas!$A$2:$A$5000,0)),IF(INDEX(DB_materiali!$E$2:$E$5000,MATCH($C343,DB_materiali!$A$2:$A$5000,0))&lt;=INDEX(DB_malas!$D$2:$D$5000,MATCH(J343,DB_malas!$A$2:$A$5000,0)),IF(INDEX(DB_materiali!$B$2:$B$5000,MATCH($C343,DB_materiali!$A$2:$A$5000,0))=INDEX(DB_malas!$B$2:$B$5000,MATCH(J343,DB_malas!$A$2:$A$5000,0)),"✔",tulkojums!$A$38),tulkojums!$A$39),tulkojums!$A$39))</f>
        <v/>
      </c>
      <c r="S343" s="2" t="str">
        <f>IF(ISBLANK(K343),"",IF(INDEX(DB_materiali!$E$2:$E$5000,MATCH($C343,DB_materiali!$A$2:$A$5000,0))&gt;=INDEX(DB_malas!$C$2:$C$5000,MATCH(K343,DB_malas!$A$2:$A$5000,0)),IF(INDEX(DB_materiali!$E$2:$E$5000,MATCH($C343,DB_materiali!$A$2:$A$5000,0))&lt;=INDEX(DB_malas!$D$2:$D$5000,MATCH(K343,DB_malas!$A$2:$A$5000,0)),IF(INDEX(DB_materiali!$B$2:$B$5000,MATCH($C343,DB_materiali!$A$2:$A$5000,0))=INDEX(DB_malas!$B$2:$B$5000,MATCH(K343,DB_malas!$A$2:$A$5000,0)),"✔",tulkojums!$A$38),tulkojums!$A$39),tulkojums!$A$39))</f>
        <v/>
      </c>
      <c r="T343" s="2"/>
      <c r="U343" s="2"/>
      <c r="V343" s="2"/>
      <c r="W343" s="2"/>
      <c r="X343" s="2"/>
      <c r="Y343" s="2"/>
      <c r="Z343" s="2"/>
    </row>
    <row r="344" spans="1:26" ht="15.75" customHeight="1">
      <c r="A344" s="17"/>
      <c r="B344" s="18"/>
      <c r="C344" s="19"/>
      <c r="D344" s="55"/>
      <c r="E344" s="55"/>
      <c r="F344" s="56"/>
      <c r="G344" s="57" t="str">
        <f>IF(ISBLANK(C344),"",
   IFERROR(
      IF(
         INDEX(DB_materiali!C$2:C$5000,
               MATCH(C344, DB_materiali!A$2:A$5000, 0)
         )="FALSE",
         "N",
         "Y"
      ),
   "")
)</f>
        <v/>
      </c>
      <c r="H344" s="20"/>
      <c r="I344" s="20"/>
      <c r="J344" s="20"/>
      <c r="K344" s="20"/>
      <c r="M344" s="2" t="str">
        <f>IF(ISBLANK(C344),"",IF(IFERROR(VLOOKUP(C344,DB_materiali!$A$2:$A$5000,1,FALSE),"Kļūda artikulā")=C344,"✔",tulkojums!A$42))</f>
        <v/>
      </c>
      <c r="N344" s="2" t="str">
        <f>IF(ISBLANK(C344),"",IF(ISNUMBER(F344)=TRUE,"✔",tulkojums!A$43))</f>
        <v/>
      </c>
      <c r="O344" s="2" t="str">
        <f>IF(ISBLANK(C344),"",IF(G344="Y","✔",IF(G344="X","✔",IF(G344="N","✔",tulkojums!A$44))))</f>
        <v/>
      </c>
      <c r="P344" s="2" t="str">
        <f>IF(ISBLANK(H344),"",IF(INDEX(DB_materiali!$E$2:$E$5000,MATCH($C344,DB_materiali!$A$2:$A$5000,0))&gt;=INDEX(DB_malas!$C$2:$C$5000,MATCH(H344,DB_malas!$A$2:$A$5000,0)),IF(INDEX(DB_materiali!$E$2:$E$5000,MATCH($C344,DB_materiali!$A$2:$A$5000,0))&lt;=INDEX(DB_malas!$D$2:$D$5000,MATCH(H344,DB_malas!$A$2:$A$5000,0)),IF(OR(INDEX(DB_materiali!$B$2:$B$5000,MATCH($C344,DB_materiali!$A$2:$A$5000,0))=INDEX(DB_malas!$B$2:$B$5000,MATCH(H344,DB_malas!$A$2:$A$5000,0)),$H344="ORG"),"✔",tulkojums!$A$38),tulkojums!$A$39),tulkojums!$A$39))</f>
        <v/>
      </c>
      <c r="Q344" s="2" t="str">
        <f>IF(ISBLANK(I344),"",IF(INDEX(DB_materiali!$E$2:$E$5000,MATCH($C344,DB_materiali!$A$2:$A$5000,0))&gt;=INDEX(DB_malas!$C$2:$C$5000,MATCH(I344,DB_malas!$A$2:$A$5000,0)),IF(INDEX(DB_materiali!$E$2:$E$5000,MATCH($C344,DB_materiali!$A$2:$A$5000,0))&lt;=INDEX(DB_malas!$D$2:$D$5000,MATCH(I344,DB_malas!$A$2:$A$5000,0)),IF(OR(INDEX(DB_materiali!$B$2:$B$5000,MATCH($C344,DB_materiali!$A$2:$A$5000,0))=INDEX(DB_malas!$B$2:$B$5000,MATCH(I344,DB_malas!$A$2:$A$5000,0)),$H344="ORG"),"✔",tulkojums!$A$38),tulkojums!$A$39),tulkojums!$A$39))</f>
        <v/>
      </c>
      <c r="R344" s="2" t="str">
        <f>IF(ISBLANK(J344),"",IF(INDEX(DB_materiali!$E$2:$E$5000,MATCH($C344,DB_materiali!$A$2:$A$5000,0))&gt;=INDEX(DB_malas!$C$2:$C$5000,MATCH(J344,DB_malas!$A$2:$A$5000,0)),IF(INDEX(DB_materiali!$E$2:$E$5000,MATCH($C344,DB_materiali!$A$2:$A$5000,0))&lt;=INDEX(DB_malas!$D$2:$D$5000,MATCH(J344,DB_malas!$A$2:$A$5000,0)),IF(INDEX(DB_materiali!$B$2:$B$5000,MATCH($C344,DB_materiali!$A$2:$A$5000,0))=INDEX(DB_malas!$B$2:$B$5000,MATCH(J344,DB_malas!$A$2:$A$5000,0)),"✔",tulkojums!$A$38),tulkojums!$A$39),tulkojums!$A$39))</f>
        <v/>
      </c>
      <c r="S344" s="2" t="str">
        <f>IF(ISBLANK(K344),"",IF(INDEX(DB_materiali!$E$2:$E$5000,MATCH($C344,DB_materiali!$A$2:$A$5000,0))&gt;=INDEX(DB_malas!$C$2:$C$5000,MATCH(K344,DB_malas!$A$2:$A$5000,0)),IF(INDEX(DB_materiali!$E$2:$E$5000,MATCH($C344,DB_materiali!$A$2:$A$5000,0))&lt;=INDEX(DB_malas!$D$2:$D$5000,MATCH(K344,DB_malas!$A$2:$A$5000,0)),IF(INDEX(DB_materiali!$B$2:$B$5000,MATCH($C344,DB_materiali!$A$2:$A$5000,0))=INDEX(DB_malas!$B$2:$B$5000,MATCH(K344,DB_malas!$A$2:$A$5000,0)),"✔",tulkojums!$A$38),tulkojums!$A$39),tulkojums!$A$39))</f>
        <v/>
      </c>
      <c r="T344" s="2"/>
      <c r="U344" s="2"/>
      <c r="V344" s="2"/>
      <c r="W344" s="2"/>
      <c r="X344" s="2"/>
      <c r="Y344" s="2"/>
      <c r="Z344" s="2"/>
    </row>
    <row r="345" spans="1:26" ht="15.75" customHeight="1">
      <c r="A345" s="17"/>
      <c r="B345" s="18"/>
      <c r="C345" s="19"/>
      <c r="D345" s="55"/>
      <c r="E345" s="55"/>
      <c r="F345" s="56"/>
      <c r="G345" s="57" t="str">
        <f>IF(ISBLANK(C345),"",
   IFERROR(
      IF(
         INDEX(DB_materiali!C$2:C$5000,
               MATCH(C345, DB_materiali!A$2:A$5000, 0)
         )="FALSE",
         "N",
         "Y"
      ),
   "")
)</f>
        <v/>
      </c>
      <c r="H345" s="20"/>
      <c r="I345" s="20"/>
      <c r="J345" s="20"/>
      <c r="K345" s="20"/>
      <c r="M345" s="2" t="str">
        <f>IF(ISBLANK(C345),"",IF(IFERROR(VLOOKUP(C345,DB_materiali!$A$2:$A$5000,1,FALSE),"Kļūda artikulā")=C345,"✔",tulkojums!A$42))</f>
        <v/>
      </c>
      <c r="N345" s="2" t="str">
        <f>IF(ISBLANK(C345),"",IF(ISNUMBER(F345)=TRUE,"✔",tulkojums!A$43))</f>
        <v/>
      </c>
      <c r="O345" s="2" t="str">
        <f>IF(ISBLANK(C345),"",IF(G345="Y","✔",IF(G345="X","✔",IF(G345="N","✔",tulkojums!A$44))))</f>
        <v/>
      </c>
      <c r="P345" s="2" t="str">
        <f>IF(ISBLANK(H345),"",IF(INDEX(DB_materiali!$E$2:$E$5000,MATCH($C345,DB_materiali!$A$2:$A$5000,0))&gt;=INDEX(DB_malas!$C$2:$C$5000,MATCH(H345,DB_malas!$A$2:$A$5000,0)),IF(INDEX(DB_materiali!$E$2:$E$5000,MATCH($C345,DB_materiali!$A$2:$A$5000,0))&lt;=INDEX(DB_malas!$D$2:$D$5000,MATCH(H345,DB_malas!$A$2:$A$5000,0)),IF(OR(INDEX(DB_materiali!$B$2:$B$5000,MATCH($C345,DB_materiali!$A$2:$A$5000,0))=INDEX(DB_malas!$B$2:$B$5000,MATCH(H345,DB_malas!$A$2:$A$5000,0)),$H345="ORG"),"✔",tulkojums!$A$38),tulkojums!$A$39),tulkojums!$A$39))</f>
        <v/>
      </c>
      <c r="Q345" s="2" t="str">
        <f>IF(ISBLANK(I345),"",IF(INDEX(DB_materiali!$E$2:$E$5000,MATCH($C345,DB_materiali!$A$2:$A$5000,0))&gt;=INDEX(DB_malas!$C$2:$C$5000,MATCH(I345,DB_malas!$A$2:$A$5000,0)),IF(INDEX(DB_materiali!$E$2:$E$5000,MATCH($C345,DB_materiali!$A$2:$A$5000,0))&lt;=INDEX(DB_malas!$D$2:$D$5000,MATCH(I345,DB_malas!$A$2:$A$5000,0)),IF(OR(INDEX(DB_materiali!$B$2:$B$5000,MATCH($C345,DB_materiali!$A$2:$A$5000,0))=INDEX(DB_malas!$B$2:$B$5000,MATCH(I345,DB_malas!$A$2:$A$5000,0)),$H345="ORG"),"✔",tulkojums!$A$38),tulkojums!$A$39),tulkojums!$A$39))</f>
        <v/>
      </c>
      <c r="R345" s="2" t="str">
        <f>IF(ISBLANK(J345),"",IF(INDEX(DB_materiali!$E$2:$E$5000,MATCH($C345,DB_materiali!$A$2:$A$5000,0))&gt;=INDEX(DB_malas!$C$2:$C$5000,MATCH(J345,DB_malas!$A$2:$A$5000,0)),IF(INDEX(DB_materiali!$E$2:$E$5000,MATCH($C345,DB_materiali!$A$2:$A$5000,0))&lt;=INDEX(DB_malas!$D$2:$D$5000,MATCH(J345,DB_malas!$A$2:$A$5000,0)),IF(INDEX(DB_materiali!$B$2:$B$5000,MATCH($C345,DB_materiali!$A$2:$A$5000,0))=INDEX(DB_malas!$B$2:$B$5000,MATCH(J345,DB_malas!$A$2:$A$5000,0)),"✔",tulkojums!$A$38),tulkojums!$A$39),tulkojums!$A$39))</f>
        <v/>
      </c>
      <c r="S345" s="2" t="str">
        <f>IF(ISBLANK(K345),"",IF(INDEX(DB_materiali!$E$2:$E$5000,MATCH($C345,DB_materiali!$A$2:$A$5000,0))&gt;=INDEX(DB_malas!$C$2:$C$5000,MATCH(K345,DB_malas!$A$2:$A$5000,0)),IF(INDEX(DB_materiali!$E$2:$E$5000,MATCH($C345,DB_materiali!$A$2:$A$5000,0))&lt;=INDEX(DB_malas!$D$2:$D$5000,MATCH(K345,DB_malas!$A$2:$A$5000,0)),IF(INDEX(DB_materiali!$B$2:$B$5000,MATCH($C345,DB_materiali!$A$2:$A$5000,0))=INDEX(DB_malas!$B$2:$B$5000,MATCH(K345,DB_malas!$A$2:$A$5000,0)),"✔",tulkojums!$A$38),tulkojums!$A$39),tulkojums!$A$39))</f>
        <v/>
      </c>
      <c r="T345" s="2"/>
      <c r="U345" s="2"/>
      <c r="V345" s="2"/>
      <c r="W345" s="2"/>
      <c r="X345" s="2"/>
      <c r="Y345" s="2"/>
      <c r="Z345" s="2"/>
    </row>
    <row r="346" spans="1:26" ht="15.75" customHeight="1">
      <c r="A346" s="17"/>
      <c r="B346" s="18"/>
      <c r="C346" s="19"/>
      <c r="D346" s="55"/>
      <c r="E346" s="55"/>
      <c r="F346" s="56"/>
      <c r="G346" s="57" t="str">
        <f>IF(ISBLANK(C346),"",
   IFERROR(
      IF(
         INDEX(DB_materiali!C$2:C$5000,
               MATCH(C346, DB_materiali!A$2:A$5000, 0)
         )="FALSE",
         "N",
         "Y"
      ),
   "")
)</f>
        <v/>
      </c>
      <c r="H346" s="20"/>
      <c r="I346" s="20"/>
      <c r="J346" s="20"/>
      <c r="K346" s="20"/>
      <c r="M346" s="2" t="str">
        <f>IF(ISBLANK(C346),"",IF(IFERROR(VLOOKUP(C346,DB_materiali!$A$2:$A$5000,1,FALSE),"Kļūda artikulā")=C346,"✔",tulkojums!A$42))</f>
        <v/>
      </c>
      <c r="N346" s="2" t="str">
        <f>IF(ISBLANK(C346),"",IF(ISNUMBER(F346)=TRUE,"✔",tulkojums!A$43))</f>
        <v/>
      </c>
      <c r="O346" s="2" t="str">
        <f>IF(ISBLANK(C346),"",IF(G346="Y","✔",IF(G346="X","✔",IF(G346="N","✔",tulkojums!A$44))))</f>
        <v/>
      </c>
      <c r="P346" s="2" t="str">
        <f>IF(ISBLANK(H346),"",IF(INDEX(DB_materiali!$E$2:$E$5000,MATCH($C346,DB_materiali!$A$2:$A$5000,0))&gt;=INDEX(DB_malas!$C$2:$C$5000,MATCH(H346,DB_malas!$A$2:$A$5000,0)),IF(INDEX(DB_materiali!$E$2:$E$5000,MATCH($C346,DB_materiali!$A$2:$A$5000,0))&lt;=INDEX(DB_malas!$D$2:$D$5000,MATCH(H346,DB_malas!$A$2:$A$5000,0)),IF(OR(INDEX(DB_materiali!$B$2:$B$5000,MATCH($C346,DB_materiali!$A$2:$A$5000,0))=INDEX(DB_malas!$B$2:$B$5000,MATCH(H346,DB_malas!$A$2:$A$5000,0)),$H346="ORG"),"✔",tulkojums!$A$38),tulkojums!$A$39),tulkojums!$A$39))</f>
        <v/>
      </c>
      <c r="Q346" s="2" t="str">
        <f>IF(ISBLANK(I346),"",IF(INDEX(DB_materiali!$E$2:$E$5000,MATCH($C346,DB_materiali!$A$2:$A$5000,0))&gt;=INDEX(DB_malas!$C$2:$C$5000,MATCH(I346,DB_malas!$A$2:$A$5000,0)),IF(INDEX(DB_materiali!$E$2:$E$5000,MATCH($C346,DB_materiali!$A$2:$A$5000,0))&lt;=INDEX(DB_malas!$D$2:$D$5000,MATCH(I346,DB_malas!$A$2:$A$5000,0)),IF(OR(INDEX(DB_materiali!$B$2:$B$5000,MATCH($C346,DB_materiali!$A$2:$A$5000,0))=INDEX(DB_malas!$B$2:$B$5000,MATCH(I346,DB_malas!$A$2:$A$5000,0)),$H346="ORG"),"✔",tulkojums!$A$38),tulkojums!$A$39),tulkojums!$A$39))</f>
        <v/>
      </c>
      <c r="R346" s="2" t="str">
        <f>IF(ISBLANK(J346),"",IF(INDEX(DB_materiali!$E$2:$E$5000,MATCH($C346,DB_materiali!$A$2:$A$5000,0))&gt;=INDEX(DB_malas!$C$2:$C$5000,MATCH(J346,DB_malas!$A$2:$A$5000,0)),IF(INDEX(DB_materiali!$E$2:$E$5000,MATCH($C346,DB_materiali!$A$2:$A$5000,0))&lt;=INDEX(DB_malas!$D$2:$D$5000,MATCH(J346,DB_malas!$A$2:$A$5000,0)),IF(INDEX(DB_materiali!$B$2:$B$5000,MATCH($C346,DB_materiali!$A$2:$A$5000,0))=INDEX(DB_malas!$B$2:$B$5000,MATCH(J346,DB_malas!$A$2:$A$5000,0)),"✔",tulkojums!$A$38),tulkojums!$A$39),tulkojums!$A$39))</f>
        <v/>
      </c>
      <c r="S346" s="2" t="str">
        <f>IF(ISBLANK(K346),"",IF(INDEX(DB_materiali!$E$2:$E$5000,MATCH($C346,DB_materiali!$A$2:$A$5000,0))&gt;=INDEX(DB_malas!$C$2:$C$5000,MATCH(K346,DB_malas!$A$2:$A$5000,0)),IF(INDEX(DB_materiali!$E$2:$E$5000,MATCH($C346,DB_materiali!$A$2:$A$5000,0))&lt;=INDEX(DB_malas!$D$2:$D$5000,MATCH(K346,DB_malas!$A$2:$A$5000,0)),IF(INDEX(DB_materiali!$B$2:$B$5000,MATCH($C346,DB_materiali!$A$2:$A$5000,0))=INDEX(DB_malas!$B$2:$B$5000,MATCH(K346,DB_malas!$A$2:$A$5000,0)),"✔",tulkojums!$A$38),tulkojums!$A$39),tulkojums!$A$39))</f>
        <v/>
      </c>
      <c r="T346" s="2"/>
      <c r="U346" s="2"/>
      <c r="V346" s="2"/>
      <c r="W346" s="2"/>
      <c r="X346" s="2"/>
      <c r="Y346" s="2"/>
      <c r="Z346" s="2"/>
    </row>
    <row r="347" spans="1:26" ht="15.75" customHeight="1">
      <c r="A347" s="17"/>
      <c r="B347" s="18"/>
      <c r="C347" s="19"/>
      <c r="D347" s="55"/>
      <c r="E347" s="55"/>
      <c r="F347" s="56"/>
      <c r="G347" s="57" t="str">
        <f>IF(ISBLANK(C347),"",
   IFERROR(
      IF(
         INDEX(DB_materiali!C$2:C$5000,
               MATCH(C347, DB_materiali!A$2:A$5000, 0)
         )="FALSE",
         "N",
         "Y"
      ),
   "")
)</f>
        <v/>
      </c>
      <c r="H347" s="20"/>
      <c r="I347" s="20"/>
      <c r="J347" s="20"/>
      <c r="K347" s="20"/>
      <c r="M347" s="2" t="str">
        <f>IF(ISBLANK(C347),"",IF(IFERROR(VLOOKUP(C347,DB_materiali!$A$2:$A$5000,1,FALSE),"Kļūda artikulā")=C347,"✔",tulkojums!A$42))</f>
        <v/>
      </c>
      <c r="N347" s="2" t="str">
        <f>IF(ISBLANK(C347),"",IF(ISNUMBER(F347)=TRUE,"✔",tulkojums!A$43))</f>
        <v/>
      </c>
      <c r="O347" s="2" t="str">
        <f>IF(ISBLANK(C347),"",IF(G347="Y","✔",IF(G347="X","✔",IF(G347="N","✔",tulkojums!A$44))))</f>
        <v/>
      </c>
      <c r="P347" s="2" t="str">
        <f>IF(ISBLANK(H347),"",IF(INDEX(DB_materiali!$E$2:$E$5000,MATCH($C347,DB_materiali!$A$2:$A$5000,0))&gt;=INDEX(DB_malas!$C$2:$C$5000,MATCH(H347,DB_malas!$A$2:$A$5000,0)),IF(INDEX(DB_materiali!$E$2:$E$5000,MATCH($C347,DB_materiali!$A$2:$A$5000,0))&lt;=INDEX(DB_malas!$D$2:$D$5000,MATCH(H347,DB_malas!$A$2:$A$5000,0)),IF(OR(INDEX(DB_materiali!$B$2:$B$5000,MATCH($C347,DB_materiali!$A$2:$A$5000,0))=INDEX(DB_malas!$B$2:$B$5000,MATCH(H347,DB_malas!$A$2:$A$5000,0)),$H347="ORG"),"✔",tulkojums!$A$38),tulkojums!$A$39),tulkojums!$A$39))</f>
        <v/>
      </c>
      <c r="Q347" s="2" t="str">
        <f>IF(ISBLANK(I347),"",IF(INDEX(DB_materiali!$E$2:$E$5000,MATCH($C347,DB_materiali!$A$2:$A$5000,0))&gt;=INDEX(DB_malas!$C$2:$C$5000,MATCH(I347,DB_malas!$A$2:$A$5000,0)),IF(INDEX(DB_materiali!$E$2:$E$5000,MATCH($C347,DB_materiali!$A$2:$A$5000,0))&lt;=INDEX(DB_malas!$D$2:$D$5000,MATCH(I347,DB_malas!$A$2:$A$5000,0)),IF(OR(INDEX(DB_materiali!$B$2:$B$5000,MATCH($C347,DB_materiali!$A$2:$A$5000,0))=INDEX(DB_malas!$B$2:$B$5000,MATCH(I347,DB_malas!$A$2:$A$5000,0)),$H347="ORG"),"✔",tulkojums!$A$38),tulkojums!$A$39),tulkojums!$A$39))</f>
        <v/>
      </c>
      <c r="R347" s="2" t="str">
        <f>IF(ISBLANK(J347),"",IF(INDEX(DB_materiali!$E$2:$E$5000,MATCH($C347,DB_materiali!$A$2:$A$5000,0))&gt;=INDEX(DB_malas!$C$2:$C$5000,MATCH(J347,DB_malas!$A$2:$A$5000,0)),IF(INDEX(DB_materiali!$E$2:$E$5000,MATCH($C347,DB_materiali!$A$2:$A$5000,0))&lt;=INDEX(DB_malas!$D$2:$D$5000,MATCH(J347,DB_malas!$A$2:$A$5000,0)),IF(INDEX(DB_materiali!$B$2:$B$5000,MATCH($C347,DB_materiali!$A$2:$A$5000,0))=INDEX(DB_malas!$B$2:$B$5000,MATCH(J347,DB_malas!$A$2:$A$5000,0)),"✔",tulkojums!$A$38),tulkojums!$A$39),tulkojums!$A$39))</f>
        <v/>
      </c>
      <c r="S347" s="2" t="str">
        <f>IF(ISBLANK(K347),"",IF(INDEX(DB_materiali!$E$2:$E$5000,MATCH($C347,DB_materiali!$A$2:$A$5000,0))&gt;=INDEX(DB_malas!$C$2:$C$5000,MATCH(K347,DB_malas!$A$2:$A$5000,0)),IF(INDEX(DB_materiali!$E$2:$E$5000,MATCH($C347,DB_materiali!$A$2:$A$5000,0))&lt;=INDEX(DB_malas!$D$2:$D$5000,MATCH(K347,DB_malas!$A$2:$A$5000,0)),IF(INDEX(DB_materiali!$B$2:$B$5000,MATCH($C347,DB_materiali!$A$2:$A$5000,0))=INDEX(DB_malas!$B$2:$B$5000,MATCH(K347,DB_malas!$A$2:$A$5000,0)),"✔",tulkojums!$A$38),tulkojums!$A$39),tulkojums!$A$39))</f>
        <v/>
      </c>
      <c r="T347" s="2"/>
      <c r="U347" s="2"/>
      <c r="V347" s="2"/>
      <c r="W347" s="2"/>
      <c r="X347" s="2"/>
      <c r="Y347" s="2"/>
      <c r="Z347" s="2"/>
    </row>
    <row r="348" spans="1:26" ht="15.75" customHeight="1">
      <c r="A348" s="17"/>
      <c r="B348" s="18"/>
      <c r="C348" s="19"/>
      <c r="D348" s="55"/>
      <c r="E348" s="55"/>
      <c r="F348" s="56"/>
      <c r="G348" s="57" t="str">
        <f>IF(ISBLANK(C348),"",
   IFERROR(
      IF(
         INDEX(DB_materiali!C$2:C$5000,
               MATCH(C348, DB_materiali!A$2:A$5000, 0)
         )="FALSE",
         "N",
         "Y"
      ),
   "")
)</f>
        <v/>
      </c>
      <c r="H348" s="20"/>
      <c r="I348" s="20"/>
      <c r="J348" s="20"/>
      <c r="K348" s="20"/>
      <c r="M348" s="2" t="str">
        <f>IF(ISBLANK(C348),"",IF(IFERROR(VLOOKUP(C348,DB_materiali!$A$2:$A$5000,1,FALSE),"Kļūda artikulā")=C348,"✔",tulkojums!A$42))</f>
        <v/>
      </c>
      <c r="N348" s="2" t="str">
        <f>IF(ISBLANK(C348),"",IF(ISNUMBER(F348)=TRUE,"✔",tulkojums!A$43))</f>
        <v/>
      </c>
      <c r="O348" s="2" t="str">
        <f>IF(ISBLANK(C348),"",IF(G348="Y","✔",IF(G348="X","✔",IF(G348="N","✔",tulkojums!A$44))))</f>
        <v/>
      </c>
      <c r="P348" s="2" t="str">
        <f>IF(ISBLANK(H348),"",IF(INDEX(DB_materiali!$E$2:$E$5000,MATCH($C348,DB_materiali!$A$2:$A$5000,0))&gt;=INDEX(DB_malas!$C$2:$C$5000,MATCH(H348,DB_malas!$A$2:$A$5000,0)),IF(INDEX(DB_materiali!$E$2:$E$5000,MATCH($C348,DB_materiali!$A$2:$A$5000,0))&lt;=INDEX(DB_malas!$D$2:$D$5000,MATCH(H348,DB_malas!$A$2:$A$5000,0)),IF(OR(INDEX(DB_materiali!$B$2:$B$5000,MATCH($C348,DB_materiali!$A$2:$A$5000,0))=INDEX(DB_malas!$B$2:$B$5000,MATCH(H348,DB_malas!$A$2:$A$5000,0)),$H348="ORG"),"✔",tulkojums!$A$38),tulkojums!$A$39),tulkojums!$A$39))</f>
        <v/>
      </c>
      <c r="Q348" s="2" t="str">
        <f>IF(ISBLANK(I348),"",IF(INDEX(DB_materiali!$E$2:$E$5000,MATCH($C348,DB_materiali!$A$2:$A$5000,0))&gt;=INDEX(DB_malas!$C$2:$C$5000,MATCH(I348,DB_malas!$A$2:$A$5000,0)),IF(INDEX(DB_materiali!$E$2:$E$5000,MATCH($C348,DB_materiali!$A$2:$A$5000,0))&lt;=INDEX(DB_malas!$D$2:$D$5000,MATCH(I348,DB_malas!$A$2:$A$5000,0)),IF(OR(INDEX(DB_materiali!$B$2:$B$5000,MATCH($C348,DB_materiali!$A$2:$A$5000,0))=INDEX(DB_malas!$B$2:$B$5000,MATCH(I348,DB_malas!$A$2:$A$5000,0)),$H348="ORG"),"✔",tulkojums!$A$38),tulkojums!$A$39),tulkojums!$A$39))</f>
        <v/>
      </c>
      <c r="R348" s="2" t="str">
        <f>IF(ISBLANK(J348),"",IF(INDEX(DB_materiali!$E$2:$E$5000,MATCH($C348,DB_materiali!$A$2:$A$5000,0))&gt;=INDEX(DB_malas!$C$2:$C$5000,MATCH(J348,DB_malas!$A$2:$A$5000,0)),IF(INDEX(DB_materiali!$E$2:$E$5000,MATCH($C348,DB_materiali!$A$2:$A$5000,0))&lt;=INDEX(DB_malas!$D$2:$D$5000,MATCH(J348,DB_malas!$A$2:$A$5000,0)),IF(INDEX(DB_materiali!$B$2:$B$5000,MATCH($C348,DB_materiali!$A$2:$A$5000,0))=INDEX(DB_malas!$B$2:$B$5000,MATCH(J348,DB_malas!$A$2:$A$5000,0)),"✔",tulkojums!$A$38),tulkojums!$A$39),tulkojums!$A$39))</f>
        <v/>
      </c>
      <c r="S348" s="2" t="str">
        <f>IF(ISBLANK(K348),"",IF(INDEX(DB_materiali!$E$2:$E$5000,MATCH($C348,DB_materiali!$A$2:$A$5000,0))&gt;=INDEX(DB_malas!$C$2:$C$5000,MATCH(K348,DB_malas!$A$2:$A$5000,0)),IF(INDEX(DB_materiali!$E$2:$E$5000,MATCH($C348,DB_materiali!$A$2:$A$5000,0))&lt;=INDEX(DB_malas!$D$2:$D$5000,MATCH(K348,DB_malas!$A$2:$A$5000,0)),IF(INDEX(DB_materiali!$B$2:$B$5000,MATCH($C348,DB_materiali!$A$2:$A$5000,0))=INDEX(DB_malas!$B$2:$B$5000,MATCH(K348,DB_malas!$A$2:$A$5000,0)),"✔",tulkojums!$A$38),tulkojums!$A$39),tulkojums!$A$39))</f>
        <v/>
      </c>
      <c r="T348" s="2"/>
      <c r="U348" s="2"/>
      <c r="V348" s="2"/>
      <c r="W348" s="2"/>
      <c r="X348" s="2"/>
      <c r="Y348" s="2"/>
      <c r="Z348" s="2"/>
    </row>
    <row r="349" spans="1:26" ht="15.75" customHeight="1">
      <c r="A349" s="17"/>
      <c r="B349" s="18"/>
      <c r="C349" s="19"/>
      <c r="D349" s="55"/>
      <c r="E349" s="55"/>
      <c r="F349" s="56"/>
      <c r="G349" s="57" t="str">
        <f>IF(ISBLANK(C349),"",
   IFERROR(
      IF(
         INDEX(DB_materiali!C$2:C$5000,
               MATCH(C349, DB_materiali!A$2:A$5000, 0)
         )="FALSE",
         "N",
         "Y"
      ),
   "")
)</f>
        <v/>
      </c>
      <c r="H349" s="20"/>
      <c r="I349" s="20"/>
      <c r="J349" s="20"/>
      <c r="K349" s="20"/>
      <c r="M349" s="2" t="str">
        <f>IF(ISBLANK(C349),"",IF(IFERROR(VLOOKUP(C349,DB_materiali!$A$2:$A$5000,1,FALSE),"Kļūda artikulā")=C349,"✔",tulkojums!A$42))</f>
        <v/>
      </c>
      <c r="N349" s="2" t="str">
        <f>IF(ISBLANK(C349),"",IF(ISNUMBER(F349)=TRUE,"✔",tulkojums!A$43))</f>
        <v/>
      </c>
      <c r="O349" s="2" t="str">
        <f>IF(ISBLANK(C349),"",IF(G349="Y","✔",IF(G349="X","✔",IF(G349="N","✔",tulkojums!A$44))))</f>
        <v/>
      </c>
      <c r="P349" s="2" t="str">
        <f>IF(ISBLANK(H349),"",IF(INDEX(DB_materiali!$E$2:$E$5000,MATCH($C349,DB_materiali!$A$2:$A$5000,0))&gt;=INDEX(DB_malas!$C$2:$C$5000,MATCH(H349,DB_malas!$A$2:$A$5000,0)),IF(INDEX(DB_materiali!$E$2:$E$5000,MATCH($C349,DB_materiali!$A$2:$A$5000,0))&lt;=INDEX(DB_malas!$D$2:$D$5000,MATCH(H349,DB_malas!$A$2:$A$5000,0)),IF(OR(INDEX(DB_materiali!$B$2:$B$5000,MATCH($C349,DB_materiali!$A$2:$A$5000,0))=INDEX(DB_malas!$B$2:$B$5000,MATCH(H349,DB_malas!$A$2:$A$5000,0)),$H349="ORG"),"✔",tulkojums!$A$38),tulkojums!$A$39),tulkojums!$A$39))</f>
        <v/>
      </c>
      <c r="Q349" s="2" t="str">
        <f>IF(ISBLANK(I349),"",IF(INDEX(DB_materiali!$E$2:$E$5000,MATCH($C349,DB_materiali!$A$2:$A$5000,0))&gt;=INDEX(DB_malas!$C$2:$C$5000,MATCH(I349,DB_malas!$A$2:$A$5000,0)),IF(INDEX(DB_materiali!$E$2:$E$5000,MATCH($C349,DB_materiali!$A$2:$A$5000,0))&lt;=INDEX(DB_malas!$D$2:$D$5000,MATCH(I349,DB_malas!$A$2:$A$5000,0)),IF(OR(INDEX(DB_materiali!$B$2:$B$5000,MATCH($C349,DB_materiali!$A$2:$A$5000,0))=INDEX(DB_malas!$B$2:$B$5000,MATCH(I349,DB_malas!$A$2:$A$5000,0)),$H349="ORG"),"✔",tulkojums!$A$38),tulkojums!$A$39),tulkojums!$A$39))</f>
        <v/>
      </c>
      <c r="R349" s="2" t="str">
        <f>IF(ISBLANK(J349),"",IF(INDEX(DB_materiali!$E$2:$E$5000,MATCH($C349,DB_materiali!$A$2:$A$5000,0))&gt;=INDEX(DB_malas!$C$2:$C$5000,MATCH(J349,DB_malas!$A$2:$A$5000,0)),IF(INDEX(DB_materiali!$E$2:$E$5000,MATCH($C349,DB_materiali!$A$2:$A$5000,0))&lt;=INDEX(DB_malas!$D$2:$D$5000,MATCH(J349,DB_malas!$A$2:$A$5000,0)),IF(INDEX(DB_materiali!$B$2:$B$5000,MATCH($C349,DB_materiali!$A$2:$A$5000,0))=INDEX(DB_malas!$B$2:$B$5000,MATCH(J349,DB_malas!$A$2:$A$5000,0)),"✔",tulkojums!$A$38),tulkojums!$A$39),tulkojums!$A$39))</f>
        <v/>
      </c>
      <c r="S349" s="2" t="str">
        <f>IF(ISBLANK(K349),"",IF(INDEX(DB_materiali!$E$2:$E$5000,MATCH($C349,DB_materiali!$A$2:$A$5000,0))&gt;=INDEX(DB_malas!$C$2:$C$5000,MATCH(K349,DB_malas!$A$2:$A$5000,0)),IF(INDEX(DB_materiali!$E$2:$E$5000,MATCH($C349,DB_materiali!$A$2:$A$5000,0))&lt;=INDEX(DB_malas!$D$2:$D$5000,MATCH(K349,DB_malas!$A$2:$A$5000,0)),IF(INDEX(DB_materiali!$B$2:$B$5000,MATCH($C349,DB_materiali!$A$2:$A$5000,0))=INDEX(DB_malas!$B$2:$B$5000,MATCH(K349,DB_malas!$A$2:$A$5000,0)),"✔",tulkojums!$A$38),tulkojums!$A$39),tulkojums!$A$39))</f>
        <v/>
      </c>
      <c r="T349" s="2"/>
      <c r="U349" s="2"/>
      <c r="V349" s="2"/>
      <c r="W349" s="2"/>
      <c r="X349" s="2"/>
      <c r="Y349" s="2"/>
      <c r="Z349" s="2"/>
    </row>
    <row r="350" spans="1:26" ht="15.75" customHeight="1">
      <c r="A350" s="17"/>
      <c r="B350" s="18"/>
      <c r="C350" s="19"/>
      <c r="D350" s="55"/>
      <c r="E350" s="55"/>
      <c r="F350" s="56"/>
      <c r="G350" s="57" t="str">
        <f>IF(ISBLANK(C350),"",
   IFERROR(
      IF(
         INDEX(DB_materiali!C$2:C$5000,
               MATCH(C350, DB_materiali!A$2:A$5000, 0)
         )="FALSE",
         "N",
         "Y"
      ),
   "")
)</f>
        <v/>
      </c>
      <c r="H350" s="20"/>
      <c r="I350" s="20"/>
      <c r="J350" s="20"/>
      <c r="K350" s="20"/>
      <c r="M350" s="2" t="str">
        <f>IF(ISBLANK(C350),"",IF(IFERROR(VLOOKUP(C350,DB_materiali!$A$2:$A$5000,1,FALSE),"Kļūda artikulā")=C350,"✔",tulkojums!A$42))</f>
        <v/>
      </c>
      <c r="N350" s="2" t="str">
        <f>IF(ISBLANK(C350),"",IF(ISNUMBER(F350)=TRUE,"✔",tulkojums!A$43))</f>
        <v/>
      </c>
      <c r="O350" s="2" t="str">
        <f>IF(ISBLANK(C350),"",IF(G350="Y","✔",IF(G350="X","✔",IF(G350="N","✔",tulkojums!A$44))))</f>
        <v/>
      </c>
      <c r="P350" s="2" t="str">
        <f>IF(ISBLANK(H350),"",IF(INDEX(DB_materiali!$E$2:$E$5000,MATCH($C350,DB_materiali!$A$2:$A$5000,0))&gt;=INDEX(DB_malas!$C$2:$C$5000,MATCH(H350,DB_malas!$A$2:$A$5000,0)),IF(INDEX(DB_materiali!$E$2:$E$5000,MATCH($C350,DB_materiali!$A$2:$A$5000,0))&lt;=INDEX(DB_malas!$D$2:$D$5000,MATCH(H350,DB_malas!$A$2:$A$5000,0)),IF(OR(INDEX(DB_materiali!$B$2:$B$5000,MATCH($C350,DB_materiali!$A$2:$A$5000,0))=INDEX(DB_malas!$B$2:$B$5000,MATCH(H350,DB_malas!$A$2:$A$5000,0)),$H350="ORG"),"✔",tulkojums!$A$38),tulkojums!$A$39),tulkojums!$A$39))</f>
        <v/>
      </c>
      <c r="Q350" s="2" t="str">
        <f>IF(ISBLANK(I350),"",IF(INDEX(DB_materiali!$E$2:$E$5000,MATCH($C350,DB_materiali!$A$2:$A$5000,0))&gt;=INDEX(DB_malas!$C$2:$C$5000,MATCH(I350,DB_malas!$A$2:$A$5000,0)),IF(INDEX(DB_materiali!$E$2:$E$5000,MATCH($C350,DB_materiali!$A$2:$A$5000,0))&lt;=INDEX(DB_malas!$D$2:$D$5000,MATCH(I350,DB_malas!$A$2:$A$5000,0)),IF(OR(INDEX(DB_materiali!$B$2:$B$5000,MATCH($C350,DB_materiali!$A$2:$A$5000,0))=INDEX(DB_malas!$B$2:$B$5000,MATCH(I350,DB_malas!$A$2:$A$5000,0)),$H350="ORG"),"✔",tulkojums!$A$38),tulkojums!$A$39),tulkojums!$A$39))</f>
        <v/>
      </c>
      <c r="R350" s="2" t="str">
        <f>IF(ISBLANK(J350),"",IF(INDEX(DB_materiali!$E$2:$E$5000,MATCH($C350,DB_materiali!$A$2:$A$5000,0))&gt;=INDEX(DB_malas!$C$2:$C$5000,MATCH(J350,DB_malas!$A$2:$A$5000,0)),IF(INDEX(DB_materiali!$E$2:$E$5000,MATCH($C350,DB_materiali!$A$2:$A$5000,0))&lt;=INDEX(DB_malas!$D$2:$D$5000,MATCH(J350,DB_malas!$A$2:$A$5000,0)),IF(INDEX(DB_materiali!$B$2:$B$5000,MATCH($C350,DB_materiali!$A$2:$A$5000,0))=INDEX(DB_malas!$B$2:$B$5000,MATCH(J350,DB_malas!$A$2:$A$5000,0)),"✔",tulkojums!$A$38),tulkojums!$A$39),tulkojums!$A$39))</f>
        <v/>
      </c>
      <c r="S350" s="2" t="str">
        <f>IF(ISBLANK(K350),"",IF(INDEX(DB_materiali!$E$2:$E$5000,MATCH($C350,DB_materiali!$A$2:$A$5000,0))&gt;=INDEX(DB_malas!$C$2:$C$5000,MATCH(K350,DB_malas!$A$2:$A$5000,0)),IF(INDEX(DB_materiali!$E$2:$E$5000,MATCH($C350,DB_materiali!$A$2:$A$5000,0))&lt;=INDEX(DB_malas!$D$2:$D$5000,MATCH(K350,DB_malas!$A$2:$A$5000,0)),IF(INDEX(DB_materiali!$B$2:$B$5000,MATCH($C350,DB_materiali!$A$2:$A$5000,0))=INDEX(DB_malas!$B$2:$B$5000,MATCH(K350,DB_malas!$A$2:$A$5000,0)),"✔",tulkojums!$A$38),tulkojums!$A$39),tulkojums!$A$39))</f>
        <v/>
      </c>
      <c r="T350" s="2"/>
      <c r="U350" s="2"/>
      <c r="V350" s="2"/>
      <c r="W350" s="2"/>
      <c r="X350" s="2"/>
      <c r="Y350" s="2"/>
      <c r="Z350" s="2"/>
    </row>
    <row r="351" spans="1:26" ht="15.75" customHeight="1">
      <c r="A351" s="17"/>
      <c r="B351" s="18"/>
      <c r="C351" s="19"/>
      <c r="D351" s="55"/>
      <c r="E351" s="55"/>
      <c r="F351" s="56"/>
      <c r="G351" s="57" t="str">
        <f>IF(ISBLANK(C351),"",
   IFERROR(
      IF(
         INDEX(DB_materiali!C$2:C$5000,
               MATCH(C351, DB_materiali!A$2:A$5000, 0)
         )="FALSE",
         "N",
         "Y"
      ),
   "")
)</f>
        <v/>
      </c>
      <c r="H351" s="20"/>
      <c r="I351" s="20"/>
      <c r="J351" s="20"/>
      <c r="K351" s="20"/>
      <c r="M351" s="2" t="str">
        <f>IF(ISBLANK(C351),"",IF(IFERROR(VLOOKUP(C351,DB_materiali!$A$2:$A$5000,1,FALSE),"Kļūda artikulā")=C351,"✔",tulkojums!A$42))</f>
        <v/>
      </c>
      <c r="N351" s="2" t="str">
        <f>IF(ISBLANK(C351),"",IF(ISNUMBER(F351)=TRUE,"✔",tulkojums!A$43))</f>
        <v/>
      </c>
      <c r="O351" s="2" t="str">
        <f>IF(ISBLANK(C351),"",IF(G351="Y","✔",IF(G351="X","✔",IF(G351="N","✔",tulkojums!A$44))))</f>
        <v/>
      </c>
      <c r="P351" s="2" t="str">
        <f>IF(ISBLANK(H351),"",IF(INDEX(DB_materiali!$E$2:$E$5000,MATCH($C351,DB_materiali!$A$2:$A$5000,0))&gt;=INDEX(DB_malas!$C$2:$C$5000,MATCH(H351,DB_malas!$A$2:$A$5000,0)),IF(INDEX(DB_materiali!$E$2:$E$5000,MATCH($C351,DB_materiali!$A$2:$A$5000,0))&lt;=INDEX(DB_malas!$D$2:$D$5000,MATCH(H351,DB_malas!$A$2:$A$5000,0)),IF(OR(INDEX(DB_materiali!$B$2:$B$5000,MATCH($C351,DB_materiali!$A$2:$A$5000,0))=INDEX(DB_malas!$B$2:$B$5000,MATCH(H351,DB_malas!$A$2:$A$5000,0)),$H351="ORG"),"✔",tulkojums!$A$38),tulkojums!$A$39),tulkojums!$A$39))</f>
        <v/>
      </c>
      <c r="Q351" s="2" t="str">
        <f>IF(ISBLANK(I351),"",IF(INDEX(DB_materiali!$E$2:$E$5000,MATCH($C351,DB_materiali!$A$2:$A$5000,0))&gt;=INDEX(DB_malas!$C$2:$C$5000,MATCH(I351,DB_malas!$A$2:$A$5000,0)),IF(INDEX(DB_materiali!$E$2:$E$5000,MATCH($C351,DB_materiali!$A$2:$A$5000,0))&lt;=INDEX(DB_malas!$D$2:$D$5000,MATCH(I351,DB_malas!$A$2:$A$5000,0)),IF(OR(INDEX(DB_materiali!$B$2:$B$5000,MATCH($C351,DB_materiali!$A$2:$A$5000,0))=INDEX(DB_malas!$B$2:$B$5000,MATCH(I351,DB_malas!$A$2:$A$5000,0)),$H351="ORG"),"✔",tulkojums!$A$38),tulkojums!$A$39),tulkojums!$A$39))</f>
        <v/>
      </c>
      <c r="R351" s="2" t="str">
        <f>IF(ISBLANK(J351),"",IF(INDEX(DB_materiali!$E$2:$E$5000,MATCH($C351,DB_materiali!$A$2:$A$5000,0))&gt;=INDEX(DB_malas!$C$2:$C$5000,MATCH(J351,DB_malas!$A$2:$A$5000,0)),IF(INDEX(DB_materiali!$E$2:$E$5000,MATCH($C351,DB_materiali!$A$2:$A$5000,0))&lt;=INDEX(DB_malas!$D$2:$D$5000,MATCH(J351,DB_malas!$A$2:$A$5000,0)),IF(INDEX(DB_materiali!$B$2:$B$5000,MATCH($C351,DB_materiali!$A$2:$A$5000,0))=INDEX(DB_malas!$B$2:$B$5000,MATCH(J351,DB_malas!$A$2:$A$5000,0)),"✔",tulkojums!$A$38),tulkojums!$A$39),tulkojums!$A$39))</f>
        <v/>
      </c>
      <c r="S351" s="2" t="str">
        <f>IF(ISBLANK(K351),"",IF(INDEX(DB_materiali!$E$2:$E$5000,MATCH($C351,DB_materiali!$A$2:$A$5000,0))&gt;=INDEX(DB_malas!$C$2:$C$5000,MATCH(K351,DB_malas!$A$2:$A$5000,0)),IF(INDEX(DB_materiali!$E$2:$E$5000,MATCH($C351,DB_materiali!$A$2:$A$5000,0))&lt;=INDEX(DB_malas!$D$2:$D$5000,MATCH(K351,DB_malas!$A$2:$A$5000,0)),IF(INDEX(DB_materiali!$B$2:$B$5000,MATCH($C351,DB_materiali!$A$2:$A$5000,0))=INDEX(DB_malas!$B$2:$B$5000,MATCH(K351,DB_malas!$A$2:$A$5000,0)),"✔",tulkojums!$A$38),tulkojums!$A$39),tulkojums!$A$39))</f>
        <v/>
      </c>
      <c r="T351" s="2"/>
      <c r="U351" s="2"/>
      <c r="V351" s="2"/>
      <c r="W351" s="2"/>
      <c r="X351" s="2"/>
      <c r="Y351" s="2"/>
      <c r="Z351" s="2"/>
    </row>
    <row r="352" spans="1:26" ht="15.75" customHeight="1">
      <c r="A352" s="17"/>
      <c r="B352" s="18"/>
      <c r="C352" s="19"/>
      <c r="D352" s="55"/>
      <c r="E352" s="55"/>
      <c r="F352" s="56"/>
      <c r="G352" s="57" t="str">
        <f>IF(ISBLANK(C352),"",
   IFERROR(
      IF(
         INDEX(DB_materiali!C$2:C$5000,
               MATCH(C352, DB_materiali!A$2:A$5000, 0)
         )="FALSE",
         "N",
         "Y"
      ),
   "")
)</f>
        <v/>
      </c>
      <c r="H352" s="20"/>
      <c r="I352" s="20"/>
      <c r="J352" s="20"/>
      <c r="K352" s="20"/>
      <c r="M352" s="2" t="str">
        <f>IF(ISBLANK(C352),"",IF(IFERROR(VLOOKUP(C352,DB_materiali!$A$2:$A$5000,1,FALSE),"Kļūda artikulā")=C352,"✔",tulkojums!A$42))</f>
        <v/>
      </c>
      <c r="N352" s="2" t="str">
        <f>IF(ISBLANK(C352),"",IF(ISNUMBER(F352)=TRUE,"✔",tulkojums!A$43))</f>
        <v/>
      </c>
      <c r="O352" s="2" t="str">
        <f>IF(ISBLANK(C352),"",IF(G352="Y","✔",IF(G352="X","✔",IF(G352="N","✔",tulkojums!A$44))))</f>
        <v/>
      </c>
      <c r="P352" s="2" t="str">
        <f>IF(ISBLANK(H352),"",IF(INDEX(DB_materiali!$E$2:$E$5000,MATCH($C352,DB_materiali!$A$2:$A$5000,0))&gt;=INDEX(DB_malas!$C$2:$C$5000,MATCH(H352,DB_malas!$A$2:$A$5000,0)),IF(INDEX(DB_materiali!$E$2:$E$5000,MATCH($C352,DB_materiali!$A$2:$A$5000,0))&lt;=INDEX(DB_malas!$D$2:$D$5000,MATCH(H352,DB_malas!$A$2:$A$5000,0)),IF(OR(INDEX(DB_materiali!$B$2:$B$5000,MATCH($C352,DB_materiali!$A$2:$A$5000,0))=INDEX(DB_malas!$B$2:$B$5000,MATCH(H352,DB_malas!$A$2:$A$5000,0)),$H352="ORG"),"✔",tulkojums!$A$38),tulkojums!$A$39),tulkojums!$A$39))</f>
        <v/>
      </c>
      <c r="Q352" s="2" t="str">
        <f>IF(ISBLANK(I352),"",IF(INDEX(DB_materiali!$E$2:$E$5000,MATCH($C352,DB_materiali!$A$2:$A$5000,0))&gt;=INDEX(DB_malas!$C$2:$C$5000,MATCH(I352,DB_malas!$A$2:$A$5000,0)),IF(INDEX(DB_materiali!$E$2:$E$5000,MATCH($C352,DB_materiali!$A$2:$A$5000,0))&lt;=INDEX(DB_malas!$D$2:$D$5000,MATCH(I352,DB_malas!$A$2:$A$5000,0)),IF(OR(INDEX(DB_materiali!$B$2:$B$5000,MATCH($C352,DB_materiali!$A$2:$A$5000,0))=INDEX(DB_malas!$B$2:$B$5000,MATCH(I352,DB_malas!$A$2:$A$5000,0)),$H352="ORG"),"✔",tulkojums!$A$38),tulkojums!$A$39),tulkojums!$A$39))</f>
        <v/>
      </c>
      <c r="R352" s="2" t="str">
        <f>IF(ISBLANK(J352),"",IF(INDEX(DB_materiali!$E$2:$E$5000,MATCH($C352,DB_materiali!$A$2:$A$5000,0))&gt;=INDEX(DB_malas!$C$2:$C$5000,MATCH(J352,DB_malas!$A$2:$A$5000,0)),IF(INDEX(DB_materiali!$E$2:$E$5000,MATCH($C352,DB_materiali!$A$2:$A$5000,0))&lt;=INDEX(DB_malas!$D$2:$D$5000,MATCH(J352,DB_malas!$A$2:$A$5000,0)),IF(INDEX(DB_materiali!$B$2:$B$5000,MATCH($C352,DB_materiali!$A$2:$A$5000,0))=INDEX(DB_malas!$B$2:$B$5000,MATCH(J352,DB_malas!$A$2:$A$5000,0)),"✔",tulkojums!$A$38),tulkojums!$A$39),tulkojums!$A$39))</f>
        <v/>
      </c>
      <c r="S352" s="2" t="str">
        <f>IF(ISBLANK(K352),"",IF(INDEX(DB_materiali!$E$2:$E$5000,MATCH($C352,DB_materiali!$A$2:$A$5000,0))&gt;=INDEX(DB_malas!$C$2:$C$5000,MATCH(K352,DB_malas!$A$2:$A$5000,0)),IF(INDEX(DB_materiali!$E$2:$E$5000,MATCH($C352,DB_materiali!$A$2:$A$5000,0))&lt;=INDEX(DB_malas!$D$2:$D$5000,MATCH(K352,DB_malas!$A$2:$A$5000,0)),IF(INDEX(DB_materiali!$B$2:$B$5000,MATCH($C352,DB_materiali!$A$2:$A$5000,0))=INDEX(DB_malas!$B$2:$B$5000,MATCH(K352,DB_malas!$A$2:$A$5000,0)),"✔",tulkojums!$A$38),tulkojums!$A$39),tulkojums!$A$39))</f>
        <v/>
      </c>
      <c r="T352" s="2"/>
      <c r="U352" s="2"/>
      <c r="V352" s="2"/>
      <c r="W352" s="2"/>
      <c r="X352" s="2"/>
      <c r="Y352" s="2"/>
      <c r="Z352" s="2"/>
    </row>
    <row r="353" spans="1:26" ht="15.75" customHeight="1">
      <c r="A353" s="17"/>
      <c r="B353" s="18"/>
      <c r="C353" s="19"/>
      <c r="D353" s="55"/>
      <c r="E353" s="55"/>
      <c r="F353" s="56"/>
      <c r="G353" s="57" t="str">
        <f>IF(ISBLANK(C353),"",
   IFERROR(
      IF(
         INDEX(DB_materiali!C$2:C$5000,
               MATCH(C353, DB_materiali!A$2:A$5000, 0)
         )="FALSE",
         "N",
         "Y"
      ),
   "")
)</f>
        <v/>
      </c>
      <c r="H353" s="20"/>
      <c r="I353" s="20"/>
      <c r="J353" s="20"/>
      <c r="K353" s="20"/>
      <c r="M353" s="2" t="str">
        <f>IF(ISBLANK(C353),"",IF(IFERROR(VLOOKUP(C353,DB_materiali!$A$2:$A$5000,1,FALSE),"Kļūda artikulā")=C353,"✔",tulkojums!A$42))</f>
        <v/>
      </c>
      <c r="N353" s="2" t="str">
        <f>IF(ISBLANK(C353),"",IF(ISNUMBER(F353)=TRUE,"✔",tulkojums!A$43))</f>
        <v/>
      </c>
      <c r="O353" s="2" t="str">
        <f>IF(ISBLANK(C353),"",IF(G353="Y","✔",IF(G353="X","✔",IF(G353="N","✔",tulkojums!A$44))))</f>
        <v/>
      </c>
      <c r="P353" s="2" t="str">
        <f>IF(ISBLANK(H353),"",IF(INDEX(DB_materiali!$E$2:$E$5000,MATCH($C353,DB_materiali!$A$2:$A$5000,0))&gt;=INDEX(DB_malas!$C$2:$C$5000,MATCH(H353,DB_malas!$A$2:$A$5000,0)),IF(INDEX(DB_materiali!$E$2:$E$5000,MATCH($C353,DB_materiali!$A$2:$A$5000,0))&lt;=INDEX(DB_malas!$D$2:$D$5000,MATCH(H353,DB_malas!$A$2:$A$5000,0)),IF(OR(INDEX(DB_materiali!$B$2:$B$5000,MATCH($C353,DB_materiali!$A$2:$A$5000,0))=INDEX(DB_malas!$B$2:$B$5000,MATCH(H353,DB_malas!$A$2:$A$5000,0)),$H353="ORG"),"✔",tulkojums!$A$38),tulkojums!$A$39),tulkojums!$A$39))</f>
        <v/>
      </c>
      <c r="Q353" s="2" t="str">
        <f>IF(ISBLANK(I353),"",IF(INDEX(DB_materiali!$E$2:$E$5000,MATCH($C353,DB_materiali!$A$2:$A$5000,0))&gt;=INDEX(DB_malas!$C$2:$C$5000,MATCH(I353,DB_malas!$A$2:$A$5000,0)),IF(INDEX(DB_materiali!$E$2:$E$5000,MATCH($C353,DB_materiali!$A$2:$A$5000,0))&lt;=INDEX(DB_malas!$D$2:$D$5000,MATCH(I353,DB_malas!$A$2:$A$5000,0)),IF(OR(INDEX(DB_materiali!$B$2:$B$5000,MATCH($C353,DB_materiali!$A$2:$A$5000,0))=INDEX(DB_malas!$B$2:$B$5000,MATCH(I353,DB_malas!$A$2:$A$5000,0)),$H353="ORG"),"✔",tulkojums!$A$38),tulkojums!$A$39),tulkojums!$A$39))</f>
        <v/>
      </c>
      <c r="R353" s="2" t="str">
        <f>IF(ISBLANK(J353),"",IF(INDEX(DB_materiali!$E$2:$E$5000,MATCH($C353,DB_materiali!$A$2:$A$5000,0))&gt;=INDEX(DB_malas!$C$2:$C$5000,MATCH(J353,DB_malas!$A$2:$A$5000,0)),IF(INDEX(DB_materiali!$E$2:$E$5000,MATCH($C353,DB_materiali!$A$2:$A$5000,0))&lt;=INDEX(DB_malas!$D$2:$D$5000,MATCH(J353,DB_malas!$A$2:$A$5000,0)),IF(INDEX(DB_materiali!$B$2:$B$5000,MATCH($C353,DB_materiali!$A$2:$A$5000,0))=INDEX(DB_malas!$B$2:$B$5000,MATCH(J353,DB_malas!$A$2:$A$5000,0)),"✔",tulkojums!$A$38),tulkojums!$A$39),tulkojums!$A$39))</f>
        <v/>
      </c>
      <c r="S353" s="2" t="str">
        <f>IF(ISBLANK(K353),"",IF(INDEX(DB_materiali!$E$2:$E$5000,MATCH($C353,DB_materiali!$A$2:$A$5000,0))&gt;=INDEX(DB_malas!$C$2:$C$5000,MATCH(K353,DB_malas!$A$2:$A$5000,0)),IF(INDEX(DB_materiali!$E$2:$E$5000,MATCH($C353,DB_materiali!$A$2:$A$5000,0))&lt;=INDEX(DB_malas!$D$2:$D$5000,MATCH(K353,DB_malas!$A$2:$A$5000,0)),IF(INDEX(DB_materiali!$B$2:$B$5000,MATCH($C353,DB_materiali!$A$2:$A$5000,0))=INDEX(DB_malas!$B$2:$B$5000,MATCH(K353,DB_malas!$A$2:$A$5000,0)),"✔",tulkojums!$A$38),tulkojums!$A$39),tulkojums!$A$39))</f>
        <v/>
      </c>
      <c r="T353" s="2"/>
      <c r="U353" s="2"/>
      <c r="V353" s="2"/>
      <c r="W353" s="2"/>
      <c r="X353" s="2"/>
      <c r="Y353" s="2"/>
      <c r="Z353" s="2"/>
    </row>
    <row r="354" spans="1:26" ht="15.75" customHeight="1">
      <c r="A354" s="17"/>
      <c r="B354" s="18"/>
      <c r="C354" s="19"/>
      <c r="D354" s="55"/>
      <c r="E354" s="55"/>
      <c r="F354" s="56"/>
      <c r="G354" s="57" t="str">
        <f>IF(ISBLANK(C354),"",
   IFERROR(
      IF(
         INDEX(DB_materiali!C$2:C$5000,
               MATCH(C354, DB_materiali!A$2:A$5000, 0)
         )="FALSE",
         "N",
         "Y"
      ),
   "")
)</f>
        <v/>
      </c>
      <c r="H354" s="20"/>
      <c r="I354" s="20"/>
      <c r="J354" s="20"/>
      <c r="K354" s="20"/>
      <c r="M354" s="2" t="str">
        <f>IF(ISBLANK(C354),"",IF(IFERROR(VLOOKUP(C354,DB_materiali!$A$2:$A$5000,1,FALSE),"Kļūda artikulā")=C354,"✔",tulkojums!A$42))</f>
        <v/>
      </c>
      <c r="N354" s="2" t="str">
        <f>IF(ISBLANK(C354),"",IF(ISNUMBER(F354)=TRUE,"✔",tulkojums!A$43))</f>
        <v/>
      </c>
      <c r="O354" s="2" t="str">
        <f>IF(ISBLANK(C354),"",IF(G354="Y","✔",IF(G354="X","✔",IF(G354="N","✔",tulkojums!A$44))))</f>
        <v/>
      </c>
      <c r="P354" s="2" t="str">
        <f>IF(ISBLANK(H354),"",IF(INDEX(DB_materiali!$E$2:$E$5000,MATCH($C354,DB_materiali!$A$2:$A$5000,0))&gt;=INDEX(DB_malas!$C$2:$C$5000,MATCH(H354,DB_malas!$A$2:$A$5000,0)),IF(INDEX(DB_materiali!$E$2:$E$5000,MATCH($C354,DB_materiali!$A$2:$A$5000,0))&lt;=INDEX(DB_malas!$D$2:$D$5000,MATCH(H354,DB_malas!$A$2:$A$5000,0)),IF(OR(INDEX(DB_materiali!$B$2:$B$5000,MATCH($C354,DB_materiali!$A$2:$A$5000,0))=INDEX(DB_malas!$B$2:$B$5000,MATCH(H354,DB_malas!$A$2:$A$5000,0)),$H354="ORG"),"✔",tulkojums!$A$38),tulkojums!$A$39),tulkojums!$A$39))</f>
        <v/>
      </c>
      <c r="Q354" s="2" t="str">
        <f>IF(ISBLANK(I354),"",IF(INDEX(DB_materiali!$E$2:$E$5000,MATCH($C354,DB_materiali!$A$2:$A$5000,0))&gt;=INDEX(DB_malas!$C$2:$C$5000,MATCH(I354,DB_malas!$A$2:$A$5000,0)),IF(INDEX(DB_materiali!$E$2:$E$5000,MATCH($C354,DB_materiali!$A$2:$A$5000,0))&lt;=INDEX(DB_malas!$D$2:$D$5000,MATCH(I354,DB_malas!$A$2:$A$5000,0)),IF(OR(INDEX(DB_materiali!$B$2:$B$5000,MATCH($C354,DB_materiali!$A$2:$A$5000,0))=INDEX(DB_malas!$B$2:$B$5000,MATCH(I354,DB_malas!$A$2:$A$5000,0)),$H354="ORG"),"✔",tulkojums!$A$38),tulkojums!$A$39),tulkojums!$A$39))</f>
        <v/>
      </c>
      <c r="R354" s="2" t="str">
        <f>IF(ISBLANK(J354),"",IF(INDEX(DB_materiali!$E$2:$E$5000,MATCH($C354,DB_materiali!$A$2:$A$5000,0))&gt;=INDEX(DB_malas!$C$2:$C$5000,MATCH(J354,DB_malas!$A$2:$A$5000,0)),IF(INDEX(DB_materiali!$E$2:$E$5000,MATCH($C354,DB_materiali!$A$2:$A$5000,0))&lt;=INDEX(DB_malas!$D$2:$D$5000,MATCH(J354,DB_malas!$A$2:$A$5000,0)),IF(INDEX(DB_materiali!$B$2:$B$5000,MATCH($C354,DB_materiali!$A$2:$A$5000,0))=INDEX(DB_malas!$B$2:$B$5000,MATCH(J354,DB_malas!$A$2:$A$5000,0)),"✔",tulkojums!$A$38),tulkojums!$A$39),tulkojums!$A$39))</f>
        <v/>
      </c>
      <c r="S354" s="2" t="str">
        <f>IF(ISBLANK(K354),"",IF(INDEX(DB_materiali!$E$2:$E$5000,MATCH($C354,DB_materiali!$A$2:$A$5000,0))&gt;=INDEX(DB_malas!$C$2:$C$5000,MATCH(K354,DB_malas!$A$2:$A$5000,0)),IF(INDEX(DB_materiali!$E$2:$E$5000,MATCH($C354,DB_materiali!$A$2:$A$5000,0))&lt;=INDEX(DB_malas!$D$2:$D$5000,MATCH(K354,DB_malas!$A$2:$A$5000,0)),IF(INDEX(DB_materiali!$B$2:$B$5000,MATCH($C354,DB_materiali!$A$2:$A$5000,0))=INDEX(DB_malas!$B$2:$B$5000,MATCH(K354,DB_malas!$A$2:$A$5000,0)),"✔",tulkojums!$A$38),tulkojums!$A$39),tulkojums!$A$39))</f>
        <v/>
      </c>
      <c r="T354" s="2"/>
      <c r="U354" s="2"/>
      <c r="V354" s="2"/>
      <c r="W354" s="2"/>
      <c r="X354" s="2"/>
      <c r="Y354" s="2"/>
      <c r="Z354" s="2"/>
    </row>
    <row r="355" spans="1:26" ht="15.75" customHeight="1">
      <c r="A355" s="17"/>
      <c r="B355" s="18"/>
      <c r="C355" s="19"/>
      <c r="D355" s="55"/>
      <c r="E355" s="55"/>
      <c r="F355" s="56"/>
      <c r="G355" s="57" t="str">
        <f>IF(ISBLANK(C355),"",
   IFERROR(
      IF(
         INDEX(DB_materiali!C$2:C$5000,
               MATCH(C355, DB_materiali!A$2:A$5000, 0)
         )="FALSE",
         "N",
         "Y"
      ),
   "")
)</f>
        <v/>
      </c>
      <c r="H355" s="20"/>
      <c r="I355" s="20"/>
      <c r="J355" s="20"/>
      <c r="K355" s="20"/>
      <c r="M355" s="2" t="str">
        <f>IF(ISBLANK(C355),"",IF(IFERROR(VLOOKUP(C355,DB_materiali!$A$2:$A$5000,1,FALSE),"Kļūda artikulā")=C355,"✔",tulkojums!A$42))</f>
        <v/>
      </c>
      <c r="N355" s="2" t="str">
        <f>IF(ISBLANK(C355),"",IF(ISNUMBER(F355)=TRUE,"✔",tulkojums!A$43))</f>
        <v/>
      </c>
      <c r="O355" s="2" t="str">
        <f>IF(ISBLANK(C355),"",IF(G355="Y","✔",IF(G355="X","✔",IF(G355="N","✔",tulkojums!A$44))))</f>
        <v/>
      </c>
      <c r="P355" s="2" t="str">
        <f>IF(ISBLANK(H355),"",IF(INDEX(DB_materiali!$E$2:$E$5000,MATCH($C355,DB_materiali!$A$2:$A$5000,0))&gt;=INDEX(DB_malas!$C$2:$C$5000,MATCH(H355,DB_malas!$A$2:$A$5000,0)),IF(INDEX(DB_materiali!$E$2:$E$5000,MATCH($C355,DB_materiali!$A$2:$A$5000,0))&lt;=INDEX(DB_malas!$D$2:$D$5000,MATCH(H355,DB_malas!$A$2:$A$5000,0)),IF(OR(INDEX(DB_materiali!$B$2:$B$5000,MATCH($C355,DB_materiali!$A$2:$A$5000,0))=INDEX(DB_malas!$B$2:$B$5000,MATCH(H355,DB_malas!$A$2:$A$5000,0)),$H355="ORG"),"✔",tulkojums!$A$38),tulkojums!$A$39),tulkojums!$A$39))</f>
        <v/>
      </c>
      <c r="Q355" s="2" t="str">
        <f>IF(ISBLANK(I355),"",IF(INDEX(DB_materiali!$E$2:$E$5000,MATCH($C355,DB_materiali!$A$2:$A$5000,0))&gt;=INDEX(DB_malas!$C$2:$C$5000,MATCH(I355,DB_malas!$A$2:$A$5000,0)),IF(INDEX(DB_materiali!$E$2:$E$5000,MATCH($C355,DB_materiali!$A$2:$A$5000,0))&lt;=INDEX(DB_malas!$D$2:$D$5000,MATCH(I355,DB_malas!$A$2:$A$5000,0)),IF(OR(INDEX(DB_materiali!$B$2:$B$5000,MATCH($C355,DB_materiali!$A$2:$A$5000,0))=INDEX(DB_malas!$B$2:$B$5000,MATCH(I355,DB_malas!$A$2:$A$5000,0)),$H355="ORG"),"✔",tulkojums!$A$38),tulkojums!$A$39),tulkojums!$A$39))</f>
        <v/>
      </c>
      <c r="R355" s="2" t="str">
        <f>IF(ISBLANK(J355),"",IF(INDEX(DB_materiali!$E$2:$E$5000,MATCH($C355,DB_materiali!$A$2:$A$5000,0))&gt;=INDEX(DB_malas!$C$2:$C$5000,MATCH(J355,DB_malas!$A$2:$A$5000,0)),IF(INDEX(DB_materiali!$E$2:$E$5000,MATCH($C355,DB_materiali!$A$2:$A$5000,0))&lt;=INDEX(DB_malas!$D$2:$D$5000,MATCH(J355,DB_malas!$A$2:$A$5000,0)),IF(INDEX(DB_materiali!$B$2:$B$5000,MATCH($C355,DB_materiali!$A$2:$A$5000,0))=INDEX(DB_malas!$B$2:$B$5000,MATCH(J355,DB_malas!$A$2:$A$5000,0)),"✔",tulkojums!$A$38),tulkojums!$A$39),tulkojums!$A$39))</f>
        <v/>
      </c>
      <c r="S355" s="2" t="str">
        <f>IF(ISBLANK(K355),"",IF(INDEX(DB_materiali!$E$2:$E$5000,MATCH($C355,DB_materiali!$A$2:$A$5000,0))&gt;=INDEX(DB_malas!$C$2:$C$5000,MATCH(K355,DB_malas!$A$2:$A$5000,0)),IF(INDEX(DB_materiali!$E$2:$E$5000,MATCH($C355,DB_materiali!$A$2:$A$5000,0))&lt;=INDEX(DB_malas!$D$2:$D$5000,MATCH(K355,DB_malas!$A$2:$A$5000,0)),IF(INDEX(DB_materiali!$B$2:$B$5000,MATCH($C355,DB_materiali!$A$2:$A$5000,0))=INDEX(DB_malas!$B$2:$B$5000,MATCH(K355,DB_malas!$A$2:$A$5000,0)),"✔",tulkojums!$A$38),tulkojums!$A$39),tulkojums!$A$39))</f>
        <v/>
      </c>
      <c r="T355" s="2"/>
      <c r="U355" s="2"/>
      <c r="V355" s="2"/>
      <c r="W355" s="2"/>
      <c r="X355" s="2"/>
      <c r="Y355" s="2"/>
      <c r="Z355" s="2"/>
    </row>
    <row r="356" spans="1:26" ht="15.75" customHeight="1">
      <c r="A356" s="17"/>
      <c r="B356" s="18"/>
      <c r="C356" s="19"/>
      <c r="D356" s="55"/>
      <c r="E356" s="55"/>
      <c r="F356" s="56"/>
      <c r="G356" s="57" t="str">
        <f>IF(ISBLANK(C356),"",
   IFERROR(
      IF(
         INDEX(DB_materiali!C$2:C$5000,
               MATCH(C356, DB_materiali!A$2:A$5000, 0)
         )="FALSE",
         "N",
         "Y"
      ),
   "")
)</f>
        <v/>
      </c>
      <c r="H356" s="20"/>
      <c r="I356" s="20"/>
      <c r="J356" s="20"/>
      <c r="K356" s="20"/>
      <c r="M356" s="2" t="str">
        <f>IF(ISBLANK(C356),"",IF(IFERROR(VLOOKUP(C356,DB_materiali!$A$2:$A$5000,1,FALSE),"Kļūda artikulā")=C356,"✔",tulkojums!A$42))</f>
        <v/>
      </c>
      <c r="N356" s="2" t="str">
        <f>IF(ISBLANK(C356),"",IF(ISNUMBER(F356)=TRUE,"✔",tulkojums!A$43))</f>
        <v/>
      </c>
      <c r="O356" s="2" t="str">
        <f>IF(ISBLANK(C356),"",IF(G356="Y","✔",IF(G356="X","✔",IF(G356="N","✔",tulkojums!A$44))))</f>
        <v/>
      </c>
      <c r="P356" s="2" t="str">
        <f>IF(ISBLANK(H356),"",IF(INDEX(DB_materiali!$E$2:$E$5000,MATCH($C356,DB_materiali!$A$2:$A$5000,0))&gt;=INDEX(DB_malas!$C$2:$C$5000,MATCH(H356,DB_malas!$A$2:$A$5000,0)),IF(INDEX(DB_materiali!$E$2:$E$5000,MATCH($C356,DB_materiali!$A$2:$A$5000,0))&lt;=INDEX(DB_malas!$D$2:$D$5000,MATCH(H356,DB_malas!$A$2:$A$5000,0)),IF(OR(INDEX(DB_materiali!$B$2:$B$5000,MATCH($C356,DB_materiali!$A$2:$A$5000,0))=INDEX(DB_malas!$B$2:$B$5000,MATCH(H356,DB_malas!$A$2:$A$5000,0)),$H356="ORG"),"✔",tulkojums!$A$38),tulkojums!$A$39),tulkojums!$A$39))</f>
        <v/>
      </c>
      <c r="Q356" s="2" t="str">
        <f>IF(ISBLANK(I356),"",IF(INDEX(DB_materiali!$E$2:$E$5000,MATCH($C356,DB_materiali!$A$2:$A$5000,0))&gt;=INDEX(DB_malas!$C$2:$C$5000,MATCH(I356,DB_malas!$A$2:$A$5000,0)),IF(INDEX(DB_materiali!$E$2:$E$5000,MATCH($C356,DB_materiali!$A$2:$A$5000,0))&lt;=INDEX(DB_malas!$D$2:$D$5000,MATCH(I356,DB_malas!$A$2:$A$5000,0)),IF(OR(INDEX(DB_materiali!$B$2:$B$5000,MATCH($C356,DB_materiali!$A$2:$A$5000,0))=INDEX(DB_malas!$B$2:$B$5000,MATCH(I356,DB_malas!$A$2:$A$5000,0)),$H356="ORG"),"✔",tulkojums!$A$38),tulkojums!$A$39),tulkojums!$A$39))</f>
        <v/>
      </c>
      <c r="R356" s="2" t="str">
        <f>IF(ISBLANK(J356),"",IF(INDEX(DB_materiali!$E$2:$E$5000,MATCH($C356,DB_materiali!$A$2:$A$5000,0))&gt;=INDEX(DB_malas!$C$2:$C$5000,MATCH(J356,DB_malas!$A$2:$A$5000,0)),IF(INDEX(DB_materiali!$E$2:$E$5000,MATCH($C356,DB_materiali!$A$2:$A$5000,0))&lt;=INDEX(DB_malas!$D$2:$D$5000,MATCH(J356,DB_malas!$A$2:$A$5000,0)),IF(INDEX(DB_materiali!$B$2:$B$5000,MATCH($C356,DB_materiali!$A$2:$A$5000,0))=INDEX(DB_malas!$B$2:$B$5000,MATCH(J356,DB_malas!$A$2:$A$5000,0)),"✔",tulkojums!$A$38),tulkojums!$A$39),tulkojums!$A$39))</f>
        <v/>
      </c>
      <c r="S356" s="2" t="str">
        <f>IF(ISBLANK(K356),"",IF(INDEX(DB_materiali!$E$2:$E$5000,MATCH($C356,DB_materiali!$A$2:$A$5000,0))&gt;=INDEX(DB_malas!$C$2:$C$5000,MATCH(K356,DB_malas!$A$2:$A$5000,0)),IF(INDEX(DB_materiali!$E$2:$E$5000,MATCH($C356,DB_materiali!$A$2:$A$5000,0))&lt;=INDEX(DB_malas!$D$2:$D$5000,MATCH(K356,DB_malas!$A$2:$A$5000,0)),IF(INDEX(DB_materiali!$B$2:$B$5000,MATCH($C356,DB_materiali!$A$2:$A$5000,0))=INDEX(DB_malas!$B$2:$B$5000,MATCH(K356,DB_malas!$A$2:$A$5000,0)),"✔",tulkojums!$A$38),tulkojums!$A$39),tulkojums!$A$39))</f>
        <v/>
      </c>
      <c r="T356" s="2"/>
      <c r="U356" s="2"/>
      <c r="V356" s="2"/>
      <c r="W356" s="2"/>
      <c r="X356" s="2"/>
      <c r="Y356" s="2"/>
      <c r="Z356" s="2"/>
    </row>
    <row r="357" spans="1:26" ht="15.75" customHeight="1">
      <c r="A357" s="17"/>
      <c r="B357" s="18"/>
      <c r="C357" s="19"/>
      <c r="D357" s="55"/>
      <c r="E357" s="55"/>
      <c r="F357" s="56"/>
      <c r="G357" s="57" t="str">
        <f>IF(ISBLANK(C357),"",
   IFERROR(
      IF(
         INDEX(DB_materiali!C$2:C$5000,
               MATCH(C357, DB_materiali!A$2:A$5000, 0)
         )="FALSE",
         "N",
         "Y"
      ),
   "")
)</f>
        <v/>
      </c>
      <c r="H357" s="20"/>
      <c r="I357" s="20"/>
      <c r="J357" s="20"/>
      <c r="K357" s="20"/>
      <c r="M357" s="2" t="str">
        <f>IF(ISBLANK(C357),"",IF(IFERROR(VLOOKUP(C357,DB_materiali!$A$2:$A$5000,1,FALSE),"Kļūda artikulā")=C357,"✔",tulkojums!A$42))</f>
        <v/>
      </c>
      <c r="N357" s="2" t="str">
        <f>IF(ISBLANK(C357),"",IF(ISNUMBER(F357)=TRUE,"✔",tulkojums!A$43))</f>
        <v/>
      </c>
      <c r="O357" s="2" t="str">
        <f>IF(ISBLANK(C357),"",IF(G357="Y","✔",IF(G357="X","✔",IF(G357="N","✔",tulkojums!A$44))))</f>
        <v/>
      </c>
      <c r="P357" s="2" t="str">
        <f>IF(ISBLANK(H357),"",IF(INDEX(DB_materiali!$E$2:$E$5000,MATCH($C357,DB_materiali!$A$2:$A$5000,0))&gt;=INDEX(DB_malas!$C$2:$C$5000,MATCH(H357,DB_malas!$A$2:$A$5000,0)),IF(INDEX(DB_materiali!$E$2:$E$5000,MATCH($C357,DB_materiali!$A$2:$A$5000,0))&lt;=INDEX(DB_malas!$D$2:$D$5000,MATCH(H357,DB_malas!$A$2:$A$5000,0)),IF(OR(INDEX(DB_materiali!$B$2:$B$5000,MATCH($C357,DB_materiali!$A$2:$A$5000,0))=INDEX(DB_malas!$B$2:$B$5000,MATCH(H357,DB_malas!$A$2:$A$5000,0)),$H357="ORG"),"✔",tulkojums!$A$38),tulkojums!$A$39),tulkojums!$A$39))</f>
        <v/>
      </c>
      <c r="Q357" s="2" t="str">
        <f>IF(ISBLANK(I357),"",IF(INDEX(DB_materiali!$E$2:$E$5000,MATCH($C357,DB_materiali!$A$2:$A$5000,0))&gt;=INDEX(DB_malas!$C$2:$C$5000,MATCH(I357,DB_malas!$A$2:$A$5000,0)),IF(INDEX(DB_materiali!$E$2:$E$5000,MATCH($C357,DB_materiali!$A$2:$A$5000,0))&lt;=INDEX(DB_malas!$D$2:$D$5000,MATCH(I357,DB_malas!$A$2:$A$5000,0)),IF(OR(INDEX(DB_materiali!$B$2:$B$5000,MATCH($C357,DB_materiali!$A$2:$A$5000,0))=INDEX(DB_malas!$B$2:$B$5000,MATCH(I357,DB_malas!$A$2:$A$5000,0)),$H357="ORG"),"✔",tulkojums!$A$38),tulkojums!$A$39),tulkojums!$A$39))</f>
        <v/>
      </c>
      <c r="R357" s="2" t="str">
        <f>IF(ISBLANK(J357),"",IF(INDEX(DB_materiali!$E$2:$E$5000,MATCH($C357,DB_materiali!$A$2:$A$5000,0))&gt;=INDEX(DB_malas!$C$2:$C$5000,MATCH(J357,DB_malas!$A$2:$A$5000,0)),IF(INDEX(DB_materiali!$E$2:$E$5000,MATCH($C357,DB_materiali!$A$2:$A$5000,0))&lt;=INDEX(DB_malas!$D$2:$D$5000,MATCH(J357,DB_malas!$A$2:$A$5000,0)),IF(INDEX(DB_materiali!$B$2:$B$5000,MATCH($C357,DB_materiali!$A$2:$A$5000,0))=INDEX(DB_malas!$B$2:$B$5000,MATCH(J357,DB_malas!$A$2:$A$5000,0)),"✔",tulkojums!$A$38),tulkojums!$A$39),tulkojums!$A$39))</f>
        <v/>
      </c>
      <c r="S357" s="2" t="str">
        <f>IF(ISBLANK(K357),"",IF(INDEX(DB_materiali!$E$2:$E$5000,MATCH($C357,DB_materiali!$A$2:$A$5000,0))&gt;=INDEX(DB_malas!$C$2:$C$5000,MATCH(K357,DB_malas!$A$2:$A$5000,0)),IF(INDEX(DB_materiali!$E$2:$E$5000,MATCH($C357,DB_materiali!$A$2:$A$5000,0))&lt;=INDEX(DB_malas!$D$2:$D$5000,MATCH(K357,DB_malas!$A$2:$A$5000,0)),IF(INDEX(DB_materiali!$B$2:$B$5000,MATCH($C357,DB_materiali!$A$2:$A$5000,0))=INDEX(DB_malas!$B$2:$B$5000,MATCH(K357,DB_malas!$A$2:$A$5000,0)),"✔",tulkojums!$A$38),tulkojums!$A$39),tulkojums!$A$39))</f>
        <v/>
      </c>
      <c r="T357" s="2"/>
      <c r="U357" s="2"/>
      <c r="V357" s="2"/>
      <c r="W357" s="2"/>
      <c r="X357" s="2"/>
      <c r="Y357" s="2"/>
      <c r="Z357" s="2"/>
    </row>
    <row r="358" spans="1:26" ht="15.75" customHeight="1">
      <c r="A358" s="17"/>
      <c r="B358" s="18"/>
      <c r="C358" s="19"/>
      <c r="D358" s="55"/>
      <c r="E358" s="55"/>
      <c r="F358" s="56"/>
      <c r="G358" s="57" t="str">
        <f>IF(ISBLANK(C358),"",
   IFERROR(
      IF(
         INDEX(DB_materiali!C$2:C$5000,
               MATCH(C358, DB_materiali!A$2:A$5000, 0)
         )="FALSE",
         "N",
         "Y"
      ),
   "")
)</f>
        <v/>
      </c>
      <c r="H358" s="20"/>
      <c r="I358" s="20"/>
      <c r="J358" s="20"/>
      <c r="K358" s="20"/>
      <c r="M358" s="2" t="str">
        <f>IF(ISBLANK(C358),"",IF(IFERROR(VLOOKUP(C358,DB_materiali!$A$2:$A$5000,1,FALSE),"Kļūda artikulā")=C358,"✔",tulkojums!A$42))</f>
        <v/>
      </c>
      <c r="N358" s="2" t="str">
        <f>IF(ISBLANK(C358),"",IF(ISNUMBER(F358)=TRUE,"✔",tulkojums!A$43))</f>
        <v/>
      </c>
      <c r="O358" s="2" t="str">
        <f>IF(ISBLANK(C358),"",IF(G358="Y","✔",IF(G358="X","✔",IF(G358="N","✔",tulkojums!A$44))))</f>
        <v/>
      </c>
      <c r="P358" s="2" t="str">
        <f>IF(ISBLANK(H358),"",IF(INDEX(DB_materiali!$E$2:$E$5000,MATCH($C358,DB_materiali!$A$2:$A$5000,0))&gt;=INDEX(DB_malas!$C$2:$C$5000,MATCH(H358,DB_malas!$A$2:$A$5000,0)),IF(INDEX(DB_materiali!$E$2:$E$5000,MATCH($C358,DB_materiali!$A$2:$A$5000,0))&lt;=INDEX(DB_malas!$D$2:$D$5000,MATCH(H358,DB_malas!$A$2:$A$5000,0)),IF(OR(INDEX(DB_materiali!$B$2:$B$5000,MATCH($C358,DB_materiali!$A$2:$A$5000,0))=INDEX(DB_malas!$B$2:$B$5000,MATCH(H358,DB_malas!$A$2:$A$5000,0)),$H358="ORG"),"✔",tulkojums!$A$38),tulkojums!$A$39),tulkojums!$A$39))</f>
        <v/>
      </c>
      <c r="Q358" s="2" t="str">
        <f>IF(ISBLANK(I358),"",IF(INDEX(DB_materiali!$E$2:$E$5000,MATCH($C358,DB_materiali!$A$2:$A$5000,0))&gt;=INDEX(DB_malas!$C$2:$C$5000,MATCH(I358,DB_malas!$A$2:$A$5000,0)),IF(INDEX(DB_materiali!$E$2:$E$5000,MATCH($C358,DB_materiali!$A$2:$A$5000,0))&lt;=INDEX(DB_malas!$D$2:$D$5000,MATCH(I358,DB_malas!$A$2:$A$5000,0)),IF(OR(INDEX(DB_materiali!$B$2:$B$5000,MATCH($C358,DB_materiali!$A$2:$A$5000,0))=INDEX(DB_malas!$B$2:$B$5000,MATCH(I358,DB_malas!$A$2:$A$5000,0)),$H358="ORG"),"✔",tulkojums!$A$38),tulkojums!$A$39),tulkojums!$A$39))</f>
        <v/>
      </c>
      <c r="R358" s="2" t="str">
        <f>IF(ISBLANK(J358),"",IF(INDEX(DB_materiali!$E$2:$E$5000,MATCH($C358,DB_materiali!$A$2:$A$5000,0))&gt;=INDEX(DB_malas!$C$2:$C$5000,MATCH(J358,DB_malas!$A$2:$A$5000,0)),IF(INDEX(DB_materiali!$E$2:$E$5000,MATCH($C358,DB_materiali!$A$2:$A$5000,0))&lt;=INDEX(DB_malas!$D$2:$D$5000,MATCH(J358,DB_malas!$A$2:$A$5000,0)),IF(INDEX(DB_materiali!$B$2:$B$5000,MATCH($C358,DB_materiali!$A$2:$A$5000,0))=INDEX(DB_malas!$B$2:$B$5000,MATCH(J358,DB_malas!$A$2:$A$5000,0)),"✔",tulkojums!$A$38),tulkojums!$A$39),tulkojums!$A$39))</f>
        <v/>
      </c>
      <c r="S358" s="2" t="str">
        <f>IF(ISBLANK(K358),"",IF(INDEX(DB_materiali!$E$2:$E$5000,MATCH($C358,DB_materiali!$A$2:$A$5000,0))&gt;=INDEX(DB_malas!$C$2:$C$5000,MATCH(K358,DB_malas!$A$2:$A$5000,0)),IF(INDEX(DB_materiali!$E$2:$E$5000,MATCH($C358,DB_materiali!$A$2:$A$5000,0))&lt;=INDEX(DB_malas!$D$2:$D$5000,MATCH(K358,DB_malas!$A$2:$A$5000,0)),IF(INDEX(DB_materiali!$B$2:$B$5000,MATCH($C358,DB_materiali!$A$2:$A$5000,0))=INDEX(DB_malas!$B$2:$B$5000,MATCH(K358,DB_malas!$A$2:$A$5000,0)),"✔",tulkojums!$A$38),tulkojums!$A$39),tulkojums!$A$39))</f>
        <v/>
      </c>
      <c r="T358" s="2"/>
      <c r="U358" s="2"/>
      <c r="V358" s="2"/>
      <c r="W358" s="2"/>
      <c r="X358" s="2"/>
      <c r="Y358" s="2"/>
      <c r="Z358" s="2"/>
    </row>
    <row r="359" spans="1:26" ht="15.75" customHeight="1">
      <c r="A359" s="17"/>
      <c r="B359" s="18"/>
      <c r="C359" s="19"/>
      <c r="D359" s="55"/>
      <c r="E359" s="55"/>
      <c r="F359" s="56"/>
      <c r="G359" s="57" t="str">
        <f>IF(ISBLANK(C359),"",
   IFERROR(
      IF(
         INDEX(DB_materiali!C$2:C$5000,
               MATCH(C359, DB_materiali!A$2:A$5000, 0)
         )="FALSE",
         "N",
         "Y"
      ),
   "")
)</f>
        <v/>
      </c>
      <c r="H359" s="20"/>
      <c r="I359" s="20"/>
      <c r="J359" s="20"/>
      <c r="K359" s="20"/>
      <c r="M359" s="2" t="str">
        <f>IF(ISBLANK(C359),"",IF(IFERROR(VLOOKUP(C359,DB_materiali!$A$2:$A$5000,1,FALSE),"Kļūda artikulā")=C359,"✔",tulkojums!A$42))</f>
        <v/>
      </c>
      <c r="N359" s="2" t="str">
        <f>IF(ISBLANK(C359),"",IF(ISNUMBER(F359)=TRUE,"✔",tulkojums!A$43))</f>
        <v/>
      </c>
      <c r="O359" s="2" t="str">
        <f>IF(ISBLANK(C359),"",IF(G359="Y","✔",IF(G359="X","✔",IF(G359="N","✔",tulkojums!A$44))))</f>
        <v/>
      </c>
      <c r="P359" s="2" t="str">
        <f>IF(ISBLANK(H359),"",IF(INDEX(DB_materiali!$E$2:$E$5000,MATCH($C359,DB_materiali!$A$2:$A$5000,0))&gt;=INDEX(DB_malas!$C$2:$C$5000,MATCH(H359,DB_malas!$A$2:$A$5000,0)),IF(INDEX(DB_materiali!$E$2:$E$5000,MATCH($C359,DB_materiali!$A$2:$A$5000,0))&lt;=INDEX(DB_malas!$D$2:$D$5000,MATCH(H359,DB_malas!$A$2:$A$5000,0)),IF(OR(INDEX(DB_materiali!$B$2:$B$5000,MATCH($C359,DB_materiali!$A$2:$A$5000,0))=INDEX(DB_malas!$B$2:$B$5000,MATCH(H359,DB_malas!$A$2:$A$5000,0)),$H359="ORG"),"✔",tulkojums!$A$38),tulkojums!$A$39),tulkojums!$A$39))</f>
        <v/>
      </c>
      <c r="Q359" s="2" t="str">
        <f>IF(ISBLANK(I359),"",IF(INDEX(DB_materiali!$E$2:$E$5000,MATCH($C359,DB_materiali!$A$2:$A$5000,0))&gt;=INDEX(DB_malas!$C$2:$C$5000,MATCH(I359,DB_malas!$A$2:$A$5000,0)),IF(INDEX(DB_materiali!$E$2:$E$5000,MATCH($C359,DB_materiali!$A$2:$A$5000,0))&lt;=INDEX(DB_malas!$D$2:$D$5000,MATCH(I359,DB_malas!$A$2:$A$5000,0)),IF(OR(INDEX(DB_materiali!$B$2:$B$5000,MATCH($C359,DB_materiali!$A$2:$A$5000,0))=INDEX(DB_malas!$B$2:$B$5000,MATCH(I359,DB_malas!$A$2:$A$5000,0)),$H359="ORG"),"✔",tulkojums!$A$38),tulkojums!$A$39),tulkojums!$A$39))</f>
        <v/>
      </c>
      <c r="R359" s="2" t="str">
        <f>IF(ISBLANK(J359),"",IF(INDEX(DB_materiali!$E$2:$E$5000,MATCH($C359,DB_materiali!$A$2:$A$5000,0))&gt;=INDEX(DB_malas!$C$2:$C$5000,MATCH(J359,DB_malas!$A$2:$A$5000,0)),IF(INDEX(DB_materiali!$E$2:$E$5000,MATCH($C359,DB_materiali!$A$2:$A$5000,0))&lt;=INDEX(DB_malas!$D$2:$D$5000,MATCH(J359,DB_malas!$A$2:$A$5000,0)),IF(INDEX(DB_materiali!$B$2:$B$5000,MATCH($C359,DB_materiali!$A$2:$A$5000,0))=INDEX(DB_malas!$B$2:$B$5000,MATCH(J359,DB_malas!$A$2:$A$5000,0)),"✔",tulkojums!$A$38),tulkojums!$A$39),tulkojums!$A$39))</f>
        <v/>
      </c>
      <c r="S359" s="2" t="str">
        <f>IF(ISBLANK(K359),"",IF(INDEX(DB_materiali!$E$2:$E$5000,MATCH($C359,DB_materiali!$A$2:$A$5000,0))&gt;=INDEX(DB_malas!$C$2:$C$5000,MATCH(K359,DB_malas!$A$2:$A$5000,0)),IF(INDEX(DB_materiali!$E$2:$E$5000,MATCH($C359,DB_materiali!$A$2:$A$5000,0))&lt;=INDEX(DB_malas!$D$2:$D$5000,MATCH(K359,DB_malas!$A$2:$A$5000,0)),IF(INDEX(DB_materiali!$B$2:$B$5000,MATCH($C359,DB_materiali!$A$2:$A$5000,0))=INDEX(DB_malas!$B$2:$B$5000,MATCH(K359,DB_malas!$A$2:$A$5000,0)),"✔",tulkojums!$A$38),tulkojums!$A$39),tulkojums!$A$39))</f>
        <v/>
      </c>
      <c r="T359" s="2"/>
      <c r="U359" s="2"/>
      <c r="V359" s="2"/>
      <c r="W359" s="2"/>
      <c r="X359" s="2"/>
      <c r="Y359" s="2"/>
      <c r="Z359" s="2"/>
    </row>
    <row r="360" spans="1:26" ht="15.75" customHeight="1">
      <c r="A360" s="17"/>
      <c r="B360" s="18"/>
      <c r="C360" s="19"/>
      <c r="D360" s="55"/>
      <c r="E360" s="55"/>
      <c r="F360" s="56"/>
      <c r="G360" s="57" t="str">
        <f>IF(ISBLANK(C360),"",
   IFERROR(
      IF(
         INDEX(DB_materiali!C$2:C$5000,
               MATCH(C360, DB_materiali!A$2:A$5000, 0)
         )="FALSE",
         "N",
         "Y"
      ),
   "")
)</f>
        <v/>
      </c>
      <c r="H360" s="20"/>
      <c r="I360" s="20"/>
      <c r="J360" s="20"/>
      <c r="K360" s="20"/>
      <c r="M360" s="2" t="str">
        <f>IF(ISBLANK(C360),"",IF(IFERROR(VLOOKUP(C360,DB_materiali!$A$2:$A$5000,1,FALSE),"Kļūda artikulā")=C360,"✔",tulkojums!A$42))</f>
        <v/>
      </c>
      <c r="N360" s="2" t="str">
        <f>IF(ISBLANK(C360),"",IF(ISNUMBER(F360)=TRUE,"✔",tulkojums!A$43))</f>
        <v/>
      </c>
      <c r="O360" s="2" t="str">
        <f>IF(ISBLANK(C360),"",IF(G360="Y","✔",IF(G360="X","✔",IF(G360="N","✔",tulkojums!A$44))))</f>
        <v/>
      </c>
      <c r="P360" s="2" t="str">
        <f>IF(ISBLANK(H360),"",IF(INDEX(DB_materiali!$E$2:$E$5000,MATCH($C360,DB_materiali!$A$2:$A$5000,0))&gt;=INDEX(DB_malas!$C$2:$C$5000,MATCH(H360,DB_malas!$A$2:$A$5000,0)),IF(INDEX(DB_materiali!$E$2:$E$5000,MATCH($C360,DB_materiali!$A$2:$A$5000,0))&lt;=INDEX(DB_malas!$D$2:$D$5000,MATCH(H360,DB_malas!$A$2:$A$5000,0)),IF(OR(INDEX(DB_materiali!$B$2:$B$5000,MATCH($C360,DB_materiali!$A$2:$A$5000,0))=INDEX(DB_malas!$B$2:$B$5000,MATCH(H360,DB_malas!$A$2:$A$5000,0)),$H360="ORG"),"✔",tulkojums!$A$38),tulkojums!$A$39),tulkojums!$A$39))</f>
        <v/>
      </c>
      <c r="Q360" s="2" t="str">
        <f>IF(ISBLANK(I360),"",IF(INDEX(DB_materiali!$E$2:$E$5000,MATCH($C360,DB_materiali!$A$2:$A$5000,0))&gt;=INDEX(DB_malas!$C$2:$C$5000,MATCH(I360,DB_malas!$A$2:$A$5000,0)),IF(INDEX(DB_materiali!$E$2:$E$5000,MATCH($C360,DB_materiali!$A$2:$A$5000,0))&lt;=INDEX(DB_malas!$D$2:$D$5000,MATCH(I360,DB_malas!$A$2:$A$5000,0)),IF(OR(INDEX(DB_materiali!$B$2:$B$5000,MATCH($C360,DB_materiali!$A$2:$A$5000,0))=INDEX(DB_malas!$B$2:$B$5000,MATCH(I360,DB_malas!$A$2:$A$5000,0)),$H360="ORG"),"✔",tulkojums!$A$38),tulkojums!$A$39),tulkojums!$A$39))</f>
        <v/>
      </c>
      <c r="R360" s="2" t="str">
        <f>IF(ISBLANK(J360),"",IF(INDEX(DB_materiali!$E$2:$E$5000,MATCH($C360,DB_materiali!$A$2:$A$5000,0))&gt;=INDEX(DB_malas!$C$2:$C$5000,MATCH(J360,DB_malas!$A$2:$A$5000,0)),IF(INDEX(DB_materiali!$E$2:$E$5000,MATCH($C360,DB_materiali!$A$2:$A$5000,0))&lt;=INDEX(DB_malas!$D$2:$D$5000,MATCH(J360,DB_malas!$A$2:$A$5000,0)),IF(INDEX(DB_materiali!$B$2:$B$5000,MATCH($C360,DB_materiali!$A$2:$A$5000,0))=INDEX(DB_malas!$B$2:$B$5000,MATCH(J360,DB_malas!$A$2:$A$5000,0)),"✔",tulkojums!$A$38),tulkojums!$A$39),tulkojums!$A$39))</f>
        <v/>
      </c>
      <c r="S360" s="2" t="str">
        <f>IF(ISBLANK(K360),"",IF(INDEX(DB_materiali!$E$2:$E$5000,MATCH($C360,DB_materiali!$A$2:$A$5000,0))&gt;=INDEX(DB_malas!$C$2:$C$5000,MATCH(K360,DB_malas!$A$2:$A$5000,0)),IF(INDEX(DB_materiali!$E$2:$E$5000,MATCH($C360,DB_materiali!$A$2:$A$5000,0))&lt;=INDEX(DB_malas!$D$2:$D$5000,MATCH(K360,DB_malas!$A$2:$A$5000,0)),IF(INDEX(DB_materiali!$B$2:$B$5000,MATCH($C360,DB_materiali!$A$2:$A$5000,0))=INDEX(DB_malas!$B$2:$B$5000,MATCH(K360,DB_malas!$A$2:$A$5000,0)),"✔",tulkojums!$A$38),tulkojums!$A$39),tulkojums!$A$39))</f>
        <v/>
      </c>
      <c r="T360" s="2"/>
      <c r="U360" s="2"/>
      <c r="V360" s="2"/>
      <c r="W360" s="2"/>
      <c r="X360" s="2"/>
      <c r="Y360" s="2"/>
      <c r="Z360" s="2"/>
    </row>
    <row r="361" spans="1:26" ht="15.75" customHeight="1">
      <c r="A361" s="17"/>
      <c r="B361" s="18"/>
      <c r="C361" s="19"/>
      <c r="D361" s="55"/>
      <c r="E361" s="55"/>
      <c r="F361" s="56"/>
      <c r="G361" s="57" t="str">
        <f>IF(ISBLANK(C361),"",
   IFERROR(
      IF(
         INDEX(DB_materiali!C$2:C$5000,
               MATCH(C361, DB_materiali!A$2:A$5000, 0)
         )="FALSE",
         "N",
         "Y"
      ),
   "")
)</f>
        <v/>
      </c>
      <c r="H361" s="20"/>
      <c r="I361" s="20"/>
      <c r="J361" s="20"/>
      <c r="K361" s="20"/>
      <c r="M361" s="2" t="str">
        <f>IF(ISBLANK(C361),"",IF(IFERROR(VLOOKUP(C361,DB_materiali!$A$2:$A$5000,1,FALSE),"Kļūda artikulā")=C361,"✔",tulkojums!A$42))</f>
        <v/>
      </c>
      <c r="N361" s="2" t="str">
        <f>IF(ISBLANK(C361),"",IF(ISNUMBER(F361)=TRUE,"✔",tulkojums!A$43))</f>
        <v/>
      </c>
      <c r="O361" s="2" t="str">
        <f>IF(ISBLANK(C361),"",IF(G361="Y","✔",IF(G361="X","✔",IF(G361="N","✔",tulkojums!A$44))))</f>
        <v/>
      </c>
      <c r="P361" s="2" t="str">
        <f>IF(ISBLANK(H361),"",IF(INDEX(DB_materiali!$E$2:$E$5000,MATCH($C361,DB_materiali!$A$2:$A$5000,0))&gt;=INDEX(DB_malas!$C$2:$C$5000,MATCH(H361,DB_malas!$A$2:$A$5000,0)),IF(INDEX(DB_materiali!$E$2:$E$5000,MATCH($C361,DB_materiali!$A$2:$A$5000,0))&lt;=INDEX(DB_malas!$D$2:$D$5000,MATCH(H361,DB_malas!$A$2:$A$5000,0)),IF(OR(INDEX(DB_materiali!$B$2:$B$5000,MATCH($C361,DB_materiali!$A$2:$A$5000,0))=INDEX(DB_malas!$B$2:$B$5000,MATCH(H361,DB_malas!$A$2:$A$5000,0)),$H361="ORG"),"✔",tulkojums!$A$38),tulkojums!$A$39),tulkojums!$A$39))</f>
        <v/>
      </c>
      <c r="Q361" s="2" t="str">
        <f>IF(ISBLANK(I361),"",IF(INDEX(DB_materiali!$E$2:$E$5000,MATCH($C361,DB_materiali!$A$2:$A$5000,0))&gt;=INDEX(DB_malas!$C$2:$C$5000,MATCH(I361,DB_malas!$A$2:$A$5000,0)),IF(INDEX(DB_materiali!$E$2:$E$5000,MATCH($C361,DB_materiali!$A$2:$A$5000,0))&lt;=INDEX(DB_malas!$D$2:$D$5000,MATCH(I361,DB_malas!$A$2:$A$5000,0)),IF(OR(INDEX(DB_materiali!$B$2:$B$5000,MATCH($C361,DB_materiali!$A$2:$A$5000,0))=INDEX(DB_malas!$B$2:$B$5000,MATCH(I361,DB_malas!$A$2:$A$5000,0)),$H361="ORG"),"✔",tulkojums!$A$38),tulkojums!$A$39),tulkojums!$A$39))</f>
        <v/>
      </c>
      <c r="R361" s="2" t="str">
        <f>IF(ISBLANK(J361),"",IF(INDEX(DB_materiali!$E$2:$E$5000,MATCH($C361,DB_materiali!$A$2:$A$5000,0))&gt;=INDEX(DB_malas!$C$2:$C$5000,MATCH(J361,DB_malas!$A$2:$A$5000,0)),IF(INDEX(DB_materiali!$E$2:$E$5000,MATCH($C361,DB_materiali!$A$2:$A$5000,0))&lt;=INDEX(DB_malas!$D$2:$D$5000,MATCH(J361,DB_malas!$A$2:$A$5000,0)),IF(INDEX(DB_materiali!$B$2:$B$5000,MATCH($C361,DB_materiali!$A$2:$A$5000,0))=INDEX(DB_malas!$B$2:$B$5000,MATCH(J361,DB_malas!$A$2:$A$5000,0)),"✔",tulkojums!$A$38),tulkojums!$A$39),tulkojums!$A$39))</f>
        <v/>
      </c>
      <c r="S361" s="2" t="str">
        <f>IF(ISBLANK(K361),"",IF(INDEX(DB_materiali!$E$2:$E$5000,MATCH($C361,DB_materiali!$A$2:$A$5000,0))&gt;=INDEX(DB_malas!$C$2:$C$5000,MATCH(K361,DB_malas!$A$2:$A$5000,0)),IF(INDEX(DB_materiali!$E$2:$E$5000,MATCH($C361,DB_materiali!$A$2:$A$5000,0))&lt;=INDEX(DB_malas!$D$2:$D$5000,MATCH(K361,DB_malas!$A$2:$A$5000,0)),IF(INDEX(DB_materiali!$B$2:$B$5000,MATCH($C361,DB_materiali!$A$2:$A$5000,0))=INDEX(DB_malas!$B$2:$B$5000,MATCH(K361,DB_malas!$A$2:$A$5000,0)),"✔",tulkojums!$A$38),tulkojums!$A$39),tulkojums!$A$39))</f>
        <v/>
      </c>
      <c r="T361" s="2"/>
      <c r="U361" s="2"/>
      <c r="V361" s="2"/>
      <c r="W361" s="2"/>
      <c r="X361" s="2"/>
      <c r="Y361" s="2"/>
      <c r="Z361" s="2"/>
    </row>
    <row r="362" spans="1:26" ht="15.75" customHeight="1">
      <c r="A362" s="17"/>
      <c r="B362" s="18"/>
      <c r="C362" s="19"/>
      <c r="D362" s="55"/>
      <c r="E362" s="55"/>
      <c r="F362" s="56"/>
      <c r="G362" s="57" t="str">
        <f>IF(ISBLANK(C362),"",
   IFERROR(
      IF(
         INDEX(DB_materiali!C$2:C$5000,
               MATCH(C362, DB_materiali!A$2:A$5000, 0)
         )="FALSE",
         "N",
         "Y"
      ),
   "")
)</f>
        <v/>
      </c>
      <c r="H362" s="20"/>
      <c r="I362" s="20"/>
      <c r="J362" s="20"/>
      <c r="K362" s="20"/>
      <c r="M362" s="2" t="str">
        <f>IF(ISBLANK(C362),"",IF(IFERROR(VLOOKUP(C362,DB_materiali!$A$2:$A$5000,1,FALSE),"Kļūda artikulā")=C362,"✔",tulkojums!A$42))</f>
        <v/>
      </c>
      <c r="N362" s="2" t="str">
        <f>IF(ISBLANK(C362),"",IF(ISNUMBER(F362)=TRUE,"✔",tulkojums!A$43))</f>
        <v/>
      </c>
      <c r="O362" s="2" t="str">
        <f>IF(ISBLANK(C362),"",IF(G362="Y","✔",IF(G362="X","✔",IF(G362="N","✔",tulkojums!A$44))))</f>
        <v/>
      </c>
      <c r="P362" s="2" t="str">
        <f>IF(ISBLANK(H362),"",IF(INDEX(DB_materiali!$E$2:$E$5000,MATCH($C362,DB_materiali!$A$2:$A$5000,0))&gt;=INDEX(DB_malas!$C$2:$C$5000,MATCH(H362,DB_malas!$A$2:$A$5000,0)),IF(INDEX(DB_materiali!$E$2:$E$5000,MATCH($C362,DB_materiali!$A$2:$A$5000,0))&lt;=INDEX(DB_malas!$D$2:$D$5000,MATCH(H362,DB_malas!$A$2:$A$5000,0)),IF(OR(INDEX(DB_materiali!$B$2:$B$5000,MATCH($C362,DB_materiali!$A$2:$A$5000,0))=INDEX(DB_malas!$B$2:$B$5000,MATCH(H362,DB_malas!$A$2:$A$5000,0)),$H362="ORG"),"✔",tulkojums!$A$38),tulkojums!$A$39),tulkojums!$A$39))</f>
        <v/>
      </c>
      <c r="Q362" s="2" t="str">
        <f>IF(ISBLANK(I362),"",IF(INDEX(DB_materiali!$E$2:$E$5000,MATCH($C362,DB_materiali!$A$2:$A$5000,0))&gt;=INDEX(DB_malas!$C$2:$C$5000,MATCH(I362,DB_malas!$A$2:$A$5000,0)),IF(INDEX(DB_materiali!$E$2:$E$5000,MATCH($C362,DB_materiali!$A$2:$A$5000,0))&lt;=INDEX(DB_malas!$D$2:$D$5000,MATCH(I362,DB_malas!$A$2:$A$5000,0)),IF(OR(INDEX(DB_materiali!$B$2:$B$5000,MATCH($C362,DB_materiali!$A$2:$A$5000,0))=INDEX(DB_malas!$B$2:$B$5000,MATCH(I362,DB_malas!$A$2:$A$5000,0)),$H362="ORG"),"✔",tulkojums!$A$38),tulkojums!$A$39),tulkojums!$A$39))</f>
        <v/>
      </c>
      <c r="R362" s="2" t="str">
        <f>IF(ISBLANK(J362),"",IF(INDEX(DB_materiali!$E$2:$E$5000,MATCH($C362,DB_materiali!$A$2:$A$5000,0))&gt;=INDEX(DB_malas!$C$2:$C$5000,MATCH(J362,DB_malas!$A$2:$A$5000,0)),IF(INDEX(DB_materiali!$E$2:$E$5000,MATCH($C362,DB_materiali!$A$2:$A$5000,0))&lt;=INDEX(DB_malas!$D$2:$D$5000,MATCH(J362,DB_malas!$A$2:$A$5000,0)),IF(INDEX(DB_materiali!$B$2:$B$5000,MATCH($C362,DB_materiali!$A$2:$A$5000,0))=INDEX(DB_malas!$B$2:$B$5000,MATCH(J362,DB_malas!$A$2:$A$5000,0)),"✔",tulkojums!$A$38),tulkojums!$A$39),tulkojums!$A$39))</f>
        <v/>
      </c>
      <c r="S362" s="2" t="str">
        <f>IF(ISBLANK(K362),"",IF(INDEX(DB_materiali!$E$2:$E$5000,MATCH($C362,DB_materiali!$A$2:$A$5000,0))&gt;=INDEX(DB_malas!$C$2:$C$5000,MATCH(K362,DB_malas!$A$2:$A$5000,0)),IF(INDEX(DB_materiali!$E$2:$E$5000,MATCH($C362,DB_materiali!$A$2:$A$5000,0))&lt;=INDEX(DB_malas!$D$2:$D$5000,MATCH(K362,DB_malas!$A$2:$A$5000,0)),IF(INDEX(DB_materiali!$B$2:$B$5000,MATCH($C362,DB_materiali!$A$2:$A$5000,0))=INDEX(DB_malas!$B$2:$B$5000,MATCH(K362,DB_malas!$A$2:$A$5000,0)),"✔",tulkojums!$A$38),tulkojums!$A$39),tulkojums!$A$39))</f>
        <v/>
      </c>
      <c r="T362" s="2"/>
      <c r="U362" s="2"/>
      <c r="V362" s="2"/>
      <c r="W362" s="2"/>
      <c r="X362" s="2"/>
      <c r="Y362" s="2"/>
      <c r="Z362" s="2"/>
    </row>
    <row r="363" spans="1:26" ht="15.75" customHeight="1">
      <c r="A363" s="17"/>
      <c r="B363" s="18"/>
      <c r="C363" s="19"/>
      <c r="D363" s="55"/>
      <c r="E363" s="55"/>
      <c r="F363" s="56"/>
      <c r="G363" s="57" t="str">
        <f>IF(ISBLANK(C363),"",
   IFERROR(
      IF(
         INDEX(DB_materiali!C$2:C$5000,
               MATCH(C363, DB_materiali!A$2:A$5000, 0)
         )="FALSE",
         "N",
         "Y"
      ),
   "")
)</f>
        <v/>
      </c>
      <c r="H363" s="20"/>
      <c r="I363" s="20"/>
      <c r="J363" s="20"/>
      <c r="K363" s="20"/>
      <c r="M363" s="2" t="str">
        <f>IF(ISBLANK(C363),"",IF(IFERROR(VLOOKUP(C363,DB_materiali!$A$2:$A$5000,1,FALSE),"Kļūda artikulā")=C363,"✔",tulkojums!A$42))</f>
        <v/>
      </c>
      <c r="N363" s="2" t="str">
        <f>IF(ISBLANK(C363),"",IF(ISNUMBER(F363)=TRUE,"✔",tulkojums!A$43))</f>
        <v/>
      </c>
      <c r="O363" s="2" t="str">
        <f>IF(ISBLANK(C363),"",IF(G363="Y","✔",IF(G363="X","✔",IF(G363="N","✔",tulkojums!A$44))))</f>
        <v/>
      </c>
      <c r="P363" s="2" t="str">
        <f>IF(ISBLANK(H363),"",IF(INDEX(DB_materiali!$E$2:$E$5000,MATCH($C363,DB_materiali!$A$2:$A$5000,0))&gt;=INDEX(DB_malas!$C$2:$C$5000,MATCH(H363,DB_malas!$A$2:$A$5000,0)),IF(INDEX(DB_materiali!$E$2:$E$5000,MATCH($C363,DB_materiali!$A$2:$A$5000,0))&lt;=INDEX(DB_malas!$D$2:$D$5000,MATCH(H363,DB_malas!$A$2:$A$5000,0)),IF(OR(INDEX(DB_materiali!$B$2:$B$5000,MATCH($C363,DB_materiali!$A$2:$A$5000,0))=INDEX(DB_malas!$B$2:$B$5000,MATCH(H363,DB_malas!$A$2:$A$5000,0)),$H363="ORG"),"✔",tulkojums!$A$38),tulkojums!$A$39),tulkojums!$A$39))</f>
        <v/>
      </c>
      <c r="Q363" s="2" t="str">
        <f>IF(ISBLANK(I363),"",IF(INDEX(DB_materiali!$E$2:$E$5000,MATCH($C363,DB_materiali!$A$2:$A$5000,0))&gt;=INDEX(DB_malas!$C$2:$C$5000,MATCH(I363,DB_malas!$A$2:$A$5000,0)),IF(INDEX(DB_materiali!$E$2:$E$5000,MATCH($C363,DB_materiali!$A$2:$A$5000,0))&lt;=INDEX(DB_malas!$D$2:$D$5000,MATCH(I363,DB_malas!$A$2:$A$5000,0)),IF(OR(INDEX(DB_materiali!$B$2:$B$5000,MATCH($C363,DB_materiali!$A$2:$A$5000,0))=INDEX(DB_malas!$B$2:$B$5000,MATCH(I363,DB_malas!$A$2:$A$5000,0)),$H363="ORG"),"✔",tulkojums!$A$38),tulkojums!$A$39),tulkojums!$A$39))</f>
        <v/>
      </c>
      <c r="R363" s="2" t="str">
        <f>IF(ISBLANK(J363),"",IF(INDEX(DB_materiali!$E$2:$E$5000,MATCH($C363,DB_materiali!$A$2:$A$5000,0))&gt;=INDEX(DB_malas!$C$2:$C$5000,MATCH(J363,DB_malas!$A$2:$A$5000,0)),IF(INDEX(DB_materiali!$E$2:$E$5000,MATCH($C363,DB_materiali!$A$2:$A$5000,0))&lt;=INDEX(DB_malas!$D$2:$D$5000,MATCH(J363,DB_malas!$A$2:$A$5000,0)),IF(INDEX(DB_materiali!$B$2:$B$5000,MATCH($C363,DB_materiali!$A$2:$A$5000,0))=INDEX(DB_malas!$B$2:$B$5000,MATCH(J363,DB_malas!$A$2:$A$5000,0)),"✔",tulkojums!$A$38),tulkojums!$A$39),tulkojums!$A$39))</f>
        <v/>
      </c>
      <c r="S363" s="2" t="str">
        <f>IF(ISBLANK(K363),"",IF(INDEX(DB_materiali!$E$2:$E$5000,MATCH($C363,DB_materiali!$A$2:$A$5000,0))&gt;=INDEX(DB_malas!$C$2:$C$5000,MATCH(K363,DB_malas!$A$2:$A$5000,0)),IF(INDEX(DB_materiali!$E$2:$E$5000,MATCH($C363,DB_materiali!$A$2:$A$5000,0))&lt;=INDEX(DB_malas!$D$2:$D$5000,MATCH(K363,DB_malas!$A$2:$A$5000,0)),IF(INDEX(DB_materiali!$B$2:$B$5000,MATCH($C363,DB_materiali!$A$2:$A$5000,0))=INDEX(DB_malas!$B$2:$B$5000,MATCH(K363,DB_malas!$A$2:$A$5000,0)),"✔",tulkojums!$A$38),tulkojums!$A$39),tulkojums!$A$39))</f>
        <v/>
      </c>
      <c r="T363" s="2"/>
      <c r="U363" s="2"/>
      <c r="V363" s="2"/>
      <c r="W363" s="2"/>
      <c r="X363" s="2"/>
      <c r="Y363" s="2"/>
      <c r="Z363" s="2"/>
    </row>
    <row r="364" spans="1:26" ht="15.75" customHeight="1">
      <c r="A364" s="17"/>
      <c r="B364" s="18"/>
      <c r="C364" s="19"/>
      <c r="D364" s="55"/>
      <c r="E364" s="55"/>
      <c r="F364" s="56"/>
      <c r="G364" s="57" t="str">
        <f>IF(ISBLANK(C364),"",
   IFERROR(
      IF(
         INDEX(DB_materiali!C$2:C$5000,
               MATCH(C364, DB_materiali!A$2:A$5000, 0)
         )="FALSE",
         "N",
         "Y"
      ),
   "")
)</f>
        <v/>
      </c>
      <c r="H364" s="20"/>
      <c r="I364" s="20"/>
      <c r="J364" s="20"/>
      <c r="K364" s="20"/>
      <c r="M364" s="2" t="str">
        <f>IF(ISBLANK(C364),"",IF(IFERROR(VLOOKUP(C364,DB_materiali!$A$2:$A$5000,1,FALSE),"Kļūda artikulā")=C364,"✔",tulkojums!A$42))</f>
        <v/>
      </c>
      <c r="N364" s="2" t="str">
        <f>IF(ISBLANK(C364),"",IF(ISNUMBER(F364)=TRUE,"✔",tulkojums!A$43))</f>
        <v/>
      </c>
      <c r="O364" s="2" t="str">
        <f>IF(ISBLANK(C364),"",IF(G364="Y","✔",IF(G364="X","✔",IF(G364="N","✔",tulkojums!A$44))))</f>
        <v/>
      </c>
      <c r="P364" s="2" t="str">
        <f>IF(ISBLANK(H364),"",IF(INDEX(DB_materiali!$E$2:$E$5000,MATCH($C364,DB_materiali!$A$2:$A$5000,0))&gt;=INDEX(DB_malas!$C$2:$C$5000,MATCH(H364,DB_malas!$A$2:$A$5000,0)),IF(INDEX(DB_materiali!$E$2:$E$5000,MATCH($C364,DB_materiali!$A$2:$A$5000,0))&lt;=INDEX(DB_malas!$D$2:$D$5000,MATCH(H364,DB_malas!$A$2:$A$5000,0)),IF(OR(INDEX(DB_materiali!$B$2:$B$5000,MATCH($C364,DB_materiali!$A$2:$A$5000,0))=INDEX(DB_malas!$B$2:$B$5000,MATCH(H364,DB_malas!$A$2:$A$5000,0)),$H364="ORG"),"✔",tulkojums!$A$38),tulkojums!$A$39),tulkojums!$A$39))</f>
        <v/>
      </c>
      <c r="Q364" s="2" t="str">
        <f>IF(ISBLANK(I364),"",IF(INDEX(DB_materiali!$E$2:$E$5000,MATCH($C364,DB_materiali!$A$2:$A$5000,0))&gt;=INDEX(DB_malas!$C$2:$C$5000,MATCH(I364,DB_malas!$A$2:$A$5000,0)),IF(INDEX(DB_materiali!$E$2:$E$5000,MATCH($C364,DB_materiali!$A$2:$A$5000,0))&lt;=INDEX(DB_malas!$D$2:$D$5000,MATCH(I364,DB_malas!$A$2:$A$5000,0)),IF(OR(INDEX(DB_materiali!$B$2:$B$5000,MATCH($C364,DB_materiali!$A$2:$A$5000,0))=INDEX(DB_malas!$B$2:$B$5000,MATCH(I364,DB_malas!$A$2:$A$5000,0)),$H364="ORG"),"✔",tulkojums!$A$38),tulkojums!$A$39),tulkojums!$A$39))</f>
        <v/>
      </c>
      <c r="R364" s="2" t="str">
        <f>IF(ISBLANK(J364),"",IF(INDEX(DB_materiali!$E$2:$E$5000,MATCH($C364,DB_materiali!$A$2:$A$5000,0))&gt;=INDEX(DB_malas!$C$2:$C$5000,MATCH(J364,DB_malas!$A$2:$A$5000,0)),IF(INDEX(DB_materiali!$E$2:$E$5000,MATCH($C364,DB_materiali!$A$2:$A$5000,0))&lt;=INDEX(DB_malas!$D$2:$D$5000,MATCH(J364,DB_malas!$A$2:$A$5000,0)),IF(INDEX(DB_materiali!$B$2:$B$5000,MATCH($C364,DB_materiali!$A$2:$A$5000,0))=INDEX(DB_malas!$B$2:$B$5000,MATCH(J364,DB_malas!$A$2:$A$5000,0)),"✔",tulkojums!$A$38),tulkojums!$A$39),tulkojums!$A$39))</f>
        <v/>
      </c>
      <c r="S364" s="2" t="str">
        <f>IF(ISBLANK(K364),"",IF(INDEX(DB_materiali!$E$2:$E$5000,MATCH($C364,DB_materiali!$A$2:$A$5000,0))&gt;=INDEX(DB_malas!$C$2:$C$5000,MATCH(K364,DB_malas!$A$2:$A$5000,0)),IF(INDEX(DB_materiali!$E$2:$E$5000,MATCH($C364,DB_materiali!$A$2:$A$5000,0))&lt;=INDEX(DB_malas!$D$2:$D$5000,MATCH(K364,DB_malas!$A$2:$A$5000,0)),IF(INDEX(DB_materiali!$B$2:$B$5000,MATCH($C364,DB_materiali!$A$2:$A$5000,0))=INDEX(DB_malas!$B$2:$B$5000,MATCH(K364,DB_malas!$A$2:$A$5000,0)),"✔",tulkojums!$A$38),tulkojums!$A$39),tulkojums!$A$39))</f>
        <v/>
      </c>
      <c r="T364" s="2"/>
      <c r="U364" s="2"/>
      <c r="V364" s="2"/>
      <c r="W364" s="2"/>
      <c r="X364" s="2"/>
      <c r="Y364" s="2"/>
      <c r="Z364" s="2"/>
    </row>
    <row r="365" spans="1:26" ht="15.75" customHeight="1">
      <c r="A365" s="17"/>
      <c r="B365" s="18"/>
      <c r="C365" s="19"/>
      <c r="D365" s="55"/>
      <c r="E365" s="55"/>
      <c r="F365" s="56"/>
      <c r="G365" s="57" t="str">
        <f>IF(ISBLANK(C365),"",
   IFERROR(
      IF(
         INDEX(DB_materiali!C$2:C$5000,
               MATCH(C365, DB_materiali!A$2:A$5000, 0)
         )="FALSE",
         "N",
         "Y"
      ),
   "")
)</f>
        <v/>
      </c>
      <c r="H365" s="20"/>
      <c r="I365" s="20"/>
      <c r="J365" s="20"/>
      <c r="K365" s="20"/>
      <c r="M365" s="2" t="str">
        <f>IF(ISBLANK(C365),"",IF(IFERROR(VLOOKUP(C365,DB_materiali!$A$2:$A$5000,1,FALSE),"Kļūda artikulā")=C365,"✔",tulkojums!A$42))</f>
        <v/>
      </c>
      <c r="N365" s="2" t="str">
        <f>IF(ISBLANK(C365),"",IF(ISNUMBER(F365)=TRUE,"✔",tulkojums!A$43))</f>
        <v/>
      </c>
      <c r="O365" s="2" t="str">
        <f>IF(ISBLANK(C365),"",IF(G365="Y","✔",IF(G365="X","✔",IF(G365="N","✔",tulkojums!A$44))))</f>
        <v/>
      </c>
      <c r="P365" s="2" t="str">
        <f>IF(ISBLANK(H365),"",IF(INDEX(DB_materiali!$E$2:$E$5000,MATCH($C365,DB_materiali!$A$2:$A$5000,0))&gt;=INDEX(DB_malas!$C$2:$C$5000,MATCH(H365,DB_malas!$A$2:$A$5000,0)),IF(INDEX(DB_materiali!$E$2:$E$5000,MATCH($C365,DB_materiali!$A$2:$A$5000,0))&lt;=INDEX(DB_malas!$D$2:$D$5000,MATCH(H365,DB_malas!$A$2:$A$5000,0)),IF(OR(INDEX(DB_materiali!$B$2:$B$5000,MATCH($C365,DB_materiali!$A$2:$A$5000,0))=INDEX(DB_malas!$B$2:$B$5000,MATCH(H365,DB_malas!$A$2:$A$5000,0)),$H365="ORG"),"✔",tulkojums!$A$38),tulkojums!$A$39),tulkojums!$A$39))</f>
        <v/>
      </c>
      <c r="Q365" s="2" t="str">
        <f>IF(ISBLANK(I365),"",IF(INDEX(DB_materiali!$E$2:$E$5000,MATCH($C365,DB_materiali!$A$2:$A$5000,0))&gt;=INDEX(DB_malas!$C$2:$C$5000,MATCH(I365,DB_malas!$A$2:$A$5000,0)),IF(INDEX(DB_materiali!$E$2:$E$5000,MATCH($C365,DB_materiali!$A$2:$A$5000,0))&lt;=INDEX(DB_malas!$D$2:$D$5000,MATCH(I365,DB_malas!$A$2:$A$5000,0)),IF(OR(INDEX(DB_materiali!$B$2:$B$5000,MATCH($C365,DB_materiali!$A$2:$A$5000,0))=INDEX(DB_malas!$B$2:$B$5000,MATCH(I365,DB_malas!$A$2:$A$5000,0)),$H365="ORG"),"✔",tulkojums!$A$38),tulkojums!$A$39),tulkojums!$A$39))</f>
        <v/>
      </c>
      <c r="R365" s="2" t="str">
        <f>IF(ISBLANK(J365),"",IF(INDEX(DB_materiali!$E$2:$E$5000,MATCH($C365,DB_materiali!$A$2:$A$5000,0))&gt;=INDEX(DB_malas!$C$2:$C$5000,MATCH(J365,DB_malas!$A$2:$A$5000,0)),IF(INDEX(DB_materiali!$E$2:$E$5000,MATCH($C365,DB_materiali!$A$2:$A$5000,0))&lt;=INDEX(DB_malas!$D$2:$D$5000,MATCH(J365,DB_malas!$A$2:$A$5000,0)),IF(INDEX(DB_materiali!$B$2:$B$5000,MATCH($C365,DB_materiali!$A$2:$A$5000,0))=INDEX(DB_malas!$B$2:$B$5000,MATCH(J365,DB_malas!$A$2:$A$5000,0)),"✔",tulkojums!$A$38),tulkojums!$A$39),tulkojums!$A$39))</f>
        <v/>
      </c>
      <c r="S365" s="2" t="str">
        <f>IF(ISBLANK(K365),"",IF(INDEX(DB_materiali!$E$2:$E$5000,MATCH($C365,DB_materiali!$A$2:$A$5000,0))&gt;=INDEX(DB_malas!$C$2:$C$5000,MATCH(K365,DB_malas!$A$2:$A$5000,0)),IF(INDEX(DB_materiali!$E$2:$E$5000,MATCH($C365,DB_materiali!$A$2:$A$5000,0))&lt;=INDEX(DB_malas!$D$2:$D$5000,MATCH(K365,DB_malas!$A$2:$A$5000,0)),IF(INDEX(DB_materiali!$B$2:$B$5000,MATCH($C365,DB_materiali!$A$2:$A$5000,0))=INDEX(DB_malas!$B$2:$B$5000,MATCH(K365,DB_malas!$A$2:$A$5000,0)),"✔",tulkojums!$A$38),tulkojums!$A$39),tulkojums!$A$39))</f>
        <v/>
      </c>
      <c r="T365" s="2"/>
      <c r="U365" s="2"/>
      <c r="V365" s="2"/>
      <c r="W365" s="2"/>
      <c r="X365" s="2"/>
      <c r="Y365" s="2"/>
      <c r="Z365" s="2"/>
    </row>
    <row r="366" spans="1:26" ht="15.75" customHeight="1">
      <c r="A366" s="17"/>
      <c r="B366" s="18"/>
      <c r="C366" s="19"/>
      <c r="D366" s="55"/>
      <c r="E366" s="55"/>
      <c r="F366" s="56"/>
      <c r="G366" s="57" t="str">
        <f>IF(ISBLANK(C366),"",
   IFERROR(
      IF(
         INDEX(DB_materiali!C$2:C$5000,
               MATCH(C366, DB_materiali!A$2:A$5000, 0)
         )="FALSE",
         "N",
         "Y"
      ),
   "")
)</f>
        <v/>
      </c>
      <c r="H366" s="20"/>
      <c r="I366" s="20"/>
      <c r="J366" s="20"/>
      <c r="K366" s="20"/>
      <c r="M366" s="2" t="str">
        <f>IF(ISBLANK(C366),"",IF(IFERROR(VLOOKUP(C366,DB_materiali!$A$2:$A$5000,1,FALSE),"Kļūda artikulā")=C366,"✔",tulkojums!A$42))</f>
        <v/>
      </c>
      <c r="N366" s="2" t="str">
        <f>IF(ISBLANK(C366),"",IF(ISNUMBER(F366)=TRUE,"✔",tulkojums!A$43))</f>
        <v/>
      </c>
      <c r="O366" s="2" t="str">
        <f>IF(ISBLANK(C366),"",IF(G366="Y","✔",IF(G366="X","✔",IF(G366="N","✔",tulkojums!A$44))))</f>
        <v/>
      </c>
      <c r="P366" s="2" t="str">
        <f>IF(ISBLANK(H366),"",IF(INDEX(DB_materiali!$E$2:$E$5000,MATCH($C366,DB_materiali!$A$2:$A$5000,0))&gt;=INDEX(DB_malas!$C$2:$C$5000,MATCH(H366,DB_malas!$A$2:$A$5000,0)),IF(INDEX(DB_materiali!$E$2:$E$5000,MATCH($C366,DB_materiali!$A$2:$A$5000,0))&lt;=INDEX(DB_malas!$D$2:$D$5000,MATCH(H366,DB_malas!$A$2:$A$5000,0)),IF(OR(INDEX(DB_materiali!$B$2:$B$5000,MATCH($C366,DB_materiali!$A$2:$A$5000,0))=INDEX(DB_malas!$B$2:$B$5000,MATCH(H366,DB_malas!$A$2:$A$5000,0)),$H366="ORG"),"✔",tulkojums!$A$38),tulkojums!$A$39),tulkojums!$A$39))</f>
        <v/>
      </c>
      <c r="Q366" s="2" t="str">
        <f>IF(ISBLANK(I366),"",IF(INDEX(DB_materiali!$E$2:$E$5000,MATCH($C366,DB_materiali!$A$2:$A$5000,0))&gt;=INDEX(DB_malas!$C$2:$C$5000,MATCH(I366,DB_malas!$A$2:$A$5000,0)),IF(INDEX(DB_materiali!$E$2:$E$5000,MATCH($C366,DB_materiali!$A$2:$A$5000,0))&lt;=INDEX(DB_malas!$D$2:$D$5000,MATCH(I366,DB_malas!$A$2:$A$5000,0)),IF(OR(INDEX(DB_materiali!$B$2:$B$5000,MATCH($C366,DB_materiali!$A$2:$A$5000,0))=INDEX(DB_malas!$B$2:$B$5000,MATCH(I366,DB_malas!$A$2:$A$5000,0)),$H366="ORG"),"✔",tulkojums!$A$38),tulkojums!$A$39),tulkojums!$A$39))</f>
        <v/>
      </c>
      <c r="R366" s="2" t="str">
        <f>IF(ISBLANK(J366),"",IF(INDEX(DB_materiali!$E$2:$E$5000,MATCH($C366,DB_materiali!$A$2:$A$5000,0))&gt;=INDEX(DB_malas!$C$2:$C$5000,MATCH(J366,DB_malas!$A$2:$A$5000,0)),IF(INDEX(DB_materiali!$E$2:$E$5000,MATCH($C366,DB_materiali!$A$2:$A$5000,0))&lt;=INDEX(DB_malas!$D$2:$D$5000,MATCH(J366,DB_malas!$A$2:$A$5000,0)),IF(INDEX(DB_materiali!$B$2:$B$5000,MATCH($C366,DB_materiali!$A$2:$A$5000,0))=INDEX(DB_malas!$B$2:$B$5000,MATCH(J366,DB_malas!$A$2:$A$5000,0)),"✔",tulkojums!$A$38),tulkojums!$A$39),tulkojums!$A$39))</f>
        <v/>
      </c>
      <c r="S366" s="2" t="str">
        <f>IF(ISBLANK(K366),"",IF(INDEX(DB_materiali!$E$2:$E$5000,MATCH($C366,DB_materiali!$A$2:$A$5000,0))&gt;=INDEX(DB_malas!$C$2:$C$5000,MATCH(K366,DB_malas!$A$2:$A$5000,0)),IF(INDEX(DB_materiali!$E$2:$E$5000,MATCH($C366,DB_materiali!$A$2:$A$5000,0))&lt;=INDEX(DB_malas!$D$2:$D$5000,MATCH(K366,DB_malas!$A$2:$A$5000,0)),IF(INDEX(DB_materiali!$B$2:$B$5000,MATCH($C366,DB_materiali!$A$2:$A$5000,0))=INDEX(DB_malas!$B$2:$B$5000,MATCH(K366,DB_malas!$A$2:$A$5000,0)),"✔",tulkojums!$A$38),tulkojums!$A$39),tulkojums!$A$39))</f>
        <v/>
      </c>
      <c r="T366" s="2"/>
      <c r="U366" s="2"/>
      <c r="V366" s="2"/>
      <c r="W366" s="2"/>
      <c r="X366" s="2"/>
      <c r="Y366" s="2"/>
      <c r="Z366" s="2"/>
    </row>
    <row r="367" spans="1:26" ht="15.75" customHeight="1">
      <c r="A367" s="17"/>
      <c r="B367" s="18"/>
      <c r="C367" s="19"/>
      <c r="D367" s="55"/>
      <c r="E367" s="55"/>
      <c r="F367" s="56"/>
      <c r="G367" s="57" t="str">
        <f>IF(ISBLANK(C367),"",
   IFERROR(
      IF(
         INDEX(DB_materiali!C$2:C$5000,
               MATCH(C367, DB_materiali!A$2:A$5000, 0)
         )="FALSE",
         "N",
         "Y"
      ),
   "")
)</f>
        <v/>
      </c>
      <c r="H367" s="20"/>
      <c r="I367" s="20"/>
      <c r="J367" s="20"/>
      <c r="K367" s="20"/>
      <c r="M367" s="2" t="str">
        <f>IF(ISBLANK(C367),"",IF(IFERROR(VLOOKUP(C367,DB_materiali!$A$2:$A$5000,1,FALSE),"Kļūda artikulā")=C367,"✔",tulkojums!A$42))</f>
        <v/>
      </c>
      <c r="N367" s="2" t="str">
        <f>IF(ISBLANK(C367),"",IF(ISNUMBER(F367)=TRUE,"✔",tulkojums!A$43))</f>
        <v/>
      </c>
      <c r="O367" s="2" t="str">
        <f>IF(ISBLANK(C367),"",IF(G367="Y","✔",IF(G367="X","✔",IF(G367="N","✔",tulkojums!A$44))))</f>
        <v/>
      </c>
      <c r="P367" s="2" t="str">
        <f>IF(ISBLANK(H367),"",IF(INDEX(DB_materiali!$E$2:$E$5000,MATCH($C367,DB_materiali!$A$2:$A$5000,0))&gt;=INDEX(DB_malas!$C$2:$C$5000,MATCH(H367,DB_malas!$A$2:$A$5000,0)),IF(INDEX(DB_materiali!$E$2:$E$5000,MATCH($C367,DB_materiali!$A$2:$A$5000,0))&lt;=INDEX(DB_malas!$D$2:$D$5000,MATCH(H367,DB_malas!$A$2:$A$5000,0)),IF(OR(INDEX(DB_materiali!$B$2:$B$5000,MATCH($C367,DB_materiali!$A$2:$A$5000,0))=INDEX(DB_malas!$B$2:$B$5000,MATCH(H367,DB_malas!$A$2:$A$5000,0)),$H367="ORG"),"✔",tulkojums!$A$38),tulkojums!$A$39),tulkojums!$A$39))</f>
        <v/>
      </c>
      <c r="Q367" s="2" t="str">
        <f>IF(ISBLANK(I367),"",IF(INDEX(DB_materiali!$E$2:$E$5000,MATCH($C367,DB_materiali!$A$2:$A$5000,0))&gt;=INDEX(DB_malas!$C$2:$C$5000,MATCH(I367,DB_malas!$A$2:$A$5000,0)),IF(INDEX(DB_materiali!$E$2:$E$5000,MATCH($C367,DB_materiali!$A$2:$A$5000,0))&lt;=INDEX(DB_malas!$D$2:$D$5000,MATCH(I367,DB_malas!$A$2:$A$5000,0)),IF(OR(INDEX(DB_materiali!$B$2:$B$5000,MATCH($C367,DB_materiali!$A$2:$A$5000,0))=INDEX(DB_malas!$B$2:$B$5000,MATCH(I367,DB_malas!$A$2:$A$5000,0)),$H367="ORG"),"✔",tulkojums!$A$38),tulkojums!$A$39),tulkojums!$A$39))</f>
        <v/>
      </c>
      <c r="R367" s="2" t="str">
        <f>IF(ISBLANK(J367),"",IF(INDEX(DB_materiali!$E$2:$E$5000,MATCH($C367,DB_materiali!$A$2:$A$5000,0))&gt;=INDEX(DB_malas!$C$2:$C$5000,MATCH(J367,DB_malas!$A$2:$A$5000,0)),IF(INDEX(DB_materiali!$E$2:$E$5000,MATCH($C367,DB_materiali!$A$2:$A$5000,0))&lt;=INDEX(DB_malas!$D$2:$D$5000,MATCH(J367,DB_malas!$A$2:$A$5000,0)),IF(INDEX(DB_materiali!$B$2:$B$5000,MATCH($C367,DB_materiali!$A$2:$A$5000,0))=INDEX(DB_malas!$B$2:$B$5000,MATCH(J367,DB_malas!$A$2:$A$5000,0)),"✔",tulkojums!$A$38),tulkojums!$A$39),tulkojums!$A$39))</f>
        <v/>
      </c>
      <c r="S367" s="2" t="str">
        <f>IF(ISBLANK(K367),"",IF(INDEX(DB_materiali!$E$2:$E$5000,MATCH($C367,DB_materiali!$A$2:$A$5000,0))&gt;=INDEX(DB_malas!$C$2:$C$5000,MATCH(K367,DB_malas!$A$2:$A$5000,0)),IF(INDEX(DB_materiali!$E$2:$E$5000,MATCH($C367,DB_materiali!$A$2:$A$5000,0))&lt;=INDEX(DB_malas!$D$2:$D$5000,MATCH(K367,DB_malas!$A$2:$A$5000,0)),IF(INDEX(DB_materiali!$B$2:$B$5000,MATCH($C367,DB_materiali!$A$2:$A$5000,0))=INDEX(DB_malas!$B$2:$B$5000,MATCH(K367,DB_malas!$A$2:$A$5000,0)),"✔",tulkojums!$A$38),tulkojums!$A$39),tulkojums!$A$39))</f>
        <v/>
      </c>
      <c r="T367" s="2"/>
      <c r="U367" s="2"/>
      <c r="V367" s="2"/>
      <c r="W367" s="2"/>
      <c r="X367" s="2"/>
      <c r="Y367" s="2"/>
      <c r="Z367" s="2"/>
    </row>
    <row r="368" spans="1:26" ht="15.75" customHeight="1">
      <c r="A368" s="17"/>
      <c r="B368" s="18"/>
      <c r="C368" s="19"/>
      <c r="D368" s="55"/>
      <c r="E368" s="55"/>
      <c r="F368" s="56"/>
      <c r="G368" s="57" t="str">
        <f>IF(ISBLANK(C368),"",
   IFERROR(
      IF(
         INDEX(DB_materiali!C$2:C$5000,
               MATCH(C368, DB_materiali!A$2:A$5000, 0)
         )="FALSE",
         "N",
         "Y"
      ),
   "")
)</f>
        <v/>
      </c>
      <c r="H368" s="20"/>
      <c r="I368" s="20"/>
      <c r="J368" s="20"/>
      <c r="K368" s="20"/>
      <c r="M368" s="2" t="str">
        <f>IF(ISBLANK(C368),"",IF(IFERROR(VLOOKUP(C368,DB_materiali!$A$2:$A$5000,1,FALSE),"Kļūda artikulā")=C368,"✔",tulkojums!A$42))</f>
        <v/>
      </c>
      <c r="N368" s="2" t="str">
        <f>IF(ISBLANK(C368),"",IF(ISNUMBER(F368)=TRUE,"✔",tulkojums!A$43))</f>
        <v/>
      </c>
      <c r="O368" s="2" t="str">
        <f>IF(ISBLANK(C368),"",IF(G368="Y","✔",IF(G368="X","✔",IF(G368="N","✔",tulkojums!A$44))))</f>
        <v/>
      </c>
      <c r="P368" s="2" t="str">
        <f>IF(ISBLANK(H368),"",IF(INDEX(DB_materiali!$E$2:$E$5000,MATCH($C368,DB_materiali!$A$2:$A$5000,0))&gt;=INDEX(DB_malas!$C$2:$C$5000,MATCH(H368,DB_malas!$A$2:$A$5000,0)),IF(INDEX(DB_materiali!$E$2:$E$5000,MATCH($C368,DB_materiali!$A$2:$A$5000,0))&lt;=INDEX(DB_malas!$D$2:$D$5000,MATCH(H368,DB_malas!$A$2:$A$5000,0)),IF(OR(INDEX(DB_materiali!$B$2:$B$5000,MATCH($C368,DB_materiali!$A$2:$A$5000,0))=INDEX(DB_malas!$B$2:$B$5000,MATCH(H368,DB_malas!$A$2:$A$5000,0)),$H368="ORG"),"✔",tulkojums!$A$38),tulkojums!$A$39),tulkojums!$A$39))</f>
        <v/>
      </c>
      <c r="Q368" s="2" t="str">
        <f>IF(ISBLANK(I368),"",IF(INDEX(DB_materiali!$E$2:$E$5000,MATCH($C368,DB_materiali!$A$2:$A$5000,0))&gt;=INDEX(DB_malas!$C$2:$C$5000,MATCH(I368,DB_malas!$A$2:$A$5000,0)),IF(INDEX(DB_materiali!$E$2:$E$5000,MATCH($C368,DB_materiali!$A$2:$A$5000,0))&lt;=INDEX(DB_malas!$D$2:$D$5000,MATCH(I368,DB_malas!$A$2:$A$5000,0)),IF(OR(INDEX(DB_materiali!$B$2:$B$5000,MATCH($C368,DB_materiali!$A$2:$A$5000,0))=INDEX(DB_malas!$B$2:$B$5000,MATCH(I368,DB_malas!$A$2:$A$5000,0)),$H368="ORG"),"✔",tulkojums!$A$38),tulkojums!$A$39),tulkojums!$A$39))</f>
        <v/>
      </c>
      <c r="R368" s="2" t="str">
        <f>IF(ISBLANK(J368),"",IF(INDEX(DB_materiali!$E$2:$E$5000,MATCH($C368,DB_materiali!$A$2:$A$5000,0))&gt;=INDEX(DB_malas!$C$2:$C$5000,MATCH(J368,DB_malas!$A$2:$A$5000,0)),IF(INDEX(DB_materiali!$E$2:$E$5000,MATCH($C368,DB_materiali!$A$2:$A$5000,0))&lt;=INDEX(DB_malas!$D$2:$D$5000,MATCH(J368,DB_malas!$A$2:$A$5000,0)),IF(INDEX(DB_materiali!$B$2:$B$5000,MATCH($C368,DB_materiali!$A$2:$A$5000,0))=INDEX(DB_malas!$B$2:$B$5000,MATCH(J368,DB_malas!$A$2:$A$5000,0)),"✔",tulkojums!$A$38),tulkojums!$A$39),tulkojums!$A$39))</f>
        <v/>
      </c>
      <c r="S368" s="2" t="str">
        <f>IF(ISBLANK(K368),"",IF(INDEX(DB_materiali!$E$2:$E$5000,MATCH($C368,DB_materiali!$A$2:$A$5000,0))&gt;=INDEX(DB_malas!$C$2:$C$5000,MATCH(K368,DB_malas!$A$2:$A$5000,0)),IF(INDEX(DB_materiali!$E$2:$E$5000,MATCH($C368,DB_materiali!$A$2:$A$5000,0))&lt;=INDEX(DB_malas!$D$2:$D$5000,MATCH(K368,DB_malas!$A$2:$A$5000,0)),IF(INDEX(DB_materiali!$B$2:$B$5000,MATCH($C368,DB_materiali!$A$2:$A$5000,0))=INDEX(DB_malas!$B$2:$B$5000,MATCH(K368,DB_malas!$A$2:$A$5000,0)),"✔",tulkojums!$A$38),tulkojums!$A$39),tulkojums!$A$39))</f>
        <v/>
      </c>
      <c r="T368" s="2"/>
      <c r="U368" s="2"/>
      <c r="V368" s="2"/>
      <c r="W368" s="2"/>
      <c r="X368" s="2"/>
      <c r="Y368" s="2"/>
      <c r="Z368" s="2"/>
    </row>
    <row r="369" spans="1:26" ht="15.75" customHeight="1">
      <c r="A369" s="17"/>
      <c r="B369" s="18"/>
      <c r="C369" s="19"/>
      <c r="D369" s="55"/>
      <c r="E369" s="55"/>
      <c r="F369" s="56"/>
      <c r="G369" s="57" t="str">
        <f>IF(ISBLANK(C369),"",
   IFERROR(
      IF(
         INDEX(DB_materiali!C$2:C$5000,
               MATCH(C369, DB_materiali!A$2:A$5000, 0)
         )="FALSE",
         "N",
         "Y"
      ),
   "")
)</f>
        <v/>
      </c>
      <c r="H369" s="20"/>
      <c r="I369" s="20"/>
      <c r="J369" s="20"/>
      <c r="K369" s="20"/>
      <c r="M369" s="2" t="str">
        <f>IF(ISBLANK(C369),"",IF(IFERROR(VLOOKUP(C369,DB_materiali!$A$2:$A$5000,1,FALSE),"Kļūda artikulā")=C369,"✔",tulkojums!A$42))</f>
        <v/>
      </c>
      <c r="N369" s="2" t="str">
        <f>IF(ISBLANK(C369),"",IF(ISNUMBER(F369)=TRUE,"✔",tulkojums!A$43))</f>
        <v/>
      </c>
      <c r="O369" s="2" t="str">
        <f>IF(ISBLANK(C369),"",IF(G369="Y","✔",IF(G369="X","✔",IF(G369="N","✔",tulkojums!A$44))))</f>
        <v/>
      </c>
      <c r="P369" s="2" t="str">
        <f>IF(ISBLANK(H369),"",IF(INDEX(DB_materiali!$E$2:$E$5000,MATCH($C369,DB_materiali!$A$2:$A$5000,0))&gt;=INDEX(DB_malas!$C$2:$C$5000,MATCH(H369,DB_malas!$A$2:$A$5000,0)),IF(INDEX(DB_materiali!$E$2:$E$5000,MATCH($C369,DB_materiali!$A$2:$A$5000,0))&lt;=INDEX(DB_malas!$D$2:$D$5000,MATCH(H369,DB_malas!$A$2:$A$5000,0)),IF(OR(INDEX(DB_materiali!$B$2:$B$5000,MATCH($C369,DB_materiali!$A$2:$A$5000,0))=INDEX(DB_malas!$B$2:$B$5000,MATCH(H369,DB_malas!$A$2:$A$5000,0)),$H369="ORG"),"✔",tulkojums!$A$38),tulkojums!$A$39),tulkojums!$A$39))</f>
        <v/>
      </c>
      <c r="Q369" s="2" t="str">
        <f>IF(ISBLANK(I369),"",IF(INDEX(DB_materiali!$E$2:$E$5000,MATCH($C369,DB_materiali!$A$2:$A$5000,0))&gt;=INDEX(DB_malas!$C$2:$C$5000,MATCH(I369,DB_malas!$A$2:$A$5000,0)),IF(INDEX(DB_materiali!$E$2:$E$5000,MATCH($C369,DB_materiali!$A$2:$A$5000,0))&lt;=INDEX(DB_malas!$D$2:$D$5000,MATCH(I369,DB_malas!$A$2:$A$5000,0)),IF(OR(INDEX(DB_materiali!$B$2:$B$5000,MATCH($C369,DB_materiali!$A$2:$A$5000,0))=INDEX(DB_malas!$B$2:$B$5000,MATCH(I369,DB_malas!$A$2:$A$5000,0)),$H369="ORG"),"✔",tulkojums!$A$38),tulkojums!$A$39),tulkojums!$A$39))</f>
        <v/>
      </c>
      <c r="R369" s="2" t="str">
        <f>IF(ISBLANK(J369),"",IF(INDEX(DB_materiali!$E$2:$E$5000,MATCH($C369,DB_materiali!$A$2:$A$5000,0))&gt;=INDEX(DB_malas!$C$2:$C$5000,MATCH(J369,DB_malas!$A$2:$A$5000,0)),IF(INDEX(DB_materiali!$E$2:$E$5000,MATCH($C369,DB_materiali!$A$2:$A$5000,0))&lt;=INDEX(DB_malas!$D$2:$D$5000,MATCH(J369,DB_malas!$A$2:$A$5000,0)),IF(INDEX(DB_materiali!$B$2:$B$5000,MATCH($C369,DB_materiali!$A$2:$A$5000,0))=INDEX(DB_malas!$B$2:$B$5000,MATCH(J369,DB_malas!$A$2:$A$5000,0)),"✔",tulkojums!$A$38),tulkojums!$A$39),tulkojums!$A$39))</f>
        <v/>
      </c>
      <c r="S369" s="2" t="str">
        <f>IF(ISBLANK(K369),"",IF(INDEX(DB_materiali!$E$2:$E$5000,MATCH($C369,DB_materiali!$A$2:$A$5000,0))&gt;=INDEX(DB_malas!$C$2:$C$5000,MATCH(K369,DB_malas!$A$2:$A$5000,0)),IF(INDEX(DB_materiali!$E$2:$E$5000,MATCH($C369,DB_materiali!$A$2:$A$5000,0))&lt;=INDEX(DB_malas!$D$2:$D$5000,MATCH(K369,DB_malas!$A$2:$A$5000,0)),IF(INDEX(DB_materiali!$B$2:$B$5000,MATCH($C369,DB_materiali!$A$2:$A$5000,0))=INDEX(DB_malas!$B$2:$B$5000,MATCH(K369,DB_malas!$A$2:$A$5000,0)),"✔",tulkojums!$A$38),tulkojums!$A$39),tulkojums!$A$39))</f>
        <v/>
      </c>
      <c r="T369" s="2"/>
      <c r="U369" s="2"/>
      <c r="V369" s="2"/>
      <c r="W369" s="2"/>
      <c r="X369" s="2"/>
      <c r="Y369" s="2"/>
      <c r="Z369" s="2"/>
    </row>
    <row r="370" spans="1:26" ht="15.75" customHeight="1">
      <c r="A370" s="17"/>
      <c r="B370" s="18"/>
      <c r="C370" s="19"/>
      <c r="D370" s="55"/>
      <c r="E370" s="55"/>
      <c r="F370" s="56"/>
      <c r="G370" s="57" t="str">
        <f>IF(ISBLANK(C370),"",
   IFERROR(
      IF(
         INDEX(DB_materiali!C$2:C$5000,
               MATCH(C370, DB_materiali!A$2:A$5000, 0)
         )="FALSE",
         "N",
         "Y"
      ),
   "")
)</f>
        <v/>
      </c>
      <c r="H370" s="20"/>
      <c r="I370" s="20"/>
      <c r="J370" s="20"/>
      <c r="K370" s="20"/>
      <c r="M370" s="2" t="str">
        <f>IF(ISBLANK(C370),"",IF(IFERROR(VLOOKUP(C370,DB_materiali!$A$2:$A$5000,1,FALSE),"Kļūda artikulā")=C370,"✔",tulkojums!A$42))</f>
        <v/>
      </c>
      <c r="N370" s="2" t="str">
        <f>IF(ISBLANK(C370),"",IF(ISNUMBER(F370)=TRUE,"✔",tulkojums!A$43))</f>
        <v/>
      </c>
      <c r="O370" s="2" t="str">
        <f>IF(ISBLANK(C370),"",IF(G370="Y","✔",IF(G370="X","✔",IF(G370="N","✔",tulkojums!A$44))))</f>
        <v/>
      </c>
      <c r="P370" s="2" t="str">
        <f>IF(ISBLANK(H370),"",IF(INDEX(DB_materiali!$E$2:$E$5000,MATCH($C370,DB_materiali!$A$2:$A$5000,0))&gt;=INDEX(DB_malas!$C$2:$C$5000,MATCH(H370,DB_malas!$A$2:$A$5000,0)),IF(INDEX(DB_materiali!$E$2:$E$5000,MATCH($C370,DB_materiali!$A$2:$A$5000,0))&lt;=INDEX(DB_malas!$D$2:$D$5000,MATCH(H370,DB_malas!$A$2:$A$5000,0)),IF(OR(INDEX(DB_materiali!$B$2:$B$5000,MATCH($C370,DB_materiali!$A$2:$A$5000,0))=INDEX(DB_malas!$B$2:$B$5000,MATCH(H370,DB_malas!$A$2:$A$5000,0)),$H370="ORG"),"✔",tulkojums!$A$38),tulkojums!$A$39),tulkojums!$A$39))</f>
        <v/>
      </c>
      <c r="Q370" s="2" t="str">
        <f>IF(ISBLANK(I370),"",IF(INDEX(DB_materiali!$E$2:$E$5000,MATCH($C370,DB_materiali!$A$2:$A$5000,0))&gt;=INDEX(DB_malas!$C$2:$C$5000,MATCH(I370,DB_malas!$A$2:$A$5000,0)),IF(INDEX(DB_materiali!$E$2:$E$5000,MATCH($C370,DB_materiali!$A$2:$A$5000,0))&lt;=INDEX(DB_malas!$D$2:$D$5000,MATCH(I370,DB_malas!$A$2:$A$5000,0)),IF(OR(INDEX(DB_materiali!$B$2:$B$5000,MATCH($C370,DB_materiali!$A$2:$A$5000,0))=INDEX(DB_malas!$B$2:$B$5000,MATCH(I370,DB_malas!$A$2:$A$5000,0)),$H370="ORG"),"✔",tulkojums!$A$38),tulkojums!$A$39),tulkojums!$A$39))</f>
        <v/>
      </c>
      <c r="R370" s="2" t="str">
        <f>IF(ISBLANK(J370),"",IF(INDEX(DB_materiali!$E$2:$E$5000,MATCH($C370,DB_materiali!$A$2:$A$5000,0))&gt;=INDEX(DB_malas!$C$2:$C$5000,MATCH(J370,DB_malas!$A$2:$A$5000,0)),IF(INDEX(DB_materiali!$E$2:$E$5000,MATCH($C370,DB_materiali!$A$2:$A$5000,0))&lt;=INDEX(DB_malas!$D$2:$D$5000,MATCH(J370,DB_malas!$A$2:$A$5000,0)),IF(INDEX(DB_materiali!$B$2:$B$5000,MATCH($C370,DB_materiali!$A$2:$A$5000,0))=INDEX(DB_malas!$B$2:$B$5000,MATCH(J370,DB_malas!$A$2:$A$5000,0)),"✔",tulkojums!$A$38),tulkojums!$A$39),tulkojums!$A$39))</f>
        <v/>
      </c>
      <c r="S370" s="2" t="str">
        <f>IF(ISBLANK(K370),"",IF(INDEX(DB_materiali!$E$2:$E$5000,MATCH($C370,DB_materiali!$A$2:$A$5000,0))&gt;=INDEX(DB_malas!$C$2:$C$5000,MATCH(K370,DB_malas!$A$2:$A$5000,0)),IF(INDEX(DB_materiali!$E$2:$E$5000,MATCH($C370,DB_materiali!$A$2:$A$5000,0))&lt;=INDEX(DB_malas!$D$2:$D$5000,MATCH(K370,DB_malas!$A$2:$A$5000,0)),IF(INDEX(DB_materiali!$B$2:$B$5000,MATCH($C370,DB_materiali!$A$2:$A$5000,0))=INDEX(DB_malas!$B$2:$B$5000,MATCH(K370,DB_malas!$A$2:$A$5000,0)),"✔",tulkojums!$A$38),tulkojums!$A$39),tulkojums!$A$39))</f>
        <v/>
      </c>
      <c r="T370" s="2"/>
      <c r="U370" s="2"/>
      <c r="V370" s="2"/>
      <c r="W370" s="2"/>
      <c r="X370" s="2"/>
      <c r="Y370" s="2"/>
      <c r="Z370" s="2"/>
    </row>
    <row r="371" spans="1:26" ht="15.75" customHeight="1">
      <c r="A371" s="17"/>
      <c r="B371" s="18"/>
      <c r="C371" s="19"/>
      <c r="D371" s="55"/>
      <c r="E371" s="55"/>
      <c r="F371" s="56"/>
      <c r="G371" s="57" t="str">
        <f>IF(ISBLANK(C371),"",
   IFERROR(
      IF(
         INDEX(DB_materiali!C$2:C$5000,
               MATCH(C371, DB_materiali!A$2:A$5000, 0)
         )="FALSE",
         "N",
         "Y"
      ),
   "")
)</f>
        <v/>
      </c>
      <c r="H371" s="20"/>
      <c r="I371" s="20"/>
      <c r="J371" s="20"/>
      <c r="K371" s="20"/>
      <c r="M371" s="2" t="str">
        <f>IF(ISBLANK(C371),"",IF(IFERROR(VLOOKUP(C371,DB_materiali!$A$2:$A$5000,1,FALSE),"Kļūda artikulā")=C371,"✔",tulkojums!A$42))</f>
        <v/>
      </c>
      <c r="N371" s="2" t="str">
        <f>IF(ISBLANK(C371),"",IF(ISNUMBER(F371)=TRUE,"✔",tulkojums!A$43))</f>
        <v/>
      </c>
      <c r="O371" s="2" t="str">
        <f>IF(ISBLANK(C371),"",IF(G371="Y","✔",IF(G371="X","✔",IF(G371="N","✔",tulkojums!A$44))))</f>
        <v/>
      </c>
      <c r="P371" s="2" t="str">
        <f>IF(ISBLANK(H371),"",IF(INDEX(DB_materiali!$E$2:$E$5000,MATCH($C371,DB_materiali!$A$2:$A$5000,0))&gt;=INDEX(DB_malas!$C$2:$C$5000,MATCH(H371,DB_malas!$A$2:$A$5000,0)),IF(INDEX(DB_materiali!$E$2:$E$5000,MATCH($C371,DB_materiali!$A$2:$A$5000,0))&lt;=INDEX(DB_malas!$D$2:$D$5000,MATCH(H371,DB_malas!$A$2:$A$5000,0)),IF(OR(INDEX(DB_materiali!$B$2:$B$5000,MATCH($C371,DB_materiali!$A$2:$A$5000,0))=INDEX(DB_malas!$B$2:$B$5000,MATCH(H371,DB_malas!$A$2:$A$5000,0)),$H371="ORG"),"✔",tulkojums!$A$38),tulkojums!$A$39),tulkojums!$A$39))</f>
        <v/>
      </c>
      <c r="Q371" s="2" t="str">
        <f>IF(ISBLANK(I371),"",IF(INDEX(DB_materiali!$E$2:$E$5000,MATCH($C371,DB_materiali!$A$2:$A$5000,0))&gt;=INDEX(DB_malas!$C$2:$C$5000,MATCH(I371,DB_malas!$A$2:$A$5000,0)),IF(INDEX(DB_materiali!$E$2:$E$5000,MATCH($C371,DB_materiali!$A$2:$A$5000,0))&lt;=INDEX(DB_malas!$D$2:$D$5000,MATCH(I371,DB_malas!$A$2:$A$5000,0)),IF(OR(INDEX(DB_materiali!$B$2:$B$5000,MATCH($C371,DB_materiali!$A$2:$A$5000,0))=INDEX(DB_malas!$B$2:$B$5000,MATCH(I371,DB_malas!$A$2:$A$5000,0)),$H371="ORG"),"✔",tulkojums!$A$38),tulkojums!$A$39),tulkojums!$A$39))</f>
        <v/>
      </c>
      <c r="R371" s="2" t="str">
        <f>IF(ISBLANK(J371),"",IF(INDEX(DB_materiali!$E$2:$E$5000,MATCH($C371,DB_materiali!$A$2:$A$5000,0))&gt;=INDEX(DB_malas!$C$2:$C$5000,MATCH(J371,DB_malas!$A$2:$A$5000,0)),IF(INDEX(DB_materiali!$E$2:$E$5000,MATCH($C371,DB_materiali!$A$2:$A$5000,0))&lt;=INDEX(DB_malas!$D$2:$D$5000,MATCH(J371,DB_malas!$A$2:$A$5000,0)),IF(INDEX(DB_materiali!$B$2:$B$5000,MATCH($C371,DB_materiali!$A$2:$A$5000,0))=INDEX(DB_malas!$B$2:$B$5000,MATCH(J371,DB_malas!$A$2:$A$5000,0)),"✔",tulkojums!$A$38),tulkojums!$A$39),tulkojums!$A$39))</f>
        <v/>
      </c>
      <c r="S371" s="2" t="str">
        <f>IF(ISBLANK(K371),"",IF(INDEX(DB_materiali!$E$2:$E$5000,MATCH($C371,DB_materiali!$A$2:$A$5000,0))&gt;=INDEX(DB_malas!$C$2:$C$5000,MATCH(K371,DB_malas!$A$2:$A$5000,0)),IF(INDEX(DB_materiali!$E$2:$E$5000,MATCH($C371,DB_materiali!$A$2:$A$5000,0))&lt;=INDEX(DB_malas!$D$2:$D$5000,MATCH(K371,DB_malas!$A$2:$A$5000,0)),IF(INDEX(DB_materiali!$B$2:$B$5000,MATCH($C371,DB_materiali!$A$2:$A$5000,0))=INDEX(DB_malas!$B$2:$B$5000,MATCH(K371,DB_malas!$A$2:$A$5000,0)),"✔",tulkojums!$A$38),tulkojums!$A$39),tulkojums!$A$39))</f>
        <v/>
      </c>
      <c r="T371" s="2"/>
      <c r="U371" s="2"/>
      <c r="V371" s="2"/>
      <c r="W371" s="2"/>
      <c r="X371" s="2"/>
      <c r="Y371" s="2"/>
      <c r="Z371" s="2"/>
    </row>
    <row r="372" spans="1:26" ht="15.75" customHeight="1">
      <c r="A372" s="17"/>
      <c r="B372" s="18"/>
      <c r="C372" s="19"/>
      <c r="D372" s="55"/>
      <c r="E372" s="55"/>
      <c r="F372" s="56"/>
      <c r="G372" s="57" t="str">
        <f>IF(ISBLANK(C372),"",
   IFERROR(
      IF(
         INDEX(DB_materiali!C$2:C$5000,
               MATCH(C372, DB_materiali!A$2:A$5000, 0)
         )="FALSE",
         "N",
         "Y"
      ),
   "")
)</f>
        <v/>
      </c>
      <c r="H372" s="20"/>
      <c r="I372" s="20"/>
      <c r="J372" s="20"/>
      <c r="K372" s="20"/>
      <c r="M372" s="2" t="str">
        <f>IF(ISBLANK(C372),"",IF(IFERROR(VLOOKUP(C372,DB_materiali!$A$2:$A$5000,1,FALSE),"Kļūda artikulā")=C372,"✔",tulkojums!A$42))</f>
        <v/>
      </c>
      <c r="N372" s="2" t="str">
        <f>IF(ISBLANK(C372),"",IF(ISNUMBER(F372)=TRUE,"✔",tulkojums!A$43))</f>
        <v/>
      </c>
      <c r="O372" s="2" t="str">
        <f>IF(ISBLANK(C372),"",IF(G372="Y","✔",IF(G372="X","✔",IF(G372="N","✔",tulkojums!A$44))))</f>
        <v/>
      </c>
      <c r="P372" s="2" t="str">
        <f>IF(ISBLANK(H372),"",IF(INDEX(DB_materiali!$E$2:$E$5000,MATCH($C372,DB_materiali!$A$2:$A$5000,0))&gt;=INDEX(DB_malas!$C$2:$C$5000,MATCH(H372,DB_malas!$A$2:$A$5000,0)),IF(INDEX(DB_materiali!$E$2:$E$5000,MATCH($C372,DB_materiali!$A$2:$A$5000,0))&lt;=INDEX(DB_malas!$D$2:$D$5000,MATCH(H372,DB_malas!$A$2:$A$5000,0)),IF(OR(INDEX(DB_materiali!$B$2:$B$5000,MATCH($C372,DB_materiali!$A$2:$A$5000,0))=INDEX(DB_malas!$B$2:$B$5000,MATCH(H372,DB_malas!$A$2:$A$5000,0)),$H372="ORG"),"✔",tulkojums!$A$38),tulkojums!$A$39),tulkojums!$A$39))</f>
        <v/>
      </c>
      <c r="Q372" s="2" t="str">
        <f>IF(ISBLANK(I372),"",IF(INDEX(DB_materiali!$E$2:$E$5000,MATCH($C372,DB_materiali!$A$2:$A$5000,0))&gt;=INDEX(DB_malas!$C$2:$C$5000,MATCH(I372,DB_malas!$A$2:$A$5000,0)),IF(INDEX(DB_materiali!$E$2:$E$5000,MATCH($C372,DB_materiali!$A$2:$A$5000,0))&lt;=INDEX(DB_malas!$D$2:$D$5000,MATCH(I372,DB_malas!$A$2:$A$5000,0)),IF(OR(INDEX(DB_materiali!$B$2:$B$5000,MATCH($C372,DB_materiali!$A$2:$A$5000,0))=INDEX(DB_malas!$B$2:$B$5000,MATCH(I372,DB_malas!$A$2:$A$5000,0)),$H372="ORG"),"✔",tulkojums!$A$38),tulkojums!$A$39),tulkojums!$A$39))</f>
        <v/>
      </c>
      <c r="R372" s="2" t="str">
        <f>IF(ISBLANK(J372),"",IF(INDEX(DB_materiali!$E$2:$E$5000,MATCH($C372,DB_materiali!$A$2:$A$5000,0))&gt;=INDEX(DB_malas!$C$2:$C$5000,MATCH(J372,DB_malas!$A$2:$A$5000,0)),IF(INDEX(DB_materiali!$E$2:$E$5000,MATCH($C372,DB_materiali!$A$2:$A$5000,0))&lt;=INDEX(DB_malas!$D$2:$D$5000,MATCH(J372,DB_malas!$A$2:$A$5000,0)),IF(INDEX(DB_materiali!$B$2:$B$5000,MATCH($C372,DB_materiali!$A$2:$A$5000,0))=INDEX(DB_malas!$B$2:$B$5000,MATCH(J372,DB_malas!$A$2:$A$5000,0)),"✔",tulkojums!$A$38),tulkojums!$A$39),tulkojums!$A$39))</f>
        <v/>
      </c>
      <c r="S372" s="2" t="str">
        <f>IF(ISBLANK(K372),"",IF(INDEX(DB_materiali!$E$2:$E$5000,MATCH($C372,DB_materiali!$A$2:$A$5000,0))&gt;=INDEX(DB_malas!$C$2:$C$5000,MATCH(K372,DB_malas!$A$2:$A$5000,0)),IF(INDEX(DB_materiali!$E$2:$E$5000,MATCH($C372,DB_materiali!$A$2:$A$5000,0))&lt;=INDEX(DB_malas!$D$2:$D$5000,MATCH(K372,DB_malas!$A$2:$A$5000,0)),IF(INDEX(DB_materiali!$B$2:$B$5000,MATCH($C372,DB_materiali!$A$2:$A$5000,0))=INDEX(DB_malas!$B$2:$B$5000,MATCH(K372,DB_malas!$A$2:$A$5000,0)),"✔",tulkojums!$A$38),tulkojums!$A$39),tulkojums!$A$39))</f>
        <v/>
      </c>
      <c r="T372" s="2"/>
      <c r="U372" s="2"/>
      <c r="V372" s="2"/>
      <c r="W372" s="2"/>
      <c r="X372" s="2"/>
      <c r="Y372" s="2"/>
      <c r="Z372" s="2"/>
    </row>
    <row r="373" spans="1:26" ht="15.75" customHeight="1">
      <c r="A373" s="17"/>
      <c r="B373" s="18"/>
      <c r="C373" s="19"/>
      <c r="D373" s="55"/>
      <c r="E373" s="55"/>
      <c r="F373" s="56"/>
      <c r="G373" s="57" t="str">
        <f>IF(ISBLANK(C373),"",
   IFERROR(
      IF(
         INDEX(DB_materiali!C$2:C$5000,
               MATCH(C373, DB_materiali!A$2:A$5000, 0)
         )="FALSE",
         "N",
         "Y"
      ),
   "")
)</f>
        <v/>
      </c>
      <c r="H373" s="20"/>
      <c r="I373" s="20"/>
      <c r="J373" s="20"/>
      <c r="K373" s="20"/>
      <c r="M373" s="2" t="str">
        <f>IF(ISBLANK(C373),"",IF(IFERROR(VLOOKUP(C373,DB_materiali!$A$2:$A$5000,1,FALSE),"Kļūda artikulā")=C373,"✔",tulkojums!A$42))</f>
        <v/>
      </c>
      <c r="N373" s="2" t="str">
        <f>IF(ISBLANK(C373),"",IF(ISNUMBER(F373)=TRUE,"✔",tulkojums!A$43))</f>
        <v/>
      </c>
      <c r="O373" s="2" t="str">
        <f>IF(ISBLANK(C373),"",IF(G373="Y","✔",IF(G373="X","✔",IF(G373="N","✔",tulkojums!A$44))))</f>
        <v/>
      </c>
      <c r="P373" s="2" t="str">
        <f>IF(ISBLANK(H373),"",IF(INDEX(DB_materiali!$E$2:$E$5000,MATCH($C373,DB_materiali!$A$2:$A$5000,0))&gt;=INDEX(DB_malas!$C$2:$C$5000,MATCH(H373,DB_malas!$A$2:$A$5000,0)),IF(INDEX(DB_materiali!$E$2:$E$5000,MATCH($C373,DB_materiali!$A$2:$A$5000,0))&lt;=INDEX(DB_malas!$D$2:$D$5000,MATCH(H373,DB_malas!$A$2:$A$5000,0)),IF(OR(INDEX(DB_materiali!$B$2:$B$5000,MATCH($C373,DB_materiali!$A$2:$A$5000,0))=INDEX(DB_malas!$B$2:$B$5000,MATCH(H373,DB_malas!$A$2:$A$5000,0)),$H373="ORG"),"✔",tulkojums!$A$38),tulkojums!$A$39),tulkojums!$A$39))</f>
        <v/>
      </c>
      <c r="Q373" s="2" t="str">
        <f>IF(ISBLANK(I373),"",IF(INDEX(DB_materiali!$E$2:$E$5000,MATCH($C373,DB_materiali!$A$2:$A$5000,0))&gt;=INDEX(DB_malas!$C$2:$C$5000,MATCH(I373,DB_malas!$A$2:$A$5000,0)),IF(INDEX(DB_materiali!$E$2:$E$5000,MATCH($C373,DB_materiali!$A$2:$A$5000,0))&lt;=INDEX(DB_malas!$D$2:$D$5000,MATCH(I373,DB_malas!$A$2:$A$5000,0)),IF(OR(INDEX(DB_materiali!$B$2:$B$5000,MATCH($C373,DB_materiali!$A$2:$A$5000,0))=INDEX(DB_malas!$B$2:$B$5000,MATCH(I373,DB_malas!$A$2:$A$5000,0)),$H373="ORG"),"✔",tulkojums!$A$38),tulkojums!$A$39),tulkojums!$A$39))</f>
        <v/>
      </c>
      <c r="R373" s="2" t="str">
        <f>IF(ISBLANK(J373),"",IF(INDEX(DB_materiali!$E$2:$E$5000,MATCH($C373,DB_materiali!$A$2:$A$5000,0))&gt;=INDEX(DB_malas!$C$2:$C$5000,MATCH(J373,DB_malas!$A$2:$A$5000,0)),IF(INDEX(DB_materiali!$E$2:$E$5000,MATCH($C373,DB_materiali!$A$2:$A$5000,0))&lt;=INDEX(DB_malas!$D$2:$D$5000,MATCH(J373,DB_malas!$A$2:$A$5000,0)),IF(INDEX(DB_materiali!$B$2:$B$5000,MATCH($C373,DB_materiali!$A$2:$A$5000,0))=INDEX(DB_malas!$B$2:$B$5000,MATCH(J373,DB_malas!$A$2:$A$5000,0)),"✔",tulkojums!$A$38),tulkojums!$A$39),tulkojums!$A$39))</f>
        <v/>
      </c>
      <c r="S373" s="2" t="str">
        <f>IF(ISBLANK(K373),"",IF(INDEX(DB_materiali!$E$2:$E$5000,MATCH($C373,DB_materiali!$A$2:$A$5000,0))&gt;=INDEX(DB_malas!$C$2:$C$5000,MATCH(K373,DB_malas!$A$2:$A$5000,0)),IF(INDEX(DB_materiali!$E$2:$E$5000,MATCH($C373,DB_materiali!$A$2:$A$5000,0))&lt;=INDEX(DB_malas!$D$2:$D$5000,MATCH(K373,DB_malas!$A$2:$A$5000,0)),IF(INDEX(DB_materiali!$B$2:$B$5000,MATCH($C373,DB_materiali!$A$2:$A$5000,0))=INDEX(DB_malas!$B$2:$B$5000,MATCH(K373,DB_malas!$A$2:$A$5000,0)),"✔",tulkojums!$A$38),tulkojums!$A$39),tulkojums!$A$39))</f>
        <v/>
      </c>
      <c r="T373" s="2"/>
      <c r="U373" s="2"/>
      <c r="V373" s="2"/>
      <c r="W373" s="2"/>
      <c r="X373" s="2"/>
      <c r="Y373" s="2"/>
      <c r="Z373" s="2"/>
    </row>
    <row r="374" spans="1:26" ht="15.75" customHeight="1">
      <c r="A374" s="17"/>
      <c r="B374" s="18"/>
      <c r="C374" s="19"/>
      <c r="D374" s="55"/>
      <c r="E374" s="55"/>
      <c r="F374" s="56"/>
      <c r="G374" s="57" t="str">
        <f>IF(ISBLANK(C374),"",
   IFERROR(
      IF(
         INDEX(DB_materiali!C$2:C$5000,
               MATCH(C374, DB_materiali!A$2:A$5000, 0)
         )="FALSE",
         "N",
         "Y"
      ),
   "")
)</f>
        <v/>
      </c>
      <c r="H374" s="20"/>
      <c r="I374" s="20"/>
      <c r="J374" s="20"/>
      <c r="K374" s="20"/>
      <c r="M374" s="2" t="str">
        <f>IF(ISBLANK(C374),"",IF(IFERROR(VLOOKUP(C374,DB_materiali!$A$2:$A$5000,1,FALSE),"Kļūda artikulā")=C374,"✔",tulkojums!A$42))</f>
        <v/>
      </c>
      <c r="N374" s="2" t="str">
        <f>IF(ISBLANK(C374),"",IF(ISNUMBER(F374)=TRUE,"✔",tulkojums!A$43))</f>
        <v/>
      </c>
      <c r="O374" s="2" t="str">
        <f>IF(ISBLANK(C374),"",IF(G374="Y","✔",IF(G374="X","✔",IF(G374="N","✔",tulkojums!A$44))))</f>
        <v/>
      </c>
      <c r="P374" s="2" t="str">
        <f>IF(ISBLANK(H374),"",IF(INDEX(DB_materiali!$E$2:$E$5000,MATCH($C374,DB_materiali!$A$2:$A$5000,0))&gt;=INDEX(DB_malas!$C$2:$C$5000,MATCH(H374,DB_malas!$A$2:$A$5000,0)),IF(INDEX(DB_materiali!$E$2:$E$5000,MATCH($C374,DB_materiali!$A$2:$A$5000,0))&lt;=INDEX(DB_malas!$D$2:$D$5000,MATCH(H374,DB_malas!$A$2:$A$5000,0)),IF(OR(INDEX(DB_materiali!$B$2:$B$5000,MATCH($C374,DB_materiali!$A$2:$A$5000,0))=INDEX(DB_malas!$B$2:$B$5000,MATCH(H374,DB_malas!$A$2:$A$5000,0)),$H374="ORG"),"✔",tulkojums!$A$38),tulkojums!$A$39),tulkojums!$A$39))</f>
        <v/>
      </c>
      <c r="Q374" s="2" t="str">
        <f>IF(ISBLANK(I374),"",IF(INDEX(DB_materiali!$E$2:$E$5000,MATCH($C374,DB_materiali!$A$2:$A$5000,0))&gt;=INDEX(DB_malas!$C$2:$C$5000,MATCH(I374,DB_malas!$A$2:$A$5000,0)),IF(INDEX(DB_materiali!$E$2:$E$5000,MATCH($C374,DB_materiali!$A$2:$A$5000,0))&lt;=INDEX(DB_malas!$D$2:$D$5000,MATCH(I374,DB_malas!$A$2:$A$5000,0)),IF(OR(INDEX(DB_materiali!$B$2:$B$5000,MATCH($C374,DB_materiali!$A$2:$A$5000,0))=INDEX(DB_malas!$B$2:$B$5000,MATCH(I374,DB_malas!$A$2:$A$5000,0)),$H374="ORG"),"✔",tulkojums!$A$38),tulkojums!$A$39),tulkojums!$A$39))</f>
        <v/>
      </c>
      <c r="R374" s="2" t="str">
        <f>IF(ISBLANK(J374),"",IF(INDEX(DB_materiali!$E$2:$E$5000,MATCH($C374,DB_materiali!$A$2:$A$5000,0))&gt;=INDEX(DB_malas!$C$2:$C$5000,MATCH(J374,DB_malas!$A$2:$A$5000,0)),IF(INDEX(DB_materiali!$E$2:$E$5000,MATCH($C374,DB_materiali!$A$2:$A$5000,0))&lt;=INDEX(DB_malas!$D$2:$D$5000,MATCH(J374,DB_malas!$A$2:$A$5000,0)),IF(INDEX(DB_materiali!$B$2:$B$5000,MATCH($C374,DB_materiali!$A$2:$A$5000,0))=INDEX(DB_malas!$B$2:$B$5000,MATCH(J374,DB_malas!$A$2:$A$5000,0)),"✔",tulkojums!$A$38),tulkojums!$A$39),tulkojums!$A$39))</f>
        <v/>
      </c>
      <c r="S374" s="2" t="str">
        <f>IF(ISBLANK(K374),"",IF(INDEX(DB_materiali!$E$2:$E$5000,MATCH($C374,DB_materiali!$A$2:$A$5000,0))&gt;=INDEX(DB_malas!$C$2:$C$5000,MATCH(K374,DB_malas!$A$2:$A$5000,0)),IF(INDEX(DB_materiali!$E$2:$E$5000,MATCH($C374,DB_materiali!$A$2:$A$5000,0))&lt;=INDEX(DB_malas!$D$2:$D$5000,MATCH(K374,DB_malas!$A$2:$A$5000,0)),IF(INDEX(DB_materiali!$B$2:$B$5000,MATCH($C374,DB_materiali!$A$2:$A$5000,0))=INDEX(DB_malas!$B$2:$B$5000,MATCH(K374,DB_malas!$A$2:$A$5000,0)),"✔",tulkojums!$A$38),tulkojums!$A$39),tulkojums!$A$39))</f>
        <v/>
      </c>
      <c r="T374" s="2"/>
      <c r="U374" s="2"/>
      <c r="V374" s="2"/>
      <c r="W374" s="2"/>
      <c r="X374" s="2"/>
      <c r="Y374" s="2"/>
      <c r="Z374" s="2"/>
    </row>
    <row r="375" spans="1:26" ht="15.75" customHeight="1">
      <c r="A375" s="17"/>
      <c r="B375" s="18"/>
      <c r="C375" s="19"/>
      <c r="D375" s="55"/>
      <c r="E375" s="55"/>
      <c r="F375" s="56"/>
      <c r="G375" s="57" t="str">
        <f>IF(ISBLANK(C375),"",
   IFERROR(
      IF(
         INDEX(DB_materiali!C$2:C$5000,
               MATCH(C375, DB_materiali!A$2:A$5000, 0)
         )="FALSE",
         "N",
         "Y"
      ),
   "")
)</f>
        <v/>
      </c>
      <c r="H375" s="20"/>
      <c r="I375" s="20"/>
      <c r="J375" s="20"/>
      <c r="K375" s="20"/>
      <c r="M375" s="2" t="str">
        <f>IF(ISBLANK(C375),"",IF(IFERROR(VLOOKUP(C375,DB_materiali!$A$2:$A$5000,1,FALSE),"Kļūda artikulā")=C375,"✔",tulkojums!A$42))</f>
        <v/>
      </c>
      <c r="N375" s="2" t="str">
        <f>IF(ISBLANK(C375),"",IF(ISNUMBER(F375)=TRUE,"✔",tulkojums!A$43))</f>
        <v/>
      </c>
      <c r="O375" s="2" t="str">
        <f>IF(ISBLANK(C375),"",IF(G375="Y","✔",IF(G375="X","✔",IF(G375="N","✔",tulkojums!A$44))))</f>
        <v/>
      </c>
      <c r="P375" s="2" t="str">
        <f>IF(ISBLANK(H375),"",IF(INDEX(DB_materiali!$E$2:$E$5000,MATCH($C375,DB_materiali!$A$2:$A$5000,0))&gt;=INDEX(DB_malas!$C$2:$C$5000,MATCH(H375,DB_malas!$A$2:$A$5000,0)),IF(INDEX(DB_materiali!$E$2:$E$5000,MATCH($C375,DB_materiali!$A$2:$A$5000,0))&lt;=INDEX(DB_malas!$D$2:$D$5000,MATCH(H375,DB_malas!$A$2:$A$5000,0)),IF(OR(INDEX(DB_materiali!$B$2:$B$5000,MATCH($C375,DB_materiali!$A$2:$A$5000,0))=INDEX(DB_malas!$B$2:$B$5000,MATCH(H375,DB_malas!$A$2:$A$5000,0)),$H375="ORG"),"✔",tulkojums!$A$38),tulkojums!$A$39),tulkojums!$A$39))</f>
        <v/>
      </c>
      <c r="Q375" s="2" t="str">
        <f>IF(ISBLANK(I375),"",IF(INDEX(DB_materiali!$E$2:$E$5000,MATCH($C375,DB_materiali!$A$2:$A$5000,0))&gt;=INDEX(DB_malas!$C$2:$C$5000,MATCH(I375,DB_malas!$A$2:$A$5000,0)),IF(INDEX(DB_materiali!$E$2:$E$5000,MATCH($C375,DB_materiali!$A$2:$A$5000,0))&lt;=INDEX(DB_malas!$D$2:$D$5000,MATCH(I375,DB_malas!$A$2:$A$5000,0)),IF(OR(INDEX(DB_materiali!$B$2:$B$5000,MATCH($C375,DB_materiali!$A$2:$A$5000,0))=INDEX(DB_malas!$B$2:$B$5000,MATCH(I375,DB_malas!$A$2:$A$5000,0)),$H375="ORG"),"✔",tulkojums!$A$38),tulkojums!$A$39),tulkojums!$A$39))</f>
        <v/>
      </c>
      <c r="R375" s="2" t="str">
        <f>IF(ISBLANK(J375),"",IF(INDEX(DB_materiali!$E$2:$E$5000,MATCH($C375,DB_materiali!$A$2:$A$5000,0))&gt;=INDEX(DB_malas!$C$2:$C$5000,MATCH(J375,DB_malas!$A$2:$A$5000,0)),IF(INDEX(DB_materiali!$E$2:$E$5000,MATCH($C375,DB_materiali!$A$2:$A$5000,0))&lt;=INDEX(DB_malas!$D$2:$D$5000,MATCH(J375,DB_malas!$A$2:$A$5000,0)),IF(INDEX(DB_materiali!$B$2:$B$5000,MATCH($C375,DB_materiali!$A$2:$A$5000,0))=INDEX(DB_malas!$B$2:$B$5000,MATCH(J375,DB_malas!$A$2:$A$5000,0)),"✔",tulkojums!$A$38),tulkojums!$A$39),tulkojums!$A$39))</f>
        <v/>
      </c>
      <c r="S375" s="2" t="str">
        <f>IF(ISBLANK(K375),"",IF(INDEX(DB_materiali!$E$2:$E$5000,MATCH($C375,DB_materiali!$A$2:$A$5000,0))&gt;=INDEX(DB_malas!$C$2:$C$5000,MATCH(K375,DB_malas!$A$2:$A$5000,0)),IF(INDEX(DB_materiali!$E$2:$E$5000,MATCH($C375,DB_materiali!$A$2:$A$5000,0))&lt;=INDEX(DB_malas!$D$2:$D$5000,MATCH(K375,DB_malas!$A$2:$A$5000,0)),IF(INDEX(DB_materiali!$B$2:$B$5000,MATCH($C375,DB_materiali!$A$2:$A$5000,0))=INDEX(DB_malas!$B$2:$B$5000,MATCH(K375,DB_malas!$A$2:$A$5000,0)),"✔",tulkojums!$A$38),tulkojums!$A$39),tulkojums!$A$39))</f>
        <v/>
      </c>
      <c r="T375" s="2"/>
      <c r="U375" s="2"/>
      <c r="V375" s="2"/>
      <c r="W375" s="2"/>
      <c r="X375" s="2"/>
      <c r="Y375" s="2"/>
      <c r="Z375" s="2"/>
    </row>
    <row r="376" spans="1:26" ht="15.75" customHeight="1">
      <c r="A376" s="17"/>
      <c r="B376" s="18"/>
      <c r="C376" s="19"/>
      <c r="D376" s="55"/>
      <c r="E376" s="55"/>
      <c r="F376" s="56"/>
      <c r="G376" s="57" t="str">
        <f>IF(ISBLANK(C376),"",
   IFERROR(
      IF(
         INDEX(DB_materiali!C$2:C$5000,
               MATCH(C376, DB_materiali!A$2:A$5000, 0)
         )="FALSE",
         "N",
         "Y"
      ),
   "")
)</f>
        <v/>
      </c>
      <c r="H376" s="20"/>
      <c r="I376" s="20"/>
      <c r="J376" s="20"/>
      <c r="K376" s="20"/>
      <c r="M376" s="2" t="str">
        <f>IF(ISBLANK(C376),"",IF(IFERROR(VLOOKUP(C376,DB_materiali!$A$2:$A$5000,1,FALSE),"Kļūda artikulā")=C376,"✔",tulkojums!A$42))</f>
        <v/>
      </c>
      <c r="N376" s="2" t="str">
        <f>IF(ISBLANK(C376),"",IF(ISNUMBER(F376)=TRUE,"✔",tulkojums!A$43))</f>
        <v/>
      </c>
      <c r="O376" s="2" t="str">
        <f>IF(ISBLANK(C376),"",IF(G376="Y","✔",IF(G376="X","✔",IF(G376="N","✔",tulkojums!A$44))))</f>
        <v/>
      </c>
      <c r="P376" s="2" t="str">
        <f>IF(ISBLANK(H376),"",IF(INDEX(DB_materiali!$E$2:$E$5000,MATCH($C376,DB_materiali!$A$2:$A$5000,0))&gt;=INDEX(DB_malas!$C$2:$C$5000,MATCH(H376,DB_malas!$A$2:$A$5000,0)),IF(INDEX(DB_materiali!$E$2:$E$5000,MATCH($C376,DB_materiali!$A$2:$A$5000,0))&lt;=INDEX(DB_malas!$D$2:$D$5000,MATCH(H376,DB_malas!$A$2:$A$5000,0)),IF(OR(INDEX(DB_materiali!$B$2:$B$5000,MATCH($C376,DB_materiali!$A$2:$A$5000,0))=INDEX(DB_malas!$B$2:$B$5000,MATCH(H376,DB_malas!$A$2:$A$5000,0)),$H376="ORG"),"✔",tulkojums!$A$38),tulkojums!$A$39),tulkojums!$A$39))</f>
        <v/>
      </c>
      <c r="Q376" s="2" t="str">
        <f>IF(ISBLANK(I376),"",IF(INDEX(DB_materiali!$E$2:$E$5000,MATCH($C376,DB_materiali!$A$2:$A$5000,0))&gt;=INDEX(DB_malas!$C$2:$C$5000,MATCH(I376,DB_malas!$A$2:$A$5000,0)),IF(INDEX(DB_materiali!$E$2:$E$5000,MATCH($C376,DB_materiali!$A$2:$A$5000,0))&lt;=INDEX(DB_malas!$D$2:$D$5000,MATCH(I376,DB_malas!$A$2:$A$5000,0)),IF(OR(INDEX(DB_materiali!$B$2:$B$5000,MATCH($C376,DB_materiali!$A$2:$A$5000,0))=INDEX(DB_malas!$B$2:$B$5000,MATCH(I376,DB_malas!$A$2:$A$5000,0)),$H376="ORG"),"✔",tulkojums!$A$38),tulkojums!$A$39),tulkojums!$A$39))</f>
        <v/>
      </c>
      <c r="R376" s="2" t="str">
        <f>IF(ISBLANK(J376),"",IF(INDEX(DB_materiali!$E$2:$E$5000,MATCH($C376,DB_materiali!$A$2:$A$5000,0))&gt;=INDEX(DB_malas!$C$2:$C$5000,MATCH(J376,DB_malas!$A$2:$A$5000,0)),IF(INDEX(DB_materiali!$E$2:$E$5000,MATCH($C376,DB_materiali!$A$2:$A$5000,0))&lt;=INDEX(DB_malas!$D$2:$D$5000,MATCH(J376,DB_malas!$A$2:$A$5000,0)),IF(INDEX(DB_materiali!$B$2:$B$5000,MATCH($C376,DB_materiali!$A$2:$A$5000,0))=INDEX(DB_malas!$B$2:$B$5000,MATCH(J376,DB_malas!$A$2:$A$5000,0)),"✔",tulkojums!$A$38),tulkojums!$A$39),tulkojums!$A$39))</f>
        <v/>
      </c>
      <c r="S376" s="2" t="str">
        <f>IF(ISBLANK(K376),"",IF(INDEX(DB_materiali!$E$2:$E$5000,MATCH($C376,DB_materiali!$A$2:$A$5000,0))&gt;=INDEX(DB_malas!$C$2:$C$5000,MATCH(K376,DB_malas!$A$2:$A$5000,0)),IF(INDEX(DB_materiali!$E$2:$E$5000,MATCH($C376,DB_materiali!$A$2:$A$5000,0))&lt;=INDEX(DB_malas!$D$2:$D$5000,MATCH(K376,DB_malas!$A$2:$A$5000,0)),IF(INDEX(DB_materiali!$B$2:$B$5000,MATCH($C376,DB_materiali!$A$2:$A$5000,0))=INDEX(DB_malas!$B$2:$B$5000,MATCH(K376,DB_malas!$A$2:$A$5000,0)),"✔",tulkojums!$A$38),tulkojums!$A$39),tulkojums!$A$39))</f>
        <v/>
      </c>
      <c r="T376" s="2"/>
      <c r="U376" s="2"/>
      <c r="V376" s="2"/>
      <c r="W376" s="2"/>
      <c r="X376" s="2"/>
      <c r="Y376" s="2"/>
      <c r="Z376" s="2"/>
    </row>
    <row r="377" spans="1:26" ht="15.75" customHeight="1">
      <c r="A377" s="17"/>
      <c r="B377" s="18"/>
      <c r="C377" s="19"/>
      <c r="D377" s="55"/>
      <c r="E377" s="55"/>
      <c r="F377" s="56"/>
      <c r="G377" s="57" t="str">
        <f>IF(ISBLANK(C377),"",
   IFERROR(
      IF(
         INDEX(DB_materiali!C$2:C$5000,
               MATCH(C377, DB_materiali!A$2:A$5000, 0)
         )="FALSE",
         "N",
         "Y"
      ),
   "")
)</f>
        <v/>
      </c>
      <c r="H377" s="20"/>
      <c r="I377" s="20"/>
      <c r="J377" s="20"/>
      <c r="K377" s="20"/>
      <c r="M377" s="2" t="str">
        <f>IF(ISBLANK(C377),"",IF(IFERROR(VLOOKUP(C377,DB_materiali!$A$2:$A$5000,1,FALSE),"Kļūda artikulā")=C377,"✔",tulkojums!A$42))</f>
        <v/>
      </c>
      <c r="N377" s="2" t="str">
        <f>IF(ISBLANK(C377),"",IF(ISNUMBER(F377)=TRUE,"✔",tulkojums!A$43))</f>
        <v/>
      </c>
      <c r="O377" s="2" t="str">
        <f>IF(ISBLANK(C377),"",IF(G377="Y","✔",IF(G377="X","✔",IF(G377="N","✔",tulkojums!A$44))))</f>
        <v/>
      </c>
      <c r="P377" s="2" t="str">
        <f>IF(ISBLANK(H377),"",IF(INDEX(DB_materiali!$E$2:$E$5000,MATCH($C377,DB_materiali!$A$2:$A$5000,0))&gt;=INDEX(DB_malas!$C$2:$C$5000,MATCH(H377,DB_malas!$A$2:$A$5000,0)),IF(INDEX(DB_materiali!$E$2:$E$5000,MATCH($C377,DB_materiali!$A$2:$A$5000,0))&lt;=INDEX(DB_malas!$D$2:$D$5000,MATCH(H377,DB_malas!$A$2:$A$5000,0)),IF(OR(INDEX(DB_materiali!$B$2:$B$5000,MATCH($C377,DB_materiali!$A$2:$A$5000,0))=INDEX(DB_malas!$B$2:$B$5000,MATCH(H377,DB_malas!$A$2:$A$5000,0)),$H377="ORG"),"✔",tulkojums!$A$38),tulkojums!$A$39),tulkojums!$A$39))</f>
        <v/>
      </c>
      <c r="Q377" s="2" t="str">
        <f>IF(ISBLANK(I377),"",IF(INDEX(DB_materiali!$E$2:$E$5000,MATCH($C377,DB_materiali!$A$2:$A$5000,0))&gt;=INDEX(DB_malas!$C$2:$C$5000,MATCH(I377,DB_malas!$A$2:$A$5000,0)),IF(INDEX(DB_materiali!$E$2:$E$5000,MATCH($C377,DB_materiali!$A$2:$A$5000,0))&lt;=INDEX(DB_malas!$D$2:$D$5000,MATCH(I377,DB_malas!$A$2:$A$5000,0)),IF(OR(INDEX(DB_materiali!$B$2:$B$5000,MATCH($C377,DB_materiali!$A$2:$A$5000,0))=INDEX(DB_malas!$B$2:$B$5000,MATCH(I377,DB_malas!$A$2:$A$5000,0)),$H377="ORG"),"✔",tulkojums!$A$38),tulkojums!$A$39),tulkojums!$A$39))</f>
        <v/>
      </c>
      <c r="R377" s="2" t="str">
        <f>IF(ISBLANK(J377),"",IF(INDEX(DB_materiali!$E$2:$E$5000,MATCH($C377,DB_materiali!$A$2:$A$5000,0))&gt;=INDEX(DB_malas!$C$2:$C$5000,MATCH(J377,DB_malas!$A$2:$A$5000,0)),IF(INDEX(DB_materiali!$E$2:$E$5000,MATCH($C377,DB_materiali!$A$2:$A$5000,0))&lt;=INDEX(DB_malas!$D$2:$D$5000,MATCH(J377,DB_malas!$A$2:$A$5000,0)),IF(INDEX(DB_materiali!$B$2:$B$5000,MATCH($C377,DB_materiali!$A$2:$A$5000,0))=INDEX(DB_malas!$B$2:$B$5000,MATCH(J377,DB_malas!$A$2:$A$5000,0)),"✔",tulkojums!$A$38),tulkojums!$A$39),tulkojums!$A$39))</f>
        <v/>
      </c>
      <c r="S377" s="2" t="str">
        <f>IF(ISBLANK(K377),"",IF(INDEX(DB_materiali!$E$2:$E$5000,MATCH($C377,DB_materiali!$A$2:$A$5000,0))&gt;=INDEX(DB_malas!$C$2:$C$5000,MATCH(K377,DB_malas!$A$2:$A$5000,0)),IF(INDEX(DB_materiali!$E$2:$E$5000,MATCH($C377,DB_materiali!$A$2:$A$5000,0))&lt;=INDEX(DB_malas!$D$2:$D$5000,MATCH(K377,DB_malas!$A$2:$A$5000,0)),IF(INDEX(DB_materiali!$B$2:$B$5000,MATCH($C377,DB_materiali!$A$2:$A$5000,0))=INDEX(DB_malas!$B$2:$B$5000,MATCH(K377,DB_malas!$A$2:$A$5000,0)),"✔",tulkojums!$A$38),tulkojums!$A$39),tulkojums!$A$39))</f>
        <v/>
      </c>
      <c r="T377" s="2"/>
      <c r="U377" s="2"/>
      <c r="V377" s="2"/>
      <c r="W377" s="2"/>
      <c r="X377" s="2"/>
      <c r="Y377" s="2"/>
      <c r="Z377" s="2"/>
    </row>
    <row r="378" spans="1:26" ht="15.75" customHeight="1">
      <c r="A378" s="17"/>
      <c r="B378" s="18"/>
      <c r="C378" s="19"/>
      <c r="D378" s="55"/>
      <c r="E378" s="55"/>
      <c r="F378" s="56"/>
      <c r="G378" s="57" t="str">
        <f>IF(ISBLANK(C378),"",
   IFERROR(
      IF(
         INDEX(DB_materiali!C$2:C$5000,
               MATCH(C378, DB_materiali!A$2:A$5000, 0)
         )="FALSE",
         "N",
         "Y"
      ),
   "")
)</f>
        <v/>
      </c>
      <c r="H378" s="20"/>
      <c r="I378" s="20"/>
      <c r="J378" s="20"/>
      <c r="K378" s="20"/>
      <c r="M378" s="2" t="str">
        <f>IF(ISBLANK(C378),"",IF(IFERROR(VLOOKUP(C378,DB_materiali!$A$2:$A$5000,1,FALSE),"Kļūda artikulā")=C378,"✔",tulkojums!A$42))</f>
        <v/>
      </c>
      <c r="N378" s="2" t="str">
        <f>IF(ISBLANK(C378),"",IF(ISNUMBER(F378)=TRUE,"✔",tulkojums!A$43))</f>
        <v/>
      </c>
      <c r="O378" s="2" t="str">
        <f>IF(ISBLANK(C378),"",IF(G378="Y","✔",IF(G378="X","✔",IF(G378="N","✔",tulkojums!A$44))))</f>
        <v/>
      </c>
      <c r="P378" s="2" t="str">
        <f>IF(ISBLANK(H378),"",IF(INDEX(DB_materiali!$E$2:$E$5000,MATCH($C378,DB_materiali!$A$2:$A$5000,0))&gt;=INDEX(DB_malas!$C$2:$C$5000,MATCH(H378,DB_malas!$A$2:$A$5000,0)),IF(INDEX(DB_materiali!$E$2:$E$5000,MATCH($C378,DB_materiali!$A$2:$A$5000,0))&lt;=INDEX(DB_malas!$D$2:$D$5000,MATCH(H378,DB_malas!$A$2:$A$5000,0)),IF(OR(INDEX(DB_materiali!$B$2:$B$5000,MATCH($C378,DB_materiali!$A$2:$A$5000,0))=INDEX(DB_malas!$B$2:$B$5000,MATCH(H378,DB_malas!$A$2:$A$5000,0)),$H378="ORG"),"✔",tulkojums!$A$38),tulkojums!$A$39),tulkojums!$A$39))</f>
        <v/>
      </c>
      <c r="Q378" s="2" t="str">
        <f>IF(ISBLANK(I378),"",IF(INDEX(DB_materiali!$E$2:$E$5000,MATCH($C378,DB_materiali!$A$2:$A$5000,0))&gt;=INDEX(DB_malas!$C$2:$C$5000,MATCH(I378,DB_malas!$A$2:$A$5000,0)),IF(INDEX(DB_materiali!$E$2:$E$5000,MATCH($C378,DB_materiali!$A$2:$A$5000,0))&lt;=INDEX(DB_malas!$D$2:$D$5000,MATCH(I378,DB_malas!$A$2:$A$5000,0)),IF(OR(INDEX(DB_materiali!$B$2:$B$5000,MATCH($C378,DB_materiali!$A$2:$A$5000,0))=INDEX(DB_malas!$B$2:$B$5000,MATCH(I378,DB_malas!$A$2:$A$5000,0)),$H378="ORG"),"✔",tulkojums!$A$38),tulkojums!$A$39),tulkojums!$A$39))</f>
        <v/>
      </c>
      <c r="R378" s="2" t="str">
        <f>IF(ISBLANK(J378),"",IF(INDEX(DB_materiali!$E$2:$E$5000,MATCH($C378,DB_materiali!$A$2:$A$5000,0))&gt;=INDEX(DB_malas!$C$2:$C$5000,MATCH(J378,DB_malas!$A$2:$A$5000,0)),IF(INDEX(DB_materiali!$E$2:$E$5000,MATCH($C378,DB_materiali!$A$2:$A$5000,0))&lt;=INDEX(DB_malas!$D$2:$D$5000,MATCH(J378,DB_malas!$A$2:$A$5000,0)),IF(INDEX(DB_materiali!$B$2:$B$5000,MATCH($C378,DB_materiali!$A$2:$A$5000,0))=INDEX(DB_malas!$B$2:$B$5000,MATCH(J378,DB_malas!$A$2:$A$5000,0)),"✔",tulkojums!$A$38),tulkojums!$A$39),tulkojums!$A$39))</f>
        <v/>
      </c>
      <c r="S378" s="2" t="str">
        <f>IF(ISBLANK(K378),"",IF(INDEX(DB_materiali!$E$2:$E$5000,MATCH($C378,DB_materiali!$A$2:$A$5000,0))&gt;=INDEX(DB_malas!$C$2:$C$5000,MATCH(K378,DB_malas!$A$2:$A$5000,0)),IF(INDEX(DB_materiali!$E$2:$E$5000,MATCH($C378,DB_materiali!$A$2:$A$5000,0))&lt;=INDEX(DB_malas!$D$2:$D$5000,MATCH(K378,DB_malas!$A$2:$A$5000,0)),IF(INDEX(DB_materiali!$B$2:$B$5000,MATCH($C378,DB_materiali!$A$2:$A$5000,0))=INDEX(DB_malas!$B$2:$B$5000,MATCH(K378,DB_malas!$A$2:$A$5000,0)),"✔",tulkojums!$A$38),tulkojums!$A$39),tulkojums!$A$39))</f>
        <v/>
      </c>
      <c r="T378" s="2"/>
      <c r="U378" s="2"/>
      <c r="V378" s="2"/>
      <c r="W378" s="2"/>
      <c r="X378" s="2"/>
      <c r="Y378" s="2"/>
      <c r="Z378" s="2"/>
    </row>
    <row r="379" spans="1:26" ht="15.75" customHeight="1">
      <c r="A379" s="17"/>
      <c r="B379" s="18"/>
      <c r="C379" s="19"/>
      <c r="D379" s="55"/>
      <c r="E379" s="55"/>
      <c r="F379" s="56"/>
      <c r="G379" s="57" t="str">
        <f>IF(ISBLANK(C379),"",
   IFERROR(
      IF(
         INDEX(DB_materiali!C$2:C$5000,
               MATCH(C379, DB_materiali!A$2:A$5000, 0)
         )="FALSE",
         "N",
         "Y"
      ),
   "")
)</f>
        <v/>
      </c>
      <c r="H379" s="20"/>
      <c r="I379" s="20"/>
      <c r="J379" s="20"/>
      <c r="K379" s="20"/>
      <c r="M379" s="2" t="str">
        <f>IF(ISBLANK(C379),"",IF(IFERROR(VLOOKUP(C379,DB_materiali!$A$2:$A$5000,1,FALSE),"Kļūda artikulā")=C379,"✔",tulkojums!A$42))</f>
        <v/>
      </c>
      <c r="N379" s="2" t="str">
        <f>IF(ISBLANK(C379),"",IF(ISNUMBER(F379)=TRUE,"✔",tulkojums!A$43))</f>
        <v/>
      </c>
      <c r="O379" s="2" t="str">
        <f>IF(ISBLANK(C379),"",IF(G379="Y","✔",IF(G379="X","✔",IF(G379="N","✔",tulkojums!A$44))))</f>
        <v/>
      </c>
      <c r="P379" s="2" t="str">
        <f>IF(ISBLANK(H379),"",IF(INDEX(DB_materiali!$E$2:$E$5000,MATCH($C379,DB_materiali!$A$2:$A$5000,0))&gt;=INDEX(DB_malas!$C$2:$C$5000,MATCH(H379,DB_malas!$A$2:$A$5000,0)),IF(INDEX(DB_materiali!$E$2:$E$5000,MATCH($C379,DB_materiali!$A$2:$A$5000,0))&lt;=INDEX(DB_malas!$D$2:$D$5000,MATCH(H379,DB_malas!$A$2:$A$5000,0)),IF(OR(INDEX(DB_materiali!$B$2:$B$5000,MATCH($C379,DB_materiali!$A$2:$A$5000,0))=INDEX(DB_malas!$B$2:$B$5000,MATCH(H379,DB_malas!$A$2:$A$5000,0)),$H379="ORG"),"✔",tulkojums!$A$38),tulkojums!$A$39),tulkojums!$A$39))</f>
        <v/>
      </c>
      <c r="Q379" s="2" t="str">
        <f>IF(ISBLANK(I379),"",IF(INDEX(DB_materiali!$E$2:$E$5000,MATCH($C379,DB_materiali!$A$2:$A$5000,0))&gt;=INDEX(DB_malas!$C$2:$C$5000,MATCH(I379,DB_malas!$A$2:$A$5000,0)),IF(INDEX(DB_materiali!$E$2:$E$5000,MATCH($C379,DB_materiali!$A$2:$A$5000,0))&lt;=INDEX(DB_malas!$D$2:$D$5000,MATCH(I379,DB_malas!$A$2:$A$5000,0)),IF(OR(INDEX(DB_materiali!$B$2:$B$5000,MATCH($C379,DB_materiali!$A$2:$A$5000,0))=INDEX(DB_malas!$B$2:$B$5000,MATCH(I379,DB_malas!$A$2:$A$5000,0)),$H379="ORG"),"✔",tulkojums!$A$38),tulkojums!$A$39),tulkojums!$A$39))</f>
        <v/>
      </c>
      <c r="R379" s="2" t="str">
        <f>IF(ISBLANK(J379),"",IF(INDEX(DB_materiali!$E$2:$E$5000,MATCH($C379,DB_materiali!$A$2:$A$5000,0))&gt;=INDEX(DB_malas!$C$2:$C$5000,MATCH(J379,DB_malas!$A$2:$A$5000,0)),IF(INDEX(DB_materiali!$E$2:$E$5000,MATCH($C379,DB_materiali!$A$2:$A$5000,0))&lt;=INDEX(DB_malas!$D$2:$D$5000,MATCH(J379,DB_malas!$A$2:$A$5000,0)),IF(INDEX(DB_materiali!$B$2:$B$5000,MATCH($C379,DB_materiali!$A$2:$A$5000,0))=INDEX(DB_malas!$B$2:$B$5000,MATCH(J379,DB_malas!$A$2:$A$5000,0)),"✔",tulkojums!$A$38),tulkojums!$A$39),tulkojums!$A$39))</f>
        <v/>
      </c>
      <c r="S379" s="2" t="str">
        <f>IF(ISBLANK(K379),"",IF(INDEX(DB_materiali!$E$2:$E$5000,MATCH($C379,DB_materiali!$A$2:$A$5000,0))&gt;=INDEX(DB_malas!$C$2:$C$5000,MATCH(K379,DB_malas!$A$2:$A$5000,0)),IF(INDEX(DB_materiali!$E$2:$E$5000,MATCH($C379,DB_materiali!$A$2:$A$5000,0))&lt;=INDEX(DB_malas!$D$2:$D$5000,MATCH(K379,DB_malas!$A$2:$A$5000,0)),IF(INDEX(DB_materiali!$B$2:$B$5000,MATCH($C379,DB_materiali!$A$2:$A$5000,0))=INDEX(DB_malas!$B$2:$B$5000,MATCH(K379,DB_malas!$A$2:$A$5000,0)),"✔",tulkojums!$A$38),tulkojums!$A$39),tulkojums!$A$39))</f>
        <v/>
      </c>
      <c r="T379" s="2"/>
      <c r="U379" s="2"/>
      <c r="V379" s="2"/>
      <c r="W379" s="2"/>
      <c r="X379" s="2"/>
      <c r="Y379" s="2"/>
      <c r="Z379" s="2"/>
    </row>
    <row r="380" spans="1:26" ht="15.75" customHeight="1">
      <c r="A380" s="17"/>
      <c r="B380" s="18"/>
      <c r="C380" s="19"/>
      <c r="D380" s="55"/>
      <c r="E380" s="55"/>
      <c r="F380" s="56"/>
      <c r="G380" s="57" t="str">
        <f>IF(ISBLANK(C380),"",
   IFERROR(
      IF(
         INDEX(DB_materiali!C$2:C$5000,
               MATCH(C380, DB_materiali!A$2:A$5000, 0)
         )="FALSE",
         "N",
         "Y"
      ),
   "")
)</f>
        <v/>
      </c>
      <c r="H380" s="20"/>
      <c r="I380" s="20"/>
      <c r="J380" s="20"/>
      <c r="K380" s="20"/>
      <c r="M380" s="2" t="str">
        <f>IF(ISBLANK(C380),"",IF(IFERROR(VLOOKUP(C380,DB_materiali!$A$2:$A$5000,1,FALSE),"Kļūda artikulā")=C380,"✔",tulkojums!A$42))</f>
        <v/>
      </c>
      <c r="N380" s="2" t="str">
        <f>IF(ISBLANK(C380),"",IF(ISNUMBER(F380)=TRUE,"✔",tulkojums!A$43))</f>
        <v/>
      </c>
      <c r="O380" s="2" t="str">
        <f>IF(ISBLANK(C380),"",IF(G380="Y","✔",IF(G380="X","✔",IF(G380="N","✔",tulkojums!A$44))))</f>
        <v/>
      </c>
      <c r="P380" s="2" t="str">
        <f>IF(ISBLANK(H380),"",IF(INDEX(DB_materiali!$E$2:$E$5000,MATCH($C380,DB_materiali!$A$2:$A$5000,0))&gt;=INDEX(DB_malas!$C$2:$C$5000,MATCH(H380,DB_malas!$A$2:$A$5000,0)),IF(INDEX(DB_materiali!$E$2:$E$5000,MATCH($C380,DB_materiali!$A$2:$A$5000,0))&lt;=INDEX(DB_malas!$D$2:$D$5000,MATCH(H380,DB_malas!$A$2:$A$5000,0)),IF(OR(INDEX(DB_materiali!$B$2:$B$5000,MATCH($C380,DB_materiali!$A$2:$A$5000,0))=INDEX(DB_malas!$B$2:$B$5000,MATCH(H380,DB_malas!$A$2:$A$5000,0)),$H380="ORG"),"✔",tulkojums!$A$38),tulkojums!$A$39),tulkojums!$A$39))</f>
        <v/>
      </c>
      <c r="Q380" s="2" t="str">
        <f>IF(ISBLANK(I380),"",IF(INDEX(DB_materiali!$E$2:$E$5000,MATCH($C380,DB_materiali!$A$2:$A$5000,0))&gt;=INDEX(DB_malas!$C$2:$C$5000,MATCH(I380,DB_malas!$A$2:$A$5000,0)),IF(INDEX(DB_materiali!$E$2:$E$5000,MATCH($C380,DB_materiali!$A$2:$A$5000,0))&lt;=INDEX(DB_malas!$D$2:$D$5000,MATCH(I380,DB_malas!$A$2:$A$5000,0)),IF(OR(INDEX(DB_materiali!$B$2:$B$5000,MATCH($C380,DB_materiali!$A$2:$A$5000,0))=INDEX(DB_malas!$B$2:$B$5000,MATCH(I380,DB_malas!$A$2:$A$5000,0)),$H380="ORG"),"✔",tulkojums!$A$38),tulkojums!$A$39),tulkojums!$A$39))</f>
        <v/>
      </c>
      <c r="R380" s="2" t="str">
        <f>IF(ISBLANK(J380),"",IF(INDEX(DB_materiali!$E$2:$E$5000,MATCH($C380,DB_materiali!$A$2:$A$5000,0))&gt;=INDEX(DB_malas!$C$2:$C$5000,MATCH(J380,DB_malas!$A$2:$A$5000,0)),IF(INDEX(DB_materiali!$E$2:$E$5000,MATCH($C380,DB_materiali!$A$2:$A$5000,0))&lt;=INDEX(DB_malas!$D$2:$D$5000,MATCH(J380,DB_malas!$A$2:$A$5000,0)),IF(INDEX(DB_materiali!$B$2:$B$5000,MATCH($C380,DB_materiali!$A$2:$A$5000,0))=INDEX(DB_malas!$B$2:$B$5000,MATCH(J380,DB_malas!$A$2:$A$5000,0)),"✔",tulkojums!$A$38),tulkojums!$A$39),tulkojums!$A$39))</f>
        <v/>
      </c>
      <c r="S380" s="2" t="str">
        <f>IF(ISBLANK(K380),"",IF(INDEX(DB_materiali!$E$2:$E$5000,MATCH($C380,DB_materiali!$A$2:$A$5000,0))&gt;=INDEX(DB_malas!$C$2:$C$5000,MATCH(K380,DB_malas!$A$2:$A$5000,0)),IF(INDEX(DB_materiali!$E$2:$E$5000,MATCH($C380,DB_materiali!$A$2:$A$5000,0))&lt;=INDEX(DB_malas!$D$2:$D$5000,MATCH(K380,DB_malas!$A$2:$A$5000,0)),IF(INDEX(DB_materiali!$B$2:$B$5000,MATCH($C380,DB_materiali!$A$2:$A$5000,0))=INDEX(DB_malas!$B$2:$B$5000,MATCH(K380,DB_malas!$A$2:$A$5000,0)),"✔",tulkojums!$A$38),tulkojums!$A$39),tulkojums!$A$39))</f>
        <v/>
      </c>
      <c r="T380" s="2"/>
      <c r="U380" s="2"/>
      <c r="V380" s="2"/>
      <c r="W380" s="2"/>
      <c r="X380" s="2"/>
      <c r="Y380" s="2"/>
      <c r="Z380" s="2"/>
    </row>
    <row r="381" spans="1:26" ht="15.75" customHeight="1">
      <c r="A381" s="17"/>
      <c r="B381" s="18"/>
      <c r="C381" s="19"/>
      <c r="D381" s="55"/>
      <c r="E381" s="55"/>
      <c r="F381" s="56"/>
      <c r="G381" s="57" t="str">
        <f>IF(ISBLANK(C381),"",
   IFERROR(
      IF(
         INDEX(DB_materiali!C$2:C$5000,
               MATCH(C381, DB_materiali!A$2:A$5000, 0)
         )="FALSE",
         "N",
         "Y"
      ),
   "")
)</f>
        <v/>
      </c>
      <c r="H381" s="20"/>
      <c r="I381" s="20"/>
      <c r="J381" s="20"/>
      <c r="K381" s="20"/>
      <c r="M381" s="2" t="str">
        <f>IF(ISBLANK(C381),"",IF(IFERROR(VLOOKUP(C381,DB_materiali!$A$2:$A$5000,1,FALSE),"Kļūda artikulā")=C381,"✔",tulkojums!A$42))</f>
        <v/>
      </c>
      <c r="N381" s="2" t="str">
        <f>IF(ISBLANK(C381),"",IF(ISNUMBER(F381)=TRUE,"✔",tulkojums!A$43))</f>
        <v/>
      </c>
      <c r="O381" s="2" t="str">
        <f>IF(ISBLANK(C381),"",IF(G381="Y","✔",IF(G381="X","✔",IF(G381="N","✔",tulkojums!A$44))))</f>
        <v/>
      </c>
      <c r="P381" s="2" t="str">
        <f>IF(ISBLANK(H381),"",IF(INDEX(DB_materiali!$E$2:$E$5000,MATCH($C381,DB_materiali!$A$2:$A$5000,0))&gt;=INDEX(DB_malas!$C$2:$C$5000,MATCH(H381,DB_malas!$A$2:$A$5000,0)),IF(INDEX(DB_materiali!$E$2:$E$5000,MATCH($C381,DB_materiali!$A$2:$A$5000,0))&lt;=INDEX(DB_malas!$D$2:$D$5000,MATCH(H381,DB_malas!$A$2:$A$5000,0)),IF(OR(INDEX(DB_materiali!$B$2:$B$5000,MATCH($C381,DB_materiali!$A$2:$A$5000,0))=INDEX(DB_malas!$B$2:$B$5000,MATCH(H381,DB_malas!$A$2:$A$5000,0)),$H381="ORG"),"✔",tulkojums!$A$38),tulkojums!$A$39),tulkojums!$A$39))</f>
        <v/>
      </c>
      <c r="Q381" s="2" t="str">
        <f>IF(ISBLANK(I381),"",IF(INDEX(DB_materiali!$E$2:$E$5000,MATCH($C381,DB_materiali!$A$2:$A$5000,0))&gt;=INDEX(DB_malas!$C$2:$C$5000,MATCH(I381,DB_malas!$A$2:$A$5000,0)),IF(INDEX(DB_materiali!$E$2:$E$5000,MATCH($C381,DB_materiali!$A$2:$A$5000,0))&lt;=INDEX(DB_malas!$D$2:$D$5000,MATCH(I381,DB_malas!$A$2:$A$5000,0)),IF(OR(INDEX(DB_materiali!$B$2:$B$5000,MATCH($C381,DB_materiali!$A$2:$A$5000,0))=INDEX(DB_malas!$B$2:$B$5000,MATCH(I381,DB_malas!$A$2:$A$5000,0)),$H381="ORG"),"✔",tulkojums!$A$38),tulkojums!$A$39),tulkojums!$A$39))</f>
        <v/>
      </c>
      <c r="R381" s="2" t="str">
        <f>IF(ISBLANK(J381),"",IF(INDEX(DB_materiali!$E$2:$E$5000,MATCH($C381,DB_materiali!$A$2:$A$5000,0))&gt;=INDEX(DB_malas!$C$2:$C$5000,MATCH(J381,DB_malas!$A$2:$A$5000,0)),IF(INDEX(DB_materiali!$E$2:$E$5000,MATCH($C381,DB_materiali!$A$2:$A$5000,0))&lt;=INDEX(DB_malas!$D$2:$D$5000,MATCH(J381,DB_malas!$A$2:$A$5000,0)),IF(INDEX(DB_materiali!$B$2:$B$5000,MATCH($C381,DB_materiali!$A$2:$A$5000,0))=INDEX(DB_malas!$B$2:$B$5000,MATCH(J381,DB_malas!$A$2:$A$5000,0)),"✔",tulkojums!$A$38),tulkojums!$A$39),tulkojums!$A$39))</f>
        <v/>
      </c>
      <c r="S381" s="2" t="str">
        <f>IF(ISBLANK(K381),"",IF(INDEX(DB_materiali!$E$2:$E$5000,MATCH($C381,DB_materiali!$A$2:$A$5000,0))&gt;=INDEX(DB_malas!$C$2:$C$5000,MATCH(K381,DB_malas!$A$2:$A$5000,0)),IF(INDEX(DB_materiali!$E$2:$E$5000,MATCH($C381,DB_materiali!$A$2:$A$5000,0))&lt;=INDEX(DB_malas!$D$2:$D$5000,MATCH(K381,DB_malas!$A$2:$A$5000,0)),IF(INDEX(DB_materiali!$B$2:$B$5000,MATCH($C381,DB_materiali!$A$2:$A$5000,0))=INDEX(DB_malas!$B$2:$B$5000,MATCH(K381,DB_malas!$A$2:$A$5000,0)),"✔",tulkojums!$A$38),tulkojums!$A$39),tulkojums!$A$39))</f>
        <v/>
      </c>
      <c r="T381" s="2"/>
      <c r="U381" s="2"/>
      <c r="V381" s="2"/>
      <c r="W381" s="2"/>
      <c r="X381" s="2"/>
      <c r="Y381" s="2"/>
      <c r="Z381" s="2"/>
    </row>
    <row r="382" spans="1:26" ht="15.75" customHeight="1">
      <c r="A382" s="17"/>
      <c r="B382" s="18"/>
      <c r="C382" s="19"/>
      <c r="D382" s="55"/>
      <c r="E382" s="55"/>
      <c r="F382" s="56"/>
      <c r="G382" s="57" t="str">
        <f>IF(ISBLANK(C382),"",
   IFERROR(
      IF(
         INDEX(DB_materiali!C$2:C$5000,
               MATCH(C382, DB_materiali!A$2:A$5000, 0)
         )="FALSE",
         "N",
         "Y"
      ),
   "")
)</f>
        <v/>
      </c>
      <c r="H382" s="20"/>
      <c r="I382" s="20"/>
      <c r="J382" s="20"/>
      <c r="K382" s="20"/>
      <c r="M382" s="2" t="str">
        <f>IF(ISBLANK(C382),"",IF(IFERROR(VLOOKUP(C382,DB_materiali!$A$2:$A$5000,1,FALSE),"Kļūda artikulā")=C382,"✔",tulkojums!A$42))</f>
        <v/>
      </c>
      <c r="N382" s="2" t="str">
        <f>IF(ISBLANK(C382),"",IF(ISNUMBER(F382)=TRUE,"✔",tulkojums!A$43))</f>
        <v/>
      </c>
      <c r="O382" s="2" t="str">
        <f>IF(ISBLANK(C382),"",IF(G382="Y","✔",IF(G382="X","✔",IF(G382="N","✔",tulkojums!A$44))))</f>
        <v/>
      </c>
      <c r="P382" s="2" t="str">
        <f>IF(ISBLANK(H382),"",IF(INDEX(DB_materiali!$E$2:$E$5000,MATCH($C382,DB_materiali!$A$2:$A$5000,0))&gt;=INDEX(DB_malas!$C$2:$C$5000,MATCH(H382,DB_malas!$A$2:$A$5000,0)),IF(INDEX(DB_materiali!$E$2:$E$5000,MATCH($C382,DB_materiali!$A$2:$A$5000,0))&lt;=INDEX(DB_malas!$D$2:$D$5000,MATCH(H382,DB_malas!$A$2:$A$5000,0)),IF(OR(INDEX(DB_materiali!$B$2:$B$5000,MATCH($C382,DB_materiali!$A$2:$A$5000,0))=INDEX(DB_malas!$B$2:$B$5000,MATCH(H382,DB_malas!$A$2:$A$5000,0)),$H382="ORG"),"✔",tulkojums!$A$38),tulkojums!$A$39),tulkojums!$A$39))</f>
        <v/>
      </c>
      <c r="Q382" s="2" t="str">
        <f>IF(ISBLANK(I382),"",IF(INDEX(DB_materiali!$E$2:$E$5000,MATCH($C382,DB_materiali!$A$2:$A$5000,0))&gt;=INDEX(DB_malas!$C$2:$C$5000,MATCH(I382,DB_malas!$A$2:$A$5000,0)),IF(INDEX(DB_materiali!$E$2:$E$5000,MATCH($C382,DB_materiali!$A$2:$A$5000,0))&lt;=INDEX(DB_malas!$D$2:$D$5000,MATCH(I382,DB_malas!$A$2:$A$5000,0)),IF(OR(INDEX(DB_materiali!$B$2:$B$5000,MATCH($C382,DB_materiali!$A$2:$A$5000,0))=INDEX(DB_malas!$B$2:$B$5000,MATCH(I382,DB_malas!$A$2:$A$5000,0)),$H382="ORG"),"✔",tulkojums!$A$38),tulkojums!$A$39),tulkojums!$A$39))</f>
        <v/>
      </c>
      <c r="R382" s="2" t="str">
        <f>IF(ISBLANK(J382),"",IF(INDEX(DB_materiali!$E$2:$E$5000,MATCH($C382,DB_materiali!$A$2:$A$5000,0))&gt;=INDEX(DB_malas!$C$2:$C$5000,MATCH(J382,DB_malas!$A$2:$A$5000,0)),IF(INDEX(DB_materiali!$E$2:$E$5000,MATCH($C382,DB_materiali!$A$2:$A$5000,0))&lt;=INDEX(DB_malas!$D$2:$D$5000,MATCH(J382,DB_malas!$A$2:$A$5000,0)),IF(INDEX(DB_materiali!$B$2:$B$5000,MATCH($C382,DB_materiali!$A$2:$A$5000,0))=INDEX(DB_malas!$B$2:$B$5000,MATCH(J382,DB_malas!$A$2:$A$5000,0)),"✔",tulkojums!$A$38),tulkojums!$A$39),tulkojums!$A$39))</f>
        <v/>
      </c>
      <c r="S382" s="2" t="str">
        <f>IF(ISBLANK(K382),"",IF(INDEX(DB_materiali!$E$2:$E$5000,MATCH($C382,DB_materiali!$A$2:$A$5000,0))&gt;=INDEX(DB_malas!$C$2:$C$5000,MATCH(K382,DB_malas!$A$2:$A$5000,0)),IF(INDEX(DB_materiali!$E$2:$E$5000,MATCH($C382,DB_materiali!$A$2:$A$5000,0))&lt;=INDEX(DB_malas!$D$2:$D$5000,MATCH(K382,DB_malas!$A$2:$A$5000,0)),IF(INDEX(DB_materiali!$B$2:$B$5000,MATCH($C382,DB_materiali!$A$2:$A$5000,0))=INDEX(DB_malas!$B$2:$B$5000,MATCH(K382,DB_malas!$A$2:$A$5000,0)),"✔",tulkojums!$A$38),tulkojums!$A$39),tulkojums!$A$39))</f>
        <v/>
      </c>
      <c r="T382" s="2"/>
      <c r="U382" s="2"/>
      <c r="V382" s="2"/>
      <c r="W382" s="2"/>
      <c r="X382" s="2"/>
      <c r="Y382" s="2"/>
      <c r="Z382" s="2"/>
    </row>
    <row r="383" spans="1:26" ht="15.75" customHeight="1">
      <c r="A383" s="17"/>
      <c r="B383" s="18"/>
      <c r="C383" s="19"/>
      <c r="D383" s="55"/>
      <c r="E383" s="55"/>
      <c r="F383" s="56"/>
      <c r="G383" s="57" t="str">
        <f>IF(ISBLANK(C383),"",
   IFERROR(
      IF(
         INDEX(DB_materiali!C$2:C$5000,
               MATCH(C383, DB_materiali!A$2:A$5000, 0)
         )="FALSE",
         "N",
         "Y"
      ),
   "")
)</f>
        <v/>
      </c>
      <c r="H383" s="20"/>
      <c r="I383" s="20"/>
      <c r="J383" s="20"/>
      <c r="K383" s="20"/>
      <c r="M383" s="2" t="str">
        <f>IF(ISBLANK(C383),"",IF(IFERROR(VLOOKUP(C383,DB_materiali!$A$2:$A$5000,1,FALSE),"Kļūda artikulā")=C383,"✔",tulkojums!A$42))</f>
        <v/>
      </c>
      <c r="N383" s="2" t="str">
        <f>IF(ISBLANK(C383),"",IF(ISNUMBER(F383)=TRUE,"✔",tulkojums!A$43))</f>
        <v/>
      </c>
      <c r="O383" s="2" t="str">
        <f>IF(ISBLANK(C383),"",IF(G383="Y","✔",IF(G383="X","✔",IF(G383="N","✔",tulkojums!A$44))))</f>
        <v/>
      </c>
      <c r="P383" s="2" t="str">
        <f>IF(ISBLANK(H383),"",IF(INDEX(DB_materiali!$E$2:$E$5000,MATCH($C383,DB_materiali!$A$2:$A$5000,0))&gt;=INDEX(DB_malas!$C$2:$C$5000,MATCH(H383,DB_malas!$A$2:$A$5000,0)),IF(INDEX(DB_materiali!$E$2:$E$5000,MATCH($C383,DB_materiali!$A$2:$A$5000,0))&lt;=INDEX(DB_malas!$D$2:$D$5000,MATCH(H383,DB_malas!$A$2:$A$5000,0)),IF(OR(INDEX(DB_materiali!$B$2:$B$5000,MATCH($C383,DB_materiali!$A$2:$A$5000,0))=INDEX(DB_malas!$B$2:$B$5000,MATCH(H383,DB_malas!$A$2:$A$5000,0)),$H383="ORG"),"✔",tulkojums!$A$38),tulkojums!$A$39),tulkojums!$A$39))</f>
        <v/>
      </c>
      <c r="Q383" s="2" t="str">
        <f>IF(ISBLANK(I383),"",IF(INDEX(DB_materiali!$E$2:$E$5000,MATCH($C383,DB_materiali!$A$2:$A$5000,0))&gt;=INDEX(DB_malas!$C$2:$C$5000,MATCH(I383,DB_malas!$A$2:$A$5000,0)),IF(INDEX(DB_materiali!$E$2:$E$5000,MATCH($C383,DB_materiali!$A$2:$A$5000,0))&lt;=INDEX(DB_malas!$D$2:$D$5000,MATCH(I383,DB_malas!$A$2:$A$5000,0)),IF(OR(INDEX(DB_materiali!$B$2:$B$5000,MATCH($C383,DB_materiali!$A$2:$A$5000,0))=INDEX(DB_malas!$B$2:$B$5000,MATCH(I383,DB_malas!$A$2:$A$5000,0)),$H383="ORG"),"✔",tulkojums!$A$38),tulkojums!$A$39),tulkojums!$A$39))</f>
        <v/>
      </c>
      <c r="R383" s="2" t="str">
        <f>IF(ISBLANK(J383),"",IF(INDEX(DB_materiali!$E$2:$E$5000,MATCH($C383,DB_materiali!$A$2:$A$5000,0))&gt;=INDEX(DB_malas!$C$2:$C$5000,MATCH(J383,DB_malas!$A$2:$A$5000,0)),IF(INDEX(DB_materiali!$E$2:$E$5000,MATCH($C383,DB_materiali!$A$2:$A$5000,0))&lt;=INDEX(DB_malas!$D$2:$D$5000,MATCH(J383,DB_malas!$A$2:$A$5000,0)),IF(INDEX(DB_materiali!$B$2:$B$5000,MATCH($C383,DB_materiali!$A$2:$A$5000,0))=INDEX(DB_malas!$B$2:$B$5000,MATCH(J383,DB_malas!$A$2:$A$5000,0)),"✔",tulkojums!$A$38),tulkojums!$A$39),tulkojums!$A$39))</f>
        <v/>
      </c>
      <c r="S383" s="2" t="str">
        <f>IF(ISBLANK(K383),"",IF(INDEX(DB_materiali!$E$2:$E$5000,MATCH($C383,DB_materiali!$A$2:$A$5000,0))&gt;=INDEX(DB_malas!$C$2:$C$5000,MATCH(K383,DB_malas!$A$2:$A$5000,0)),IF(INDEX(DB_materiali!$E$2:$E$5000,MATCH($C383,DB_materiali!$A$2:$A$5000,0))&lt;=INDEX(DB_malas!$D$2:$D$5000,MATCH(K383,DB_malas!$A$2:$A$5000,0)),IF(INDEX(DB_materiali!$B$2:$B$5000,MATCH($C383,DB_materiali!$A$2:$A$5000,0))=INDEX(DB_malas!$B$2:$B$5000,MATCH(K383,DB_malas!$A$2:$A$5000,0)),"✔",tulkojums!$A$38),tulkojums!$A$39),tulkojums!$A$39))</f>
        <v/>
      </c>
      <c r="T383" s="2"/>
      <c r="U383" s="2"/>
      <c r="V383" s="2"/>
      <c r="W383" s="2"/>
      <c r="X383" s="2"/>
      <c r="Y383" s="2"/>
      <c r="Z383" s="2"/>
    </row>
    <row r="384" spans="1:26" ht="15.75" customHeight="1">
      <c r="A384" s="17"/>
      <c r="B384" s="18"/>
      <c r="C384" s="19"/>
      <c r="D384" s="55"/>
      <c r="E384" s="55"/>
      <c r="F384" s="56"/>
      <c r="G384" s="57" t="str">
        <f>IF(ISBLANK(C384),"",
   IFERROR(
      IF(
         INDEX(DB_materiali!C$2:C$5000,
               MATCH(C384, DB_materiali!A$2:A$5000, 0)
         )="FALSE",
         "N",
         "Y"
      ),
   "")
)</f>
        <v/>
      </c>
      <c r="H384" s="20"/>
      <c r="I384" s="20"/>
      <c r="J384" s="20"/>
      <c r="K384" s="20"/>
      <c r="M384" s="2" t="str">
        <f>IF(ISBLANK(C384),"",IF(IFERROR(VLOOKUP(C384,DB_materiali!$A$2:$A$5000,1,FALSE),"Kļūda artikulā")=C384,"✔",tulkojums!A$42))</f>
        <v/>
      </c>
      <c r="N384" s="2" t="str">
        <f>IF(ISBLANK(C384),"",IF(ISNUMBER(F384)=TRUE,"✔",tulkojums!A$43))</f>
        <v/>
      </c>
      <c r="O384" s="2" t="str">
        <f>IF(ISBLANK(C384),"",IF(G384="Y","✔",IF(G384="X","✔",IF(G384="N","✔",tulkojums!A$44))))</f>
        <v/>
      </c>
      <c r="P384" s="2" t="str">
        <f>IF(ISBLANK(H384),"",IF(INDEX(DB_materiali!$E$2:$E$5000,MATCH($C384,DB_materiali!$A$2:$A$5000,0))&gt;=INDEX(DB_malas!$C$2:$C$5000,MATCH(H384,DB_malas!$A$2:$A$5000,0)),IF(INDEX(DB_materiali!$E$2:$E$5000,MATCH($C384,DB_materiali!$A$2:$A$5000,0))&lt;=INDEX(DB_malas!$D$2:$D$5000,MATCH(H384,DB_malas!$A$2:$A$5000,0)),IF(OR(INDEX(DB_materiali!$B$2:$B$5000,MATCH($C384,DB_materiali!$A$2:$A$5000,0))=INDEX(DB_malas!$B$2:$B$5000,MATCH(H384,DB_malas!$A$2:$A$5000,0)),$H384="ORG"),"✔",tulkojums!$A$38),tulkojums!$A$39),tulkojums!$A$39))</f>
        <v/>
      </c>
      <c r="Q384" s="2" t="str">
        <f>IF(ISBLANK(I384),"",IF(INDEX(DB_materiali!$E$2:$E$5000,MATCH($C384,DB_materiali!$A$2:$A$5000,0))&gt;=INDEX(DB_malas!$C$2:$C$5000,MATCH(I384,DB_malas!$A$2:$A$5000,0)),IF(INDEX(DB_materiali!$E$2:$E$5000,MATCH($C384,DB_materiali!$A$2:$A$5000,0))&lt;=INDEX(DB_malas!$D$2:$D$5000,MATCH(I384,DB_malas!$A$2:$A$5000,0)),IF(OR(INDEX(DB_materiali!$B$2:$B$5000,MATCH($C384,DB_materiali!$A$2:$A$5000,0))=INDEX(DB_malas!$B$2:$B$5000,MATCH(I384,DB_malas!$A$2:$A$5000,0)),$H384="ORG"),"✔",tulkojums!$A$38),tulkojums!$A$39),tulkojums!$A$39))</f>
        <v/>
      </c>
      <c r="R384" s="2" t="str">
        <f>IF(ISBLANK(J384),"",IF(INDEX(DB_materiali!$E$2:$E$5000,MATCH($C384,DB_materiali!$A$2:$A$5000,0))&gt;=INDEX(DB_malas!$C$2:$C$5000,MATCH(J384,DB_malas!$A$2:$A$5000,0)),IF(INDEX(DB_materiali!$E$2:$E$5000,MATCH($C384,DB_materiali!$A$2:$A$5000,0))&lt;=INDEX(DB_malas!$D$2:$D$5000,MATCH(J384,DB_malas!$A$2:$A$5000,0)),IF(INDEX(DB_materiali!$B$2:$B$5000,MATCH($C384,DB_materiali!$A$2:$A$5000,0))=INDEX(DB_malas!$B$2:$B$5000,MATCH(J384,DB_malas!$A$2:$A$5000,0)),"✔",tulkojums!$A$38),tulkojums!$A$39),tulkojums!$A$39))</f>
        <v/>
      </c>
      <c r="S384" s="2" t="str">
        <f>IF(ISBLANK(K384),"",IF(INDEX(DB_materiali!$E$2:$E$5000,MATCH($C384,DB_materiali!$A$2:$A$5000,0))&gt;=INDEX(DB_malas!$C$2:$C$5000,MATCH(K384,DB_malas!$A$2:$A$5000,0)),IF(INDEX(DB_materiali!$E$2:$E$5000,MATCH($C384,DB_materiali!$A$2:$A$5000,0))&lt;=INDEX(DB_malas!$D$2:$D$5000,MATCH(K384,DB_malas!$A$2:$A$5000,0)),IF(INDEX(DB_materiali!$B$2:$B$5000,MATCH($C384,DB_materiali!$A$2:$A$5000,0))=INDEX(DB_malas!$B$2:$B$5000,MATCH(K384,DB_malas!$A$2:$A$5000,0)),"✔",tulkojums!$A$38),tulkojums!$A$39),tulkojums!$A$39))</f>
        <v/>
      </c>
      <c r="T384" s="2"/>
      <c r="U384" s="2"/>
      <c r="V384" s="2"/>
      <c r="W384" s="2"/>
      <c r="X384" s="2"/>
      <c r="Y384" s="2"/>
      <c r="Z384" s="2"/>
    </row>
    <row r="385" spans="1:26" ht="15.75" customHeight="1">
      <c r="A385" s="17"/>
      <c r="B385" s="18"/>
      <c r="C385" s="19"/>
      <c r="D385" s="55"/>
      <c r="E385" s="55"/>
      <c r="F385" s="56"/>
      <c r="G385" s="57" t="str">
        <f>IF(ISBLANK(C385),"",
   IFERROR(
      IF(
         INDEX(DB_materiali!C$2:C$5000,
               MATCH(C385, DB_materiali!A$2:A$5000, 0)
         )="FALSE",
         "N",
         "Y"
      ),
   "")
)</f>
        <v/>
      </c>
      <c r="H385" s="20"/>
      <c r="I385" s="20"/>
      <c r="J385" s="20"/>
      <c r="K385" s="20"/>
      <c r="M385" s="2" t="str">
        <f>IF(ISBLANK(C385),"",IF(IFERROR(VLOOKUP(C385,DB_materiali!$A$2:$A$5000,1,FALSE),"Kļūda artikulā")=C385,"✔",tulkojums!A$42))</f>
        <v/>
      </c>
      <c r="N385" s="2" t="str">
        <f>IF(ISBLANK(C385),"",IF(ISNUMBER(F385)=TRUE,"✔",tulkojums!A$43))</f>
        <v/>
      </c>
      <c r="O385" s="2" t="str">
        <f>IF(ISBLANK(C385),"",IF(G385="Y","✔",IF(G385="X","✔",IF(G385="N","✔",tulkojums!A$44))))</f>
        <v/>
      </c>
      <c r="P385" s="2" t="str">
        <f>IF(ISBLANK(H385),"",IF(INDEX(DB_materiali!$E$2:$E$5000,MATCH($C385,DB_materiali!$A$2:$A$5000,0))&gt;=INDEX(DB_malas!$C$2:$C$5000,MATCH(H385,DB_malas!$A$2:$A$5000,0)),IF(INDEX(DB_materiali!$E$2:$E$5000,MATCH($C385,DB_materiali!$A$2:$A$5000,0))&lt;=INDEX(DB_malas!$D$2:$D$5000,MATCH(H385,DB_malas!$A$2:$A$5000,0)),IF(OR(INDEX(DB_materiali!$B$2:$B$5000,MATCH($C385,DB_materiali!$A$2:$A$5000,0))=INDEX(DB_malas!$B$2:$B$5000,MATCH(H385,DB_malas!$A$2:$A$5000,0)),$H385="ORG"),"✔",tulkojums!$A$38),tulkojums!$A$39),tulkojums!$A$39))</f>
        <v/>
      </c>
      <c r="Q385" s="2" t="str">
        <f>IF(ISBLANK(I385),"",IF(INDEX(DB_materiali!$E$2:$E$5000,MATCH($C385,DB_materiali!$A$2:$A$5000,0))&gt;=INDEX(DB_malas!$C$2:$C$5000,MATCH(I385,DB_malas!$A$2:$A$5000,0)),IF(INDEX(DB_materiali!$E$2:$E$5000,MATCH($C385,DB_materiali!$A$2:$A$5000,0))&lt;=INDEX(DB_malas!$D$2:$D$5000,MATCH(I385,DB_malas!$A$2:$A$5000,0)),IF(OR(INDEX(DB_materiali!$B$2:$B$5000,MATCH($C385,DB_materiali!$A$2:$A$5000,0))=INDEX(DB_malas!$B$2:$B$5000,MATCH(I385,DB_malas!$A$2:$A$5000,0)),$H385="ORG"),"✔",tulkojums!$A$38),tulkojums!$A$39),tulkojums!$A$39))</f>
        <v/>
      </c>
      <c r="R385" s="2" t="str">
        <f>IF(ISBLANK(J385),"",IF(INDEX(DB_materiali!$E$2:$E$5000,MATCH($C385,DB_materiali!$A$2:$A$5000,0))&gt;=INDEX(DB_malas!$C$2:$C$5000,MATCH(J385,DB_malas!$A$2:$A$5000,0)),IF(INDEX(DB_materiali!$E$2:$E$5000,MATCH($C385,DB_materiali!$A$2:$A$5000,0))&lt;=INDEX(DB_malas!$D$2:$D$5000,MATCH(J385,DB_malas!$A$2:$A$5000,0)),IF(INDEX(DB_materiali!$B$2:$B$5000,MATCH($C385,DB_materiali!$A$2:$A$5000,0))=INDEX(DB_malas!$B$2:$B$5000,MATCH(J385,DB_malas!$A$2:$A$5000,0)),"✔",tulkojums!$A$38),tulkojums!$A$39),tulkojums!$A$39))</f>
        <v/>
      </c>
      <c r="S385" s="2" t="str">
        <f>IF(ISBLANK(K385),"",IF(INDEX(DB_materiali!$E$2:$E$5000,MATCH($C385,DB_materiali!$A$2:$A$5000,0))&gt;=INDEX(DB_malas!$C$2:$C$5000,MATCH(K385,DB_malas!$A$2:$A$5000,0)),IF(INDEX(DB_materiali!$E$2:$E$5000,MATCH($C385,DB_materiali!$A$2:$A$5000,0))&lt;=INDEX(DB_malas!$D$2:$D$5000,MATCH(K385,DB_malas!$A$2:$A$5000,0)),IF(INDEX(DB_materiali!$B$2:$B$5000,MATCH($C385,DB_materiali!$A$2:$A$5000,0))=INDEX(DB_malas!$B$2:$B$5000,MATCH(K385,DB_malas!$A$2:$A$5000,0)),"✔",tulkojums!$A$38),tulkojums!$A$39),tulkojums!$A$39))</f>
        <v/>
      </c>
      <c r="T385" s="2"/>
      <c r="U385" s="2"/>
      <c r="V385" s="2"/>
      <c r="W385" s="2"/>
      <c r="X385" s="2"/>
      <c r="Y385" s="2"/>
      <c r="Z385" s="2"/>
    </row>
    <row r="386" spans="1:26" ht="15.75" customHeight="1">
      <c r="A386" s="17"/>
      <c r="B386" s="18"/>
      <c r="C386" s="19"/>
      <c r="D386" s="55"/>
      <c r="E386" s="55"/>
      <c r="F386" s="56"/>
      <c r="G386" s="57" t="str">
        <f>IF(ISBLANK(C386),"",
   IFERROR(
      IF(
         INDEX(DB_materiali!C$2:C$5000,
               MATCH(C386, DB_materiali!A$2:A$5000, 0)
         )="FALSE",
         "N",
         "Y"
      ),
   "")
)</f>
        <v/>
      </c>
      <c r="H386" s="20"/>
      <c r="I386" s="20"/>
      <c r="J386" s="20"/>
      <c r="K386" s="20"/>
      <c r="M386" s="2" t="str">
        <f>IF(ISBLANK(C386),"",IF(IFERROR(VLOOKUP(C386,DB_materiali!$A$2:$A$5000,1,FALSE),"Kļūda artikulā")=C386,"✔",tulkojums!A$42))</f>
        <v/>
      </c>
      <c r="N386" s="2" t="str">
        <f>IF(ISBLANK(C386),"",IF(ISNUMBER(F386)=TRUE,"✔",tulkojums!A$43))</f>
        <v/>
      </c>
      <c r="O386" s="2" t="str">
        <f>IF(ISBLANK(C386),"",IF(G386="Y","✔",IF(G386="X","✔",IF(G386="N","✔",tulkojums!A$44))))</f>
        <v/>
      </c>
      <c r="P386" s="2" t="str">
        <f>IF(ISBLANK(H386),"",IF(INDEX(DB_materiali!$E$2:$E$5000,MATCH($C386,DB_materiali!$A$2:$A$5000,0))&gt;=INDEX(DB_malas!$C$2:$C$5000,MATCH(H386,DB_malas!$A$2:$A$5000,0)),IF(INDEX(DB_materiali!$E$2:$E$5000,MATCH($C386,DB_materiali!$A$2:$A$5000,0))&lt;=INDEX(DB_malas!$D$2:$D$5000,MATCH(H386,DB_malas!$A$2:$A$5000,0)),IF(OR(INDEX(DB_materiali!$B$2:$B$5000,MATCH($C386,DB_materiali!$A$2:$A$5000,0))=INDEX(DB_malas!$B$2:$B$5000,MATCH(H386,DB_malas!$A$2:$A$5000,0)),$H386="ORG"),"✔",tulkojums!$A$38),tulkojums!$A$39),tulkojums!$A$39))</f>
        <v/>
      </c>
      <c r="Q386" s="2" t="str">
        <f>IF(ISBLANK(I386),"",IF(INDEX(DB_materiali!$E$2:$E$5000,MATCH($C386,DB_materiali!$A$2:$A$5000,0))&gt;=INDEX(DB_malas!$C$2:$C$5000,MATCH(I386,DB_malas!$A$2:$A$5000,0)),IF(INDEX(DB_materiali!$E$2:$E$5000,MATCH($C386,DB_materiali!$A$2:$A$5000,0))&lt;=INDEX(DB_malas!$D$2:$D$5000,MATCH(I386,DB_malas!$A$2:$A$5000,0)),IF(OR(INDEX(DB_materiali!$B$2:$B$5000,MATCH($C386,DB_materiali!$A$2:$A$5000,0))=INDEX(DB_malas!$B$2:$B$5000,MATCH(I386,DB_malas!$A$2:$A$5000,0)),$H386="ORG"),"✔",tulkojums!$A$38),tulkojums!$A$39),tulkojums!$A$39))</f>
        <v/>
      </c>
      <c r="R386" s="2" t="str">
        <f>IF(ISBLANK(J386),"",IF(INDEX(DB_materiali!$E$2:$E$5000,MATCH($C386,DB_materiali!$A$2:$A$5000,0))&gt;=INDEX(DB_malas!$C$2:$C$5000,MATCH(J386,DB_malas!$A$2:$A$5000,0)),IF(INDEX(DB_materiali!$E$2:$E$5000,MATCH($C386,DB_materiali!$A$2:$A$5000,0))&lt;=INDEX(DB_malas!$D$2:$D$5000,MATCH(J386,DB_malas!$A$2:$A$5000,0)),IF(INDEX(DB_materiali!$B$2:$B$5000,MATCH($C386,DB_materiali!$A$2:$A$5000,0))=INDEX(DB_malas!$B$2:$B$5000,MATCH(J386,DB_malas!$A$2:$A$5000,0)),"✔",tulkojums!$A$38),tulkojums!$A$39),tulkojums!$A$39))</f>
        <v/>
      </c>
      <c r="S386" s="2" t="str">
        <f>IF(ISBLANK(K386),"",IF(INDEX(DB_materiali!$E$2:$E$5000,MATCH($C386,DB_materiali!$A$2:$A$5000,0))&gt;=INDEX(DB_malas!$C$2:$C$5000,MATCH(K386,DB_malas!$A$2:$A$5000,0)),IF(INDEX(DB_materiali!$E$2:$E$5000,MATCH($C386,DB_materiali!$A$2:$A$5000,0))&lt;=INDEX(DB_malas!$D$2:$D$5000,MATCH(K386,DB_malas!$A$2:$A$5000,0)),IF(INDEX(DB_materiali!$B$2:$B$5000,MATCH($C386,DB_materiali!$A$2:$A$5000,0))=INDEX(DB_malas!$B$2:$B$5000,MATCH(K386,DB_malas!$A$2:$A$5000,0)),"✔",tulkojums!$A$38),tulkojums!$A$39),tulkojums!$A$39))</f>
        <v/>
      </c>
      <c r="T386" s="2"/>
      <c r="U386" s="2"/>
      <c r="V386" s="2"/>
      <c r="W386" s="2"/>
      <c r="X386" s="2"/>
      <c r="Y386" s="2"/>
      <c r="Z386" s="2"/>
    </row>
    <row r="387" spans="1:26" ht="15.75" customHeight="1">
      <c r="A387" s="17"/>
      <c r="B387" s="18"/>
      <c r="C387" s="19"/>
      <c r="D387" s="55"/>
      <c r="E387" s="55"/>
      <c r="F387" s="56"/>
      <c r="G387" s="57" t="str">
        <f>IF(ISBLANK(C387),"",
   IFERROR(
      IF(
         INDEX(DB_materiali!C$2:C$5000,
               MATCH(C387, DB_materiali!A$2:A$5000, 0)
         )="FALSE",
         "N",
         "Y"
      ),
   "")
)</f>
        <v/>
      </c>
      <c r="H387" s="20"/>
      <c r="I387" s="20"/>
      <c r="J387" s="20"/>
      <c r="K387" s="20"/>
      <c r="M387" s="2" t="str">
        <f>IF(ISBLANK(C387),"",IF(IFERROR(VLOOKUP(C387,DB_materiali!$A$2:$A$5000,1,FALSE),"Kļūda artikulā")=C387,"✔",tulkojums!A$42))</f>
        <v/>
      </c>
      <c r="N387" s="2" t="str">
        <f>IF(ISBLANK(C387),"",IF(ISNUMBER(F387)=TRUE,"✔",tulkojums!A$43))</f>
        <v/>
      </c>
      <c r="O387" s="2" t="str">
        <f>IF(ISBLANK(C387),"",IF(G387="Y","✔",IF(G387="X","✔",IF(G387="N","✔",tulkojums!A$44))))</f>
        <v/>
      </c>
      <c r="P387" s="2" t="str">
        <f>IF(ISBLANK(H387),"",IF(INDEX(DB_materiali!$E$2:$E$5000,MATCH($C387,DB_materiali!$A$2:$A$5000,0))&gt;=INDEX(DB_malas!$C$2:$C$5000,MATCH(H387,DB_malas!$A$2:$A$5000,0)),IF(INDEX(DB_materiali!$E$2:$E$5000,MATCH($C387,DB_materiali!$A$2:$A$5000,0))&lt;=INDEX(DB_malas!$D$2:$D$5000,MATCH(H387,DB_malas!$A$2:$A$5000,0)),IF(OR(INDEX(DB_materiali!$B$2:$B$5000,MATCH($C387,DB_materiali!$A$2:$A$5000,0))=INDEX(DB_malas!$B$2:$B$5000,MATCH(H387,DB_malas!$A$2:$A$5000,0)),$H387="ORG"),"✔",tulkojums!$A$38),tulkojums!$A$39),tulkojums!$A$39))</f>
        <v/>
      </c>
      <c r="Q387" s="2" t="str">
        <f>IF(ISBLANK(I387),"",IF(INDEX(DB_materiali!$E$2:$E$5000,MATCH($C387,DB_materiali!$A$2:$A$5000,0))&gt;=INDEX(DB_malas!$C$2:$C$5000,MATCH(I387,DB_malas!$A$2:$A$5000,0)),IF(INDEX(DB_materiali!$E$2:$E$5000,MATCH($C387,DB_materiali!$A$2:$A$5000,0))&lt;=INDEX(DB_malas!$D$2:$D$5000,MATCH(I387,DB_malas!$A$2:$A$5000,0)),IF(OR(INDEX(DB_materiali!$B$2:$B$5000,MATCH($C387,DB_materiali!$A$2:$A$5000,0))=INDEX(DB_malas!$B$2:$B$5000,MATCH(I387,DB_malas!$A$2:$A$5000,0)),$H387="ORG"),"✔",tulkojums!$A$38),tulkojums!$A$39),tulkojums!$A$39))</f>
        <v/>
      </c>
      <c r="R387" s="2" t="str">
        <f>IF(ISBLANK(J387),"",IF(INDEX(DB_materiali!$E$2:$E$5000,MATCH($C387,DB_materiali!$A$2:$A$5000,0))&gt;=INDEX(DB_malas!$C$2:$C$5000,MATCH(J387,DB_malas!$A$2:$A$5000,0)),IF(INDEX(DB_materiali!$E$2:$E$5000,MATCH($C387,DB_materiali!$A$2:$A$5000,0))&lt;=INDEX(DB_malas!$D$2:$D$5000,MATCH(J387,DB_malas!$A$2:$A$5000,0)),IF(INDEX(DB_materiali!$B$2:$B$5000,MATCH($C387,DB_materiali!$A$2:$A$5000,0))=INDEX(DB_malas!$B$2:$B$5000,MATCH(J387,DB_malas!$A$2:$A$5000,0)),"✔",tulkojums!$A$38),tulkojums!$A$39),tulkojums!$A$39))</f>
        <v/>
      </c>
      <c r="S387" s="2" t="str">
        <f>IF(ISBLANK(K387),"",IF(INDEX(DB_materiali!$E$2:$E$5000,MATCH($C387,DB_materiali!$A$2:$A$5000,0))&gt;=INDEX(DB_malas!$C$2:$C$5000,MATCH(K387,DB_malas!$A$2:$A$5000,0)),IF(INDEX(DB_materiali!$E$2:$E$5000,MATCH($C387,DB_materiali!$A$2:$A$5000,0))&lt;=INDEX(DB_malas!$D$2:$D$5000,MATCH(K387,DB_malas!$A$2:$A$5000,0)),IF(INDEX(DB_materiali!$B$2:$B$5000,MATCH($C387,DB_materiali!$A$2:$A$5000,0))=INDEX(DB_malas!$B$2:$B$5000,MATCH(K387,DB_malas!$A$2:$A$5000,0)),"✔",tulkojums!$A$38),tulkojums!$A$39),tulkojums!$A$39))</f>
        <v/>
      </c>
      <c r="T387" s="2"/>
      <c r="U387" s="2"/>
      <c r="V387" s="2"/>
      <c r="W387" s="2"/>
      <c r="X387" s="2"/>
      <c r="Y387" s="2"/>
      <c r="Z387" s="2"/>
    </row>
    <row r="388" spans="1:26" ht="15.75" customHeight="1">
      <c r="A388" s="17"/>
      <c r="B388" s="18"/>
      <c r="C388" s="19"/>
      <c r="D388" s="55"/>
      <c r="E388" s="55"/>
      <c r="F388" s="56"/>
      <c r="G388" s="57" t="str">
        <f>IF(ISBLANK(C388),"",
   IFERROR(
      IF(
         INDEX(DB_materiali!C$2:C$5000,
               MATCH(C388, DB_materiali!A$2:A$5000, 0)
         )="FALSE",
         "N",
         "Y"
      ),
   "")
)</f>
        <v/>
      </c>
      <c r="H388" s="20"/>
      <c r="I388" s="20"/>
      <c r="J388" s="20"/>
      <c r="K388" s="20"/>
      <c r="M388" s="2" t="str">
        <f>IF(ISBLANK(C388),"",IF(IFERROR(VLOOKUP(C388,DB_materiali!$A$2:$A$5000,1,FALSE),"Kļūda artikulā")=C388,"✔",tulkojums!A$42))</f>
        <v/>
      </c>
      <c r="N388" s="2" t="str">
        <f>IF(ISBLANK(C388),"",IF(ISNUMBER(F388)=TRUE,"✔",tulkojums!A$43))</f>
        <v/>
      </c>
      <c r="O388" s="2" t="str">
        <f>IF(ISBLANK(C388),"",IF(G388="Y","✔",IF(G388="X","✔",IF(G388="N","✔",tulkojums!A$44))))</f>
        <v/>
      </c>
      <c r="P388" s="2" t="str">
        <f>IF(ISBLANK(H388),"",IF(INDEX(DB_materiali!$E$2:$E$5000,MATCH($C388,DB_materiali!$A$2:$A$5000,0))&gt;=INDEX(DB_malas!$C$2:$C$5000,MATCH(H388,DB_malas!$A$2:$A$5000,0)),IF(INDEX(DB_materiali!$E$2:$E$5000,MATCH($C388,DB_materiali!$A$2:$A$5000,0))&lt;=INDEX(DB_malas!$D$2:$D$5000,MATCH(H388,DB_malas!$A$2:$A$5000,0)),IF(OR(INDEX(DB_materiali!$B$2:$B$5000,MATCH($C388,DB_materiali!$A$2:$A$5000,0))=INDEX(DB_malas!$B$2:$B$5000,MATCH(H388,DB_malas!$A$2:$A$5000,0)),$H388="ORG"),"✔",tulkojums!$A$38),tulkojums!$A$39),tulkojums!$A$39))</f>
        <v/>
      </c>
      <c r="Q388" s="2" t="str">
        <f>IF(ISBLANK(I388),"",IF(INDEX(DB_materiali!$E$2:$E$5000,MATCH($C388,DB_materiali!$A$2:$A$5000,0))&gt;=INDEX(DB_malas!$C$2:$C$5000,MATCH(I388,DB_malas!$A$2:$A$5000,0)),IF(INDEX(DB_materiali!$E$2:$E$5000,MATCH($C388,DB_materiali!$A$2:$A$5000,0))&lt;=INDEX(DB_malas!$D$2:$D$5000,MATCH(I388,DB_malas!$A$2:$A$5000,0)),IF(OR(INDEX(DB_materiali!$B$2:$B$5000,MATCH($C388,DB_materiali!$A$2:$A$5000,0))=INDEX(DB_malas!$B$2:$B$5000,MATCH(I388,DB_malas!$A$2:$A$5000,0)),$H388="ORG"),"✔",tulkojums!$A$38),tulkojums!$A$39),tulkojums!$A$39))</f>
        <v/>
      </c>
      <c r="R388" s="2" t="str">
        <f>IF(ISBLANK(J388),"",IF(INDEX(DB_materiali!$E$2:$E$5000,MATCH($C388,DB_materiali!$A$2:$A$5000,0))&gt;=INDEX(DB_malas!$C$2:$C$5000,MATCH(J388,DB_malas!$A$2:$A$5000,0)),IF(INDEX(DB_materiali!$E$2:$E$5000,MATCH($C388,DB_materiali!$A$2:$A$5000,0))&lt;=INDEX(DB_malas!$D$2:$D$5000,MATCH(J388,DB_malas!$A$2:$A$5000,0)),IF(INDEX(DB_materiali!$B$2:$B$5000,MATCH($C388,DB_materiali!$A$2:$A$5000,0))=INDEX(DB_malas!$B$2:$B$5000,MATCH(J388,DB_malas!$A$2:$A$5000,0)),"✔",tulkojums!$A$38),tulkojums!$A$39),tulkojums!$A$39))</f>
        <v/>
      </c>
      <c r="S388" s="2" t="str">
        <f>IF(ISBLANK(K388),"",IF(INDEX(DB_materiali!$E$2:$E$5000,MATCH($C388,DB_materiali!$A$2:$A$5000,0))&gt;=INDEX(DB_malas!$C$2:$C$5000,MATCH(K388,DB_malas!$A$2:$A$5000,0)),IF(INDEX(DB_materiali!$E$2:$E$5000,MATCH($C388,DB_materiali!$A$2:$A$5000,0))&lt;=INDEX(DB_malas!$D$2:$D$5000,MATCH(K388,DB_malas!$A$2:$A$5000,0)),IF(INDEX(DB_materiali!$B$2:$B$5000,MATCH($C388,DB_materiali!$A$2:$A$5000,0))=INDEX(DB_malas!$B$2:$B$5000,MATCH(K388,DB_malas!$A$2:$A$5000,0)),"✔",tulkojums!$A$38),tulkojums!$A$39),tulkojums!$A$39))</f>
        <v/>
      </c>
      <c r="T388" s="2"/>
      <c r="U388" s="2"/>
      <c r="V388" s="2"/>
      <c r="W388" s="2"/>
      <c r="X388" s="2"/>
      <c r="Y388" s="2"/>
      <c r="Z388" s="2"/>
    </row>
    <row r="389" spans="1:26" ht="15.75" customHeight="1">
      <c r="A389" s="17"/>
      <c r="B389" s="18"/>
      <c r="C389" s="19"/>
      <c r="D389" s="55"/>
      <c r="E389" s="55"/>
      <c r="F389" s="56"/>
      <c r="G389" s="57" t="str">
        <f>IF(ISBLANK(C389),"",
   IFERROR(
      IF(
         INDEX(DB_materiali!C$2:C$5000,
               MATCH(C389, DB_materiali!A$2:A$5000, 0)
         )="FALSE",
         "N",
         "Y"
      ),
   "")
)</f>
        <v/>
      </c>
      <c r="H389" s="20"/>
      <c r="I389" s="20"/>
      <c r="J389" s="20"/>
      <c r="K389" s="20"/>
      <c r="M389" s="2" t="str">
        <f>IF(ISBLANK(C389),"",IF(IFERROR(VLOOKUP(C389,DB_materiali!$A$2:$A$5000,1,FALSE),"Kļūda artikulā")=C389,"✔",tulkojums!A$42))</f>
        <v/>
      </c>
      <c r="N389" s="2" t="str">
        <f>IF(ISBLANK(C389),"",IF(ISNUMBER(F389)=TRUE,"✔",tulkojums!A$43))</f>
        <v/>
      </c>
      <c r="O389" s="2" t="str">
        <f>IF(ISBLANK(C389),"",IF(G389="Y","✔",IF(G389="X","✔",IF(G389="N","✔",tulkojums!A$44))))</f>
        <v/>
      </c>
      <c r="P389" s="2" t="str">
        <f>IF(ISBLANK(H389),"",IF(INDEX(DB_materiali!$E$2:$E$5000,MATCH($C389,DB_materiali!$A$2:$A$5000,0))&gt;=INDEX(DB_malas!$C$2:$C$5000,MATCH(H389,DB_malas!$A$2:$A$5000,0)),IF(INDEX(DB_materiali!$E$2:$E$5000,MATCH($C389,DB_materiali!$A$2:$A$5000,0))&lt;=INDEX(DB_malas!$D$2:$D$5000,MATCH(H389,DB_malas!$A$2:$A$5000,0)),IF(OR(INDEX(DB_materiali!$B$2:$B$5000,MATCH($C389,DB_materiali!$A$2:$A$5000,0))=INDEX(DB_malas!$B$2:$B$5000,MATCH(H389,DB_malas!$A$2:$A$5000,0)),$H389="ORG"),"✔",tulkojums!$A$38),tulkojums!$A$39),tulkojums!$A$39))</f>
        <v/>
      </c>
      <c r="Q389" s="2" t="str">
        <f>IF(ISBLANK(I389),"",IF(INDEX(DB_materiali!$E$2:$E$5000,MATCH($C389,DB_materiali!$A$2:$A$5000,0))&gt;=INDEX(DB_malas!$C$2:$C$5000,MATCH(I389,DB_malas!$A$2:$A$5000,0)),IF(INDEX(DB_materiali!$E$2:$E$5000,MATCH($C389,DB_materiali!$A$2:$A$5000,0))&lt;=INDEX(DB_malas!$D$2:$D$5000,MATCH(I389,DB_malas!$A$2:$A$5000,0)),IF(OR(INDEX(DB_materiali!$B$2:$B$5000,MATCH($C389,DB_materiali!$A$2:$A$5000,0))=INDEX(DB_malas!$B$2:$B$5000,MATCH(I389,DB_malas!$A$2:$A$5000,0)),$H389="ORG"),"✔",tulkojums!$A$38),tulkojums!$A$39),tulkojums!$A$39))</f>
        <v/>
      </c>
      <c r="R389" s="2" t="str">
        <f>IF(ISBLANK(J389),"",IF(INDEX(DB_materiali!$E$2:$E$5000,MATCH($C389,DB_materiali!$A$2:$A$5000,0))&gt;=INDEX(DB_malas!$C$2:$C$5000,MATCH(J389,DB_malas!$A$2:$A$5000,0)),IF(INDEX(DB_materiali!$E$2:$E$5000,MATCH($C389,DB_materiali!$A$2:$A$5000,0))&lt;=INDEX(DB_malas!$D$2:$D$5000,MATCH(J389,DB_malas!$A$2:$A$5000,0)),IF(INDEX(DB_materiali!$B$2:$B$5000,MATCH($C389,DB_materiali!$A$2:$A$5000,0))=INDEX(DB_malas!$B$2:$B$5000,MATCH(J389,DB_malas!$A$2:$A$5000,0)),"✔",tulkojums!$A$38),tulkojums!$A$39),tulkojums!$A$39))</f>
        <v/>
      </c>
      <c r="S389" s="2" t="str">
        <f>IF(ISBLANK(K389),"",IF(INDEX(DB_materiali!$E$2:$E$5000,MATCH($C389,DB_materiali!$A$2:$A$5000,0))&gt;=INDEX(DB_malas!$C$2:$C$5000,MATCH(K389,DB_malas!$A$2:$A$5000,0)),IF(INDEX(DB_materiali!$E$2:$E$5000,MATCH($C389,DB_materiali!$A$2:$A$5000,0))&lt;=INDEX(DB_malas!$D$2:$D$5000,MATCH(K389,DB_malas!$A$2:$A$5000,0)),IF(INDEX(DB_materiali!$B$2:$B$5000,MATCH($C389,DB_materiali!$A$2:$A$5000,0))=INDEX(DB_malas!$B$2:$B$5000,MATCH(K389,DB_malas!$A$2:$A$5000,0)),"✔",tulkojums!$A$38),tulkojums!$A$39),tulkojums!$A$39))</f>
        <v/>
      </c>
      <c r="T389" s="2"/>
      <c r="U389" s="2"/>
      <c r="V389" s="2"/>
      <c r="W389" s="2"/>
      <c r="X389" s="2"/>
      <c r="Y389" s="2"/>
      <c r="Z389" s="2"/>
    </row>
    <row r="390" spans="1:26" ht="15.75" customHeight="1">
      <c r="A390" s="17"/>
      <c r="B390" s="18"/>
      <c r="C390" s="19"/>
      <c r="D390" s="55"/>
      <c r="E390" s="55"/>
      <c r="F390" s="56"/>
      <c r="G390" s="57" t="str">
        <f>IF(ISBLANK(C390),"",
   IFERROR(
      IF(
         INDEX(DB_materiali!C$2:C$5000,
               MATCH(C390, DB_materiali!A$2:A$5000, 0)
         )="FALSE",
         "N",
         "Y"
      ),
   "")
)</f>
        <v/>
      </c>
      <c r="H390" s="20"/>
      <c r="I390" s="20"/>
      <c r="J390" s="20"/>
      <c r="K390" s="20"/>
      <c r="M390" s="2" t="str">
        <f>IF(ISBLANK(C390),"",IF(IFERROR(VLOOKUP(C390,DB_materiali!$A$2:$A$5000,1,FALSE),"Kļūda artikulā")=C390,"✔",tulkojums!A$42))</f>
        <v/>
      </c>
      <c r="N390" s="2" t="str">
        <f>IF(ISBLANK(C390),"",IF(ISNUMBER(F390)=TRUE,"✔",tulkojums!A$43))</f>
        <v/>
      </c>
      <c r="O390" s="2" t="str">
        <f>IF(ISBLANK(C390),"",IF(G390="Y","✔",IF(G390="X","✔",IF(G390="N","✔",tulkojums!A$44))))</f>
        <v/>
      </c>
      <c r="P390" s="2" t="str">
        <f>IF(ISBLANK(H390),"",IF(INDEX(DB_materiali!$E$2:$E$5000,MATCH($C390,DB_materiali!$A$2:$A$5000,0))&gt;=INDEX(DB_malas!$C$2:$C$5000,MATCH(H390,DB_malas!$A$2:$A$5000,0)),IF(INDEX(DB_materiali!$E$2:$E$5000,MATCH($C390,DB_materiali!$A$2:$A$5000,0))&lt;=INDEX(DB_malas!$D$2:$D$5000,MATCH(H390,DB_malas!$A$2:$A$5000,0)),IF(OR(INDEX(DB_materiali!$B$2:$B$5000,MATCH($C390,DB_materiali!$A$2:$A$5000,0))=INDEX(DB_malas!$B$2:$B$5000,MATCH(H390,DB_malas!$A$2:$A$5000,0)),$H390="ORG"),"✔",tulkojums!$A$38),tulkojums!$A$39),tulkojums!$A$39))</f>
        <v/>
      </c>
      <c r="Q390" s="2" t="str">
        <f>IF(ISBLANK(I390),"",IF(INDEX(DB_materiali!$E$2:$E$5000,MATCH($C390,DB_materiali!$A$2:$A$5000,0))&gt;=INDEX(DB_malas!$C$2:$C$5000,MATCH(I390,DB_malas!$A$2:$A$5000,0)),IF(INDEX(DB_materiali!$E$2:$E$5000,MATCH($C390,DB_materiali!$A$2:$A$5000,0))&lt;=INDEX(DB_malas!$D$2:$D$5000,MATCH(I390,DB_malas!$A$2:$A$5000,0)),IF(OR(INDEX(DB_materiali!$B$2:$B$5000,MATCH($C390,DB_materiali!$A$2:$A$5000,0))=INDEX(DB_malas!$B$2:$B$5000,MATCH(I390,DB_malas!$A$2:$A$5000,0)),$H390="ORG"),"✔",tulkojums!$A$38),tulkojums!$A$39),tulkojums!$A$39))</f>
        <v/>
      </c>
      <c r="R390" s="2" t="str">
        <f>IF(ISBLANK(J390),"",IF(INDEX(DB_materiali!$E$2:$E$5000,MATCH($C390,DB_materiali!$A$2:$A$5000,0))&gt;=INDEX(DB_malas!$C$2:$C$5000,MATCH(J390,DB_malas!$A$2:$A$5000,0)),IF(INDEX(DB_materiali!$E$2:$E$5000,MATCH($C390,DB_materiali!$A$2:$A$5000,0))&lt;=INDEX(DB_malas!$D$2:$D$5000,MATCH(J390,DB_malas!$A$2:$A$5000,0)),IF(INDEX(DB_materiali!$B$2:$B$5000,MATCH($C390,DB_materiali!$A$2:$A$5000,0))=INDEX(DB_malas!$B$2:$B$5000,MATCH(J390,DB_malas!$A$2:$A$5000,0)),"✔",tulkojums!$A$38),tulkojums!$A$39),tulkojums!$A$39))</f>
        <v/>
      </c>
      <c r="S390" s="2" t="str">
        <f>IF(ISBLANK(K390),"",IF(INDEX(DB_materiali!$E$2:$E$5000,MATCH($C390,DB_materiali!$A$2:$A$5000,0))&gt;=INDEX(DB_malas!$C$2:$C$5000,MATCH(K390,DB_malas!$A$2:$A$5000,0)),IF(INDEX(DB_materiali!$E$2:$E$5000,MATCH($C390,DB_materiali!$A$2:$A$5000,0))&lt;=INDEX(DB_malas!$D$2:$D$5000,MATCH(K390,DB_malas!$A$2:$A$5000,0)),IF(INDEX(DB_materiali!$B$2:$B$5000,MATCH($C390,DB_materiali!$A$2:$A$5000,0))=INDEX(DB_malas!$B$2:$B$5000,MATCH(K390,DB_malas!$A$2:$A$5000,0)),"✔",tulkojums!$A$38),tulkojums!$A$39),tulkojums!$A$39))</f>
        <v/>
      </c>
      <c r="T390" s="2"/>
      <c r="U390" s="2"/>
      <c r="V390" s="2"/>
      <c r="W390" s="2"/>
      <c r="X390" s="2"/>
      <c r="Y390" s="2"/>
      <c r="Z390" s="2"/>
    </row>
    <row r="391" spans="1:26" ht="15.75" customHeight="1">
      <c r="A391" s="17"/>
      <c r="B391" s="18"/>
      <c r="C391" s="19"/>
      <c r="D391" s="55"/>
      <c r="E391" s="55"/>
      <c r="F391" s="56"/>
      <c r="G391" s="57" t="str">
        <f>IF(ISBLANK(C391),"",
   IFERROR(
      IF(
         INDEX(DB_materiali!C$2:C$5000,
               MATCH(C391, DB_materiali!A$2:A$5000, 0)
         )="FALSE",
         "N",
         "Y"
      ),
   "")
)</f>
        <v/>
      </c>
      <c r="H391" s="20"/>
      <c r="I391" s="20"/>
      <c r="J391" s="20"/>
      <c r="K391" s="20"/>
      <c r="M391" s="2" t="str">
        <f>IF(ISBLANK(C391),"",IF(IFERROR(VLOOKUP(C391,DB_materiali!$A$2:$A$5000,1,FALSE),"Kļūda artikulā")=C391,"✔",tulkojums!A$42))</f>
        <v/>
      </c>
      <c r="N391" s="2" t="str">
        <f>IF(ISBLANK(C391),"",IF(ISNUMBER(F391)=TRUE,"✔",tulkojums!A$43))</f>
        <v/>
      </c>
      <c r="O391" s="2" t="str">
        <f>IF(ISBLANK(C391),"",IF(G391="Y","✔",IF(G391="X","✔",IF(G391="N","✔",tulkojums!A$44))))</f>
        <v/>
      </c>
      <c r="P391" s="2" t="str">
        <f>IF(ISBLANK(H391),"",IF(INDEX(DB_materiali!$E$2:$E$5000,MATCH($C391,DB_materiali!$A$2:$A$5000,0))&gt;=INDEX(DB_malas!$C$2:$C$5000,MATCH(H391,DB_malas!$A$2:$A$5000,0)),IF(INDEX(DB_materiali!$E$2:$E$5000,MATCH($C391,DB_materiali!$A$2:$A$5000,0))&lt;=INDEX(DB_malas!$D$2:$D$5000,MATCH(H391,DB_malas!$A$2:$A$5000,0)),IF(OR(INDEX(DB_materiali!$B$2:$B$5000,MATCH($C391,DB_materiali!$A$2:$A$5000,0))=INDEX(DB_malas!$B$2:$B$5000,MATCH(H391,DB_malas!$A$2:$A$5000,0)),$H391="ORG"),"✔",tulkojums!$A$38),tulkojums!$A$39),tulkojums!$A$39))</f>
        <v/>
      </c>
      <c r="Q391" s="2" t="str">
        <f>IF(ISBLANK(I391),"",IF(INDEX(DB_materiali!$E$2:$E$5000,MATCH($C391,DB_materiali!$A$2:$A$5000,0))&gt;=INDEX(DB_malas!$C$2:$C$5000,MATCH(I391,DB_malas!$A$2:$A$5000,0)),IF(INDEX(DB_materiali!$E$2:$E$5000,MATCH($C391,DB_materiali!$A$2:$A$5000,0))&lt;=INDEX(DB_malas!$D$2:$D$5000,MATCH(I391,DB_malas!$A$2:$A$5000,0)),IF(OR(INDEX(DB_materiali!$B$2:$B$5000,MATCH($C391,DB_materiali!$A$2:$A$5000,0))=INDEX(DB_malas!$B$2:$B$5000,MATCH(I391,DB_malas!$A$2:$A$5000,0)),$H391="ORG"),"✔",tulkojums!$A$38),tulkojums!$A$39),tulkojums!$A$39))</f>
        <v/>
      </c>
      <c r="R391" s="2" t="str">
        <f>IF(ISBLANK(J391),"",IF(INDEX(DB_materiali!$E$2:$E$5000,MATCH($C391,DB_materiali!$A$2:$A$5000,0))&gt;=INDEX(DB_malas!$C$2:$C$5000,MATCH(J391,DB_malas!$A$2:$A$5000,0)),IF(INDEX(DB_materiali!$E$2:$E$5000,MATCH($C391,DB_materiali!$A$2:$A$5000,0))&lt;=INDEX(DB_malas!$D$2:$D$5000,MATCH(J391,DB_malas!$A$2:$A$5000,0)),IF(INDEX(DB_materiali!$B$2:$B$5000,MATCH($C391,DB_materiali!$A$2:$A$5000,0))=INDEX(DB_malas!$B$2:$B$5000,MATCH(J391,DB_malas!$A$2:$A$5000,0)),"✔",tulkojums!$A$38),tulkojums!$A$39),tulkojums!$A$39))</f>
        <v/>
      </c>
      <c r="S391" s="2" t="str">
        <f>IF(ISBLANK(K391),"",IF(INDEX(DB_materiali!$E$2:$E$5000,MATCH($C391,DB_materiali!$A$2:$A$5000,0))&gt;=INDEX(DB_malas!$C$2:$C$5000,MATCH(K391,DB_malas!$A$2:$A$5000,0)),IF(INDEX(DB_materiali!$E$2:$E$5000,MATCH($C391,DB_materiali!$A$2:$A$5000,0))&lt;=INDEX(DB_malas!$D$2:$D$5000,MATCH(K391,DB_malas!$A$2:$A$5000,0)),IF(INDEX(DB_materiali!$B$2:$B$5000,MATCH($C391,DB_materiali!$A$2:$A$5000,0))=INDEX(DB_malas!$B$2:$B$5000,MATCH(K391,DB_malas!$A$2:$A$5000,0)),"✔",tulkojums!$A$38),tulkojums!$A$39),tulkojums!$A$39))</f>
        <v/>
      </c>
      <c r="T391" s="2"/>
      <c r="U391" s="2"/>
      <c r="V391" s="2"/>
      <c r="W391" s="2"/>
      <c r="X391" s="2"/>
      <c r="Y391" s="2"/>
      <c r="Z391" s="2"/>
    </row>
    <row r="392" spans="1:26" ht="15.75" customHeight="1">
      <c r="A392" s="17"/>
      <c r="B392" s="18"/>
      <c r="C392" s="19"/>
      <c r="D392" s="55"/>
      <c r="E392" s="55"/>
      <c r="F392" s="56"/>
      <c r="G392" s="57" t="str">
        <f>IF(ISBLANK(C392),"",
   IFERROR(
      IF(
         INDEX(DB_materiali!C$2:C$5000,
               MATCH(C392, DB_materiali!A$2:A$5000, 0)
         )="FALSE",
         "N",
         "Y"
      ),
   "")
)</f>
        <v/>
      </c>
      <c r="H392" s="20"/>
      <c r="I392" s="20"/>
      <c r="J392" s="20"/>
      <c r="K392" s="20"/>
      <c r="M392" s="2" t="str">
        <f>IF(ISBLANK(C392),"",IF(IFERROR(VLOOKUP(C392,DB_materiali!$A$2:$A$5000,1,FALSE),"Kļūda artikulā")=C392,"✔",tulkojums!A$42))</f>
        <v/>
      </c>
      <c r="N392" s="2" t="str">
        <f>IF(ISBLANK(C392),"",IF(ISNUMBER(F392)=TRUE,"✔",tulkojums!A$43))</f>
        <v/>
      </c>
      <c r="O392" s="2" t="str">
        <f>IF(ISBLANK(C392),"",IF(G392="Y","✔",IF(G392="X","✔",IF(G392="N","✔",tulkojums!A$44))))</f>
        <v/>
      </c>
      <c r="P392" s="2" t="str">
        <f>IF(ISBLANK(H392),"",IF(INDEX(DB_materiali!$E$2:$E$5000,MATCH($C392,DB_materiali!$A$2:$A$5000,0))&gt;=INDEX(DB_malas!$C$2:$C$5000,MATCH(H392,DB_malas!$A$2:$A$5000,0)),IF(INDEX(DB_materiali!$E$2:$E$5000,MATCH($C392,DB_materiali!$A$2:$A$5000,0))&lt;=INDEX(DB_malas!$D$2:$D$5000,MATCH(H392,DB_malas!$A$2:$A$5000,0)),IF(OR(INDEX(DB_materiali!$B$2:$B$5000,MATCH($C392,DB_materiali!$A$2:$A$5000,0))=INDEX(DB_malas!$B$2:$B$5000,MATCH(H392,DB_malas!$A$2:$A$5000,0)),$H392="ORG"),"✔",tulkojums!$A$38),tulkojums!$A$39),tulkojums!$A$39))</f>
        <v/>
      </c>
      <c r="Q392" s="2" t="str">
        <f>IF(ISBLANK(I392),"",IF(INDEX(DB_materiali!$E$2:$E$5000,MATCH($C392,DB_materiali!$A$2:$A$5000,0))&gt;=INDEX(DB_malas!$C$2:$C$5000,MATCH(I392,DB_malas!$A$2:$A$5000,0)),IF(INDEX(DB_materiali!$E$2:$E$5000,MATCH($C392,DB_materiali!$A$2:$A$5000,0))&lt;=INDEX(DB_malas!$D$2:$D$5000,MATCH(I392,DB_malas!$A$2:$A$5000,0)),IF(OR(INDEX(DB_materiali!$B$2:$B$5000,MATCH($C392,DB_materiali!$A$2:$A$5000,0))=INDEX(DB_malas!$B$2:$B$5000,MATCH(I392,DB_malas!$A$2:$A$5000,0)),$H392="ORG"),"✔",tulkojums!$A$38),tulkojums!$A$39),tulkojums!$A$39))</f>
        <v/>
      </c>
      <c r="R392" s="2" t="str">
        <f>IF(ISBLANK(J392),"",IF(INDEX(DB_materiali!$E$2:$E$5000,MATCH($C392,DB_materiali!$A$2:$A$5000,0))&gt;=INDEX(DB_malas!$C$2:$C$5000,MATCH(J392,DB_malas!$A$2:$A$5000,0)),IF(INDEX(DB_materiali!$E$2:$E$5000,MATCH($C392,DB_materiali!$A$2:$A$5000,0))&lt;=INDEX(DB_malas!$D$2:$D$5000,MATCH(J392,DB_malas!$A$2:$A$5000,0)),IF(INDEX(DB_materiali!$B$2:$B$5000,MATCH($C392,DB_materiali!$A$2:$A$5000,0))=INDEX(DB_malas!$B$2:$B$5000,MATCH(J392,DB_malas!$A$2:$A$5000,0)),"✔",tulkojums!$A$38),tulkojums!$A$39),tulkojums!$A$39))</f>
        <v/>
      </c>
      <c r="S392" s="2" t="str">
        <f>IF(ISBLANK(K392),"",IF(INDEX(DB_materiali!$E$2:$E$5000,MATCH($C392,DB_materiali!$A$2:$A$5000,0))&gt;=INDEX(DB_malas!$C$2:$C$5000,MATCH(K392,DB_malas!$A$2:$A$5000,0)),IF(INDEX(DB_materiali!$E$2:$E$5000,MATCH($C392,DB_materiali!$A$2:$A$5000,0))&lt;=INDEX(DB_malas!$D$2:$D$5000,MATCH(K392,DB_malas!$A$2:$A$5000,0)),IF(INDEX(DB_materiali!$B$2:$B$5000,MATCH($C392,DB_materiali!$A$2:$A$5000,0))=INDEX(DB_malas!$B$2:$B$5000,MATCH(K392,DB_malas!$A$2:$A$5000,0)),"✔",tulkojums!$A$38),tulkojums!$A$39),tulkojums!$A$39))</f>
        <v/>
      </c>
      <c r="T392" s="2"/>
      <c r="U392" s="2"/>
      <c r="V392" s="2"/>
      <c r="W392" s="2"/>
      <c r="X392" s="2"/>
      <c r="Y392" s="2"/>
      <c r="Z392" s="2"/>
    </row>
    <row r="393" spans="1:26" ht="15.75" customHeight="1">
      <c r="A393" s="17"/>
      <c r="B393" s="18"/>
      <c r="C393" s="19"/>
      <c r="D393" s="55"/>
      <c r="E393" s="55"/>
      <c r="F393" s="56"/>
      <c r="G393" s="57" t="str">
        <f>IF(ISBLANK(C393),"",
   IFERROR(
      IF(
         INDEX(DB_materiali!C$2:C$5000,
               MATCH(C393, DB_materiali!A$2:A$5000, 0)
         )="FALSE",
         "N",
         "Y"
      ),
   "")
)</f>
        <v/>
      </c>
      <c r="H393" s="20"/>
      <c r="I393" s="20"/>
      <c r="J393" s="20"/>
      <c r="K393" s="20"/>
      <c r="M393" s="2" t="str">
        <f>IF(ISBLANK(C393),"",IF(IFERROR(VLOOKUP(C393,DB_materiali!$A$2:$A$5000,1,FALSE),"Kļūda artikulā")=C393,"✔",tulkojums!A$42))</f>
        <v/>
      </c>
      <c r="N393" s="2" t="str">
        <f>IF(ISBLANK(C393),"",IF(ISNUMBER(F393)=TRUE,"✔",tulkojums!A$43))</f>
        <v/>
      </c>
      <c r="O393" s="2" t="str">
        <f>IF(ISBLANK(C393),"",IF(G393="Y","✔",IF(G393="X","✔",IF(G393="N","✔",tulkojums!A$44))))</f>
        <v/>
      </c>
      <c r="P393" s="2" t="str">
        <f>IF(ISBLANK(H393),"",IF(INDEX(DB_materiali!$E$2:$E$5000,MATCH($C393,DB_materiali!$A$2:$A$5000,0))&gt;=INDEX(DB_malas!$C$2:$C$5000,MATCH(H393,DB_malas!$A$2:$A$5000,0)),IF(INDEX(DB_materiali!$E$2:$E$5000,MATCH($C393,DB_materiali!$A$2:$A$5000,0))&lt;=INDEX(DB_malas!$D$2:$D$5000,MATCH(H393,DB_malas!$A$2:$A$5000,0)),IF(OR(INDEX(DB_materiali!$B$2:$B$5000,MATCH($C393,DB_materiali!$A$2:$A$5000,0))=INDEX(DB_malas!$B$2:$B$5000,MATCH(H393,DB_malas!$A$2:$A$5000,0)),$H393="ORG"),"✔",tulkojums!$A$38),tulkojums!$A$39),tulkojums!$A$39))</f>
        <v/>
      </c>
      <c r="Q393" s="2" t="str">
        <f>IF(ISBLANK(I393),"",IF(INDEX(DB_materiali!$E$2:$E$5000,MATCH($C393,DB_materiali!$A$2:$A$5000,0))&gt;=INDEX(DB_malas!$C$2:$C$5000,MATCH(I393,DB_malas!$A$2:$A$5000,0)),IF(INDEX(DB_materiali!$E$2:$E$5000,MATCH($C393,DB_materiali!$A$2:$A$5000,0))&lt;=INDEX(DB_malas!$D$2:$D$5000,MATCH(I393,DB_malas!$A$2:$A$5000,0)),IF(OR(INDEX(DB_materiali!$B$2:$B$5000,MATCH($C393,DB_materiali!$A$2:$A$5000,0))=INDEX(DB_malas!$B$2:$B$5000,MATCH(I393,DB_malas!$A$2:$A$5000,0)),$H393="ORG"),"✔",tulkojums!$A$38),tulkojums!$A$39),tulkojums!$A$39))</f>
        <v/>
      </c>
      <c r="R393" s="2" t="str">
        <f>IF(ISBLANK(J393),"",IF(INDEX(DB_materiali!$E$2:$E$5000,MATCH($C393,DB_materiali!$A$2:$A$5000,0))&gt;=INDEX(DB_malas!$C$2:$C$5000,MATCH(J393,DB_malas!$A$2:$A$5000,0)),IF(INDEX(DB_materiali!$E$2:$E$5000,MATCH($C393,DB_materiali!$A$2:$A$5000,0))&lt;=INDEX(DB_malas!$D$2:$D$5000,MATCH(J393,DB_malas!$A$2:$A$5000,0)),IF(INDEX(DB_materiali!$B$2:$B$5000,MATCH($C393,DB_materiali!$A$2:$A$5000,0))=INDEX(DB_malas!$B$2:$B$5000,MATCH(J393,DB_malas!$A$2:$A$5000,0)),"✔",tulkojums!$A$38),tulkojums!$A$39),tulkojums!$A$39))</f>
        <v/>
      </c>
      <c r="S393" s="2" t="str">
        <f>IF(ISBLANK(K393),"",IF(INDEX(DB_materiali!$E$2:$E$5000,MATCH($C393,DB_materiali!$A$2:$A$5000,0))&gt;=INDEX(DB_malas!$C$2:$C$5000,MATCH(K393,DB_malas!$A$2:$A$5000,0)),IF(INDEX(DB_materiali!$E$2:$E$5000,MATCH($C393,DB_materiali!$A$2:$A$5000,0))&lt;=INDEX(DB_malas!$D$2:$D$5000,MATCH(K393,DB_malas!$A$2:$A$5000,0)),IF(INDEX(DB_materiali!$B$2:$B$5000,MATCH($C393,DB_materiali!$A$2:$A$5000,0))=INDEX(DB_malas!$B$2:$B$5000,MATCH(K393,DB_malas!$A$2:$A$5000,0)),"✔",tulkojums!$A$38),tulkojums!$A$39),tulkojums!$A$39))</f>
        <v/>
      </c>
      <c r="T393" s="2"/>
      <c r="U393" s="2"/>
      <c r="V393" s="2"/>
      <c r="W393" s="2"/>
      <c r="X393" s="2"/>
      <c r="Y393" s="2"/>
      <c r="Z393" s="2"/>
    </row>
    <row r="394" spans="1:26" ht="15.75" customHeight="1">
      <c r="A394" s="17"/>
      <c r="B394" s="18"/>
      <c r="C394" s="19"/>
      <c r="D394" s="55"/>
      <c r="E394" s="55"/>
      <c r="F394" s="56"/>
      <c r="G394" s="57" t="str">
        <f>IF(ISBLANK(C394),"",
   IFERROR(
      IF(
         INDEX(DB_materiali!C$2:C$5000,
               MATCH(C394, DB_materiali!A$2:A$5000, 0)
         )="FALSE",
         "N",
         "Y"
      ),
   "")
)</f>
        <v/>
      </c>
      <c r="H394" s="20"/>
      <c r="I394" s="20"/>
      <c r="J394" s="20"/>
      <c r="K394" s="20"/>
      <c r="M394" s="2" t="str">
        <f>IF(ISBLANK(C394),"",IF(IFERROR(VLOOKUP(C394,DB_materiali!$A$2:$A$5000,1,FALSE),"Kļūda artikulā")=C394,"✔",tulkojums!A$42))</f>
        <v/>
      </c>
      <c r="N394" s="2" t="str">
        <f>IF(ISBLANK(C394),"",IF(ISNUMBER(F394)=TRUE,"✔",tulkojums!A$43))</f>
        <v/>
      </c>
      <c r="O394" s="2" t="str">
        <f>IF(ISBLANK(C394),"",IF(G394="Y","✔",IF(G394="X","✔",IF(G394="N","✔",tulkojums!A$44))))</f>
        <v/>
      </c>
      <c r="P394" s="2" t="str">
        <f>IF(ISBLANK(H394),"",IF(INDEX(DB_materiali!$E$2:$E$5000,MATCH($C394,DB_materiali!$A$2:$A$5000,0))&gt;=INDEX(DB_malas!$C$2:$C$5000,MATCH(H394,DB_malas!$A$2:$A$5000,0)),IF(INDEX(DB_materiali!$E$2:$E$5000,MATCH($C394,DB_materiali!$A$2:$A$5000,0))&lt;=INDEX(DB_malas!$D$2:$D$5000,MATCH(H394,DB_malas!$A$2:$A$5000,0)),IF(OR(INDEX(DB_materiali!$B$2:$B$5000,MATCH($C394,DB_materiali!$A$2:$A$5000,0))=INDEX(DB_malas!$B$2:$B$5000,MATCH(H394,DB_malas!$A$2:$A$5000,0)),$H394="ORG"),"✔",tulkojums!$A$38),tulkojums!$A$39),tulkojums!$A$39))</f>
        <v/>
      </c>
      <c r="Q394" s="2" t="str">
        <f>IF(ISBLANK(I394),"",IF(INDEX(DB_materiali!$E$2:$E$5000,MATCH($C394,DB_materiali!$A$2:$A$5000,0))&gt;=INDEX(DB_malas!$C$2:$C$5000,MATCH(I394,DB_malas!$A$2:$A$5000,0)),IF(INDEX(DB_materiali!$E$2:$E$5000,MATCH($C394,DB_materiali!$A$2:$A$5000,0))&lt;=INDEX(DB_malas!$D$2:$D$5000,MATCH(I394,DB_malas!$A$2:$A$5000,0)),IF(OR(INDEX(DB_materiali!$B$2:$B$5000,MATCH($C394,DB_materiali!$A$2:$A$5000,0))=INDEX(DB_malas!$B$2:$B$5000,MATCH(I394,DB_malas!$A$2:$A$5000,0)),$H394="ORG"),"✔",tulkojums!$A$38),tulkojums!$A$39),tulkojums!$A$39))</f>
        <v/>
      </c>
      <c r="R394" s="2" t="str">
        <f>IF(ISBLANK(J394),"",IF(INDEX(DB_materiali!$E$2:$E$5000,MATCH($C394,DB_materiali!$A$2:$A$5000,0))&gt;=INDEX(DB_malas!$C$2:$C$5000,MATCH(J394,DB_malas!$A$2:$A$5000,0)),IF(INDEX(DB_materiali!$E$2:$E$5000,MATCH($C394,DB_materiali!$A$2:$A$5000,0))&lt;=INDEX(DB_malas!$D$2:$D$5000,MATCH(J394,DB_malas!$A$2:$A$5000,0)),IF(INDEX(DB_materiali!$B$2:$B$5000,MATCH($C394,DB_materiali!$A$2:$A$5000,0))=INDEX(DB_malas!$B$2:$B$5000,MATCH(J394,DB_malas!$A$2:$A$5000,0)),"✔",tulkojums!$A$38),tulkojums!$A$39),tulkojums!$A$39))</f>
        <v/>
      </c>
      <c r="S394" s="2" t="str">
        <f>IF(ISBLANK(K394),"",IF(INDEX(DB_materiali!$E$2:$E$5000,MATCH($C394,DB_materiali!$A$2:$A$5000,0))&gt;=INDEX(DB_malas!$C$2:$C$5000,MATCH(K394,DB_malas!$A$2:$A$5000,0)),IF(INDEX(DB_materiali!$E$2:$E$5000,MATCH($C394,DB_materiali!$A$2:$A$5000,0))&lt;=INDEX(DB_malas!$D$2:$D$5000,MATCH(K394,DB_malas!$A$2:$A$5000,0)),IF(INDEX(DB_materiali!$B$2:$B$5000,MATCH($C394,DB_materiali!$A$2:$A$5000,0))=INDEX(DB_malas!$B$2:$B$5000,MATCH(K394,DB_malas!$A$2:$A$5000,0)),"✔",tulkojums!$A$38),tulkojums!$A$39),tulkojums!$A$39))</f>
        <v/>
      </c>
      <c r="T394" s="2"/>
      <c r="U394" s="2"/>
      <c r="V394" s="2"/>
      <c r="W394" s="2"/>
      <c r="X394" s="2"/>
      <c r="Y394" s="2"/>
      <c r="Z394" s="2"/>
    </row>
    <row r="395" spans="1:26" ht="15.75" customHeight="1">
      <c r="A395" s="17"/>
      <c r="B395" s="18"/>
      <c r="C395" s="19"/>
      <c r="D395" s="55"/>
      <c r="E395" s="55"/>
      <c r="F395" s="56"/>
      <c r="G395" s="57" t="str">
        <f>IF(ISBLANK(C395),"",
   IFERROR(
      IF(
         INDEX(DB_materiali!C$2:C$5000,
               MATCH(C395, DB_materiali!A$2:A$5000, 0)
         )="FALSE",
         "N",
         "Y"
      ),
   "")
)</f>
        <v/>
      </c>
      <c r="H395" s="20"/>
      <c r="I395" s="20"/>
      <c r="J395" s="20"/>
      <c r="K395" s="20"/>
      <c r="M395" s="2" t="str">
        <f>IF(ISBLANK(C395),"",IF(IFERROR(VLOOKUP(C395,DB_materiali!$A$2:$A$5000,1,FALSE),"Kļūda artikulā")=C395,"✔",tulkojums!A$42))</f>
        <v/>
      </c>
      <c r="N395" s="2" t="str">
        <f>IF(ISBLANK(C395),"",IF(ISNUMBER(F395)=TRUE,"✔",tulkojums!A$43))</f>
        <v/>
      </c>
      <c r="O395" s="2" t="str">
        <f>IF(ISBLANK(C395),"",IF(G395="Y","✔",IF(G395="X","✔",IF(G395="N","✔",tulkojums!A$44))))</f>
        <v/>
      </c>
      <c r="P395" s="2" t="str">
        <f>IF(ISBLANK(H395),"",IF(INDEX(DB_materiali!$E$2:$E$5000,MATCH($C395,DB_materiali!$A$2:$A$5000,0))&gt;=INDEX(DB_malas!$C$2:$C$5000,MATCH(H395,DB_malas!$A$2:$A$5000,0)),IF(INDEX(DB_materiali!$E$2:$E$5000,MATCH($C395,DB_materiali!$A$2:$A$5000,0))&lt;=INDEX(DB_malas!$D$2:$D$5000,MATCH(H395,DB_malas!$A$2:$A$5000,0)),IF(OR(INDEX(DB_materiali!$B$2:$B$5000,MATCH($C395,DB_materiali!$A$2:$A$5000,0))=INDEX(DB_malas!$B$2:$B$5000,MATCH(H395,DB_malas!$A$2:$A$5000,0)),$H395="ORG"),"✔",tulkojums!$A$38),tulkojums!$A$39),tulkojums!$A$39))</f>
        <v/>
      </c>
      <c r="Q395" s="2" t="str">
        <f>IF(ISBLANK(I395),"",IF(INDEX(DB_materiali!$E$2:$E$5000,MATCH($C395,DB_materiali!$A$2:$A$5000,0))&gt;=INDEX(DB_malas!$C$2:$C$5000,MATCH(I395,DB_malas!$A$2:$A$5000,0)),IF(INDEX(DB_materiali!$E$2:$E$5000,MATCH($C395,DB_materiali!$A$2:$A$5000,0))&lt;=INDEX(DB_malas!$D$2:$D$5000,MATCH(I395,DB_malas!$A$2:$A$5000,0)),IF(OR(INDEX(DB_materiali!$B$2:$B$5000,MATCH($C395,DB_materiali!$A$2:$A$5000,0))=INDEX(DB_malas!$B$2:$B$5000,MATCH(I395,DB_malas!$A$2:$A$5000,0)),$H395="ORG"),"✔",tulkojums!$A$38),tulkojums!$A$39),tulkojums!$A$39))</f>
        <v/>
      </c>
      <c r="R395" s="2" t="str">
        <f>IF(ISBLANK(J395),"",IF(INDEX(DB_materiali!$E$2:$E$5000,MATCH($C395,DB_materiali!$A$2:$A$5000,0))&gt;=INDEX(DB_malas!$C$2:$C$5000,MATCH(J395,DB_malas!$A$2:$A$5000,0)),IF(INDEX(DB_materiali!$E$2:$E$5000,MATCH($C395,DB_materiali!$A$2:$A$5000,0))&lt;=INDEX(DB_malas!$D$2:$D$5000,MATCH(J395,DB_malas!$A$2:$A$5000,0)),IF(INDEX(DB_materiali!$B$2:$B$5000,MATCH($C395,DB_materiali!$A$2:$A$5000,0))=INDEX(DB_malas!$B$2:$B$5000,MATCH(J395,DB_malas!$A$2:$A$5000,0)),"✔",tulkojums!$A$38),tulkojums!$A$39),tulkojums!$A$39))</f>
        <v/>
      </c>
      <c r="S395" s="2" t="str">
        <f>IF(ISBLANK(K395),"",IF(INDEX(DB_materiali!$E$2:$E$5000,MATCH($C395,DB_materiali!$A$2:$A$5000,0))&gt;=INDEX(DB_malas!$C$2:$C$5000,MATCH(K395,DB_malas!$A$2:$A$5000,0)),IF(INDEX(DB_materiali!$E$2:$E$5000,MATCH($C395,DB_materiali!$A$2:$A$5000,0))&lt;=INDEX(DB_malas!$D$2:$D$5000,MATCH(K395,DB_malas!$A$2:$A$5000,0)),IF(INDEX(DB_materiali!$B$2:$B$5000,MATCH($C395,DB_materiali!$A$2:$A$5000,0))=INDEX(DB_malas!$B$2:$B$5000,MATCH(K395,DB_malas!$A$2:$A$5000,0)),"✔",tulkojums!$A$38),tulkojums!$A$39),tulkojums!$A$39))</f>
        <v/>
      </c>
      <c r="T395" s="2"/>
      <c r="U395" s="2"/>
      <c r="V395" s="2"/>
      <c r="W395" s="2"/>
      <c r="X395" s="2"/>
      <c r="Y395" s="2"/>
      <c r="Z395" s="2"/>
    </row>
    <row r="396" spans="1:26" ht="15.75" customHeight="1">
      <c r="A396" s="17"/>
      <c r="B396" s="18"/>
      <c r="C396" s="19"/>
      <c r="D396" s="55"/>
      <c r="E396" s="55"/>
      <c r="F396" s="56"/>
      <c r="G396" s="57" t="str">
        <f>IF(ISBLANK(C396),"",
   IFERROR(
      IF(
         INDEX(DB_materiali!C$2:C$5000,
               MATCH(C396, DB_materiali!A$2:A$5000, 0)
         )="FALSE",
         "N",
         "Y"
      ),
   "")
)</f>
        <v/>
      </c>
      <c r="H396" s="20"/>
      <c r="I396" s="20"/>
      <c r="J396" s="20"/>
      <c r="K396" s="20"/>
      <c r="M396" s="2" t="str">
        <f>IF(ISBLANK(C396),"",IF(IFERROR(VLOOKUP(C396,DB_materiali!$A$2:$A$5000,1,FALSE),"Kļūda artikulā")=C396,"✔",tulkojums!A$42))</f>
        <v/>
      </c>
      <c r="N396" s="2" t="str">
        <f>IF(ISBLANK(C396),"",IF(ISNUMBER(F396)=TRUE,"✔",tulkojums!A$43))</f>
        <v/>
      </c>
      <c r="O396" s="2" t="str">
        <f>IF(ISBLANK(C396),"",IF(G396="Y","✔",IF(G396="X","✔",IF(G396="N","✔",tulkojums!A$44))))</f>
        <v/>
      </c>
      <c r="P396" s="2" t="str">
        <f>IF(ISBLANK(H396),"",IF(INDEX(DB_materiali!$E$2:$E$5000,MATCH($C396,DB_materiali!$A$2:$A$5000,0))&gt;=INDEX(DB_malas!$C$2:$C$5000,MATCH(H396,DB_malas!$A$2:$A$5000,0)),IF(INDEX(DB_materiali!$E$2:$E$5000,MATCH($C396,DB_materiali!$A$2:$A$5000,0))&lt;=INDEX(DB_malas!$D$2:$D$5000,MATCH(H396,DB_malas!$A$2:$A$5000,0)),IF(OR(INDEX(DB_materiali!$B$2:$B$5000,MATCH($C396,DB_materiali!$A$2:$A$5000,0))=INDEX(DB_malas!$B$2:$B$5000,MATCH(H396,DB_malas!$A$2:$A$5000,0)),$H396="ORG"),"✔",tulkojums!$A$38),tulkojums!$A$39),tulkojums!$A$39))</f>
        <v/>
      </c>
      <c r="Q396" s="2" t="str">
        <f>IF(ISBLANK(I396),"",IF(INDEX(DB_materiali!$E$2:$E$5000,MATCH($C396,DB_materiali!$A$2:$A$5000,0))&gt;=INDEX(DB_malas!$C$2:$C$5000,MATCH(I396,DB_malas!$A$2:$A$5000,0)),IF(INDEX(DB_materiali!$E$2:$E$5000,MATCH($C396,DB_materiali!$A$2:$A$5000,0))&lt;=INDEX(DB_malas!$D$2:$D$5000,MATCH(I396,DB_malas!$A$2:$A$5000,0)),IF(OR(INDEX(DB_materiali!$B$2:$B$5000,MATCH($C396,DB_materiali!$A$2:$A$5000,0))=INDEX(DB_malas!$B$2:$B$5000,MATCH(I396,DB_malas!$A$2:$A$5000,0)),$H396="ORG"),"✔",tulkojums!$A$38),tulkojums!$A$39),tulkojums!$A$39))</f>
        <v/>
      </c>
      <c r="R396" s="2" t="str">
        <f>IF(ISBLANK(J396),"",IF(INDEX(DB_materiali!$E$2:$E$5000,MATCH($C396,DB_materiali!$A$2:$A$5000,0))&gt;=INDEX(DB_malas!$C$2:$C$5000,MATCH(J396,DB_malas!$A$2:$A$5000,0)),IF(INDEX(DB_materiali!$E$2:$E$5000,MATCH($C396,DB_materiali!$A$2:$A$5000,0))&lt;=INDEX(DB_malas!$D$2:$D$5000,MATCH(J396,DB_malas!$A$2:$A$5000,0)),IF(INDEX(DB_materiali!$B$2:$B$5000,MATCH($C396,DB_materiali!$A$2:$A$5000,0))=INDEX(DB_malas!$B$2:$B$5000,MATCH(J396,DB_malas!$A$2:$A$5000,0)),"✔",tulkojums!$A$38),tulkojums!$A$39),tulkojums!$A$39))</f>
        <v/>
      </c>
      <c r="S396" s="2" t="str">
        <f>IF(ISBLANK(K396),"",IF(INDEX(DB_materiali!$E$2:$E$5000,MATCH($C396,DB_materiali!$A$2:$A$5000,0))&gt;=INDEX(DB_malas!$C$2:$C$5000,MATCH(K396,DB_malas!$A$2:$A$5000,0)),IF(INDEX(DB_materiali!$E$2:$E$5000,MATCH($C396,DB_materiali!$A$2:$A$5000,0))&lt;=INDEX(DB_malas!$D$2:$D$5000,MATCH(K396,DB_malas!$A$2:$A$5000,0)),IF(INDEX(DB_materiali!$B$2:$B$5000,MATCH($C396,DB_materiali!$A$2:$A$5000,0))=INDEX(DB_malas!$B$2:$B$5000,MATCH(K396,DB_malas!$A$2:$A$5000,0)),"✔",tulkojums!$A$38),tulkojums!$A$39),tulkojums!$A$39))</f>
        <v/>
      </c>
      <c r="T396" s="2"/>
      <c r="U396" s="2"/>
      <c r="V396" s="2"/>
      <c r="W396" s="2"/>
      <c r="X396" s="2"/>
      <c r="Y396" s="2"/>
      <c r="Z396" s="2"/>
    </row>
    <row r="397" spans="1:26" ht="15.75" customHeight="1">
      <c r="A397" s="17"/>
      <c r="B397" s="18"/>
      <c r="C397" s="19"/>
      <c r="D397" s="55"/>
      <c r="E397" s="55"/>
      <c r="F397" s="56"/>
      <c r="G397" s="57" t="str">
        <f>IF(ISBLANK(C397),"",
   IFERROR(
      IF(
         INDEX(DB_materiali!C$2:C$5000,
               MATCH(C397, DB_materiali!A$2:A$5000, 0)
         )="FALSE",
         "N",
         "Y"
      ),
   "")
)</f>
        <v/>
      </c>
      <c r="H397" s="20"/>
      <c r="I397" s="20"/>
      <c r="J397" s="20"/>
      <c r="K397" s="20"/>
      <c r="M397" s="2" t="str">
        <f>IF(ISBLANK(C397),"",IF(IFERROR(VLOOKUP(C397,DB_materiali!$A$2:$A$5000,1,FALSE),"Kļūda artikulā")=C397,"✔",tulkojums!A$42))</f>
        <v/>
      </c>
      <c r="N397" s="2" t="str">
        <f>IF(ISBLANK(C397),"",IF(ISNUMBER(F397)=TRUE,"✔",tulkojums!A$43))</f>
        <v/>
      </c>
      <c r="O397" s="2" t="str">
        <f>IF(ISBLANK(C397),"",IF(G397="Y","✔",IF(G397="X","✔",IF(G397="N","✔",tulkojums!A$44))))</f>
        <v/>
      </c>
      <c r="P397" s="2" t="str">
        <f>IF(ISBLANK(H397),"",IF(INDEX(DB_materiali!$E$2:$E$5000,MATCH($C397,DB_materiali!$A$2:$A$5000,0))&gt;=INDEX(DB_malas!$C$2:$C$5000,MATCH(H397,DB_malas!$A$2:$A$5000,0)),IF(INDEX(DB_materiali!$E$2:$E$5000,MATCH($C397,DB_materiali!$A$2:$A$5000,0))&lt;=INDEX(DB_malas!$D$2:$D$5000,MATCH(H397,DB_malas!$A$2:$A$5000,0)),IF(OR(INDEX(DB_materiali!$B$2:$B$5000,MATCH($C397,DB_materiali!$A$2:$A$5000,0))=INDEX(DB_malas!$B$2:$B$5000,MATCH(H397,DB_malas!$A$2:$A$5000,0)),$H397="ORG"),"✔",tulkojums!$A$38),tulkojums!$A$39),tulkojums!$A$39))</f>
        <v/>
      </c>
      <c r="Q397" s="2" t="str">
        <f>IF(ISBLANK(I397),"",IF(INDEX(DB_materiali!$E$2:$E$5000,MATCH($C397,DB_materiali!$A$2:$A$5000,0))&gt;=INDEX(DB_malas!$C$2:$C$5000,MATCH(I397,DB_malas!$A$2:$A$5000,0)),IF(INDEX(DB_materiali!$E$2:$E$5000,MATCH($C397,DB_materiali!$A$2:$A$5000,0))&lt;=INDEX(DB_malas!$D$2:$D$5000,MATCH(I397,DB_malas!$A$2:$A$5000,0)),IF(OR(INDEX(DB_materiali!$B$2:$B$5000,MATCH($C397,DB_materiali!$A$2:$A$5000,0))=INDEX(DB_malas!$B$2:$B$5000,MATCH(I397,DB_malas!$A$2:$A$5000,0)),$H397="ORG"),"✔",tulkojums!$A$38),tulkojums!$A$39),tulkojums!$A$39))</f>
        <v/>
      </c>
      <c r="R397" s="2" t="str">
        <f>IF(ISBLANK(J397),"",IF(INDEX(DB_materiali!$E$2:$E$5000,MATCH($C397,DB_materiali!$A$2:$A$5000,0))&gt;=INDEX(DB_malas!$C$2:$C$5000,MATCH(J397,DB_malas!$A$2:$A$5000,0)),IF(INDEX(DB_materiali!$E$2:$E$5000,MATCH($C397,DB_materiali!$A$2:$A$5000,0))&lt;=INDEX(DB_malas!$D$2:$D$5000,MATCH(J397,DB_malas!$A$2:$A$5000,0)),IF(INDEX(DB_materiali!$B$2:$B$5000,MATCH($C397,DB_materiali!$A$2:$A$5000,0))=INDEX(DB_malas!$B$2:$B$5000,MATCH(J397,DB_malas!$A$2:$A$5000,0)),"✔",tulkojums!$A$38),tulkojums!$A$39),tulkojums!$A$39))</f>
        <v/>
      </c>
      <c r="S397" s="2" t="str">
        <f>IF(ISBLANK(K397),"",IF(INDEX(DB_materiali!$E$2:$E$5000,MATCH($C397,DB_materiali!$A$2:$A$5000,0))&gt;=INDEX(DB_malas!$C$2:$C$5000,MATCH(K397,DB_malas!$A$2:$A$5000,0)),IF(INDEX(DB_materiali!$E$2:$E$5000,MATCH($C397,DB_materiali!$A$2:$A$5000,0))&lt;=INDEX(DB_malas!$D$2:$D$5000,MATCH(K397,DB_malas!$A$2:$A$5000,0)),IF(INDEX(DB_materiali!$B$2:$B$5000,MATCH($C397,DB_materiali!$A$2:$A$5000,0))=INDEX(DB_malas!$B$2:$B$5000,MATCH(K397,DB_malas!$A$2:$A$5000,0)),"✔",tulkojums!$A$38),tulkojums!$A$39),tulkojums!$A$39))</f>
        <v/>
      </c>
      <c r="T397" s="2"/>
      <c r="U397" s="2"/>
      <c r="V397" s="2"/>
      <c r="W397" s="2"/>
      <c r="X397" s="2"/>
      <c r="Y397" s="2"/>
      <c r="Z397" s="2"/>
    </row>
    <row r="398" spans="1:26" ht="15.75" customHeight="1">
      <c r="A398" s="17"/>
      <c r="B398" s="18"/>
      <c r="C398" s="19"/>
      <c r="D398" s="55"/>
      <c r="E398" s="55"/>
      <c r="F398" s="56"/>
      <c r="G398" s="57" t="str">
        <f>IF(ISBLANK(C398),"",
   IFERROR(
      IF(
         INDEX(DB_materiali!C$2:C$5000,
               MATCH(C398, DB_materiali!A$2:A$5000, 0)
         )="FALSE",
         "N",
         "Y"
      ),
   "")
)</f>
        <v/>
      </c>
      <c r="H398" s="20"/>
      <c r="I398" s="20"/>
      <c r="J398" s="20"/>
      <c r="K398" s="20"/>
      <c r="M398" s="2" t="str">
        <f>IF(ISBLANK(C398),"",IF(IFERROR(VLOOKUP(C398,DB_materiali!$A$2:$A$5000,1,FALSE),"Kļūda artikulā")=C398,"✔",tulkojums!A$42))</f>
        <v/>
      </c>
      <c r="N398" s="2" t="str">
        <f>IF(ISBLANK(C398),"",IF(ISNUMBER(F398)=TRUE,"✔",tulkojums!A$43))</f>
        <v/>
      </c>
      <c r="O398" s="2" t="str">
        <f>IF(ISBLANK(C398),"",IF(G398="Y","✔",IF(G398="X","✔",IF(G398="N","✔",tulkojums!A$44))))</f>
        <v/>
      </c>
      <c r="P398" s="2" t="str">
        <f>IF(ISBLANK(H398),"",IF(INDEX(DB_materiali!$E$2:$E$5000,MATCH($C398,DB_materiali!$A$2:$A$5000,0))&gt;=INDEX(DB_malas!$C$2:$C$5000,MATCH(H398,DB_malas!$A$2:$A$5000,0)),IF(INDEX(DB_materiali!$E$2:$E$5000,MATCH($C398,DB_materiali!$A$2:$A$5000,0))&lt;=INDEX(DB_malas!$D$2:$D$5000,MATCH(H398,DB_malas!$A$2:$A$5000,0)),IF(OR(INDEX(DB_materiali!$B$2:$B$5000,MATCH($C398,DB_materiali!$A$2:$A$5000,0))=INDEX(DB_malas!$B$2:$B$5000,MATCH(H398,DB_malas!$A$2:$A$5000,0)),$H398="ORG"),"✔",tulkojums!$A$38),tulkojums!$A$39),tulkojums!$A$39))</f>
        <v/>
      </c>
      <c r="Q398" s="2" t="str">
        <f>IF(ISBLANK(I398),"",IF(INDEX(DB_materiali!$E$2:$E$5000,MATCH($C398,DB_materiali!$A$2:$A$5000,0))&gt;=INDEX(DB_malas!$C$2:$C$5000,MATCH(I398,DB_malas!$A$2:$A$5000,0)),IF(INDEX(DB_materiali!$E$2:$E$5000,MATCH($C398,DB_materiali!$A$2:$A$5000,0))&lt;=INDEX(DB_malas!$D$2:$D$5000,MATCH(I398,DB_malas!$A$2:$A$5000,0)),IF(OR(INDEX(DB_materiali!$B$2:$B$5000,MATCH($C398,DB_materiali!$A$2:$A$5000,0))=INDEX(DB_malas!$B$2:$B$5000,MATCH(I398,DB_malas!$A$2:$A$5000,0)),$H398="ORG"),"✔",tulkojums!$A$38),tulkojums!$A$39),tulkojums!$A$39))</f>
        <v/>
      </c>
      <c r="R398" s="2" t="str">
        <f>IF(ISBLANK(J398),"",IF(INDEX(DB_materiali!$E$2:$E$5000,MATCH($C398,DB_materiali!$A$2:$A$5000,0))&gt;=INDEX(DB_malas!$C$2:$C$5000,MATCH(J398,DB_malas!$A$2:$A$5000,0)),IF(INDEX(DB_materiali!$E$2:$E$5000,MATCH($C398,DB_materiali!$A$2:$A$5000,0))&lt;=INDEX(DB_malas!$D$2:$D$5000,MATCH(J398,DB_malas!$A$2:$A$5000,0)),IF(INDEX(DB_materiali!$B$2:$B$5000,MATCH($C398,DB_materiali!$A$2:$A$5000,0))=INDEX(DB_malas!$B$2:$B$5000,MATCH(J398,DB_malas!$A$2:$A$5000,0)),"✔",tulkojums!$A$38),tulkojums!$A$39),tulkojums!$A$39))</f>
        <v/>
      </c>
      <c r="S398" s="2" t="str">
        <f>IF(ISBLANK(K398),"",IF(INDEX(DB_materiali!$E$2:$E$5000,MATCH($C398,DB_materiali!$A$2:$A$5000,0))&gt;=INDEX(DB_malas!$C$2:$C$5000,MATCH(K398,DB_malas!$A$2:$A$5000,0)),IF(INDEX(DB_materiali!$E$2:$E$5000,MATCH($C398,DB_materiali!$A$2:$A$5000,0))&lt;=INDEX(DB_malas!$D$2:$D$5000,MATCH(K398,DB_malas!$A$2:$A$5000,0)),IF(INDEX(DB_materiali!$B$2:$B$5000,MATCH($C398,DB_materiali!$A$2:$A$5000,0))=INDEX(DB_malas!$B$2:$B$5000,MATCH(K398,DB_malas!$A$2:$A$5000,0)),"✔",tulkojums!$A$38),tulkojums!$A$39),tulkojums!$A$39))</f>
        <v/>
      </c>
      <c r="T398" s="2"/>
      <c r="U398" s="2"/>
      <c r="V398" s="2"/>
      <c r="W398" s="2"/>
      <c r="X398" s="2"/>
      <c r="Y398" s="2"/>
      <c r="Z398" s="2"/>
    </row>
    <row r="399" spans="1:26" ht="15.75" customHeight="1">
      <c r="A399" s="17"/>
      <c r="B399" s="18"/>
      <c r="C399" s="19"/>
      <c r="D399" s="55"/>
      <c r="E399" s="55"/>
      <c r="F399" s="56"/>
      <c r="G399" s="57" t="str">
        <f>IF(ISBLANK(C399),"",
   IFERROR(
      IF(
         INDEX(DB_materiali!C$2:C$5000,
               MATCH(C399, DB_materiali!A$2:A$5000, 0)
         )="FALSE",
         "N",
         "Y"
      ),
   "")
)</f>
        <v/>
      </c>
      <c r="H399" s="20"/>
      <c r="I399" s="20"/>
      <c r="J399" s="20"/>
      <c r="K399" s="20"/>
      <c r="M399" s="2" t="str">
        <f>IF(ISBLANK(C399),"",IF(IFERROR(VLOOKUP(C399,DB_materiali!$A$2:$A$5000,1,FALSE),"Kļūda artikulā")=C399,"✔",tulkojums!A$42))</f>
        <v/>
      </c>
      <c r="N399" s="2" t="str">
        <f>IF(ISBLANK(C399),"",IF(ISNUMBER(F399)=TRUE,"✔",tulkojums!A$43))</f>
        <v/>
      </c>
      <c r="O399" s="2" t="str">
        <f>IF(ISBLANK(C399),"",IF(G399="Y","✔",IF(G399="X","✔",IF(G399="N","✔",tulkojums!A$44))))</f>
        <v/>
      </c>
      <c r="P399" s="2" t="str">
        <f>IF(ISBLANK(H399),"",IF(INDEX(DB_materiali!$E$2:$E$5000,MATCH($C399,DB_materiali!$A$2:$A$5000,0))&gt;=INDEX(DB_malas!$C$2:$C$5000,MATCH(H399,DB_malas!$A$2:$A$5000,0)),IF(INDEX(DB_materiali!$E$2:$E$5000,MATCH($C399,DB_materiali!$A$2:$A$5000,0))&lt;=INDEX(DB_malas!$D$2:$D$5000,MATCH(H399,DB_malas!$A$2:$A$5000,0)),IF(OR(INDEX(DB_materiali!$B$2:$B$5000,MATCH($C399,DB_materiali!$A$2:$A$5000,0))=INDEX(DB_malas!$B$2:$B$5000,MATCH(H399,DB_malas!$A$2:$A$5000,0)),$H399="ORG"),"✔",tulkojums!$A$38),tulkojums!$A$39),tulkojums!$A$39))</f>
        <v/>
      </c>
      <c r="Q399" s="2" t="str">
        <f>IF(ISBLANK(I399),"",IF(INDEX(DB_materiali!$E$2:$E$5000,MATCH($C399,DB_materiali!$A$2:$A$5000,0))&gt;=INDEX(DB_malas!$C$2:$C$5000,MATCH(I399,DB_malas!$A$2:$A$5000,0)),IF(INDEX(DB_materiali!$E$2:$E$5000,MATCH($C399,DB_materiali!$A$2:$A$5000,0))&lt;=INDEX(DB_malas!$D$2:$D$5000,MATCH(I399,DB_malas!$A$2:$A$5000,0)),IF(OR(INDEX(DB_materiali!$B$2:$B$5000,MATCH($C399,DB_materiali!$A$2:$A$5000,0))=INDEX(DB_malas!$B$2:$B$5000,MATCH(I399,DB_malas!$A$2:$A$5000,0)),$H399="ORG"),"✔",tulkojums!$A$38),tulkojums!$A$39),tulkojums!$A$39))</f>
        <v/>
      </c>
      <c r="R399" s="2" t="str">
        <f>IF(ISBLANK(J399),"",IF(INDEX(DB_materiali!$E$2:$E$5000,MATCH($C399,DB_materiali!$A$2:$A$5000,0))&gt;=INDEX(DB_malas!$C$2:$C$5000,MATCH(J399,DB_malas!$A$2:$A$5000,0)),IF(INDEX(DB_materiali!$E$2:$E$5000,MATCH($C399,DB_materiali!$A$2:$A$5000,0))&lt;=INDEX(DB_malas!$D$2:$D$5000,MATCH(J399,DB_malas!$A$2:$A$5000,0)),IF(INDEX(DB_materiali!$B$2:$B$5000,MATCH($C399,DB_materiali!$A$2:$A$5000,0))=INDEX(DB_malas!$B$2:$B$5000,MATCH(J399,DB_malas!$A$2:$A$5000,0)),"✔",tulkojums!$A$38),tulkojums!$A$39),tulkojums!$A$39))</f>
        <v/>
      </c>
      <c r="S399" s="2" t="str">
        <f>IF(ISBLANK(K399),"",IF(INDEX(DB_materiali!$E$2:$E$5000,MATCH($C399,DB_materiali!$A$2:$A$5000,0))&gt;=INDEX(DB_malas!$C$2:$C$5000,MATCH(K399,DB_malas!$A$2:$A$5000,0)),IF(INDEX(DB_materiali!$E$2:$E$5000,MATCH($C399,DB_materiali!$A$2:$A$5000,0))&lt;=INDEX(DB_malas!$D$2:$D$5000,MATCH(K399,DB_malas!$A$2:$A$5000,0)),IF(INDEX(DB_materiali!$B$2:$B$5000,MATCH($C399,DB_materiali!$A$2:$A$5000,0))=INDEX(DB_malas!$B$2:$B$5000,MATCH(K399,DB_malas!$A$2:$A$5000,0)),"✔",tulkojums!$A$38),tulkojums!$A$39),tulkojums!$A$39))</f>
        <v/>
      </c>
      <c r="T399" s="2"/>
      <c r="U399" s="2"/>
      <c r="V399" s="2"/>
      <c r="W399" s="2"/>
      <c r="X399" s="2"/>
      <c r="Y399" s="2"/>
      <c r="Z399" s="2"/>
    </row>
    <row r="400" spans="1:26" ht="15.75" customHeight="1">
      <c r="A400" s="17"/>
      <c r="B400" s="18"/>
      <c r="C400" s="19"/>
      <c r="D400" s="55"/>
      <c r="E400" s="55"/>
      <c r="F400" s="56"/>
      <c r="G400" s="57" t="str">
        <f>IF(ISBLANK(C400),"",
   IFERROR(
      IF(
         INDEX(DB_materiali!C$2:C$5000,
               MATCH(C400, DB_materiali!A$2:A$5000, 0)
         )="FALSE",
         "N",
         "Y"
      ),
   "")
)</f>
        <v/>
      </c>
      <c r="H400" s="20"/>
      <c r="I400" s="20"/>
      <c r="J400" s="20"/>
      <c r="K400" s="20"/>
      <c r="M400" s="2" t="str">
        <f>IF(ISBLANK(C400),"",IF(IFERROR(VLOOKUP(C400,DB_materiali!$A$2:$A$5000,1,FALSE),"Kļūda artikulā")=C400,"✔",tulkojums!A$42))</f>
        <v/>
      </c>
      <c r="N400" s="2" t="str">
        <f>IF(ISBLANK(C400),"",IF(ISNUMBER(F400)=TRUE,"✔",tulkojums!A$43))</f>
        <v/>
      </c>
      <c r="O400" s="2" t="str">
        <f>IF(ISBLANK(C400),"",IF(G400="Y","✔",IF(G400="X","✔",IF(G400="N","✔",tulkojums!A$44))))</f>
        <v/>
      </c>
      <c r="P400" s="2" t="str">
        <f>IF(ISBLANK(H400),"",IF(INDEX(DB_materiali!$E$2:$E$5000,MATCH($C400,DB_materiali!$A$2:$A$5000,0))&gt;=INDEX(DB_malas!$C$2:$C$5000,MATCH(H400,DB_malas!$A$2:$A$5000,0)),IF(INDEX(DB_materiali!$E$2:$E$5000,MATCH($C400,DB_materiali!$A$2:$A$5000,0))&lt;=INDEX(DB_malas!$D$2:$D$5000,MATCH(H400,DB_malas!$A$2:$A$5000,0)),IF(OR(INDEX(DB_materiali!$B$2:$B$5000,MATCH($C400,DB_materiali!$A$2:$A$5000,0))=INDEX(DB_malas!$B$2:$B$5000,MATCH(H400,DB_malas!$A$2:$A$5000,0)),$H400="ORG"),"✔",tulkojums!$A$38),tulkojums!$A$39),tulkojums!$A$39))</f>
        <v/>
      </c>
      <c r="Q400" s="2" t="str">
        <f>IF(ISBLANK(I400),"",IF(INDEX(DB_materiali!$E$2:$E$5000,MATCH($C400,DB_materiali!$A$2:$A$5000,0))&gt;=INDEX(DB_malas!$C$2:$C$5000,MATCH(I400,DB_malas!$A$2:$A$5000,0)),IF(INDEX(DB_materiali!$E$2:$E$5000,MATCH($C400,DB_materiali!$A$2:$A$5000,0))&lt;=INDEX(DB_malas!$D$2:$D$5000,MATCH(I400,DB_malas!$A$2:$A$5000,0)),IF(OR(INDEX(DB_materiali!$B$2:$B$5000,MATCH($C400,DB_materiali!$A$2:$A$5000,0))=INDEX(DB_malas!$B$2:$B$5000,MATCH(I400,DB_malas!$A$2:$A$5000,0)),$H400="ORG"),"✔",tulkojums!$A$38),tulkojums!$A$39),tulkojums!$A$39))</f>
        <v/>
      </c>
      <c r="R400" s="2" t="str">
        <f>IF(ISBLANK(J400),"",IF(INDEX(DB_materiali!$E$2:$E$5000,MATCH($C400,DB_materiali!$A$2:$A$5000,0))&gt;=INDEX(DB_malas!$C$2:$C$5000,MATCH(J400,DB_malas!$A$2:$A$5000,0)),IF(INDEX(DB_materiali!$E$2:$E$5000,MATCH($C400,DB_materiali!$A$2:$A$5000,0))&lt;=INDEX(DB_malas!$D$2:$D$5000,MATCH(J400,DB_malas!$A$2:$A$5000,0)),IF(INDEX(DB_materiali!$B$2:$B$5000,MATCH($C400,DB_materiali!$A$2:$A$5000,0))=INDEX(DB_malas!$B$2:$B$5000,MATCH(J400,DB_malas!$A$2:$A$5000,0)),"✔",tulkojums!$A$38),tulkojums!$A$39),tulkojums!$A$39))</f>
        <v/>
      </c>
      <c r="S400" s="2" t="str">
        <f>IF(ISBLANK(K400),"",IF(INDEX(DB_materiali!$E$2:$E$5000,MATCH($C400,DB_materiali!$A$2:$A$5000,0))&gt;=INDEX(DB_malas!$C$2:$C$5000,MATCH(K400,DB_malas!$A$2:$A$5000,0)),IF(INDEX(DB_materiali!$E$2:$E$5000,MATCH($C400,DB_materiali!$A$2:$A$5000,0))&lt;=INDEX(DB_malas!$D$2:$D$5000,MATCH(K400,DB_malas!$A$2:$A$5000,0)),IF(INDEX(DB_materiali!$B$2:$B$5000,MATCH($C400,DB_materiali!$A$2:$A$5000,0))=INDEX(DB_malas!$B$2:$B$5000,MATCH(K400,DB_malas!$A$2:$A$5000,0)),"✔",tulkojums!$A$38),tulkojums!$A$39),tulkojums!$A$39))</f>
        <v/>
      </c>
      <c r="T400" s="2"/>
      <c r="U400" s="2"/>
      <c r="V400" s="2"/>
      <c r="W400" s="2"/>
      <c r="X400" s="2"/>
      <c r="Y400" s="2"/>
      <c r="Z400" s="2"/>
    </row>
    <row r="401" spans="1:26" ht="15.75" customHeight="1">
      <c r="A401" s="17"/>
      <c r="B401" s="18"/>
      <c r="C401" s="19"/>
      <c r="D401" s="55"/>
      <c r="E401" s="55"/>
      <c r="F401" s="56"/>
      <c r="G401" s="57" t="str">
        <f>IF(ISBLANK(C401),"",
   IFERROR(
      IF(
         INDEX(DB_materiali!C$2:C$5000,
               MATCH(C401, DB_materiali!A$2:A$5000, 0)
         )="FALSE",
         "N",
         "Y"
      ),
   "")
)</f>
        <v/>
      </c>
      <c r="H401" s="20"/>
      <c r="I401" s="20"/>
      <c r="J401" s="20"/>
      <c r="K401" s="20"/>
      <c r="M401" s="2" t="str">
        <f>IF(ISBLANK(C401),"",IF(IFERROR(VLOOKUP(C401,DB_materiali!$A$2:$A$5000,1,FALSE),"Kļūda artikulā")=C401,"✔",tulkojums!A$42))</f>
        <v/>
      </c>
      <c r="N401" s="2" t="str">
        <f>IF(ISBLANK(C401),"",IF(ISNUMBER(F401)=TRUE,"✔",tulkojums!A$43))</f>
        <v/>
      </c>
      <c r="O401" s="2" t="str">
        <f>IF(ISBLANK(C401),"",IF(G401="Y","✔",IF(G401="X","✔",IF(G401="N","✔",tulkojums!A$44))))</f>
        <v/>
      </c>
      <c r="P401" s="2" t="str">
        <f>IF(ISBLANK(H401),"",IF(INDEX(DB_materiali!$E$2:$E$5000,MATCH($C401,DB_materiali!$A$2:$A$5000,0))&gt;=INDEX(DB_malas!$C$2:$C$5000,MATCH(H401,DB_malas!$A$2:$A$5000,0)),IF(INDEX(DB_materiali!$E$2:$E$5000,MATCH($C401,DB_materiali!$A$2:$A$5000,0))&lt;=INDEX(DB_malas!$D$2:$D$5000,MATCH(H401,DB_malas!$A$2:$A$5000,0)),IF(OR(INDEX(DB_materiali!$B$2:$B$5000,MATCH($C401,DB_materiali!$A$2:$A$5000,0))=INDEX(DB_malas!$B$2:$B$5000,MATCH(H401,DB_malas!$A$2:$A$5000,0)),$H401="ORG"),"✔",tulkojums!$A$38),tulkojums!$A$39),tulkojums!$A$39))</f>
        <v/>
      </c>
      <c r="Q401" s="2" t="str">
        <f>IF(ISBLANK(I401),"",IF(INDEX(DB_materiali!$E$2:$E$5000,MATCH($C401,DB_materiali!$A$2:$A$5000,0))&gt;=INDEX(DB_malas!$C$2:$C$5000,MATCH(I401,DB_malas!$A$2:$A$5000,0)),IF(INDEX(DB_materiali!$E$2:$E$5000,MATCH($C401,DB_materiali!$A$2:$A$5000,0))&lt;=INDEX(DB_malas!$D$2:$D$5000,MATCH(I401,DB_malas!$A$2:$A$5000,0)),IF(OR(INDEX(DB_materiali!$B$2:$B$5000,MATCH($C401,DB_materiali!$A$2:$A$5000,0))=INDEX(DB_malas!$B$2:$B$5000,MATCH(I401,DB_malas!$A$2:$A$5000,0)),$H401="ORG"),"✔",tulkojums!$A$38),tulkojums!$A$39),tulkojums!$A$39))</f>
        <v/>
      </c>
      <c r="R401" s="2" t="str">
        <f>IF(ISBLANK(J401),"",IF(INDEX(DB_materiali!$E$2:$E$5000,MATCH($C401,DB_materiali!$A$2:$A$5000,0))&gt;=INDEX(DB_malas!$C$2:$C$5000,MATCH(J401,DB_malas!$A$2:$A$5000,0)),IF(INDEX(DB_materiali!$E$2:$E$5000,MATCH($C401,DB_materiali!$A$2:$A$5000,0))&lt;=INDEX(DB_malas!$D$2:$D$5000,MATCH(J401,DB_malas!$A$2:$A$5000,0)),IF(INDEX(DB_materiali!$B$2:$B$5000,MATCH($C401,DB_materiali!$A$2:$A$5000,0))=INDEX(DB_malas!$B$2:$B$5000,MATCH(J401,DB_malas!$A$2:$A$5000,0)),"✔",tulkojums!$A$38),tulkojums!$A$39),tulkojums!$A$39))</f>
        <v/>
      </c>
      <c r="S401" s="2" t="str">
        <f>IF(ISBLANK(K401),"",IF(INDEX(DB_materiali!$E$2:$E$5000,MATCH($C401,DB_materiali!$A$2:$A$5000,0))&gt;=INDEX(DB_malas!$C$2:$C$5000,MATCH(K401,DB_malas!$A$2:$A$5000,0)),IF(INDEX(DB_materiali!$E$2:$E$5000,MATCH($C401,DB_materiali!$A$2:$A$5000,0))&lt;=INDEX(DB_malas!$D$2:$D$5000,MATCH(K401,DB_malas!$A$2:$A$5000,0)),IF(INDEX(DB_materiali!$B$2:$B$5000,MATCH($C401,DB_materiali!$A$2:$A$5000,0))=INDEX(DB_malas!$B$2:$B$5000,MATCH(K401,DB_malas!$A$2:$A$5000,0)),"✔",tulkojums!$A$38),tulkojums!$A$39),tulkojums!$A$39))</f>
        <v/>
      </c>
      <c r="T401" s="2"/>
      <c r="U401" s="2"/>
      <c r="V401" s="2"/>
      <c r="W401" s="2"/>
      <c r="X401" s="2"/>
      <c r="Y401" s="2"/>
      <c r="Z401" s="2"/>
    </row>
    <row r="402" spans="1:26" ht="15.75" customHeight="1">
      <c r="A402" s="17"/>
      <c r="B402" s="18"/>
      <c r="C402" s="19"/>
      <c r="D402" s="55"/>
      <c r="E402" s="55"/>
      <c r="F402" s="56"/>
      <c r="G402" s="57" t="str">
        <f>IF(ISBLANK(C402),"",
   IFERROR(
      IF(
         INDEX(DB_materiali!C$2:C$5000,
               MATCH(C402, DB_materiali!A$2:A$5000, 0)
         )="FALSE",
         "N",
         "Y"
      ),
   "")
)</f>
        <v/>
      </c>
      <c r="H402" s="20"/>
      <c r="I402" s="20"/>
      <c r="J402" s="20"/>
      <c r="K402" s="20"/>
      <c r="M402" s="2" t="str">
        <f>IF(ISBLANK(C402),"",IF(IFERROR(VLOOKUP(C402,DB_materiali!$A$2:$A$5000,1,FALSE),"Kļūda artikulā")=C402,"✔",tulkojums!A$42))</f>
        <v/>
      </c>
      <c r="N402" s="2" t="str">
        <f>IF(ISBLANK(C402),"",IF(ISNUMBER(F402)=TRUE,"✔",tulkojums!A$43))</f>
        <v/>
      </c>
      <c r="O402" s="2" t="str">
        <f>IF(ISBLANK(C402),"",IF(G402="Y","✔",IF(G402="X","✔",IF(G402="N","✔",tulkojums!A$44))))</f>
        <v/>
      </c>
      <c r="P402" s="2" t="str">
        <f>IF(ISBLANK(H402),"",IF(INDEX(DB_materiali!$E$2:$E$5000,MATCH($C402,DB_materiali!$A$2:$A$5000,0))&gt;=INDEX(DB_malas!$C$2:$C$5000,MATCH(H402,DB_malas!$A$2:$A$5000,0)),IF(INDEX(DB_materiali!$E$2:$E$5000,MATCH($C402,DB_materiali!$A$2:$A$5000,0))&lt;=INDEX(DB_malas!$D$2:$D$5000,MATCH(H402,DB_malas!$A$2:$A$5000,0)),IF(OR(INDEX(DB_materiali!$B$2:$B$5000,MATCH($C402,DB_materiali!$A$2:$A$5000,0))=INDEX(DB_malas!$B$2:$B$5000,MATCH(H402,DB_malas!$A$2:$A$5000,0)),$H402="ORG"),"✔",tulkojums!$A$38),tulkojums!$A$39),tulkojums!$A$39))</f>
        <v/>
      </c>
      <c r="Q402" s="2" t="str">
        <f>IF(ISBLANK(I402),"",IF(INDEX(DB_materiali!$E$2:$E$5000,MATCH($C402,DB_materiali!$A$2:$A$5000,0))&gt;=INDEX(DB_malas!$C$2:$C$5000,MATCH(I402,DB_malas!$A$2:$A$5000,0)),IF(INDEX(DB_materiali!$E$2:$E$5000,MATCH($C402,DB_materiali!$A$2:$A$5000,0))&lt;=INDEX(DB_malas!$D$2:$D$5000,MATCH(I402,DB_malas!$A$2:$A$5000,0)),IF(OR(INDEX(DB_materiali!$B$2:$B$5000,MATCH($C402,DB_materiali!$A$2:$A$5000,0))=INDEX(DB_malas!$B$2:$B$5000,MATCH(I402,DB_malas!$A$2:$A$5000,0)),$H402="ORG"),"✔",tulkojums!$A$38),tulkojums!$A$39),tulkojums!$A$39))</f>
        <v/>
      </c>
      <c r="R402" s="2" t="str">
        <f>IF(ISBLANK(J402),"",IF(INDEX(DB_materiali!$E$2:$E$5000,MATCH($C402,DB_materiali!$A$2:$A$5000,0))&gt;=INDEX(DB_malas!$C$2:$C$5000,MATCH(J402,DB_malas!$A$2:$A$5000,0)),IF(INDEX(DB_materiali!$E$2:$E$5000,MATCH($C402,DB_materiali!$A$2:$A$5000,0))&lt;=INDEX(DB_malas!$D$2:$D$5000,MATCH(J402,DB_malas!$A$2:$A$5000,0)),IF(INDEX(DB_materiali!$B$2:$B$5000,MATCH($C402,DB_materiali!$A$2:$A$5000,0))=INDEX(DB_malas!$B$2:$B$5000,MATCH(J402,DB_malas!$A$2:$A$5000,0)),"✔",tulkojums!$A$38),tulkojums!$A$39),tulkojums!$A$39))</f>
        <v/>
      </c>
      <c r="S402" s="2" t="str">
        <f>IF(ISBLANK(K402),"",IF(INDEX(DB_materiali!$E$2:$E$5000,MATCH($C402,DB_materiali!$A$2:$A$5000,0))&gt;=INDEX(DB_malas!$C$2:$C$5000,MATCH(K402,DB_malas!$A$2:$A$5000,0)),IF(INDEX(DB_materiali!$E$2:$E$5000,MATCH($C402,DB_materiali!$A$2:$A$5000,0))&lt;=INDEX(DB_malas!$D$2:$D$5000,MATCH(K402,DB_malas!$A$2:$A$5000,0)),IF(INDEX(DB_materiali!$B$2:$B$5000,MATCH($C402,DB_materiali!$A$2:$A$5000,0))=INDEX(DB_malas!$B$2:$B$5000,MATCH(K402,DB_malas!$A$2:$A$5000,0)),"✔",tulkojums!$A$38),tulkojums!$A$39),tulkojums!$A$39))</f>
        <v/>
      </c>
      <c r="T402" s="2"/>
      <c r="U402" s="2"/>
      <c r="V402" s="2"/>
      <c r="W402" s="2"/>
      <c r="X402" s="2"/>
      <c r="Y402" s="2"/>
      <c r="Z402" s="2"/>
    </row>
    <row r="403" spans="1:26" ht="15.75" customHeight="1">
      <c r="A403" s="17"/>
      <c r="B403" s="18"/>
      <c r="C403" s="19"/>
      <c r="D403" s="55"/>
      <c r="E403" s="55"/>
      <c r="F403" s="56"/>
      <c r="G403" s="57" t="str">
        <f>IF(ISBLANK(C403),"",
   IFERROR(
      IF(
         INDEX(DB_materiali!C$2:C$5000,
               MATCH(C403, DB_materiali!A$2:A$5000, 0)
         )="FALSE",
         "N",
         "Y"
      ),
   "")
)</f>
        <v/>
      </c>
      <c r="H403" s="20"/>
      <c r="I403" s="20"/>
      <c r="J403" s="20"/>
      <c r="K403" s="20"/>
      <c r="M403" s="2" t="str">
        <f>IF(ISBLANK(C403),"",IF(IFERROR(VLOOKUP(C403,DB_materiali!$A$2:$A$5000,1,FALSE),"Kļūda artikulā")=C403,"✔",tulkojums!A$42))</f>
        <v/>
      </c>
      <c r="N403" s="2" t="str">
        <f>IF(ISBLANK(C403),"",IF(ISNUMBER(F403)=TRUE,"✔",tulkojums!A$43))</f>
        <v/>
      </c>
      <c r="O403" s="2" t="str">
        <f>IF(ISBLANK(C403),"",IF(G403="Y","✔",IF(G403="X","✔",IF(G403="N","✔",tulkojums!A$44))))</f>
        <v/>
      </c>
      <c r="P403" s="2" t="str">
        <f>IF(ISBLANK(H403),"",IF(INDEX(DB_materiali!$E$2:$E$5000,MATCH($C403,DB_materiali!$A$2:$A$5000,0))&gt;=INDEX(DB_malas!$C$2:$C$5000,MATCH(H403,DB_malas!$A$2:$A$5000,0)),IF(INDEX(DB_materiali!$E$2:$E$5000,MATCH($C403,DB_materiali!$A$2:$A$5000,0))&lt;=INDEX(DB_malas!$D$2:$D$5000,MATCH(H403,DB_malas!$A$2:$A$5000,0)),IF(OR(INDEX(DB_materiali!$B$2:$B$5000,MATCH($C403,DB_materiali!$A$2:$A$5000,0))=INDEX(DB_malas!$B$2:$B$5000,MATCH(H403,DB_malas!$A$2:$A$5000,0)),$H403="ORG"),"✔",tulkojums!$A$38),tulkojums!$A$39),tulkojums!$A$39))</f>
        <v/>
      </c>
      <c r="Q403" s="2" t="str">
        <f>IF(ISBLANK(I403),"",IF(INDEX(DB_materiali!$E$2:$E$5000,MATCH($C403,DB_materiali!$A$2:$A$5000,0))&gt;=INDEX(DB_malas!$C$2:$C$5000,MATCH(I403,DB_malas!$A$2:$A$5000,0)),IF(INDEX(DB_materiali!$E$2:$E$5000,MATCH($C403,DB_materiali!$A$2:$A$5000,0))&lt;=INDEX(DB_malas!$D$2:$D$5000,MATCH(I403,DB_malas!$A$2:$A$5000,0)),IF(OR(INDEX(DB_materiali!$B$2:$B$5000,MATCH($C403,DB_materiali!$A$2:$A$5000,0))=INDEX(DB_malas!$B$2:$B$5000,MATCH(I403,DB_malas!$A$2:$A$5000,0)),$H403="ORG"),"✔",tulkojums!$A$38),tulkojums!$A$39),tulkojums!$A$39))</f>
        <v/>
      </c>
      <c r="R403" s="2" t="str">
        <f>IF(ISBLANK(J403),"",IF(INDEX(DB_materiali!$E$2:$E$5000,MATCH($C403,DB_materiali!$A$2:$A$5000,0))&gt;=INDEX(DB_malas!$C$2:$C$5000,MATCH(J403,DB_malas!$A$2:$A$5000,0)),IF(INDEX(DB_materiali!$E$2:$E$5000,MATCH($C403,DB_materiali!$A$2:$A$5000,0))&lt;=INDEX(DB_malas!$D$2:$D$5000,MATCH(J403,DB_malas!$A$2:$A$5000,0)),IF(INDEX(DB_materiali!$B$2:$B$5000,MATCH($C403,DB_materiali!$A$2:$A$5000,0))=INDEX(DB_malas!$B$2:$B$5000,MATCH(J403,DB_malas!$A$2:$A$5000,0)),"✔",tulkojums!$A$38),tulkojums!$A$39),tulkojums!$A$39))</f>
        <v/>
      </c>
      <c r="S403" s="2" t="str">
        <f>IF(ISBLANK(K403),"",IF(INDEX(DB_materiali!$E$2:$E$5000,MATCH($C403,DB_materiali!$A$2:$A$5000,0))&gt;=INDEX(DB_malas!$C$2:$C$5000,MATCH(K403,DB_malas!$A$2:$A$5000,0)),IF(INDEX(DB_materiali!$E$2:$E$5000,MATCH($C403,DB_materiali!$A$2:$A$5000,0))&lt;=INDEX(DB_malas!$D$2:$D$5000,MATCH(K403,DB_malas!$A$2:$A$5000,0)),IF(INDEX(DB_materiali!$B$2:$B$5000,MATCH($C403,DB_materiali!$A$2:$A$5000,0))=INDEX(DB_malas!$B$2:$B$5000,MATCH(K403,DB_malas!$A$2:$A$5000,0)),"✔",tulkojums!$A$38),tulkojums!$A$39),tulkojums!$A$39))</f>
        <v/>
      </c>
      <c r="T403" s="2"/>
      <c r="U403" s="2"/>
      <c r="V403" s="2"/>
      <c r="W403" s="2"/>
      <c r="X403" s="2"/>
      <c r="Y403" s="2"/>
      <c r="Z403" s="2"/>
    </row>
    <row r="404" spans="1:26" ht="15.75" customHeight="1">
      <c r="A404" s="17"/>
      <c r="B404" s="18"/>
      <c r="C404" s="19"/>
      <c r="D404" s="55"/>
      <c r="E404" s="55"/>
      <c r="F404" s="56"/>
      <c r="G404" s="57" t="str">
        <f>IF(ISBLANK(C404),"",
   IFERROR(
      IF(
         INDEX(DB_materiali!C$2:C$5000,
               MATCH(C404, DB_materiali!A$2:A$5000, 0)
         )="FALSE",
         "N",
         "Y"
      ),
   "")
)</f>
        <v/>
      </c>
      <c r="H404" s="20"/>
      <c r="I404" s="20"/>
      <c r="J404" s="20"/>
      <c r="K404" s="20"/>
      <c r="M404" s="2" t="str">
        <f>IF(ISBLANK(C404),"",IF(IFERROR(VLOOKUP(C404,DB_materiali!$A$2:$A$5000,1,FALSE),"Kļūda artikulā")=C404,"✔",tulkojums!A$42))</f>
        <v/>
      </c>
      <c r="N404" s="2" t="str">
        <f>IF(ISBLANK(C404),"",IF(ISNUMBER(F404)=TRUE,"✔",tulkojums!A$43))</f>
        <v/>
      </c>
      <c r="O404" s="2" t="str">
        <f>IF(ISBLANK(C404),"",IF(G404="Y","✔",IF(G404="X","✔",IF(G404="N","✔",tulkojums!A$44))))</f>
        <v/>
      </c>
      <c r="P404" s="2" t="str">
        <f>IF(ISBLANK(H404),"",IF(INDEX(DB_materiali!$E$2:$E$5000,MATCH($C404,DB_materiali!$A$2:$A$5000,0))&gt;=INDEX(DB_malas!$C$2:$C$5000,MATCH(H404,DB_malas!$A$2:$A$5000,0)),IF(INDEX(DB_materiali!$E$2:$E$5000,MATCH($C404,DB_materiali!$A$2:$A$5000,0))&lt;=INDEX(DB_malas!$D$2:$D$5000,MATCH(H404,DB_malas!$A$2:$A$5000,0)),IF(OR(INDEX(DB_materiali!$B$2:$B$5000,MATCH($C404,DB_materiali!$A$2:$A$5000,0))=INDEX(DB_malas!$B$2:$B$5000,MATCH(H404,DB_malas!$A$2:$A$5000,0)),$H404="ORG"),"✔",tulkojums!$A$38),tulkojums!$A$39),tulkojums!$A$39))</f>
        <v/>
      </c>
      <c r="Q404" s="2" t="str">
        <f>IF(ISBLANK(I404),"",IF(INDEX(DB_materiali!$E$2:$E$5000,MATCH($C404,DB_materiali!$A$2:$A$5000,0))&gt;=INDEX(DB_malas!$C$2:$C$5000,MATCH(I404,DB_malas!$A$2:$A$5000,0)),IF(INDEX(DB_materiali!$E$2:$E$5000,MATCH($C404,DB_materiali!$A$2:$A$5000,0))&lt;=INDEX(DB_malas!$D$2:$D$5000,MATCH(I404,DB_malas!$A$2:$A$5000,0)),IF(OR(INDEX(DB_materiali!$B$2:$B$5000,MATCH($C404,DB_materiali!$A$2:$A$5000,0))=INDEX(DB_malas!$B$2:$B$5000,MATCH(I404,DB_malas!$A$2:$A$5000,0)),$H404="ORG"),"✔",tulkojums!$A$38),tulkojums!$A$39),tulkojums!$A$39))</f>
        <v/>
      </c>
      <c r="R404" s="2" t="str">
        <f>IF(ISBLANK(J404),"",IF(INDEX(DB_materiali!$E$2:$E$5000,MATCH($C404,DB_materiali!$A$2:$A$5000,0))&gt;=INDEX(DB_malas!$C$2:$C$5000,MATCH(J404,DB_malas!$A$2:$A$5000,0)),IF(INDEX(DB_materiali!$E$2:$E$5000,MATCH($C404,DB_materiali!$A$2:$A$5000,0))&lt;=INDEX(DB_malas!$D$2:$D$5000,MATCH(J404,DB_malas!$A$2:$A$5000,0)),IF(INDEX(DB_materiali!$B$2:$B$5000,MATCH($C404,DB_materiali!$A$2:$A$5000,0))=INDEX(DB_malas!$B$2:$B$5000,MATCH(J404,DB_malas!$A$2:$A$5000,0)),"✔",tulkojums!$A$38),tulkojums!$A$39),tulkojums!$A$39))</f>
        <v/>
      </c>
      <c r="S404" s="2" t="str">
        <f>IF(ISBLANK(K404),"",IF(INDEX(DB_materiali!$E$2:$E$5000,MATCH($C404,DB_materiali!$A$2:$A$5000,0))&gt;=INDEX(DB_malas!$C$2:$C$5000,MATCH(K404,DB_malas!$A$2:$A$5000,0)),IF(INDEX(DB_materiali!$E$2:$E$5000,MATCH($C404,DB_materiali!$A$2:$A$5000,0))&lt;=INDEX(DB_malas!$D$2:$D$5000,MATCH(K404,DB_malas!$A$2:$A$5000,0)),IF(INDEX(DB_materiali!$B$2:$B$5000,MATCH($C404,DB_materiali!$A$2:$A$5000,0))=INDEX(DB_malas!$B$2:$B$5000,MATCH(K404,DB_malas!$A$2:$A$5000,0)),"✔",tulkojums!$A$38),tulkojums!$A$39),tulkojums!$A$39))</f>
        <v/>
      </c>
      <c r="T404" s="2"/>
      <c r="U404" s="2"/>
      <c r="V404" s="2"/>
      <c r="W404" s="2"/>
      <c r="X404" s="2"/>
      <c r="Y404" s="2"/>
      <c r="Z404" s="2"/>
    </row>
    <row r="405" spans="1:26" ht="15.75" customHeight="1">
      <c r="A405" s="17"/>
      <c r="B405" s="18"/>
      <c r="C405" s="19"/>
      <c r="D405" s="55"/>
      <c r="E405" s="55"/>
      <c r="F405" s="56"/>
      <c r="G405" s="57" t="str">
        <f>IF(ISBLANK(C405),"",
   IFERROR(
      IF(
         INDEX(DB_materiali!C$2:C$5000,
               MATCH(C405, DB_materiali!A$2:A$5000, 0)
         )="FALSE",
         "N",
         "Y"
      ),
   "")
)</f>
        <v/>
      </c>
      <c r="H405" s="20"/>
      <c r="I405" s="20"/>
      <c r="J405" s="20"/>
      <c r="K405" s="20"/>
      <c r="M405" s="2" t="str">
        <f>IF(ISBLANK(C405),"",IF(IFERROR(VLOOKUP(C405,DB_materiali!$A$2:$A$5000,1,FALSE),"Kļūda artikulā")=C405,"✔",tulkojums!A$42))</f>
        <v/>
      </c>
      <c r="N405" s="2" t="str">
        <f>IF(ISBLANK(C405),"",IF(ISNUMBER(F405)=TRUE,"✔",tulkojums!A$43))</f>
        <v/>
      </c>
      <c r="O405" s="2" t="str">
        <f>IF(ISBLANK(C405),"",IF(G405="Y","✔",IF(G405="X","✔",IF(G405="N","✔",tulkojums!A$44))))</f>
        <v/>
      </c>
      <c r="P405" s="2" t="str">
        <f>IF(ISBLANK(H405),"",IF(INDEX(DB_materiali!$E$2:$E$5000,MATCH($C405,DB_materiali!$A$2:$A$5000,0))&gt;=INDEX(DB_malas!$C$2:$C$5000,MATCH(H405,DB_malas!$A$2:$A$5000,0)),IF(INDEX(DB_materiali!$E$2:$E$5000,MATCH($C405,DB_materiali!$A$2:$A$5000,0))&lt;=INDEX(DB_malas!$D$2:$D$5000,MATCH(H405,DB_malas!$A$2:$A$5000,0)),IF(OR(INDEX(DB_materiali!$B$2:$B$5000,MATCH($C405,DB_materiali!$A$2:$A$5000,0))=INDEX(DB_malas!$B$2:$B$5000,MATCH(H405,DB_malas!$A$2:$A$5000,0)),$H405="ORG"),"✔",tulkojums!$A$38),tulkojums!$A$39),tulkojums!$A$39))</f>
        <v/>
      </c>
      <c r="Q405" s="2" t="str">
        <f>IF(ISBLANK(I405),"",IF(INDEX(DB_materiali!$E$2:$E$5000,MATCH($C405,DB_materiali!$A$2:$A$5000,0))&gt;=INDEX(DB_malas!$C$2:$C$5000,MATCH(I405,DB_malas!$A$2:$A$5000,0)),IF(INDEX(DB_materiali!$E$2:$E$5000,MATCH($C405,DB_materiali!$A$2:$A$5000,0))&lt;=INDEX(DB_malas!$D$2:$D$5000,MATCH(I405,DB_malas!$A$2:$A$5000,0)),IF(OR(INDEX(DB_materiali!$B$2:$B$5000,MATCH($C405,DB_materiali!$A$2:$A$5000,0))=INDEX(DB_malas!$B$2:$B$5000,MATCH(I405,DB_malas!$A$2:$A$5000,0)),$H405="ORG"),"✔",tulkojums!$A$38),tulkojums!$A$39),tulkojums!$A$39))</f>
        <v/>
      </c>
      <c r="R405" s="2" t="str">
        <f>IF(ISBLANK(J405),"",IF(INDEX(DB_materiali!$E$2:$E$5000,MATCH($C405,DB_materiali!$A$2:$A$5000,0))&gt;=INDEX(DB_malas!$C$2:$C$5000,MATCH(J405,DB_malas!$A$2:$A$5000,0)),IF(INDEX(DB_materiali!$E$2:$E$5000,MATCH($C405,DB_materiali!$A$2:$A$5000,0))&lt;=INDEX(DB_malas!$D$2:$D$5000,MATCH(J405,DB_malas!$A$2:$A$5000,0)),IF(INDEX(DB_materiali!$B$2:$B$5000,MATCH($C405,DB_materiali!$A$2:$A$5000,0))=INDEX(DB_malas!$B$2:$B$5000,MATCH(J405,DB_malas!$A$2:$A$5000,0)),"✔",tulkojums!$A$38),tulkojums!$A$39),tulkojums!$A$39))</f>
        <v/>
      </c>
      <c r="S405" s="2" t="str">
        <f>IF(ISBLANK(K405),"",IF(INDEX(DB_materiali!$E$2:$E$5000,MATCH($C405,DB_materiali!$A$2:$A$5000,0))&gt;=INDEX(DB_malas!$C$2:$C$5000,MATCH(K405,DB_malas!$A$2:$A$5000,0)),IF(INDEX(DB_materiali!$E$2:$E$5000,MATCH($C405,DB_materiali!$A$2:$A$5000,0))&lt;=INDEX(DB_malas!$D$2:$D$5000,MATCH(K405,DB_malas!$A$2:$A$5000,0)),IF(INDEX(DB_materiali!$B$2:$B$5000,MATCH($C405,DB_materiali!$A$2:$A$5000,0))=INDEX(DB_malas!$B$2:$B$5000,MATCH(K405,DB_malas!$A$2:$A$5000,0)),"✔",tulkojums!$A$38),tulkojums!$A$39),tulkojums!$A$39))</f>
        <v/>
      </c>
      <c r="T405" s="2"/>
      <c r="U405" s="2"/>
      <c r="V405" s="2"/>
      <c r="W405" s="2"/>
      <c r="X405" s="2"/>
      <c r="Y405" s="2"/>
      <c r="Z405" s="2"/>
    </row>
    <row r="406" spans="1:26" ht="15.75" customHeight="1">
      <c r="A406" s="17"/>
      <c r="B406" s="18"/>
      <c r="C406" s="19"/>
      <c r="D406" s="55"/>
      <c r="E406" s="55"/>
      <c r="F406" s="56"/>
      <c r="G406" s="57" t="str">
        <f>IF(ISBLANK(C406),"",
   IFERROR(
      IF(
         INDEX(DB_materiali!C$2:C$5000,
               MATCH(C406, DB_materiali!A$2:A$5000, 0)
         )="FALSE",
         "N",
         "Y"
      ),
   "")
)</f>
        <v/>
      </c>
      <c r="H406" s="20"/>
      <c r="I406" s="20"/>
      <c r="J406" s="20"/>
      <c r="K406" s="20"/>
      <c r="M406" s="2" t="str">
        <f>IF(ISBLANK(C406),"",IF(IFERROR(VLOOKUP(C406,DB_materiali!$A$2:$A$5000,1,FALSE),"Kļūda artikulā")=C406,"✔",tulkojums!A$42))</f>
        <v/>
      </c>
      <c r="N406" s="2" t="str">
        <f>IF(ISBLANK(C406),"",IF(ISNUMBER(F406)=TRUE,"✔",tulkojums!A$43))</f>
        <v/>
      </c>
      <c r="O406" s="2" t="str">
        <f>IF(ISBLANK(C406),"",IF(G406="Y","✔",IF(G406="X","✔",IF(G406="N","✔",tulkojums!A$44))))</f>
        <v/>
      </c>
      <c r="P406" s="2" t="str">
        <f>IF(ISBLANK(H406),"",IF(INDEX(DB_materiali!$E$2:$E$5000,MATCH($C406,DB_materiali!$A$2:$A$5000,0))&gt;=INDEX(DB_malas!$C$2:$C$5000,MATCH(H406,DB_malas!$A$2:$A$5000,0)),IF(INDEX(DB_materiali!$E$2:$E$5000,MATCH($C406,DB_materiali!$A$2:$A$5000,0))&lt;=INDEX(DB_malas!$D$2:$D$5000,MATCH(H406,DB_malas!$A$2:$A$5000,0)),IF(OR(INDEX(DB_materiali!$B$2:$B$5000,MATCH($C406,DB_materiali!$A$2:$A$5000,0))=INDEX(DB_malas!$B$2:$B$5000,MATCH(H406,DB_malas!$A$2:$A$5000,0)),$H406="ORG"),"✔",tulkojums!$A$38),tulkojums!$A$39),tulkojums!$A$39))</f>
        <v/>
      </c>
      <c r="Q406" s="2" t="str">
        <f>IF(ISBLANK(I406),"",IF(INDEX(DB_materiali!$E$2:$E$5000,MATCH($C406,DB_materiali!$A$2:$A$5000,0))&gt;=INDEX(DB_malas!$C$2:$C$5000,MATCH(I406,DB_malas!$A$2:$A$5000,0)),IF(INDEX(DB_materiali!$E$2:$E$5000,MATCH($C406,DB_materiali!$A$2:$A$5000,0))&lt;=INDEX(DB_malas!$D$2:$D$5000,MATCH(I406,DB_malas!$A$2:$A$5000,0)),IF(OR(INDEX(DB_materiali!$B$2:$B$5000,MATCH($C406,DB_materiali!$A$2:$A$5000,0))=INDEX(DB_malas!$B$2:$B$5000,MATCH(I406,DB_malas!$A$2:$A$5000,0)),$H406="ORG"),"✔",tulkojums!$A$38),tulkojums!$A$39),tulkojums!$A$39))</f>
        <v/>
      </c>
      <c r="R406" s="2" t="str">
        <f>IF(ISBLANK(J406),"",IF(INDEX(DB_materiali!$E$2:$E$5000,MATCH($C406,DB_materiali!$A$2:$A$5000,0))&gt;=INDEX(DB_malas!$C$2:$C$5000,MATCH(J406,DB_malas!$A$2:$A$5000,0)),IF(INDEX(DB_materiali!$E$2:$E$5000,MATCH($C406,DB_materiali!$A$2:$A$5000,0))&lt;=INDEX(DB_malas!$D$2:$D$5000,MATCH(J406,DB_malas!$A$2:$A$5000,0)),IF(INDEX(DB_materiali!$B$2:$B$5000,MATCH($C406,DB_materiali!$A$2:$A$5000,0))=INDEX(DB_malas!$B$2:$B$5000,MATCH(J406,DB_malas!$A$2:$A$5000,0)),"✔",tulkojums!$A$38),tulkojums!$A$39),tulkojums!$A$39))</f>
        <v/>
      </c>
      <c r="S406" s="2" t="str">
        <f>IF(ISBLANK(K406),"",IF(INDEX(DB_materiali!$E$2:$E$5000,MATCH($C406,DB_materiali!$A$2:$A$5000,0))&gt;=INDEX(DB_malas!$C$2:$C$5000,MATCH(K406,DB_malas!$A$2:$A$5000,0)),IF(INDEX(DB_materiali!$E$2:$E$5000,MATCH($C406,DB_materiali!$A$2:$A$5000,0))&lt;=INDEX(DB_malas!$D$2:$D$5000,MATCH(K406,DB_malas!$A$2:$A$5000,0)),IF(INDEX(DB_materiali!$B$2:$B$5000,MATCH($C406,DB_materiali!$A$2:$A$5000,0))=INDEX(DB_malas!$B$2:$B$5000,MATCH(K406,DB_malas!$A$2:$A$5000,0)),"✔",tulkojums!$A$38),tulkojums!$A$39),tulkojums!$A$39))</f>
        <v/>
      </c>
      <c r="T406" s="2"/>
      <c r="U406" s="2"/>
      <c r="V406" s="2"/>
      <c r="W406" s="2"/>
      <c r="X406" s="2"/>
      <c r="Y406" s="2"/>
      <c r="Z406" s="2"/>
    </row>
    <row r="407" spans="1:26" ht="15.75" customHeight="1">
      <c r="A407" s="17"/>
      <c r="B407" s="18"/>
      <c r="C407" s="19"/>
      <c r="D407" s="55"/>
      <c r="E407" s="55"/>
      <c r="F407" s="56"/>
      <c r="G407" s="57" t="str">
        <f>IF(ISBLANK(C407),"",
   IFERROR(
      IF(
         INDEX(DB_materiali!C$2:C$5000,
               MATCH(C407, DB_materiali!A$2:A$5000, 0)
         )="FALSE",
         "N",
         "Y"
      ),
   "")
)</f>
        <v/>
      </c>
      <c r="H407" s="20"/>
      <c r="I407" s="20"/>
      <c r="J407" s="20"/>
      <c r="K407" s="20"/>
      <c r="M407" s="2" t="str">
        <f>IF(ISBLANK(C407),"",IF(IFERROR(VLOOKUP(C407,DB_materiali!$A$2:$A$5000,1,FALSE),"Kļūda artikulā")=C407,"✔",tulkojums!A$42))</f>
        <v/>
      </c>
      <c r="N407" s="2" t="str">
        <f>IF(ISBLANK(C407),"",IF(ISNUMBER(F407)=TRUE,"✔",tulkojums!A$43))</f>
        <v/>
      </c>
      <c r="O407" s="2" t="str">
        <f>IF(ISBLANK(C407),"",IF(G407="Y","✔",IF(G407="X","✔",IF(G407="N","✔",tulkojums!A$44))))</f>
        <v/>
      </c>
      <c r="P407" s="2" t="str">
        <f>IF(ISBLANK(H407),"",IF(INDEX(DB_materiali!$E$2:$E$5000,MATCH($C407,DB_materiali!$A$2:$A$5000,0))&gt;=INDEX(DB_malas!$C$2:$C$5000,MATCH(H407,DB_malas!$A$2:$A$5000,0)),IF(INDEX(DB_materiali!$E$2:$E$5000,MATCH($C407,DB_materiali!$A$2:$A$5000,0))&lt;=INDEX(DB_malas!$D$2:$D$5000,MATCH(H407,DB_malas!$A$2:$A$5000,0)),IF(OR(INDEX(DB_materiali!$B$2:$B$5000,MATCH($C407,DB_materiali!$A$2:$A$5000,0))=INDEX(DB_malas!$B$2:$B$5000,MATCH(H407,DB_malas!$A$2:$A$5000,0)),$H407="ORG"),"✔",tulkojums!$A$38),tulkojums!$A$39),tulkojums!$A$39))</f>
        <v/>
      </c>
      <c r="Q407" s="2" t="str">
        <f>IF(ISBLANK(I407),"",IF(INDEX(DB_materiali!$E$2:$E$5000,MATCH($C407,DB_materiali!$A$2:$A$5000,0))&gt;=INDEX(DB_malas!$C$2:$C$5000,MATCH(I407,DB_malas!$A$2:$A$5000,0)),IF(INDEX(DB_materiali!$E$2:$E$5000,MATCH($C407,DB_materiali!$A$2:$A$5000,0))&lt;=INDEX(DB_malas!$D$2:$D$5000,MATCH(I407,DB_malas!$A$2:$A$5000,0)),IF(OR(INDEX(DB_materiali!$B$2:$B$5000,MATCH($C407,DB_materiali!$A$2:$A$5000,0))=INDEX(DB_malas!$B$2:$B$5000,MATCH(I407,DB_malas!$A$2:$A$5000,0)),$H407="ORG"),"✔",tulkojums!$A$38),tulkojums!$A$39),tulkojums!$A$39))</f>
        <v/>
      </c>
      <c r="R407" s="2" t="str">
        <f>IF(ISBLANK(J407),"",IF(INDEX(DB_materiali!$E$2:$E$5000,MATCH($C407,DB_materiali!$A$2:$A$5000,0))&gt;=INDEX(DB_malas!$C$2:$C$5000,MATCH(J407,DB_malas!$A$2:$A$5000,0)),IF(INDEX(DB_materiali!$E$2:$E$5000,MATCH($C407,DB_materiali!$A$2:$A$5000,0))&lt;=INDEX(DB_malas!$D$2:$D$5000,MATCH(J407,DB_malas!$A$2:$A$5000,0)),IF(INDEX(DB_materiali!$B$2:$B$5000,MATCH($C407,DB_materiali!$A$2:$A$5000,0))=INDEX(DB_malas!$B$2:$B$5000,MATCH(J407,DB_malas!$A$2:$A$5000,0)),"✔",tulkojums!$A$38),tulkojums!$A$39),tulkojums!$A$39))</f>
        <v/>
      </c>
      <c r="S407" s="2" t="str">
        <f>IF(ISBLANK(K407),"",IF(INDEX(DB_materiali!$E$2:$E$5000,MATCH($C407,DB_materiali!$A$2:$A$5000,0))&gt;=INDEX(DB_malas!$C$2:$C$5000,MATCH(K407,DB_malas!$A$2:$A$5000,0)),IF(INDEX(DB_materiali!$E$2:$E$5000,MATCH($C407,DB_materiali!$A$2:$A$5000,0))&lt;=INDEX(DB_malas!$D$2:$D$5000,MATCH(K407,DB_malas!$A$2:$A$5000,0)),IF(INDEX(DB_materiali!$B$2:$B$5000,MATCH($C407,DB_materiali!$A$2:$A$5000,0))=INDEX(DB_malas!$B$2:$B$5000,MATCH(K407,DB_malas!$A$2:$A$5000,0)),"✔",tulkojums!$A$38),tulkojums!$A$39),tulkojums!$A$39))</f>
        <v/>
      </c>
      <c r="T407" s="2"/>
      <c r="U407" s="2"/>
      <c r="V407" s="2"/>
      <c r="W407" s="2"/>
      <c r="X407" s="2"/>
      <c r="Y407" s="2"/>
      <c r="Z407" s="2"/>
    </row>
    <row r="408" spans="1:26" ht="15.75" customHeight="1">
      <c r="A408" s="17"/>
      <c r="B408" s="18"/>
      <c r="C408" s="19"/>
      <c r="D408" s="55"/>
      <c r="E408" s="55"/>
      <c r="F408" s="56"/>
      <c r="G408" s="57" t="str">
        <f>IF(ISBLANK(C408),"",
   IFERROR(
      IF(
         INDEX(DB_materiali!C$2:C$5000,
               MATCH(C408, DB_materiali!A$2:A$5000, 0)
         )="FALSE",
         "N",
         "Y"
      ),
   "")
)</f>
        <v/>
      </c>
      <c r="H408" s="20"/>
      <c r="I408" s="20"/>
      <c r="J408" s="20"/>
      <c r="K408" s="20"/>
      <c r="M408" s="2" t="str">
        <f>IF(ISBLANK(C408),"",IF(IFERROR(VLOOKUP(C408,DB_materiali!$A$2:$A$5000,1,FALSE),"Kļūda artikulā")=C408,"✔",tulkojums!A$42))</f>
        <v/>
      </c>
      <c r="N408" s="2" t="str">
        <f>IF(ISBLANK(C408),"",IF(ISNUMBER(F408)=TRUE,"✔",tulkojums!A$43))</f>
        <v/>
      </c>
      <c r="O408" s="2" t="str">
        <f>IF(ISBLANK(C408),"",IF(G408="Y","✔",IF(G408="X","✔",IF(G408="N","✔",tulkojums!A$44))))</f>
        <v/>
      </c>
      <c r="P408" s="2" t="str">
        <f>IF(ISBLANK(H408),"",IF(INDEX(DB_materiali!$E$2:$E$5000,MATCH($C408,DB_materiali!$A$2:$A$5000,0))&gt;=INDEX(DB_malas!$C$2:$C$5000,MATCH(H408,DB_malas!$A$2:$A$5000,0)),IF(INDEX(DB_materiali!$E$2:$E$5000,MATCH($C408,DB_materiali!$A$2:$A$5000,0))&lt;=INDEX(DB_malas!$D$2:$D$5000,MATCH(H408,DB_malas!$A$2:$A$5000,0)),IF(OR(INDEX(DB_materiali!$B$2:$B$5000,MATCH($C408,DB_materiali!$A$2:$A$5000,0))=INDEX(DB_malas!$B$2:$B$5000,MATCH(H408,DB_malas!$A$2:$A$5000,0)),$H408="ORG"),"✔",tulkojums!$A$38),tulkojums!$A$39),tulkojums!$A$39))</f>
        <v/>
      </c>
      <c r="Q408" s="2" t="str">
        <f>IF(ISBLANK(I408),"",IF(INDEX(DB_materiali!$E$2:$E$5000,MATCH($C408,DB_materiali!$A$2:$A$5000,0))&gt;=INDEX(DB_malas!$C$2:$C$5000,MATCH(I408,DB_malas!$A$2:$A$5000,0)),IF(INDEX(DB_materiali!$E$2:$E$5000,MATCH($C408,DB_materiali!$A$2:$A$5000,0))&lt;=INDEX(DB_malas!$D$2:$D$5000,MATCH(I408,DB_malas!$A$2:$A$5000,0)),IF(OR(INDEX(DB_materiali!$B$2:$B$5000,MATCH($C408,DB_materiali!$A$2:$A$5000,0))=INDEX(DB_malas!$B$2:$B$5000,MATCH(I408,DB_malas!$A$2:$A$5000,0)),$H408="ORG"),"✔",tulkojums!$A$38),tulkojums!$A$39),tulkojums!$A$39))</f>
        <v/>
      </c>
      <c r="R408" s="2" t="str">
        <f>IF(ISBLANK(J408),"",IF(INDEX(DB_materiali!$E$2:$E$5000,MATCH($C408,DB_materiali!$A$2:$A$5000,0))&gt;=INDEX(DB_malas!$C$2:$C$5000,MATCH(J408,DB_malas!$A$2:$A$5000,0)),IF(INDEX(DB_materiali!$E$2:$E$5000,MATCH($C408,DB_materiali!$A$2:$A$5000,0))&lt;=INDEX(DB_malas!$D$2:$D$5000,MATCH(J408,DB_malas!$A$2:$A$5000,0)),IF(INDEX(DB_materiali!$B$2:$B$5000,MATCH($C408,DB_materiali!$A$2:$A$5000,0))=INDEX(DB_malas!$B$2:$B$5000,MATCH(J408,DB_malas!$A$2:$A$5000,0)),"✔",tulkojums!$A$38),tulkojums!$A$39),tulkojums!$A$39))</f>
        <v/>
      </c>
      <c r="S408" s="2" t="str">
        <f>IF(ISBLANK(K408),"",IF(INDEX(DB_materiali!$E$2:$E$5000,MATCH($C408,DB_materiali!$A$2:$A$5000,0))&gt;=INDEX(DB_malas!$C$2:$C$5000,MATCH(K408,DB_malas!$A$2:$A$5000,0)),IF(INDEX(DB_materiali!$E$2:$E$5000,MATCH($C408,DB_materiali!$A$2:$A$5000,0))&lt;=INDEX(DB_malas!$D$2:$D$5000,MATCH(K408,DB_malas!$A$2:$A$5000,0)),IF(INDEX(DB_materiali!$B$2:$B$5000,MATCH($C408,DB_materiali!$A$2:$A$5000,0))=INDEX(DB_malas!$B$2:$B$5000,MATCH(K408,DB_malas!$A$2:$A$5000,0)),"✔",tulkojums!$A$38),tulkojums!$A$39),tulkojums!$A$39))</f>
        <v/>
      </c>
      <c r="T408" s="2"/>
      <c r="U408" s="2"/>
      <c r="V408" s="2"/>
      <c r="W408" s="2"/>
      <c r="X408" s="2"/>
      <c r="Y408" s="2"/>
      <c r="Z408" s="2"/>
    </row>
    <row r="409" spans="1:26" ht="15.75" customHeight="1">
      <c r="A409" s="17"/>
      <c r="B409" s="18"/>
      <c r="C409" s="19"/>
      <c r="D409" s="55"/>
      <c r="E409" s="55"/>
      <c r="F409" s="56"/>
      <c r="G409" s="57" t="str">
        <f>IF(ISBLANK(C409),"",
   IFERROR(
      IF(
         INDEX(DB_materiali!C$2:C$5000,
               MATCH(C409, DB_materiali!A$2:A$5000, 0)
         )="FALSE",
         "N",
         "Y"
      ),
   "")
)</f>
        <v/>
      </c>
      <c r="H409" s="20"/>
      <c r="I409" s="20"/>
      <c r="J409" s="20"/>
      <c r="K409" s="20"/>
      <c r="M409" s="2" t="str">
        <f>IF(ISBLANK(C409),"",IF(IFERROR(VLOOKUP(C409,DB_materiali!$A$2:$A$5000,1,FALSE),"Kļūda artikulā")=C409,"✔",tulkojums!A$42))</f>
        <v/>
      </c>
      <c r="N409" s="2" t="str">
        <f>IF(ISBLANK(C409),"",IF(ISNUMBER(F409)=TRUE,"✔",tulkojums!A$43))</f>
        <v/>
      </c>
      <c r="O409" s="2" t="str">
        <f>IF(ISBLANK(C409),"",IF(G409="Y","✔",IF(G409="X","✔",IF(G409="N","✔",tulkojums!A$44))))</f>
        <v/>
      </c>
      <c r="P409" s="2" t="str">
        <f>IF(ISBLANK(H409),"",IF(INDEX(DB_materiali!$E$2:$E$5000,MATCH($C409,DB_materiali!$A$2:$A$5000,0))&gt;=INDEX(DB_malas!$C$2:$C$5000,MATCH(H409,DB_malas!$A$2:$A$5000,0)),IF(INDEX(DB_materiali!$E$2:$E$5000,MATCH($C409,DB_materiali!$A$2:$A$5000,0))&lt;=INDEX(DB_malas!$D$2:$D$5000,MATCH(H409,DB_malas!$A$2:$A$5000,0)),IF(OR(INDEX(DB_materiali!$B$2:$B$5000,MATCH($C409,DB_materiali!$A$2:$A$5000,0))=INDEX(DB_malas!$B$2:$B$5000,MATCH(H409,DB_malas!$A$2:$A$5000,0)),$H409="ORG"),"✔",tulkojums!$A$38),tulkojums!$A$39),tulkojums!$A$39))</f>
        <v/>
      </c>
      <c r="Q409" s="2" t="str">
        <f>IF(ISBLANK(I409),"",IF(INDEX(DB_materiali!$E$2:$E$5000,MATCH($C409,DB_materiali!$A$2:$A$5000,0))&gt;=INDEX(DB_malas!$C$2:$C$5000,MATCH(I409,DB_malas!$A$2:$A$5000,0)),IF(INDEX(DB_materiali!$E$2:$E$5000,MATCH($C409,DB_materiali!$A$2:$A$5000,0))&lt;=INDEX(DB_malas!$D$2:$D$5000,MATCH(I409,DB_malas!$A$2:$A$5000,0)),IF(OR(INDEX(DB_materiali!$B$2:$B$5000,MATCH($C409,DB_materiali!$A$2:$A$5000,0))=INDEX(DB_malas!$B$2:$B$5000,MATCH(I409,DB_malas!$A$2:$A$5000,0)),$H409="ORG"),"✔",tulkojums!$A$38),tulkojums!$A$39),tulkojums!$A$39))</f>
        <v/>
      </c>
      <c r="R409" s="2" t="str">
        <f>IF(ISBLANK(J409),"",IF(INDEX(DB_materiali!$E$2:$E$5000,MATCH($C409,DB_materiali!$A$2:$A$5000,0))&gt;=INDEX(DB_malas!$C$2:$C$5000,MATCH(J409,DB_malas!$A$2:$A$5000,0)),IF(INDEX(DB_materiali!$E$2:$E$5000,MATCH($C409,DB_materiali!$A$2:$A$5000,0))&lt;=INDEX(DB_malas!$D$2:$D$5000,MATCH(J409,DB_malas!$A$2:$A$5000,0)),IF(INDEX(DB_materiali!$B$2:$B$5000,MATCH($C409,DB_materiali!$A$2:$A$5000,0))=INDEX(DB_malas!$B$2:$B$5000,MATCH(J409,DB_malas!$A$2:$A$5000,0)),"✔",tulkojums!$A$38),tulkojums!$A$39),tulkojums!$A$39))</f>
        <v/>
      </c>
      <c r="S409" s="2" t="str">
        <f>IF(ISBLANK(K409),"",IF(INDEX(DB_materiali!$E$2:$E$5000,MATCH($C409,DB_materiali!$A$2:$A$5000,0))&gt;=INDEX(DB_malas!$C$2:$C$5000,MATCH(K409,DB_malas!$A$2:$A$5000,0)),IF(INDEX(DB_materiali!$E$2:$E$5000,MATCH($C409,DB_materiali!$A$2:$A$5000,0))&lt;=INDEX(DB_malas!$D$2:$D$5000,MATCH(K409,DB_malas!$A$2:$A$5000,0)),IF(INDEX(DB_materiali!$B$2:$B$5000,MATCH($C409,DB_materiali!$A$2:$A$5000,0))=INDEX(DB_malas!$B$2:$B$5000,MATCH(K409,DB_malas!$A$2:$A$5000,0)),"✔",tulkojums!$A$38),tulkojums!$A$39),tulkojums!$A$39))</f>
        <v/>
      </c>
      <c r="T409" s="2"/>
      <c r="U409" s="2"/>
      <c r="V409" s="2"/>
      <c r="W409" s="2"/>
      <c r="X409" s="2"/>
      <c r="Y409" s="2"/>
      <c r="Z409" s="2"/>
    </row>
    <row r="410" spans="1:26" ht="15.75" customHeight="1">
      <c r="A410" s="17"/>
      <c r="B410" s="18"/>
      <c r="C410" s="19"/>
      <c r="D410" s="55"/>
      <c r="E410" s="55"/>
      <c r="F410" s="56"/>
      <c r="G410" s="57" t="str">
        <f>IF(ISBLANK(C410),"",
   IFERROR(
      IF(
         INDEX(DB_materiali!C$2:C$5000,
               MATCH(C410, DB_materiali!A$2:A$5000, 0)
         )="FALSE",
         "N",
         "Y"
      ),
   "")
)</f>
        <v/>
      </c>
      <c r="H410" s="20"/>
      <c r="I410" s="20"/>
      <c r="J410" s="20"/>
      <c r="K410" s="20"/>
      <c r="M410" s="2" t="str">
        <f>IF(ISBLANK(C410),"",IF(IFERROR(VLOOKUP(C410,DB_materiali!$A$2:$A$5000,1,FALSE),"Kļūda artikulā")=C410,"✔",tulkojums!A$42))</f>
        <v/>
      </c>
      <c r="N410" s="2" t="str">
        <f>IF(ISBLANK(C410),"",IF(ISNUMBER(F410)=TRUE,"✔",tulkojums!A$43))</f>
        <v/>
      </c>
      <c r="O410" s="2" t="str">
        <f>IF(ISBLANK(C410),"",IF(G410="Y","✔",IF(G410="X","✔",IF(G410="N","✔",tulkojums!A$44))))</f>
        <v/>
      </c>
      <c r="P410" s="2" t="str">
        <f>IF(ISBLANK(H410),"",IF(INDEX(DB_materiali!$E$2:$E$5000,MATCH($C410,DB_materiali!$A$2:$A$5000,0))&gt;=INDEX(DB_malas!$C$2:$C$5000,MATCH(H410,DB_malas!$A$2:$A$5000,0)),IF(INDEX(DB_materiali!$E$2:$E$5000,MATCH($C410,DB_materiali!$A$2:$A$5000,0))&lt;=INDEX(DB_malas!$D$2:$D$5000,MATCH(H410,DB_malas!$A$2:$A$5000,0)),IF(OR(INDEX(DB_materiali!$B$2:$B$5000,MATCH($C410,DB_materiali!$A$2:$A$5000,0))=INDEX(DB_malas!$B$2:$B$5000,MATCH(H410,DB_malas!$A$2:$A$5000,0)),$H410="ORG"),"✔",tulkojums!$A$38),tulkojums!$A$39),tulkojums!$A$39))</f>
        <v/>
      </c>
      <c r="Q410" s="2" t="str">
        <f>IF(ISBLANK(I410),"",IF(INDEX(DB_materiali!$E$2:$E$5000,MATCH($C410,DB_materiali!$A$2:$A$5000,0))&gt;=INDEX(DB_malas!$C$2:$C$5000,MATCH(I410,DB_malas!$A$2:$A$5000,0)),IF(INDEX(DB_materiali!$E$2:$E$5000,MATCH($C410,DB_materiali!$A$2:$A$5000,0))&lt;=INDEX(DB_malas!$D$2:$D$5000,MATCH(I410,DB_malas!$A$2:$A$5000,0)),IF(OR(INDEX(DB_materiali!$B$2:$B$5000,MATCH($C410,DB_materiali!$A$2:$A$5000,0))=INDEX(DB_malas!$B$2:$B$5000,MATCH(I410,DB_malas!$A$2:$A$5000,0)),$H410="ORG"),"✔",tulkojums!$A$38),tulkojums!$A$39),tulkojums!$A$39))</f>
        <v/>
      </c>
      <c r="R410" s="2" t="str">
        <f>IF(ISBLANK(J410),"",IF(INDEX(DB_materiali!$E$2:$E$5000,MATCH($C410,DB_materiali!$A$2:$A$5000,0))&gt;=INDEX(DB_malas!$C$2:$C$5000,MATCH(J410,DB_malas!$A$2:$A$5000,0)),IF(INDEX(DB_materiali!$E$2:$E$5000,MATCH($C410,DB_materiali!$A$2:$A$5000,0))&lt;=INDEX(DB_malas!$D$2:$D$5000,MATCH(J410,DB_malas!$A$2:$A$5000,0)),IF(INDEX(DB_materiali!$B$2:$B$5000,MATCH($C410,DB_materiali!$A$2:$A$5000,0))=INDEX(DB_malas!$B$2:$B$5000,MATCH(J410,DB_malas!$A$2:$A$5000,0)),"✔",tulkojums!$A$38),tulkojums!$A$39),tulkojums!$A$39))</f>
        <v/>
      </c>
      <c r="S410" s="2" t="str">
        <f>IF(ISBLANK(K410),"",IF(INDEX(DB_materiali!$E$2:$E$5000,MATCH($C410,DB_materiali!$A$2:$A$5000,0))&gt;=INDEX(DB_malas!$C$2:$C$5000,MATCH(K410,DB_malas!$A$2:$A$5000,0)),IF(INDEX(DB_materiali!$E$2:$E$5000,MATCH($C410,DB_materiali!$A$2:$A$5000,0))&lt;=INDEX(DB_malas!$D$2:$D$5000,MATCH(K410,DB_malas!$A$2:$A$5000,0)),IF(INDEX(DB_materiali!$B$2:$B$5000,MATCH($C410,DB_materiali!$A$2:$A$5000,0))=INDEX(DB_malas!$B$2:$B$5000,MATCH(K410,DB_malas!$A$2:$A$5000,0)),"✔",tulkojums!$A$38),tulkojums!$A$39),tulkojums!$A$39))</f>
        <v/>
      </c>
      <c r="T410" s="2"/>
      <c r="U410" s="2"/>
      <c r="V410" s="2"/>
      <c r="W410" s="2"/>
      <c r="X410" s="2"/>
      <c r="Y410" s="2"/>
      <c r="Z410" s="2"/>
    </row>
    <row r="411" spans="1:26" ht="15.75" customHeight="1">
      <c r="A411" s="17"/>
      <c r="B411" s="18"/>
      <c r="C411" s="19"/>
      <c r="D411" s="55"/>
      <c r="E411" s="55"/>
      <c r="F411" s="56"/>
      <c r="G411" s="57" t="str">
        <f>IF(ISBLANK(C411),"",
   IFERROR(
      IF(
         INDEX(DB_materiali!C$2:C$5000,
               MATCH(C411, DB_materiali!A$2:A$5000, 0)
         )="FALSE",
         "N",
         "Y"
      ),
   "")
)</f>
        <v/>
      </c>
      <c r="H411" s="20"/>
      <c r="I411" s="20"/>
      <c r="J411" s="20"/>
      <c r="K411" s="20"/>
      <c r="M411" s="2" t="str">
        <f>IF(ISBLANK(C411),"",IF(IFERROR(VLOOKUP(C411,DB_materiali!$A$2:$A$5000,1,FALSE),"Kļūda artikulā")=C411,"✔",tulkojums!A$42))</f>
        <v/>
      </c>
      <c r="N411" s="2" t="str">
        <f>IF(ISBLANK(C411),"",IF(ISNUMBER(F411)=TRUE,"✔",tulkojums!A$43))</f>
        <v/>
      </c>
      <c r="O411" s="2" t="str">
        <f>IF(ISBLANK(C411),"",IF(G411="Y","✔",IF(G411="X","✔",IF(G411="N","✔",tulkojums!A$44))))</f>
        <v/>
      </c>
      <c r="P411" s="2" t="str">
        <f>IF(ISBLANK(H411),"",IF(INDEX(DB_materiali!$E$2:$E$5000,MATCH($C411,DB_materiali!$A$2:$A$5000,0))&gt;=INDEX(DB_malas!$C$2:$C$5000,MATCH(H411,DB_malas!$A$2:$A$5000,0)),IF(INDEX(DB_materiali!$E$2:$E$5000,MATCH($C411,DB_materiali!$A$2:$A$5000,0))&lt;=INDEX(DB_malas!$D$2:$D$5000,MATCH(H411,DB_malas!$A$2:$A$5000,0)),IF(OR(INDEX(DB_materiali!$B$2:$B$5000,MATCH($C411,DB_materiali!$A$2:$A$5000,0))=INDEX(DB_malas!$B$2:$B$5000,MATCH(H411,DB_malas!$A$2:$A$5000,0)),$H411="ORG"),"✔",tulkojums!$A$38),tulkojums!$A$39),tulkojums!$A$39))</f>
        <v/>
      </c>
      <c r="Q411" s="2" t="str">
        <f>IF(ISBLANK(I411),"",IF(INDEX(DB_materiali!$E$2:$E$5000,MATCH($C411,DB_materiali!$A$2:$A$5000,0))&gt;=INDEX(DB_malas!$C$2:$C$5000,MATCH(I411,DB_malas!$A$2:$A$5000,0)),IF(INDEX(DB_materiali!$E$2:$E$5000,MATCH($C411,DB_materiali!$A$2:$A$5000,0))&lt;=INDEX(DB_malas!$D$2:$D$5000,MATCH(I411,DB_malas!$A$2:$A$5000,0)),IF(OR(INDEX(DB_materiali!$B$2:$B$5000,MATCH($C411,DB_materiali!$A$2:$A$5000,0))=INDEX(DB_malas!$B$2:$B$5000,MATCH(I411,DB_malas!$A$2:$A$5000,0)),$H411="ORG"),"✔",tulkojums!$A$38),tulkojums!$A$39),tulkojums!$A$39))</f>
        <v/>
      </c>
      <c r="R411" s="2" t="str">
        <f>IF(ISBLANK(J411),"",IF(INDEX(DB_materiali!$E$2:$E$5000,MATCH($C411,DB_materiali!$A$2:$A$5000,0))&gt;=INDEX(DB_malas!$C$2:$C$5000,MATCH(J411,DB_malas!$A$2:$A$5000,0)),IF(INDEX(DB_materiali!$E$2:$E$5000,MATCH($C411,DB_materiali!$A$2:$A$5000,0))&lt;=INDEX(DB_malas!$D$2:$D$5000,MATCH(J411,DB_malas!$A$2:$A$5000,0)),IF(INDEX(DB_materiali!$B$2:$B$5000,MATCH($C411,DB_materiali!$A$2:$A$5000,0))=INDEX(DB_malas!$B$2:$B$5000,MATCH(J411,DB_malas!$A$2:$A$5000,0)),"✔",tulkojums!$A$38),tulkojums!$A$39),tulkojums!$A$39))</f>
        <v/>
      </c>
      <c r="S411" s="2" t="str">
        <f>IF(ISBLANK(K411),"",IF(INDEX(DB_materiali!$E$2:$E$5000,MATCH($C411,DB_materiali!$A$2:$A$5000,0))&gt;=INDEX(DB_malas!$C$2:$C$5000,MATCH(K411,DB_malas!$A$2:$A$5000,0)),IF(INDEX(DB_materiali!$E$2:$E$5000,MATCH($C411,DB_materiali!$A$2:$A$5000,0))&lt;=INDEX(DB_malas!$D$2:$D$5000,MATCH(K411,DB_malas!$A$2:$A$5000,0)),IF(INDEX(DB_materiali!$B$2:$B$5000,MATCH($C411,DB_materiali!$A$2:$A$5000,0))=INDEX(DB_malas!$B$2:$B$5000,MATCH(K411,DB_malas!$A$2:$A$5000,0)),"✔",tulkojums!$A$38),tulkojums!$A$39),tulkojums!$A$39))</f>
        <v/>
      </c>
      <c r="T411" s="2"/>
      <c r="U411" s="2"/>
      <c r="V411" s="2"/>
      <c r="W411" s="2"/>
      <c r="X411" s="2"/>
      <c r="Y411" s="2"/>
      <c r="Z411" s="2"/>
    </row>
    <row r="412" spans="1:26" ht="15.75" customHeight="1">
      <c r="A412" s="17"/>
      <c r="B412" s="18"/>
      <c r="C412" s="19"/>
      <c r="D412" s="55"/>
      <c r="E412" s="55"/>
      <c r="F412" s="56"/>
      <c r="G412" s="57" t="str">
        <f>IF(ISBLANK(C412),"",
   IFERROR(
      IF(
         INDEX(DB_materiali!C$2:C$5000,
               MATCH(C412, DB_materiali!A$2:A$5000, 0)
         )="FALSE",
         "N",
         "Y"
      ),
   "")
)</f>
        <v/>
      </c>
      <c r="H412" s="20"/>
      <c r="I412" s="20"/>
      <c r="J412" s="20"/>
      <c r="K412" s="20"/>
      <c r="M412" s="2" t="str">
        <f>IF(ISBLANK(C412),"",IF(IFERROR(VLOOKUP(C412,DB_materiali!$A$2:$A$5000,1,FALSE),"Kļūda artikulā")=C412,"✔",tulkojums!A$42))</f>
        <v/>
      </c>
      <c r="N412" s="2" t="str">
        <f>IF(ISBLANK(C412),"",IF(ISNUMBER(F412)=TRUE,"✔",tulkojums!A$43))</f>
        <v/>
      </c>
      <c r="O412" s="2" t="str">
        <f>IF(ISBLANK(C412),"",IF(G412="Y","✔",IF(G412="X","✔",IF(G412="N","✔",tulkojums!A$44))))</f>
        <v/>
      </c>
      <c r="P412" s="2" t="str">
        <f>IF(ISBLANK(H412),"",IF(INDEX(DB_materiali!$E$2:$E$5000,MATCH($C412,DB_materiali!$A$2:$A$5000,0))&gt;=INDEX(DB_malas!$C$2:$C$5000,MATCH(H412,DB_malas!$A$2:$A$5000,0)),IF(INDEX(DB_materiali!$E$2:$E$5000,MATCH($C412,DB_materiali!$A$2:$A$5000,0))&lt;=INDEX(DB_malas!$D$2:$D$5000,MATCH(H412,DB_malas!$A$2:$A$5000,0)),IF(OR(INDEX(DB_materiali!$B$2:$B$5000,MATCH($C412,DB_materiali!$A$2:$A$5000,0))=INDEX(DB_malas!$B$2:$B$5000,MATCH(H412,DB_malas!$A$2:$A$5000,0)),$H412="ORG"),"✔",tulkojums!$A$38),tulkojums!$A$39),tulkojums!$A$39))</f>
        <v/>
      </c>
      <c r="Q412" s="2" t="str">
        <f>IF(ISBLANK(I412),"",IF(INDEX(DB_materiali!$E$2:$E$5000,MATCH($C412,DB_materiali!$A$2:$A$5000,0))&gt;=INDEX(DB_malas!$C$2:$C$5000,MATCH(I412,DB_malas!$A$2:$A$5000,0)),IF(INDEX(DB_materiali!$E$2:$E$5000,MATCH($C412,DB_materiali!$A$2:$A$5000,0))&lt;=INDEX(DB_malas!$D$2:$D$5000,MATCH(I412,DB_malas!$A$2:$A$5000,0)),IF(OR(INDEX(DB_materiali!$B$2:$B$5000,MATCH($C412,DB_materiali!$A$2:$A$5000,0))=INDEX(DB_malas!$B$2:$B$5000,MATCH(I412,DB_malas!$A$2:$A$5000,0)),$H412="ORG"),"✔",tulkojums!$A$38),tulkojums!$A$39),tulkojums!$A$39))</f>
        <v/>
      </c>
      <c r="R412" s="2" t="str">
        <f>IF(ISBLANK(J412),"",IF(INDEX(DB_materiali!$E$2:$E$5000,MATCH($C412,DB_materiali!$A$2:$A$5000,0))&gt;=INDEX(DB_malas!$C$2:$C$5000,MATCH(J412,DB_malas!$A$2:$A$5000,0)),IF(INDEX(DB_materiali!$E$2:$E$5000,MATCH($C412,DB_materiali!$A$2:$A$5000,0))&lt;=INDEX(DB_malas!$D$2:$D$5000,MATCH(J412,DB_malas!$A$2:$A$5000,0)),IF(INDEX(DB_materiali!$B$2:$B$5000,MATCH($C412,DB_materiali!$A$2:$A$5000,0))=INDEX(DB_malas!$B$2:$B$5000,MATCH(J412,DB_malas!$A$2:$A$5000,0)),"✔",tulkojums!$A$38),tulkojums!$A$39),tulkojums!$A$39))</f>
        <v/>
      </c>
      <c r="S412" s="2" t="str">
        <f>IF(ISBLANK(K412),"",IF(INDEX(DB_materiali!$E$2:$E$5000,MATCH($C412,DB_materiali!$A$2:$A$5000,0))&gt;=INDEX(DB_malas!$C$2:$C$5000,MATCH(K412,DB_malas!$A$2:$A$5000,0)),IF(INDEX(DB_materiali!$E$2:$E$5000,MATCH($C412,DB_materiali!$A$2:$A$5000,0))&lt;=INDEX(DB_malas!$D$2:$D$5000,MATCH(K412,DB_malas!$A$2:$A$5000,0)),IF(INDEX(DB_materiali!$B$2:$B$5000,MATCH($C412,DB_materiali!$A$2:$A$5000,0))=INDEX(DB_malas!$B$2:$B$5000,MATCH(K412,DB_malas!$A$2:$A$5000,0)),"✔",tulkojums!$A$38),tulkojums!$A$39),tulkojums!$A$39))</f>
        <v/>
      </c>
      <c r="T412" s="2"/>
      <c r="U412" s="2"/>
      <c r="V412" s="2"/>
      <c r="W412" s="2"/>
      <c r="X412" s="2"/>
      <c r="Y412" s="2"/>
      <c r="Z412" s="2"/>
    </row>
    <row r="413" spans="1:26" ht="15.75" customHeight="1">
      <c r="A413" s="17"/>
      <c r="B413" s="18"/>
      <c r="C413" s="19"/>
      <c r="D413" s="55"/>
      <c r="E413" s="55"/>
      <c r="F413" s="56"/>
      <c r="G413" s="57" t="str">
        <f>IF(ISBLANK(C413),"",
   IFERROR(
      IF(
         INDEX(DB_materiali!C$2:C$5000,
               MATCH(C413, DB_materiali!A$2:A$5000, 0)
         )="FALSE",
         "N",
         "Y"
      ),
   "")
)</f>
        <v/>
      </c>
      <c r="H413" s="20"/>
      <c r="I413" s="20"/>
      <c r="J413" s="20"/>
      <c r="K413" s="20"/>
      <c r="M413" s="2" t="str">
        <f>IF(ISBLANK(C413),"",IF(IFERROR(VLOOKUP(C413,DB_materiali!$A$2:$A$5000,1,FALSE),"Kļūda artikulā")=C413,"✔",tulkojums!A$42))</f>
        <v/>
      </c>
      <c r="N413" s="2" t="str">
        <f>IF(ISBLANK(C413),"",IF(ISNUMBER(F413)=TRUE,"✔",tulkojums!A$43))</f>
        <v/>
      </c>
      <c r="O413" s="2" t="str">
        <f>IF(ISBLANK(C413),"",IF(G413="Y","✔",IF(G413="X","✔",IF(G413="N","✔",tulkojums!A$44))))</f>
        <v/>
      </c>
      <c r="P413" s="2" t="str">
        <f>IF(ISBLANK(H413),"",IF(INDEX(DB_materiali!$E$2:$E$5000,MATCH($C413,DB_materiali!$A$2:$A$5000,0))&gt;=INDEX(DB_malas!$C$2:$C$5000,MATCH(H413,DB_malas!$A$2:$A$5000,0)),IF(INDEX(DB_materiali!$E$2:$E$5000,MATCH($C413,DB_materiali!$A$2:$A$5000,0))&lt;=INDEX(DB_malas!$D$2:$D$5000,MATCH(H413,DB_malas!$A$2:$A$5000,0)),IF(OR(INDEX(DB_materiali!$B$2:$B$5000,MATCH($C413,DB_materiali!$A$2:$A$5000,0))=INDEX(DB_malas!$B$2:$B$5000,MATCH(H413,DB_malas!$A$2:$A$5000,0)),$H413="ORG"),"✔",tulkojums!$A$38),tulkojums!$A$39),tulkojums!$A$39))</f>
        <v/>
      </c>
      <c r="Q413" s="2" t="str">
        <f>IF(ISBLANK(I413),"",IF(INDEX(DB_materiali!$E$2:$E$5000,MATCH($C413,DB_materiali!$A$2:$A$5000,0))&gt;=INDEX(DB_malas!$C$2:$C$5000,MATCH(I413,DB_malas!$A$2:$A$5000,0)),IF(INDEX(DB_materiali!$E$2:$E$5000,MATCH($C413,DB_materiali!$A$2:$A$5000,0))&lt;=INDEX(DB_malas!$D$2:$D$5000,MATCH(I413,DB_malas!$A$2:$A$5000,0)),IF(OR(INDEX(DB_materiali!$B$2:$B$5000,MATCH($C413,DB_materiali!$A$2:$A$5000,0))=INDEX(DB_malas!$B$2:$B$5000,MATCH(I413,DB_malas!$A$2:$A$5000,0)),$H413="ORG"),"✔",tulkojums!$A$38),tulkojums!$A$39),tulkojums!$A$39))</f>
        <v/>
      </c>
      <c r="R413" s="2" t="str">
        <f>IF(ISBLANK(J413),"",IF(INDEX(DB_materiali!$E$2:$E$5000,MATCH($C413,DB_materiali!$A$2:$A$5000,0))&gt;=INDEX(DB_malas!$C$2:$C$5000,MATCH(J413,DB_malas!$A$2:$A$5000,0)),IF(INDEX(DB_materiali!$E$2:$E$5000,MATCH($C413,DB_materiali!$A$2:$A$5000,0))&lt;=INDEX(DB_malas!$D$2:$D$5000,MATCH(J413,DB_malas!$A$2:$A$5000,0)),IF(INDEX(DB_materiali!$B$2:$B$5000,MATCH($C413,DB_materiali!$A$2:$A$5000,0))=INDEX(DB_malas!$B$2:$B$5000,MATCH(J413,DB_malas!$A$2:$A$5000,0)),"✔",tulkojums!$A$38),tulkojums!$A$39),tulkojums!$A$39))</f>
        <v/>
      </c>
      <c r="S413" s="2" t="str">
        <f>IF(ISBLANK(K413),"",IF(INDEX(DB_materiali!$E$2:$E$5000,MATCH($C413,DB_materiali!$A$2:$A$5000,0))&gt;=INDEX(DB_malas!$C$2:$C$5000,MATCH(K413,DB_malas!$A$2:$A$5000,0)),IF(INDEX(DB_materiali!$E$2:$E$5000,MATCH($C413,DB_materiali!$A$2:$A$5000,0))&lt;=INDEX(DB_malas!$D$2:$D$5000,MATCH(K413,DB_malas!$A$2:$A$5000,0)),IF(INDEX(DB_materiali!$B$2:$B$5000,MATCH($C413,DB_materiali!$A$2:$A$5000,0))=INDEX(DB_malas!$B$2:$B$5000,MATCH(K413,DB_malas!$A$2:$A$5000,0)),"✔",tulkojums!$A$38),tulkojums!$A$39),tulkojums!$A$39))</f>
        <v/>
      </c>
      <c r="T413" s="2"/>
      <c r="U413" s="2"/>
      <c r="V413" s="2"/>
      <c r="W413" s="2"/>
      <c r="X413" s="2"/>
      <c r="Y413" s="2"/>
      <c r="Z413" s="2"/>
    </row>
    <row r="414" spans="1:26" ht="15.75" customHeight="1">
      <c r="A414" s="17"/>
      <c r="B414" s="18"/>
      <c r="C414" s="19"/>
      <c r="D414" s="55"/>
      <c r="E414" s="55"/>
      <c r="F414" s="56"/>
      <c r="G414" s="57" t="str">
        <f>IF(ISBLANK(C414),"",
   IFERROR(
      IF(
         INDEX(DB_materiali!C$2:C$5000,
               MATCH(C414, DB_materiali!A$2:A$5000, 0)
         )="FALSE",
         "N",
         "Y"
      ),
   "")
)</f>
        <v/>
      </c>
      <c r="H414" s="20"/>
      <c r="I414" s="20"/>
      <c r="J414" s="20"/>
      <c r="K414" s="20"/>
      <c r="M414" s="2" t="str">
        <f>IF(ISBLANK(C414),"",IF(IFERROR(VLOOKUP(C414,DB_materiali!$A$2:$A$5000,1,FALSE),"Kļūda artikulā")=C414,"✔",tulkojums!A$42))</f>
        <v/>
      </c>
      <c r="N414" s="2" t="str">
        <f>IF(ISBLANK(C414),"",IF(ISNUMBER(F414)=TRUE,"✔",tulkojums!A$43))</f>
        <v/>
      </c>
      <c r="O414" s="2" t="str">
        <f>IF(ISBLANK(C414),"",IF(G414="Y","✔",IF(G414="X","✔",IF(G414="N","✔",tulkojums!A$44))))</f>
        <v/>
      </c>
      <c r="P414" s="2" t="str">
        <f>IF(ISBLANK(H414),"",IF(INDEX(DB_materiali!$E$2:$E$5000,MATCH($C414,DB_materiali!$A$2:$A$5000,0))&gt;=INDEX(DB_malas!$C$2:$C$5000,MATCH(H414,DB_malas!$A$2:$A$5000,0)),IF(INDEX(DB_materiali!$E$2:$E$5000,MATCH($C414,DB_materiali!$A$2:$A$5000,0))&lt;=INDEX(DB_malas!$D$2:$D$5000,MATCH(H414,DB_malas!$A$2:$A$5000,0)),IF(OR(INDEX(DB_materiali!$B$2:$B$5000,MATCH($C414,DB_materiali!$A$2:$A$5000,0))=INDEX(DB_malas!$B$2:$B$5000,MATCH(H414,DB_malas!$A$2:$A$5000,0)),$H414="ORG"),"✔",tulkojums!$A$38),tulkojums!$A$39),tulkojums!$A$39))</f>
        <v/>
      </c>
      <c r="Q414" s="2" t="str">
        <f>IF(ISBLANK(I414),"",IF(INDEX(DB_materiali!$E$2:$E$5000,MATCH($C414,DB_materiali!$A$2:$A$5000,0))&gt;=INDEX(DB_malas!$C$2:$C$5000,MATCH(I414,DB_malas!$A$2:$A$5000,0)),IF(INDEX(DB_materiali!$E$2:$E$5000,MATCH($C414,DB_materiali!$A$2:$A$5000,0))&lt;=INDEX(DB_malas!$D$2:$D$5000,MATCH(I414,DB_malas!$A$2:$A$5000,0)),IF(OR(INDEX(DB_materiali!$B$2:$B$5000,MATCH($C414,DB_materiali!$A$2:$A$5000,0))=INDEX(DB_malas!$B$2:$B$5000,MATCH(I414,DB_malas!$A$2:$A$5000,0)),$H414="ORG"),"✔",tulkojums!$A$38),tulkojums!$A$39),tulkojums!$A$39))</f>
        <v/>
      </c>
      <c r="R414" s="2" t="str">
        <f>IF(ISBLANK(J414),"",IF(INDEX(DB_materiali!$E$2:$E$5000,MATCH($C414,DB_materiali!$A$2:$A$5000,0))&gt;=INDEX(DB_malas!$C$2:$C$5000,MATCH(J414,DB_malas!$A$2:$A$5000,0)),IF(INDEX(DB_materiali!$E$2:$E$5000,MATCH($C414,DB_materiali!$A$2:$A$5000,0))&lt;=INDEX(DB_malas!$D$2:$D$5000,MATCH(J414,DB_malas!$A$2:$A$5000,0)),IF(INDEX(DB_materiali!$B$2:$B$5000,MATCH($C414,DB_materiali!$A$2:$A$5000,0))=INDEX(DB_malas!$B$2:$B$5000,MATCH(J414,DB_malas!$A$2:$A$5000,0)),"✔",tulkojums!$A$38),tulkojums!$A$39),tulkojums!$A$39))</f>
        <v/>
      </c>
      <c r="S414" s="2" t="str">
        <f>IF(ISBLANK(K414),"",IF(INDEX(DB_materiali!$E$2:$E$5000,MATCH($C414,DB_materiali!$A$2:$A$5000,0))&gt;=INDEX(DB_malas!$C$2:$C$5000,MATCH(K414,DB_malas!$A$2:$A$5000,0)),IF(INDEX(DB_materiali!$E$2:$E$5000,MATCH($C414,DB_materiali!$A$2:$A$5000,0))&lt;=INDEX(DB_malas!$D$2:$D$5000,MATCH(K414,DB_malas!$A$2:$A$5000,0)),IF(INDEX(DB_materiali!$B$2:$B$5000,MATCH($C414,DB_materiali!$A$2:$A$5000,0))=INDEX(DB_malas!$B$2:$B$5000,MATCH(K414,DB_malas!$A$2:$A$5000,0)),"✔",tulkojums!$A$38),tulkojums!$A$39),tulkojums!$A$39))</f>
        <v/>
      </c>
      <c r="T414" s="2"/>
      <c r="U414" s="2"/>
      <c r="V414" s="2"/>
      <c r="W414" s="2"/>
      <c r="X414" s="2"/>
      <c r="Y414" s="2"/>
      <c r="Z414" s="2"/>
    </row>
    <row r="415" spans="1:26" ht="15.75" customHeight="1">
      <c r="A415" s="17"/>
      <c r="B415" s="18"/>
      <c r="C415" s="19"/>
      <c r="D415" s="55"/>
      <c r="E415" s="55"/>
      <c r="F415" s="56"/>
      <c r="G415" s="57" t="str">
        <f>IF(ISBLANK(C415),"",
   IFERROR(
      IF(
         INDEX(DB_materiali!C$2:C$5000,
               MATCH(C415, DB_materiali!A$2:A$5000, 0)
         )="FALSE",
         "N",
         "Y"
      ),
   "")
)</f>
        <v/>
      </c>
      <c r="H415" s="20"/>
      <c r="I415" s="20"/>
      <c r="J415" s="20"/>
      <c r="K415" s="20"/>
      <c r="M415" s="2" t="str">
        <f>IF(ISBLANK(C415),"",IF(IFERROR(VLOOKUP(C415,DB_materiali!$A$2:$A$5000,1,FALSE),"Kļūda artikulā")=C415,"✔",tulkojums!A$42))</f>
        <v/>
      </c>
      <c r="N415" s="2" t="str">
        <f>IF(ISBLANK(C415),"",IF(ISNUMBER(F415)=TRUE,"✔",tulkojums!A$43))</f>
        <v/>
      </c>
      <c r="O415" s="2" t="str">
        <f>IF(ISBLANK(C415),"",IF(G415="Y","✔",IF(G415="X","✔",IF(G415="N","✔",tulkojums!A$44))))</f>
        <v/>
      </c>
      <c r="P415" s="2" t="str">
        <f>IF(ISBLANK(H415),"",IF(INDEX(DB_materiali!$E$2:$E$5000,MATCH($C415,DB_materiali!$A$2:$A$5000,0))&gt;=INDEX(DB_malas!$C$2:$C$5000,MATCH(H415,DB_malas!$A$2:$A$5000,0)),IF(INDEX(DB_materiali!$E$2:$E$5000,MATCH($C415,DB_materiali!$A$2:$A$5000,0))&lt;=INDEX(DB_malas!$D$2:$D$5000,MATCH(H415,DB_malas!$A$2:$A$5000,0)),IF(OR(INDEX(DB_materiali!$B$2:$B$5000,MATCH($C415,DB_materiali!$A$2:$A$5000,0))=INDEX(DB_malas!$B$2:$B$5000,MATCH(H415,DB_malas!$A$2:$A$5000,0)),$H415="ORG"),"✔",tulkojums!$A$38),tulkojums!$A$39),tulkojums!$A$39))</f>
        <v/>
      </c>
      <c r="Q415" s="2" t="str">
        <f>IF(ISBLANK(I415),"",IF(INDEX(DB_materiali!$E$2:$E$5000,MATCH($C415,DB_materiali!$A$2:$A$5000,0))&gt;=INDEX(DB_malas!$C$2:$C$5000,MATCH(I415,DB_malas!$A$2:$A$5000,0)),IF(INDEX(DB_materiali!$E$2:$E$5000,MATCH($C415,DB_materiali!$A$2:$A$5000,0))&lt;=INDEX(DB_malas!$D$2:$D$5000,MATCH(I415,DB_malas!$A$2:$A$5000,0)),IF(OR(INDEX(DB_materiali!$B$2:$B$5000,MATCH($C415,DB_materiali!$A$2:$A$5000,0))=INDEX(DB_malas!$B$2:$B$5000,MATCH(I415,DB_malas!$A$2:$A$5000,0)),$H415="ORG"),"✔",tulkojums!$A$38),tulkojums!$A$39),tulkojums!$A$39))</f>
        <v/>
      </c>
      <c r="R415" s="2" t="str">
        <f>IF(ISBLANK(J415),"",IF(INDEX(DB_materiali!$E$2:$E$5000,MATCH($C415,DB_materiali!$A$2:$A$5000,0))&gt;=INDEX(DB_malas!$C$2:$C$5000,MATCH(J415,DB_malas!$A$2:$A$5000,0)),IF(INDEX(DB_materiali!$E$2:$E$5000,MATCH($C415,DB_materiali!$A$2:$A$5000,0))&lt;=INDEX(DB_malas!$D$2:$D$5000,MATCH(J415,DB_malas!$A$2:$A$5000,0)),IF(INDEX(DB_materiali!$B$2:$B$5000,MATCH($C415,DB_materiali!$A$2:$A$5000,0))=INDEX(DB_malas!$B$2:$B$5000,MATCH(J415,DB_malas!$A$2:$A$5000,0)),"✔",tulkojums!$A$38),tulkojums!$A$39),tulkojums!$A$39))</f>
        <v/>
      </c>
      <c r="S415" s="2" t="str">
        <f>IF(ISBLANK(K415),"",IF(INDEX(DB_materiali!$E$2:$E$5000,MATCH($C415,DB_materiali!$A$2:$A$5000,0))&gt;=INDEX(DB_malas!$C$2:$C$5000,MATCH(K415,DB_malas!$A$2:$A$5000,0)),IF(INDEX(DB_materiali!$E$2:$E$5000,MATCH($C415,DB_materiali!$A$2:$A$5000,0))&lt;=INDEX(DB_malas!$D$2:$D$5000,MATCH(K415,DB_malas!$A$2:$A$5000,0)),IF(INDEX(DB_materiali!$B$2:$B$5000,MATCH($C415,DB_materiali!$A$2:$A$5000,0))=INDEX(DB_malas!$B$2:$B$5000,MATCH(K415,DB_malas!$A$2:$A$5000,0)),"✔",tulkojums!$A$38),tulkojums!$A$39),tulkojums!$A$39))</f>
        <v/>
      </c>
      <c r="T415" s="2"/>
      <c r="U415" s="2"/>
      <c r="V415" s="2"/>
      <c r="W415" s="2"/>
      <c r="X415" s="2"/>
      <c r="Y415" s="2"/>
      <c r="Z415" s="2"/>
    </row>
    <row r="416" spans="1:26" ht="15.75" customHeight="1">
      <c r="A416" s="17"/>
      <c r="B416" s="18"/>
      <c r="C416" s="19"/>
      <c r="D416" s="55"/>
      <c r="E416" s="55"/>
      <c r="F416" s="56"/>
      <c r="G416" s="57" t="str">
        <f>IF(ISBLANK(C416),"",
   IFERROR(
      IF(
         INDEX(DB_materiali!C$2:C$5000,
               MATCH(C416, DB_materiali!A$2:A$5000, 0)
         )="FALSE",
         "N",
         "Y"
      ),
   "")
)</f>
        <v/>
      </c>
      <c r="H416" s="20"/>
      <c r="I416" s="20"/>
      <c r="J416" s="20"/>
      <c r="K416" s="20"/>
      <c r="M416" s="2" t="str">
        <f>IF(ISBLANK(C416),"",IF(IFERROR(VLOOKUP(C416,DB_materiali!$A$2:$A$5000,1,FALSE),"Kļūda artikulā")=C416,"✔",tulkojums!A$42))</f>
        <v/>
      </c>
      <c r="N416" s="2" t="str">
        <f>IF(ISBLANK(C416),"",IF(ISNUMBER(F416)=TRUE,"✔",tulkojums!A$43))</f>
        <v/>
      </c>
      <c r="O416" s="2" t="str">
        <f>IF(ISBLANK(C416),"",IF(G416="Y","✔",IF(G416="X","✔",IF(G416="N","✔",tulkojums!A$44))))</f>
        <v/>
      </c>
      <c r="P416" s="2" t="str">
        <f>IF(ISBLANK(H416),"",IF(INDEX(DB_materiali!$E$2:$E$5000,MATCH($C416,DB_materiali!$A$2:$A$5000,0))&gt;=INDEX(DB_malas!$C$2:$C$5000,MATCH(H416,DB_malas!$A$2:$A$5000,0)),IF(INDEX(DB_materiali!$E$2:$E$5000,MATCH($C416,DB_materiali!$A$2:$A$5000,0))&lt;=INDEX(DB_malas!$D$2:$D$5000,MATCH(H416,DB_malas!$A$2:$A$5000,0)),IF(OR(INDEX(DB_materiali!$B$2:$B$5000,MATCH($C416,DB_materiali!$A$2:$A$5000,0))=INDEX(DB_malas!$B$2:$B$5000,MATCH(H416,DB_malas!$A$2:$A$5000,0)),$H416="ORG"),"✔",tulkojums!$A$38),tulkojums!$A$39),tulkojums!$A$39))</f>
        <v/>
      </c>
      <c r="Q416" s="2" t="str">
        <f>IF(ISBLANK(I416),"",IF(INDEX(DB_materiali!$E$2:$E$5000,MATCH($C416,DB_materiali!$A$2:$A$5000,0))&gt;=INDEX(DB_malas!$C$2:$C$5000,MATCH(I416,DB_malas!$A$2:$A$5000,0)),IF(INDEX(DB_materiali!$E$2:$E$5000,MATCH($C416,DB_materiali!$A$2:$A$5000,0))&lt;=INDEX(DB_malas!$D$2:$D$5000,MATCH(I416,DB_malas!$A$2:$A$5000,0)),IF(OR(INDEX(DB_materiali!$B$2:$B$5000,MATCH($C416,DB_materiali!$A$2:$A$5000,0))=INDEX(DB_malas!$B$2:$B$5000,MATCH(I416,DB_malas!$A$2:$A$5000,0)),$H416="ORG"),"✔",tulkojums!$A$38),tulkojums!$A$39),tulkojums!$A$39))</f>
        <v/>
      </c>
      <c r="R416" s="2" t="str">
        <f>IF(ISBLANK(J416),"",IF(INDEX(DB_materiali!$E$2:$E$5000,MATCH($C416,DB_materiali!$A$2:$A$5000,0))&gt;=INDEX(DB_malas!$C$2:$C$5000,MATCH(J416,DB_malas!$A$2:$A$5000,0)),IF(INDEX(DB_materiali!$E$2:$E$5000,MATCH($C416,DB_materiali!$A$2:$A$5000,0))&lt;=INDEX(DB_malas!$D$2:$D$5000,MATCH(J416,DB_malas!$A$2:$A$5000,0)),IF(INDEX(DB_materiali!$B$2:$B$5000,MATCH($C416,DB_materiali!$A$2:$A$5000,0))=INDEX(DB_malas!$B$2:$B$5000,MATCH(J416,DB_malas!$A$2:$A$5000,0)),"✔",tulkojums!$A$38),tulkojums!$A$39),tulkojums!$A$39))</f>
        <v/>
      </c>
      <c r="S416" s="2" t="str">
        <f>IF(ISBLANK(K416),"",IF(INDEX(DB_materiali!$E$2:$E$5000,MATCH($C416,DB_materiali!$A$2:$A$5000,0))&gt;=INDEX(DB_malas!$C$2:$C$5000,MATCH(K416,DB_malas!$A$2:$A$5000,0)),IF(INDEX(DB_materiali!$E$2:$E$5000,MATCH($C416,DB_materiali!$A$2:$A$5000,0))&lt;=INDEX(DB_malas!$D$2:$D$5000,MATCH(K416,DB_malas!$A$2:$A$5000,0)),IF(INDEX(DB_materiali!$B$2:$B$5000,MATCH($C416,DB_materiali!$A$2:$A$5000,0))=INDEX(DB_malas!$B$2:$B$5000,MATCH(K416,DB_malas!$A$2:$A$5000,0)),"✔",tulkojums!$A$38),tulkojums!$A$39),tulkojums!$A$39))</f>
        <v/>
      </c>
      <c r="T416" s="2"/>
      <c r="U416" s="2"/>
      <c r="V416" s="2"/>
      <c r="W416" s="2"/>
      <c r="X416" s="2"/>
      <c r="Y416" s="2"/>
      <c r="Z416" s="2"/>
    </row>
    <row r="417" spans="1:26" ht="15.75" customHeight="1">
      <c r="A417" s="17"/>
      <c r="B417" s="18"/>
      <c r="C417" s="19"/>
      <c r="D417" s="55"/>
      <c r="E417" s="55"/>
      <c r="F417" s="56"/>
      <c r="G417" s="57" t="str">
        <f>IF(ISBLANK(C417),"",
   IFERROR(
      IF(
         INDEX(DB_materiali!C$2:C$5000,
               MATCH(C417, DB_materiali!A$2:A$5000, 0)
         )="FALSE",
         "N",
         "Y"
      ),
   "")
)</f>
        <v/>
      </c>
      <c r="H417" s="20"/>
      <c r="I417" s="20"/>
      <c r="J417" s="20"/>
      <c r="K417" s="20"/>
      <c r="M417" s="2" t="str">
        <f>IF(ISBLANK(C417),"",IF(IFERROR(VLOOKUP(C417,DB_materiali!$A$2:$A$5000,1,FALSE),"Kļūda artikulā")=C417,"✔",tulkojums!A$42))</f>
        <v/>
      </c>
      <c r="N417" s="2" t="str">
        <f>IF(ISBLANK(C417),"",IF(ISNUMBER(F417)=TRUE,"✔",tulkojums!A$43))</f>
        <v/>
      </c>
      <c r="O417" s="2" t="str">
        <f>IF(ISBLANK(C417),"",IF(G417="Y","✔",IF(G417="X","✔",IF(G417="N","✔",tulkojums!A$44))))</f>
        <v/>
      </c>
      <c r="P417" s="2" t="str">
        <f>IF(ISBLANK(H417),"",IF(INDEX(DB_materiali!$E$2:$E$5000,MATCH($C417,DB_materiali!$A$2:$A$5000,0))&gt;=INDEX(DB_malas!$C$2:$C$5000,MATCH(H417,DB_malas!$A$2:$A$5000,0)),IF(INDEX(DB_materiali!$E$2:$E$5000,MATCH($C417,DB_materiali!$A$2:$A$5000,0))&lt;=INDEX(DB_malas!$D$2:$D$5000,MATCH(H417,DB_malas!$A$2:$A$5000,0)),IF(OR(INDEX(DB_materiali!$B$2:$B$5000,MATCH($C417,DB_materiali!$A$2:$A$5000,0))=INDEX(DB_malas!$B$2:$B$5000,MATCH(H417,DB_malas!$A$2:$A$5000,0)),$H417="ORG"),"✔",tulkojums!$A$38),tulkojums!$A$39),tulkojums!$A$39))</f>
        <v/>
      </c>
      <c r="Q417" s="2" t="str">
        <f>IF(ISBLANK(I417),"",IF(INDEX(DB_materiali!$E$2:$E$5000,MATCH($C417,DB_materiali!$A$2:$A$5000,0))&gt;=INDEX(DB_malas!$C$2:$C$5000,MATCH(I417,DB_malas!$A$2:$A$5000,0)),IF(INDEX(DB_materiali!$E$2:$E$5000,MATCH($C417,DB_materiali!$A$2:$A$5000,0))&lt;=INDEX(DB_malas!$D$2:$D$5000,MATCH(I417,DB_malas!$A$2:$A$5000,0)),IF(OR(INDEX(DB_materiali!$B$2:$B$5000,MATCH($C417,DB_materiali!$A$2:$A$5000,0))=INDEX(DB_malas!$B$2:$B$5000,MATCH(I417,DB_malas!$A$2:$A$5000,0)),$H417="ORG"),"✔",tulkojums!$A$38),tulkojums!$A$39),tulkojums!$A$39))</f>
        <v/>
      </c>
      <c r="R417" s="2" t="str">
        <f>IF(ISBLANK(J417),"",IF(INDEX(DB_materiali!$E$2:$E$5000,MATCH($C417,DB_materiali!$A$2:$A$5000,0))&gt;=INDEX(DB_malas!$C$2:$C$5000,MATCH(J417,DB_malas!$A$2:$A$5000,0)),IF(INDEX(DB_materiali!$E$2:$E$5000,MATCH($C417,DB_materiali!$A$2:$A$5000,0))&lt;=INDEX(DB_malas!$D$2:$D$5000,MATCH(J417,DB_malas!$A$2:$A$5000,0)),IF(INDEX(DB_materiali!$B$2:$B$5000,MATCH($C417,DB_materiali!$A$2:$A$5000,0))=INDEX(DB_malas!$B$2:$B$5000,MATCH(J417,DB_malas!$A$2:$A$5000,0)),"✔",tulkojums!$A$38),tulkojums!$A$39),tulkojums!$A$39))</f>
        <v/>
      </c>
      <c r="S417" s="2" t="str">
        <f>IF(ISBLANK(K417),"",IF(INDEX(DB_materiali!$E$2:$E$5000,MATCH($C417,DB_materiali!$A$2:$A$5000,0))&gt;=INDEX(DB_malas!$C$2:$C$5000,MATCH(K417,DB_malas!$A$2:$A$5000,0)),IF(INDEX(DB_materiali!$E$2:$E$5000,MATCH($C417,DB_materiali!$A$2:$A$5000,0))&lt;=INDEX(DB_malas!$D$2:$D$5000,MATCH(K417,DB_malas!$A$2:$A$5000,0)),IF(INDEX(DB_materiali!$B$2:$B$5000,MATCH($C417,DB_materiali!$A$2:$A$5000,0))=INDEX(DB_malas!$B$2:$B$5000,MATCH(K417,DB_malas!$A$2:$A$5000,0)),"✔",tulkojums!$A$38),tulkojums!$A$39),tulkojums!$A$39))</f>
        <v/>
      </c>
      <c r="T417" s="2"/>
      <c r="U417" s="2"/>
      <c r="V417" s="2"/>
      <c r="W417" s="2"/>
      <c r="X417" s="2"/>
      <c r="Y417" s="2"/>
      <c r="Z417" s="2"/>
    </row>
    <row r="418" spans="1:26" ht="15.75" customHeight="1">
      <c r="A418" s="17"/>
      <c r="B418" s="18"/>
      <c r="C418" s="19"/>
      <c r="D418" s="55"/>
      <c r="E418" s="55"/>
      <c r="F418" s="56"/>
      <c r="G418" s="57" t="str">
        <f>IF(ISBLANK(C418),"",
   IFERROR(
      IF(
         INDEX(DB_materiali!C$2:C$5000,
               MATCH(C418, DB_materiali!A$2:A$5000, 0)
         )="FALSE",
         "N",
         "Y"
      ),
   "")
)</f>
        <v/>
      </c>
      <c r="H418" s="20"/>
      <c r="I418" s="20"/>
      <c r="J418" s="20"/>
      <c r="K418" s="20"/>
      <c r="M418" s="2" t="str">
        <f>IF(ISBLANK(C418),"",IF(IFERROR(VLOOKUP(C418,DB_materiali!$A$2:$A$5000,1,FALSE),"Kļūda artikulā")=C418,"✔",tulkojums!A$42))</f>
        <v/>
      </c>
      <c r="N418" s="2" t="str">
        <f>IF(ISBLANK(C418),"",IF(ISNUMBER(F418)=TRUE,"✔",tulkojums!A$43))</f>
        <v/>
      </c>
      <c r="O418" s="2" t="str">
        <f>IF(ISBLANK(C418),"",IF(G418="Y","✔",IF(G418="X","✔",IF(G418="N","✔",tulkojums!A$44))))</f>
        <v/>
      </c>
      <c r="P418" s="2" t="str">
        <f>IF(ISBLANK(H418),"",IF(INDEX(DB_materiali!$E$2:$E$5000,MATCH($C418,DB_materiali!$A$2:$A$5000,0))&gt;=INDEX(DB_malas!$C$2:$C$5000,MATCH(H418,DB_malas!$A$2:$A$5000,0)),IF(INDEX(DB_materiali!$E$2:$E$5000,MATCH($C418,DB_materiali!$A$2:$A$5000,0))&lt;=INDEX(DB_malas!$D$2:$D$5000,MATCH(H418,DB_malas!$A$2:$A$5000,0)),IF(OR(INDEX(DB_materiali!$B$2:$B$5000,MATCH($C418,DB_materiali!$A$2:$A$5000,0))=INDEX(DB_malas!$B$2:$B$5000,MATCH(H418,DB_malas!$A$2:$A$5000,0)),$H418="ORG"),"✔",tulkojums!$A$38),tulkojums!$A$39),tulkojums!$A$39))</f>
        <v/>
      </c>
      <c r="Q418" s="2" t="str">
        <f>IF(ISBLANK(I418),"",IF(INDEX(DB_materiali!$E$2:$E$5000,MATCH($C418,DB_materiali!$A$2:$A$5000,0))&gt;=INDEX(DB_malas!$C$2:$C$5000,MATCH(I418,DB_malas!$A$2:$A$5000,0)),IF(INDEX(DB_materiali!$E$2:$E$5000,MATCH($C418,DB_materiali!$A$2:$A$5000,0))&lt;=INDEX(DB_malas!$D$2:$D$5000,MATCH(I418,DB_malas!$A$2:$A$5000,0)),IF(OR(INDEX(DB_materiali!$B$2:$B$5000,MATCH($C418,DB_materiali!$A$2:$A$5000,0))=INDEX(DB_malas!$B$2:$B$5000,MATCH(I418,DB_malas!$A$2:$A$5000,0)),$H418="ORG"),"✔",tulkojums!$A$38),tulkojums!$A$39),tulkojums!$A$39))</f>
        <v/>
      </c>
      <c r="R418" s="2" t="str">
        <f>IF(ISBLANK(J418),"",IF(INDEX(DB_materiali!$E$2:$E$5000,MATCH($C418,DB_materiali!$A$2:$A$5000,0))&gt;=INDEX(DB_malas!$C$2:$C$5000,MATCH(J418,DB_malas!$A$2:$A$5000,0)),IF(INDEX(DB_materiali!$E$2:$E$5000,MATCH($C418,DB_materiali!$A$2:$A$5000,0))&lt;=INDEX(DB_malas!$D$2:$D$5000,MATCH(J418,DB_malas!$A$2:$A$5000,0)),IF(INDEX(DB_materiali!$B$2:$B$5000,MATCH($C418,DB_materiali!$A$2:$A$5000,0))=INDEX(DB_malas!$B$2:$B$5000,MATCH(J418,DB_malas!$A$2:$A$5000,0)),"✔",tulkojums!$A$38),tulkojums!$A$39),tulkojums!$A$39))</f>
        <v/>
      </c>
      <c r="S418" s="2" t="str">
        <f>IF(ISBLANK(K418),"",IF(INDEX(DB_materiali!$E$2:$E$5000,MATCH($C418,DB_materiali!$A$2:$A$5000,0))&gt;=INDEX(DB_malas!$C$2:$C$5000,MATCH(K418,DB_malas!$A$2:$A$5000,0)),IF(INDEX(DB_materiali!$E$2:$E$5000,MATCH($C418,DB_materiali!$A$2:$A$5000,0))&lt;=INDEX(DB_malas!$D$2:$D$5000,MATCH(K418,DB_malas!$A$2:$A$5000,0)),IF(INDEX(DB_materiali!$B$2:$B$5000,MATCH($C418,DB_materiali!$A$2:$A$5000,0))=INDEX(DB_malas!$B$2:$B$5000,MATCH(K418,DB_malas!$A$2:$A$5000,0)),"✔",tulkojums!$A$38),tulkojums!$A$39),tulkojums!$A$39))</f>
        <v/>
      </c>
      <c r="T418" s="2"/>
      <c r="U418" s="2"/>
      <c r="V418" s="2"/>
      <c r="W418" s="2"/>
      <c r="X418" s="2"/>
      <c r="Y418" s="2"/>
      <c r="Z418" s="2"/>
    </row>
    <row r="419" spans="1:26" ht="15.75" customHeight="1">
      <c r="A419" s="17"/>
      <c r="B419" s="18"/>
      <c r="C419" s="19"/>
      <c r="D419" s="55"/>
      <c r="E419" s="55"/>
      <c r="F419" s="56"/>
      <c r="G419" s="57" t="str">
        <f>IF(ISBLANK(C419),"",
   IFERROR(
      IF(
         INDEX(DB_materiali!C$2:C$5000,
               MATCH(C419, DB_materiali!A$2:A$5000, 0)
         )="FALSE",
         "N",
         "Y"
      ),
   "")
)</f>
        <v/>
      </c>
      <c r="H419" s="20"/>
      <c r="I419" s="20"/>
      <c r="J419" s="20"/>
      <c r="K419" s="20"/>
      <c r="M419" s="2" t="str">
        <f>IF(ISBLANK(C419),"",IF(IFERROR(VLOOKUP(C419,DB_materiali!$A$2:$A$5000,1,FALSE),"Kļūda artikulā")=C419,"✔",tulkojums!A$42))</f>
        <v/>
      </c>
      <c r="N419" s="2" t="str">
        <f>IF(ISBLANK(C419),"",IF(ISNUMBER(F419)=TRUE,"✔",tulkojums!A$43))</f>
        <v/>
      </c>
      <c r="O419" s="2" t="str">
        <f>IF(ISBLANK(C419),"",IF(G419="Y","✔",IF(G419="X","✔",IF(G419="N","✔",tulkojums!A$44))))</f>
        <v/>
      </c>
      <c r="P419" s="2" t="str">
        <f>IF(ISBLANK(H419),"",IF(INDEX(DB_materiali!$E$2:$E$5000,MATCH($C419,DB_materiali!$A$2:$A$5000,0))&gt;=INDEX(DB_malas!$C$2:$C$5000,MATCH(H419,DB_malas!$A$2:$A$5000,0)),IF(INDEX(DB_materiali!$E$2:$E$5000,MATCH($C419,DB_materiali!$A$2:$A$5000,0))&lt;=INDEX(DB_malas!$D$2:$D$5000,MATCH(H419,DB_malas!$A$2:$A$5000,0)),IF(OR(INDEX(DB_materiali!$B$2:$B$5000,MATCH($C419,DB_materiali!$A$2:$A$5000,0))=INDEX(DB_malas!$B$2:$B$5000,MATCH(H419,DB_malas!$A$2:$A$5000,0)),$H419="ORG"),"✔",tulkojums!$A$38),tulkojums!$A$39),tulkojums!$A$39))</f>
        <v/>
      </c>
      <c r="Q419" s="2" t="str">
        <f>IF(ISBLANK(I419),"",IF(INDEX(DB_materiali!$E$2:$E$5000,MATCH($C419,DB_materiali!$A$2:$A$5000,0))&gt;=INDEX(DB_malas!$C$2:$C$5000,MATCH(I419,DB_malas!$A$2:$A$5000,0)),IF(INDEX(DB_materiali!$E$2:$E$5000,MATCH($C419,DB_materiali!$A$2:$A$5000,0))&lt;=INDEX(DB_malas!$D$2:$D$5000,MATCH(I419,DB_malas!$A$2:$A$5000,0)),IF(OR(INDEX(DB_materiali!$B$2:$B$5000,MATCH($C419,DB_materiali!$A$2:$A$5000,0))=INDEX(DB_malas!$B$2:$B$5000,MATCH(I419,DB_malas!$A$2:$A$5000,0)),$H419="ORG"),"✔",tulkojums!$A$38),tulkojums!$A$39),tulkojums!$A$39))</f>
        <v/>
      </c>
      <c r="R419" s="2" t="str">
        <f>IF(ISBLANK(J419),"",IF(INDEX(DB_materiali!$E$2:$E$5000,MATCH($C419,DB_materiali!$A$2:$A$5000,0))&gt;=INDEX(DB_malas!$C$2:$C$5000,MATCH(J419,DB_malas!$A$2:$A$5000,0)),IF(INDEX(DB_materiali!$E$2:$E$5000,MATCH($C419,DB_materiali!$A$2:$A$5000,0))&lt;=INDEX(DB_malas!$D$2:$D$5000,MATCH(J419,DB_malas!$A$2:$A$5000,0)),IF(INDEX(DB_materiali!$B$2:$B$5000,MATCH($C419,DB_materiali!$A$2:$A$5000,0))=INDEX(DB_malas!$B$2:$B$5000,MATCH(J419,DB_malas!$A$2:$A$5000,0)),"✔",tulkojums!$A$38),tulkojums!$A$39),tulkojums!$A$39))</f>
        <v/>
      </c>
      <c r="S419" s="2" t="str">
        <f>IF(ISBLANK(K419),"",IF(INDEX(DB_materiali!$E$2:$E$5000,MATCH($C419,DB_materiali!$A$2:$A$5000,0))&gt;=INDEX(DB_malas!$C$2:$C$5000,MATCH(K419,DB_malas!$A$2:$A$5000,0)),IF(INDEX(DB_materiali!$E$2:$E$5000,MATCH($C419,DB_materiali!$A$2:$A$5000,0))&lt;=INDEX(DB_malas!$D$2:$D$5000,MATCH(K419,DB_malas!$A$2:$A$5000,0)),IF(INDEX(DB_materiali!$B$2:$B$5000,MATCH($C419,DB_materiali!$A$2:$A$5000,0))=INDEX(DB_malas!$B$2:$B$5000,MATCH(K419,DB_malas!$A$2:$A$5000,0)),"✔",tulkojums!$A$38),tulkojums!$A$39),tulkojums!$A$39))</f>
        <v/>
      </c>
      <c r="T419" s="2"/>
      <c r="U419" s="2"/>
      <c r="V419" s="2"/>
      <c r="W419" s="2"/>
      <c r="X419" s="2"/>
      <c r="Y419" s="2"/>
      <c r="Z419" s="2"/>
    </row>
    <row r="420" spans="1:26" ht="15.75" customHeight="1">
      <c r="A420" s="17"/>
      <c r="B420" s="18"/>
      <c r="C420" s="19"/>
      <c r="D420" s="55"/>
      <c r="E420" s="55"/>
      <c r="F420" s="56"/>
      <c r="G420" s="57" t="str">
        <f>IF(ISBLANK(C420),"",
   IFERROR(
      IF(
         INDEX(DB_materiali!C$2:C$5000,
               MATCH(C420, DB_materiali!A$2:A$5000, 0)
         )="FALSE",
         "N",
         "Y"
      ),
   "")
)</f>
        <v/>
      </c>
      <c r="H420" s="20"/>
      <c r="I420" s="20"/>
      <c r="J420" s="20"/>
      <c r="K420" s="20"/>
      <c r="M420" s="2" t="str">
        <f>IF(ISBLANK(C420),"",IF(IFERROR(VLOOKUP(C420,DB_materiali!$A$2:$A$5000,1,FALSE),"Kļūda artikulā")=C420,"✔",tulkojums!A$42))</f>
        <v/>
      </c>
      <c r="N420" s="2" t="str">
        <f>IF(ISBLANK(C420),"",IF(ISNUMBER(F420)=TRUE,"✔",tulkojums!A$43))</f>
        <v/>
      </c>
      <c r="O420" s="2" t="str">
        <f>IF(ISBLANK(C420),"",IF(G420="Y","✔",IF(G420="X","✔",IF(G420="N","✔",tulkojums!A$44))))</f>
        <v/>
      </c>
      <c r="P420" s="2" t="str">
        <f>IF(ISBLANK(H420),"",IF(INDEX(DB_materiali!$E$2:$E$5000,MATCH($C420,DB_materiali!$A$2:$A$5000,0))&gt;=INDEX(DB_malas!$C$2:$C$5000,MATCH(H420,DB_malas!$A$2:$A$5000,0)),IF(INDEX(DB_materiali!$E$2:$E$5000,MATCH($C420,DB_materiali!$A$2:$A$5000,0))&lt;=INDEX(DB_malas!$D$2:$D$5000,MATCH(H420,DB_malas!$A$2:$A$5000,0)),IF(OR(INDEX(DB_materiali!$B$2:$B$5000,MATCH($C420,DB_materiali!$A$2:$A$5000,0))=INDEX(DB_malas!$B$2:$B$5000,MATCH(H420,DB_malas!$A$2:$A$5000,0)),$H420="ORG"),"✔",tulkojums!$A$38),tulkojums!$A$39),tulkojums!$A$39))</f>
        <v/>
      </c>
      <c r="Q420" s="2" t="str">
        <f>IF(ISBLANK(I420),"",IF(INDEX(DB_materiali!$E$2:$E$5000,MATCH($C420,DB_materiali!$A$2:$A$5000,0))&gt;=INDEX(DB_malas!$C$2:$C$5000,MATCH(I420,DB_malas!$A$2:$A$5000,0)),IF(INDEX(DB_materiali!$E$2:$E$5000,MATCH($C420,DB_materiali!$A$2:$A$5000,0))&lt;=INDEX(DB_malas!$D$2:$D$5000,MATCH(I420,DB_malas!$A$2:$A$5000,0)),IF(OR(INDEX(DB_materiali!$B$2:$B$5000,MATCH($C420,DB_materiali!$A$2:$A$5000,0))=INDEX(DB_malas!$B$2:$B$5000,MATCH(I420,DB_malas!$A$2:$A$5000,0)),$H420="ORG"),"✔",tulkojums!$A$38),tulkojums!$A$39),tulkojums!$A$39))</f>
        <v/>
      </c>
      <c r="R420" s="2" t="str">
        <f>IF(ISBLANK(J420),"",IF(INDEX(DB_materiali!$E$2:$E$5000,MATCH($C420,DB_materiali!$A$2:$A$5000,0))&gt;=INDEX(DB_malas!$C$2:$C$5000,MATCH(J420,DB_malas!$A$2:$A$5000,0)),IF(INDEX(DB_materiali!$E$2:$E$5000,MATCH($C420,DB_materiali!$A$2:$A$5000,0))&lt;=INDEX(DB_malas!$D$2:$D$5000,MATCH(J420,DB_malas!$A$2:$A$5000,0)),IF(INDEX(DB_materiali!$B$2:$B$5000,MATCH($C420,DB_materiali!$A$2:$A$5000,0))=INDEX(DB_malas!$B$2:$B$5000,MATCH(J420,DB_malas!$A$2:$A$5000,0)),"✔",tulkojums!$A$38),tulkojums!$A$39),tulkojums!$A$39))</f>
        <v/>
      </c>
      <c r="S420" s="2" t="str">
        <f>IF(ISBLANK(K420),"",IF(INDEX(DB_materiali!$E$2:$E$5000,MATCH($C420,DB_materiali!$A$2:$A$5000,0))&gt;=INDEX(DB_malas!$C$2:$C$5000,MATCH(K420,DB_malas!$A$2:$A$5000,0)),IF(INDEX(DB_materiali!$E$2:$E$5000,MATCH($C420,DB_materiali!$A$2:$A$5000,0))&lt;=INDEX(DB_malas!$D$2:$D$5000,MATCH(K420,DB_malas!$A$2:$A$5000,0)),IF(INDEX(DB_materiali!$B$2:$B$5000,MATCH($C420,DB_materiali!$A$2:$A$5000,0))=INDEX(DB_malas!$B$2:$B$5000,MATCH(K420,DB_malas!$A$2:$A$5000,0)),"✔",tulkojums!$A$38),tulkojums!$A$39),tulkojums!$A$39))</f>
        <v/>
      </c>
      <c r="T420" s="2"/>
      <c r="U420" s="2"/>
      <c r="V420" s="2"/>
      <c r="W420" s="2"/>
      <c r="X420" s="2"/>
      <c r="Y420" s="2"/>
      <c r="Z420" s="2"/>
    </row>
    <row r="421" spans="1:26" ht="15.75" customHeight="1">
      <c r="A421" s="17"/>
      <c r="B421" s="18"/>
      <c r="C421" s="19"/>
      <c r="D421" s="55"/>
      <c r="E421" s="55"/>
      <c r="F421" s="56"/>
      <c r="G421" s="57" t="str">
        <f>IF(ISBLANK(C421),"",
   IFERROR(
      IF(
         INDEX(DB_materiali!C$2:C$5000,
               MATCH(C421, DB_materiali!A$2:A$5000, 0)
         )="FALSE",
         "N",
         "Y"
      ),
   "")
)</f>
        <v/>
      </c>
      <c r="H421" s="20"/>
      <c r="I421" s="20"/>
      <c r="J421" s="20"/>
      <c r="K421" s="20"/>
      <c r="M421" s="2" t="str">
        <f>IF(ISBLANK(C421),"",IF(IFERROR(VLOOKUP(C421,DB_materiali!$A$2:$A$5000,1,FALSE),"Kļūda artikulā")=C421,"✔",tulkojums!A$42))</f>
        <v/>
      </c>
      <c r="N421" s="2" t="str">
        <f>IF(ISBLANK(C421),"",IF(ISNUMBER(F421)=TRUE,"✔",tulkojums!A$43))</f>
        <v/>
      </c>
      <c r="O421" s="2" t="str">
        <f>IF(ISBLANK(C421),"",IF(G421="Y","✔",IF(G421="X","✔",IF(G421="N","✔",tulkojums!A$44))))</f>
        <v/>
      </c>
      <c r="P421" s="2" t="str">
        <f>IF(ISBLANK(H421),"",IF(INDEX(DB_materiali!$E$2:$E$5000,MATCH($C421,DB_materiali!$A$2:$A$5000,0))&gt;=INDEX(DB_malas!$C$2:$C$5000,MATCH(H421,DB_malas!$A$2:$A$5000,0)),IF(INDEX(DB_materiali!$E$2:$E$5000,MATCH($C421,DB_materiali!$A$2:$A$5000,0))&lt;=INDEX(DB_malas!$D$2:$D$5000,MATCH(H421,DB_malas!$A$2:$A$5000,0)),IF(OR(INDEX(DB_materiali!$B$2:$B$5000,MATCH($C421,DB_materiali!$A$2:$A$5000,0))=INDEX(DB_malas!$B$2:$B$5000,MATCH(H421,DB_malas!$A$2:$A$5000,0)),$H421="ORG"),"✔",tulkojums!$A$38),tulkojums!$A$39),tulkojums!$A$39))</f>
        <v/>
      </c>
      <c r="Q421" s="2" t="str">
        <f>IF(ISBLANK(I421),"",IF(INDEX(DB_materiali!$E$2:$E$5000,MATCH($C421,DB_materiali!$A$2:$A$5000,0))&gt;=INDEX(DB_malas!$C$2:$C$5000,MATCH(I421,DB_malas!$A$2:$A$5000,0)),IF(INDEX(DB_materiali!$E$2:$E$5000,MATCH($C421,DB_materiali!$A$2:$A$5000,0))&lt;=INDEX(DB_malas!$D$2:$D$5000,MATCH(I421,DB_malas!$A$2:$A$5000,0)),IF(OR(INDEX(DB_materiali!$B$2:$B$5000,MATCH($C421,DB_materiali!$A$2:$A$5000,0))=INDEX(DB_malas!$B$2:$B$5000,MATCH(I421,DB_malas!$A$2:$A$5000,0)),$H421="ORG"),"✔",tulkojums!$A$38),tulkojums!$A$39),tulkojums!$A$39))</f>
        <v/>
      </c>
      <c r="R421" s="2" t="str">
        <f>IF(ISBLANK(J421),"",IF(INDEX(DB_materiali!$E$2:$E$5000,MATCH($C421,DB_materiali!$A$2:$A$5000,0))&gt;=INDEX(DB_malas!$C$2:$C$5000,MATCH(J421,DB_malas!$A$2:$A$5000,0)),IF(INDEX(DB_materiali!$E$2:$E$5000,MATCH($C421,DB_materiali!$A$2:$A$5000,0))&lt;=INDEX(DB_malas!$D$2:$D$5000,MATCH(J421,DB_malas!$A$2:$A$5000,0)),IF(INDEX(DB_materiali!$B$2:$B$5000,MATCH($C421,DB_materiali!$A$2:$A$5000,0))=INDEX(DB_malas!$B$2:$B$5000,MATCH(J421,DB_malas!$A$2:$A$5000,0)),"✔",tulkojums!$A$38),tulkojums!$A$39),tulkojums!$A$39))</f>
        <v/>
      </c>
      <c r="S421" s="2" t="str">
        <f>IF(ISBLANK(K421),"",IF(INDEX(DB_materiali!$E$2:$E$5000,MATCH($C421,DB_materiali!$A$2:$A$5000,0))&gt;=INDEX(DB_malas!$C$2:$C$5000,MATCH(K421,DB_malas!$A$2:$A$5000,0)),IF(INDEX(DB_materiali!$E$2:$E$5000,MATCH($C421,DB_materiali!$A$2:$A$5000,0))&lt;=INDEX(DB_malas!$D$2:$D$5000,MATCH(K421,DB_malas!$A$2:$A$5000,0)),IF(INDEX(DB_materiali!$B$2:$B$5000,MATCH($C421,DB_materiali!$A$2:$A$5000,0))=INDEX(DB_malas!$B$2:$B$5000,MATCH(K421,DB_malas!$A$2:$A$5000,0)),"✔",tulkojums!$A$38),tulkojums!$A$39),tulkojums!$A$39))</f>
        <v/>
      </c>
      <c r="T421" s="2"/>
      <c r="U421" s="2"/>
      <c r="V421" s="2"/>
      <c r="W421" s="2"/>
      <c r="X421" s="2"/>
      <c r="Y421" s="2"/>
      <c r="Z421" s="2"/>
    </row>
    <row r="422" spans="1:26" ht="15.75" customHeight="1">
      <c r="A422" s="17"/>
      <c r="B422" s="18"/>
      <c r="C422" s="19"/>
      <c r="D422" s="55"/>
      <c r="E422" s="55"/>
      <c r="F422" s="56"/>
      <c r="G422" s="57" t="str">
        <f>IF(ISBLANK(C422),"",
   IFERROR(
      IF(
         INDEX(DB_materiali!C$2:C$5000,
               MATCH(C422, DB_materiali!A$2:A$5000, 0)
         )="FALSE",
         "N",
         "Y"
      ),
   "")
)</f>
        <v/>
      </c>
      <c r="H422" s="20"/>
      <c r="I422" s="20"/>
      <c r="J422" s="20"/>
      <c r="K422" s="20"/>
      <c r="M422" s="2" t="str">
        <f>IF(ISBLANK(C422),"",IF(IFERROR(VLOOKUP(C422,DB_materiali!$A$2:$A$5000,1,FALSE),"Kļūda artikulā")=C422,"✔",tulkojums!A$42))</f>
        <v/>
      </c>
      <c r="N422" s="2" t="str">
        <f>IF(ISBLANK(C422),"",IF(ISNUMBER(F422)=TRUE,"✔",tulkojums!A$43))</f>
        <v/>
      </c>
      <c r="O422" s="2" t="str">
        <f>IF(ISBLANK(C422),"",IF(G422="Y","✔",IF(G422="X","✔",IF(G422="N","✔",tulkojums!A$44))))</f>
        <v/>
      </c>
      <c r="P422" s="2" t="str">
        <f>IF(ISBLANK(H422),"",IF(INDEX(DB_materiali!$E$2:$E$5000,MATCH($C422,DB_materiali!$A$2:$A$5000,0))&gt;=INDEX(DB_malas!$C$2:$C$5000,MATCH(H422,DB_malas!$A$2:$A$5000,0)),IF(INDEX(DB_materiali!$E$2:$E$5000,MATCH($C422,DB_materiali!$A$2:$A$5000,0))&lt;=INDEX(DB_malas!$D$2:$D$5000,MATCH(H422,DB_malas!$A$2:$A$5000,0)),IF(OR(INDEX(DB_materiali!$B$2:$B$5000,MATCH($C422,DB_materiali!$A$2:$A$5000,0))=INDEX(DB_malas!$B$2:$B$5000,MATCH(H422,DB_malas!$A$2:$A$5000,0)),$H422="ORG"),"✔",tulkojums!$A$38),tulkojums!$A$39),tulkojums!$A$39))</f>
        <v/>
      </c>
      <c r="Q422" s="2" t="str">
        <f>IF(ISBLANK(I422),"",IF(INDEX(DB_materiali!$E$2:$E$5000,MATCH($C422,DB_materiali!$A$2:$A$5000,0))&gt;=INDEX(DB_malas!$C$2:$C$5000,MATCH(I422,DB_malas!$A$2:$A$5000,0)),IF(INDEX(DB_materiali!$E$2:$E$5000,MATCH($C422,DB_materiali!$A$2:$A$5000,0))&lt;=INDEX(DB_malas!$D$2:$D$5000,MATCH(I422,DB_malas!$A$2:$A$5000,0)),IF(OR(INDEX(DB_materiali!$B$2:$B$5000,MATCH($C422,DB_materiali!$A$2:$A$5000,0))=INDEX(DB_malas!$B$2:$B$5000,MATCH(I422,DB_malas!$A$2:$A$5000,0)),$H422="ORG"),"✔",tulkojums!$A$38),tulkojums!$A$39),tulkojums!$A$39))</f>
        <v/>
      </c>
      <c r="R422" s="2" t="str">
        <f>IF(ISBLANK(J422),"",IF(INDEX(DB_materiali!$E$2:$E$5000,MATCH($C422,DB_materiali!$A$2:$A$5000,0))&gt;=INDEX(DB_malas!$C$2:$C$5000,MATCH(J422,DB_malas!$A$2:$A$5000,0)),IF(INDEX(DB_materiali!$E$2:$E$5000,MATCH($C422,DB_materiali!$A$2:$A$5000,0))&lt;=INDEX(DB_malas!$D$2:$D$5000,MATCH(J422,DB_malas!$A$2:$A$5000,0)),IF(INDEX(DB_materiali!$B$2:$B$5000,MATCH($C422,DB_materiali!$A$2:$A$5000,0))=INDEX(DB_malas!$B$2:$B$5000,MATCH(J422,DB_malas!$A$2:$A$5000,0)),"✔",tulkojums!$A$38),tulkojums!$A$39),tulkojums!$A$39))</f>
        <v/>
      </c>
      <c r="S422" s="2" t="str">
        <f>IF(ISBLANK(K422),"",IF(INDEX(DB_materiali!$E$2:$E$5000,MATCH($C422,DB_materiali!$A$2:$A$5000,0))&gt;=INDEX(DB_malas!$C$2:$C$5000,MATCH(K422,DB_malas!$A$2:$A$5000,0)),IF(INDEX(DB_materiali!$E$2:$E$5000,MATCH($C422,DB_materiali!$A$2:$A$5000,0))&lt;=INDEX(DB_malas!$D$2:$D$5000,MATCH(K422,DB_malas!$A$2:$A$5000,0)),IF(INDEX(DB_materiali!$B$2:$B$5000,MATCH($C422,DB_materiali!$A$2:$A$5000,0))=INDEX(DB_malas!$B$2:$B$5000,MATCH(K422,DB_malas!$A$2:$A$5000,0)),"✔",tulkojums!$A$38),tulkojums!$A$39),tulkojums!$A$39))</f>
        <v/>
      </c>
      <c r="T422" s="2"/>
      <c r="U422" s="2"/>
      <c r="V422" s="2"/>
      <c r="W422" s="2"/>
      <c r="X422" s="2"/>
      <c r="Y422" s="2"/>
      <c r="Z422" s="2"/>
    </row>
    <row r="423" spans="1:26" ht="15.75" customHeight="1">
      <c r="A423" s="17"/>
      <c r="B423" s="18"/>
      <c r="C423" s="19"/>
      <c r="D423" s="55"/>
      <c r="E423" s="55"/>
      <c r="F423" s="56"/>
      <c r="G423" s="57" t="str">
        <f>IF(ISBLANK(C423),"",
   IFERROR(
      IF(
         INDEX(DB_materiali!C$2:C$5000,
               MATCH(C423, DB_materiali!A$2:A$5000, 0)
         )="FALSE",
         "N",
         "Y"
      ),
   "")
)</f>
        <v/>
      </c>
      <c r="H423" s="20"/>
      <c r="I423" s="20"/>
      <c r="J423" s="20"/>
      <c r="K423" s="20"/>
      <c r="M423" s="2" t="str">
        <f>IF(ISBLANK(C423),"",IF(IFERROR(VLOOKUP(C423,DB_materiali!$A$2:$A$5000,1,FALSE),"Kļūda artikulā")=C423,"✔",tulkojums!A$42))</f>
        <v/>
      </c>
      <c r="N423" s="2" t="str">
        <f>IF(ISBLANK(C423),"",IF(ISNUMBER(F423)=TRUE,"✔",tulkojums!A$43))</f>
        <v/>
      </c>
      <c r="O423" s="2" t="str">
        <f>IF(ISBLANK(C423),"",IF(G423="Y","✔",IF(G423="X","✔",IF(G423="N","✔",tulkojums!A$44))))</f>
        <v/>
      </c>
      <c r="P423" s="2" t="str">
        <f>IF(ISBLANK(H423),"",IF(INDEX(DB_materiali!$E$2:$E$5000,MATCH($C423,DB_materiali!$A$2:$A$5000,0))&gt;=INDEX(DB_malas!$C$2:$C$5000,MATCH(H423,DB_malas!$A$2:$A$5000,0)),IF(INDEX(DB_materiali!$E$2:$E$5000,MATCH($C423,DB_materiali!$A$2:$A$5000,0))&lt;=INDEX(DB_malas!$D$2:$D$5000,MATCH(H423,DB_malas!$A$2:$A$5000,0)),IF(OR(INDEX(DB_materiali!$B$2:$B$5000,MATCH($C423,DB_materiali!$A$2:$A$5000,0))=INDEX(DB_malas!$B$2:$B$5000,MATCH(H423,DB_malas!$A$2:$A$5000,0)),$H423="ORG"),"✔",tulkojums!$A$38),tulkojums!$A$39),tulkojums!$A$39))</f>
        <v/>
      </c>
      <c r="Q423" s="2" t="str">
        <f>IF(ISBLANK(I423),"",IF(INDEX(DB_materiali!$E$2:$E$5000,MATCH($C423,DB_materiali!$A$2:$A$5000,0))&gt;=INDEX(DB_malas!$C$2:$C$5000,MATCH(I423,DB_malas!$A$2:$A$5000,0)),IF(INDEX(DB_materiali!$E$2:$E$5000,MATCH($C423,DB_materiali!$A$2:$A$5000,0))&lt;=INDEX(DB_malas!$D$2:$D$5000,MATCH(I423,DB_malas!$A$2:$A$5000,0)),IF(OR(INDEX(DB_materiali!$B$2:$B$5000,MATCH($C423,DB_materiali!$A$2:$A$5000,0))=INDEX(DB_malas!$B$2:$B$5000,MATCH(I423,DB_malas!$A$2:$A$5000,0)),$H423="ORG"),"✔",tulkojums!$A$38),tulkojums!$A$39),tulkojums!$A$39))</f>
        <v/>
      </c>
      <c r="R423" s="2" t="str">
        <f>IF(ISBLANK(J423),"",IF(INDEX(DB_materiali!$E$2:$E$5000,MATCH($C423,DB_materiali!$A$2:$A$5000,0))&gt;=INDEX(DB_malas!$C$2:$C$5000,MATCH(J423,DB_malas!$A$2:$A$5000,0)),IF(INDEX(DB_materiali!$E$2:$E$5000,MATCH($C423,DB_materiali!$A$2:$A$5000,0))&lt;=INDEX(DB_malas!$D$2:$D$5000,MATCH(J423,DB_malas!$A$2:$A$5000,0)),IF(INDEX(DB_materiali!$B$2:$B$5000,MATCH($C423,DB_materiali!$A$2:$A$5000,0))=INDEX(DB_malas!$B$2:$B$5000,MATCH(J423,DB_malas!$A$2:$A$5000,0)),"✔",tulkojums!$A$38),tulkojums!$A$39),tulkojums!$A$39))</f>
        <v/>
      </c>
      <c r="S423" s="2" t="str">
        <f>IF(ISBLANK(K423),"",IF(INDEX(DB_materiali!$E$2:$E$5000,MATCH($C423,DB_materiali!$A$2:$A$5000,0))&gt;=INDEX(DB_malas!$C$2:$C$5000,MATCH(K423,DB_malas!$A$2:$A$5000,0)),IF(INDEX(DB_materiali!$E$2:$E$5000,MATCH($C423,DB_materiali!$A$2:$A$5000,0))&lt;=INDEX(DB_malas!$D$2:$D$5000,MATCH(K423,DB_malas!$A$2:$A$5000,0)),IF(INDEX(DB_materiali!$B$2:$B$5000,MATCH($C423,DB_materiali!$A$2:$A$5000,0))=INDEX(DB_malas!$B$2:$B$5000,MATCH(K423,DB_malas!$A$2:$A$5000,0)),"✔",tulkojums!$A$38),tulkojums!$A$39),tulkojums!$A$39))</f>
        <v/>
      </c>
      <c r="T423" s="2"/>
      <c r="U423" s="2"/>
      <c r="V423" s="2"/>
      <c r="W423" s="2"/>
      <c r="X423" s="2"/>
      <c r="Y423" s="2"/>
      <c r="Z423" s="2"/>
    </row>
    <row r="424" spans="1:26" ht="15.75" customHeight="1">
      <c r="A424" s="17"/>
      <c r="B424" s="18"/>
      <c r="C424" s="19"/>
      <c r="D424" s="55"/>
      <c r="E424" s="55"/>
      <c r="F424" s="56"/>
      <c r="G424" s="57" t="str">
        <f>IF(ISBLANK(C424),"",
   IFERROR(
      IF(
         INDEX(DB_materiali!C$2:C$5000,
               MATCH(C424, DB_materiali!A$2:A$5000, 0)
         )="FALSE",
         "N",
         "Y"
      ),
   "")
)</f>
        <v/>
      </c>
      <c r="H424" s="20"/>
      <c r="I424" s="20"/>
      <c r="J424" s="20"/>
      <c r="K424" s="20"/>
      <c r="M424" s="2" t="str">
        <f>IF(ISBLANK(C424),"",IF(IFERROR(VLOOKUP(C424,DB_materiali!$A$2:$A$5000,1,FALSE),"Kļūda artikulā")=C424,"✔",tulkojums!A$42))</f>
        <v/>
      </c>
      <c r="N424" s="2" t="str">
        <f>IF(ISBLANK(C424),"",IF(ISNUMBER(F424)=TRUE,"✔",tulkojums!A$43))</f>
        <v/>
      </c>
      <c r="O424" s="2" t="str">
        <f>IF(ISBLANK(C424),"",IF(G424="Y","✔",IF(G424="X","✔",IF(G424="N","✔",tulkojums!A$44))))</f>
        <v/>
      </c>
      <c r="P424" s="2" t="str">
        <f>IF(ISBLANK(H424),"",IF(INDEX(DB_materiali!$E$2:$E$5000,MATCH($C424,DB_materiali!$A$2:$A$5000,0))&gt;=INDEX(DB_malas!$C$2:$C$5000,MATCH(H424,DB_malas!$A$2:$A$5000,0)),IF(INDEX(DB_materiali!$E$2:$E$5000,MATCH($C424,DB_materiali!$A$2:$A$5000,0))&lt;=INDEX(DB_malas!$D$2:$D$5000,MATCH(H424,DB_malas!$A$2:$A$5000,0)),IF(OR(INDEX(DB_materiali!$B$2:$B$5000,MATCH($C424,DB_materiali!$A$2:$A$5000,0))=INDEX(DB_malas!$B$2:$B$5000,MATCH(H424,DB_malas!$A$2:$A$5000,0)),$H424="ORG"),"✔",tulkojums!$A$38),tulkojums!$A$39),tulkojums!$A$39))</f>
        <v/>
      </c>
      <c r="Q424" s="2" t="str">
        <f>IF(ISBLANK(I424),"",IF(INDEX(DB_materiali!$E$2:$E$5000,MATCH($C424,DB_materiali!$A$2:$A$5000,0))&gt;=INDEX(DB_malas!$C$2:$C$5000,MATCH(I424,DB_malas!$A$2:$A$5000,0)),IF(INDEX(DB_materiali!$E$2:$E$5000,MATCH($C424,DB_materiali!$A$2:$A$5000,0))&lt;=INDEX(DB_malas!$D$2:$D$5000,MATCH(I424,DB_malas!$A$2:$A$5000,0)),IF(OR(INDEX(DB_materiali!$B$2:$B$5000,MATCH($C424,DB_materiali!$A$2:$A$5000,0))=INDEX(DB_malas!$B$2:$B$5000,MATCH(I424,DB_malas!$A$2:$A$5000,0)),$H424="ORG"),"✔",tulkojums!$A$38),tulkojums!$A$39),tulkojums!$A$39))</f>
        <v/>
      </c>
      <c r="R424" s="2" t="str">
        <f>IF(ISBLANK(J424),"",IF(INDEX(DB_materiali!$E$2:$E$5000,MATCH($C424,DB_materiali!$A$2:$A$5000,0))&gt;=INDEX(DB_malas!$C$2:$C$5000,MATCH(J424,DB_malas!$A$2:$A$5000,0)),IF(INDEX(DB_materiali!$E$2:$E$5000,MATCH($C424,DB_materiali!$A$2:$A$5000,0))&lt;=INDEX(DB_malas!$D$2:$D$5000,MATCH(J424,DB_malas!$A$2:$A$5000,0)),IF(INDEX(DB_materiali!$B$2:$B$5000,MATCH($C424,DB_materiali!$A$2:$A$5000,0))=INDEX(DB_malas!$B$2:$B$5000,MATCH(J424,DB_malas!$A$2:$A$5000,0)),"✔",tulkojums!$A$38),tulkojums!$A$39),tulkojums!$A$39))</f>
        <v/>
      </c>
      <c r="S424" s="2" t="str">
        <f>IF(ISBLANK(K424),"",IF(INDEX(DB_materiali!$E$2:$E$5000,MATCH($C424,DB_materiali!$A$2:$A$5000,0))&gt;=INDEX(DB_malas!$C$2:$C$5000,MATCH(K424,DB_malas!$A$2:$A$5000,0)),IF(INDEX(DB_materiali!$E$2:$E$5000,MATCH($C424,DB_materiali!$A$2:$A$5000,0))&lt;=INDEX(DB_malas!$D$2:$D$5000,MATCH(K424,DB_malas!$A$2:$A$5000,0)),IF(INDEX(DB_materiali!$B$2:$B$5000,MATCH($C424,DB_materiali!$A$2:$A$5000,0))=INDEX(DB_malas!$B$2:$B$5000,MATCH(K424,DB_malas!$A$2:$A$5000,0)),"✔",tulkojums!$A$38),tulkojums!$A$39),tulkojums!$A$39))</f>
        <v/>
      </c>
      <c r="T424" s="2"/>
      <c r="U424" s="2"/>
      <c r="V424" s="2"/>
      <c r="W424" s="2"/>
      <c r="X424" s="2"/>
      <c r="Y424" s="2"/>
      <c r="Z424" s="2"/>
    </row>
    <row r="425" spans="1:26" ht="15.75" customHeight="1">
      <c r="A425" s="17"/>
      <c r="B425" s="18"/>
      <c r="C425" s="19"/>
      <c r="D425" s="55"/>
      <c r="E425" s="55"/>
      <c r="F425" s="56"/>
      <c r="G425" s="57" t="str">
        <f>IF(ISBLANK(C425),"",
   IFERROR(
      IF(
         INDEX(DB_materiali!C$2:C$5000,
               MATCH(C425, DB_materiali!A$2:A$5000, 0)
         )="FALSE",
         "N",
         "Y"
      ),
   "")
)</f>
        <v/>
      </c>
      <c r="H425" s="20"/>
      <c r="I425" s="20"/>
      <c r="J425" s="20"/>
      <c r="K425" s="20"/>
      <c r="M425" s="2" t="str">
        <f>IF(ISBLANK(C425),"",IF(IFERROR(VLOOKUP(C425,DB_materiali!$A$2:$A$5000,1,FALSE),"Kļūda artikulā")=C425,"✔",tulkojums!A$42))</f>
        <v/>
      </c>
      <c r="N425" s="2" t="str">
        <f>IF(ISBLANK(C425),"",IF(ISNUMBER(F425)=TRUE,"✔",tulkojums!A$43))</f>
        <v/>
      </c>
      <c r="O425" s="2" t="str">
        <f>IF(ISBLANK(C425),"",IF(G425="Y","✔",IF(G425="X","✔",IF(G425="N","✔",tulkojums!A$44))))</f>
        <v/>
      </c>
      <c r="P425" s="2" t="str">
        <f>IF(ISBLANK(H425),"",IF(INDEX(DB_materiali!$E$2:$E$5000,MATCH($C425,DB_materiali!$A$2:$A$5000,0))&gt;=INDEX(DB_malas!$C$2:$C$5000,MATCH(H425,DB_malas!$A$2:$A$5000,0)),IF(INDEX(DB_materiali!$E$2:$E$5000,MATCH($C425,DB_materiali!$A$2:$A$5000,0))&lt;=INDEX(DB_malas!$D$2:$D$5000,MATCH(H425,DB_malas!$A$2:$A$5000,0)),IF(OR(INDEX(DB_materiali!$B$2:$B$5000,MATCH($C425,DB_materiali!$A$2:$A$5000,0))=INDEX(DB_malas!$B$2:$B$5000,MATCH(H425,DB_malas!$A$2:$A$5000,0)),$H425="ORG"),"✔",tulkojums!$A$38),tulkojums!$A$39),tulkojums!$A$39))</f>
        <v/>
      </c>
      <c r="Q425" s="2" t="str">
        <f>IF(ISBLANK(I425),"",IF(INDEX(DB_materiali!$E$2:$E$5000,MATCH($C425,DB_materiali!$A$2:$A$5000,0))&gt;=INDEX(DB_malas!$C$2:$C$5000,MATCH(I425,DB_malas!$A$2:$A$5000,0)),IF(INDEX(DB_materiali!$E$2:$E$5000,MATCH($C425,DB_materiali!$A$2:$A$5000,0))&lt;=INDEX(DB_malas!$D$2:$D$5000,MATCH(I425,DB_malas!$A$2:$A$5000,0)),IF(OR(INDEX(DB_materiali!$B$2:$B$5000,MATCH($C425,DB_materiali!$A$2:$A$5000,0))=INDEX(DB_malas!$B$2:$B$5000,MATCH(I425,DB_malas!$A$2:$A$5000,0)),$H425="ORG"),"✔",tulkojums!$A$38),tulkojums!$A$39),tulkojums!$A$39))</f>
        <v/>
      </c>
      <c r="R425" s="2" t="str">
        <f>IF(ISBLANK(J425),"",IF(INDEX(DB_materiali!$E$2:$E$5000,MATCH($C425,DB_materiali!$A$2:$A$5000,0))&gt;=INDEX(DB_malas!$C$2:$C$5000,MATCH(J425,DB_malas!$A$2:$A$5000,0)),IF(INDEX(DB_materiali!$E$2:$E$5000,MATCH($C425,DB_materiali!$A$2:$A$5000,0))&lt;=INDEX(DB_malas!$D$2:$D$5000,MATCH(J425,DB_malas!$A$2:$A$5000,0)),IF(INDEX(DB_materiali!$B$2:$B$5000,MATCH($C425,DB_materiali!$A$2:$A$5000,0))=INDEX(DB_malas!$B$2:$B$5000,MATCH(J425,DB_malas!$A$2:$A$5000,0)),"✔",tulkojums!$A$38),tulkojums!$A$39),tulkojums!$A$39))</f>
        <v/>
      </c>
      <c r="S425" s="2" t="str">
        <f>IF(ISBLANK(K425),"",IF(INDEX(DB_materiali!$E$2:$E$5000,MATCH($C425,DB_materiali!$A$2:$A$5000,0))&gt;=INDEX(DB_malas!$C$2:$C$5000,MATCH(K425,DB_malas!$A$2:$A$5000,0)),IF(INDEX(DB_materiali!$E$2:$E$5000,MATCH($C425,DB_materiali!$A$2:$A$5000,0))&lt;=INDEX(DB_malas!$D$2:$D$5000,MATCH(K425,DB_malas!$A$2:$A$5000,0)),IF(INDEX(DB_materiali!$B$2:$B$5000,MATCH($C425,DB_materiali!$A$2:$A$5000,0))=INDEX(DB_malas!$B$2:$B$5000,MATCH(K425,DB_malas!$A$2:$A$5000,0)),"✔",tulkojums!$A$38),tulkojums!$A$39),tulkojums!$A$39))</f>
        <v/>
      </c>
      <c r="T425" s="2"/>
      <c r="U425" s="2"/>
      <c r="V425" s="2"/>
      <c r="W425" s="2"/>
      <c r="X425" s="2"/>
      <c r="Y425" s="2"/>
      <c r="Z425" s="2"/>
    </row>
    <row r="426" spans="1:26" ht="15.75" customHeight="1">
      <c r="A426" s="17"/>
      <c r="B426" s="18"/>
      <c r="C426" s="19"/>
      <c r="D426" s="55"/>
      <c r="E426" s="55"/>
      <c r="F426" s="56"/>
      <c r="G426" s="57" t="str">
        <f>IF(ISBLANK(C426),"",
   IFERROR(
      IF(
         INDEX(DB_materiali!C$2:C$5000,
               MATCH(C426, DB_materiali!A$2:A$5000, 0)
         )="FALSE",
         "N",
         "Y"
      ),
   "")
)</f>
        <v/>
      </c>
      <c r="H426" s="20"/>
      <c r="I426" s="20"/>
      <c r="J426" s="20"/>
      <c r="K426" s="20"/>
      <c r="M426" s="2" t="str">
        <f>IF(ISBLANK(C426),"",IF(IFERROR(VLOOKUP(C426,DB_materiali!$A$2:$A$5000,1,FALSE),"Kļūda artikulā")=C426,"✔",tulkojums!A$42))</f>
        <v/>
      </c>
      <c r="N426" s="2" t="str">
        <f>IF(ISBLANK(C426),"",IF(ISNUMBER(F426)=TRUE,"✔",tulkojums!A$43))</f>
        <v/>
      </c>
      <c r="O426" s="2" t="str">
        <f>IF(ISBLANK(C426),"",IF(G426="Y","✔",IF(G426="X","✔",IF(G426="N","✔",tulkojums!A$44))))</f>
        <v/>
      </c>
      <c r="P426" s="2" t="str">
        <f>IF(ISBLANK(H426),"",IF(INDEX(DB_materiali!$E$2:$E$5000,MATCH($C426,DB_materiali!$A$2:$A$5000,0))&gt;=INDEX(DB_malas!$C$2:$C$5000,MATCH(H426,DB_malas!$A$2:$A$5000,0)),IF(INDEX(DB_materiali!$E$2:$E$5000,MATCH($C426,DB_materiali!$A$2:$A$5000,0))&lt;=INDEX(DB_malas!$D$2:$D$5000,MATCH(H426,DB_malas!$A$2:$A$5000,0)),IF(OR(INDEX(DB_materiali!$B$2:$B$5000,MATCH($C426,DB_materiali!$A$2:$A$5000,0))=INDEX(DB_malas!$B$2:$B$5000,MATCH(H426,DB_malas!$A$2:$A$5000,0)),$H426="ORG"),"✔",tulkojums!$A$38),tulkojums!$A$39),tulkojums!$A$39))</f>
        <v/>
      </c>
      <c r="Q426" s="2" t="str">
        <f>IF(ISBLANK(I426),"",IF(INDEX(DB_materiali!$E$2:$E$5000,MATCH($C426,DB_materiali!$A$2:$A$5000,0))&gt;=INDEX(DB_malas!$C$2:$C$5000,MATCH(I426,DB_malas!$A$2:$A$5000,0)),IF(INDEX(DB_materiali!$E$2:$E$5000,MATCH($C426,DB_materiali!$A$2:$A$5000,0))&lt;=INDEX(DB_malas!$D$2:$D$5000,MATCH(I426,DB_malas!$A$2:$A$5000,0)),IF(OR(INDEX(DB_materiali!$B$2:$B$5000,MATCH($C426,DB_materiali!$A$2:$A$5000,0))=INDEX(DB_malas!$B$2:$B$5000,MATCH(I426,DB_malas!$A$2:$A$5000,0)),$H426="ORG"),"✔",tulkojums!$A$38),tulkojums!$A$39),tulkojums!$A$39))</f>
        <v/>
      </c>
      <c r="R426" s="2" t="str">
        <f>IF(ISBLANK(J426),"",IF(INDEX(DB_materiali!$E$2:$E$5000,MATCH($C426,DB_materiali!$A$2:$A$5000,0))&gt;=INDEX(DB_malas!$C$2:$C$5000,MATCH(J426,DB_malas!$A$2:$A$5000,0)),IF(INDEX(DB_materiali!$E$2:$E$5000,MATCH($C426,DB_materiali!$A$2:$A$5000,0))&lt;=INDEX(DB_malas!$D$2:$D$5000,MATCH(J426,DB_malas!$A$2:$A$5000,0)),IF(INDEX(DB_materiali!$B$2:$B$5000,MATCH($C426,DB_materiali!$A$2:$A$5000,0))=INDEX(DB_malas!$B$2:$B$5000,MATCH(J426,DB_malas!$A$2:$A$5000,0)),"✔",tulkojums!$A$38),tulkojums!$A$39),tulkojums!$A$39))</f>
        <v/>
      </c>
      <c r="S426" s="2" t="str">
        <f>IF(ISBLANK(K426),"",IF(INDEX(DB_materiali!$E$2:$E$5000,MATCH($C426,DB_materiali!$A$2:$A$5000,0))&gt;=INDEX(DB_malas!$C$2:$C$5000,MATCH(K426,DB_malas!$A$2:$A$5000,0)),IF(INDEX(DB_materiali!$E$2:$E$5000,MATCH($C426,DB_materiali!$A$2:$A$5000,0))&lt;=INDEX(DB_malas!$D$2:$D$5000,MATCH(K426,DB_malas!$A$2:$A$5000,0)),IF(INDEX(DB_materiali!$B$2:$B$5000,MATCH($C426,DB_materiali!$A$2:$A$5000,0))=INDEX(DB_malas!$B$2:$B$5000,MATCH(K426,DB_malas!$A$2:$A$5000,0)),"✔",tulkojums!$A$38),tulkojums!$A$39),tulkojums!$A$39))</f>
        <v/>
      </c>
      <c r="T426" s="2"/>
      <c r="U426" s="2"/>
      <c r="V426" s="2"/>
      <c r="W426" s="2"/>
      <c r="X426" s="2"/>
      <c r="Y426" s="2"/>
      <c r="Z426" s="2"/>
    </row>
    <row r="427" spans="1:26" ht="15.75" customHeight="1">
      <c r="A427" s="17"/>
      <c r="B427" s="18"/>
      <c r="C427" s="19"/>
      <c r="D427" s="55"/>
      <c r="E427" s="55"/>
      <c r="F427" s="56"/>
      <c r="G427" s="57" t="str">
        <f>IF(ISBLANK(C427),"",
   IFERROR(
      IF(
         INDEX(DB_materiali!C$2:C$5000,
               MATCH(C427, DB_materiali!A$2:A$5000, 0)
         )="FALSE",
         "N",
         "Y"
      ),
   "")
)</f>
        <v/>
      </c>
      <c r="H427" s="20"/>
      <c r="I427" s="20"/>
      <c r="J427" s="20"/>
      <c r="K427" s="20"/>
      <c r="M427" s="2" t="str">
        <f>IF(ISBLANK(C427),"",IF(IFERROR(VLOOKUP(C427,DB_materiali!$A$2:$A$5000,1,FALSE),"Kļūda artikulā")=C427,"✔",tulkojums!A$42))</f>
        <v/>
      </c>
      <c r="N427" s="2" t="str">
        <f>IF(ISBLANK(C427),"",IF(ISNUMBER(F427)=TRUE,"✔",tulkojums!A$43))</f>
        <v/>
      </c>
      <c r="O427" s="2" t="str">
        <f>IF(ISBLANK(C427),"",IF(G427="Y","✔",IF(G427="X","✔",IF(G427="N","✔",tulkojums!A$44))))</f>
        <v/>
      </c>
      <c r="P427" s="2" t="str">
        <f>IF(ISBLANK(H427),"",IF(INDEX(DB_materiali!$E$2:$E$5000,MATCH($C427,DB_materiali!$A$2:$A$5000,0))&gt;=INDEX(DB_malas!$C$2:$C$5000,MATCH(H427,DB_malas!$A$2:$A$5000,0)),IF(INDEX(DB_materiali!$E$2:$E$5000,MATCH($C427,DB_materiali!$A$2:$A$5000,0))&lt;=INDEX(DB_malas!$D$2:$D$5000,MATCH(H427,DB_malas!$A$2:$A$5000,0)),IF(OR(INDEX(DB_materiali!$B$2:$B$5000,MATCH($C427,DB_materiali!$A$2:$A$5000,0))=INDEX(DB_malas!$B$2:$B$5000,MATCH(H427,DB_malas!$A$2:$A$5000,0)),$H427="ORG"),"✔",tulkojums!$A$38),tulkojums!$A$39),tulkojums!$A$39))</f>
        <v/>
      </c>
      <c r="Q427" s="2" t="str">
        <f>IF(ISBLANK(I427),"",IF(INDEX(DB_materiali!$E$2:$E$5000,MATCH($C427,DB_materiali!$A$2:$A$5000,0))&gt;=INDEX(DB_malas!$C$2:$C$5000,MATCH(I427,DB_malas!$A$2:$A$5000,0)),IF(INDEX(DB_materiali!$E$2:$E$5000,MATCH($C427,DB_materiali!$A$2:$A$5000,0))&lt;=INDEX(DB_malas!$D$2:$D$5000,MATCH(I427,DB_malas!$A$2:$A$5000,0)),IF(OR(INDEX(DB_materiali!$B$2:$B$5000,MATCH($C427,DB_materiali!$A$2:$A$5000,0))=INDEX(DB_malas!$B$2:$B$5000,MATCH(I427,DB_malas!$A$2:$A$5000,0)),$H427="ORG"),"✔",tulkojums!$A$38),tulkojums!$A$39),tulkojums!$A$39))</f>
        <v/>
      </c>
      <c r="R427" s="2" t="str">
        <f>IF(ISBLANK(J427),"",IF(INDEX(DB_materiali!$E$2:$E$5000,MATCH($C427,DB_materiali!$A$2:$A$5000,0))&gt;=INDEX(DB_malas!$C$2:$C$5000,MATCH(J427,DB_malas!$A$2:$A$5000,0)),IF(INDEX(DB_materiali!$E$2:$E$5000,MATCH($C427,DB_materiali!$A$2:$A$5000,0))&lt;=INDEX(DB_malas!$D$2:$D$5000,MATCH(J427,DB_malas!$A$2:$A$5000,0)),IF(INDEX(DB_materiali!$B$2:$B$5000,MATCH($C427,DB_materiali!$A$2:$A$5000,0))=INDEX(DB_malas!$B$2:$B$5000,MATCH(J427,DB_malas!$A$2:$A$5000,0)),"✔",tulkojums!$A$38),tulkojums!$A$39),tulkojums!$A$39))</f>
        <v/>
      </c>
      <c r="S427" s="2" t="str">
        <f>IF(ISBLANK(K427),"",IF(INDEX(DB_materiali!$E$2:$E$5000,MATCH($C427,DB_materiali!$A$2:$A$5000,0))&gt;=INDEX(DB_malas!$C$2:$C$5000,MATCH(K427,DB_malas!$A$2:$A$5000,0)),IF(INDEX(DB_materiali!$E$2:$E$5000,MATCH($C427,DB_materiali!$A$2:$A$5000,0))&lt;=INDEX(DB_malas!$D$2:$D$5000,MATCH(K427,DB_malas!$A$2:$A$5000,0)),IF(INDEX(DB_materiali!$B$2:$B$5000,MATCH($C427,DB_materiali!$A$2:$A$5000,0))=INDEX(DB_malas!$B$2:$B$5000,MATCH(K427,DB_malas!$A$2:$A$5000,0)),"✔",tulkojums!$A$38),tulkojums!$A$39),tulkojums!$A$39))</f>
        <v/>
      </c>
      <c r="T427" s="2"/>
      <c r="U427" s="2"/>
      <c r="V427" s="2"/>
      <c r="W427" s="2"/>
      <c r="X427" s="2"/>
      <c r="Y427" s="2"/>
      <c r="Z427" s="2"/>
    </row>
    <row r="428" spans="1:26" ht="15.75" customHeight="1">
      <c r="A428" s="17"/>
      <c r="B428" s="18"/>
      <c r="C428" s="19"/>
      <c r="D428" s="55"/>
      <c r="E428" s="55"/>
      <c r="F428" s="56"/>
      <c r="G428" s="57" t="str">
        <f>IF(ISBLANK(C428),"",
   IFERROR(
      IF(
         INDEX(DB_materiali!C$2:C$5000,
               MATCH(C428, DB_materiali!A$2:A$5000, 0)
         )="FALSE",
         "N",
         "Y"
      ),
   "")
)</f>
        <v/>
      </c>
      <c r="H428" s="20"/>
      <c r="I428" s="20"/>
      <c r="J428" s="20"/>
      <c r="K428" s="20"/>
      <c r="M428" s="2" t="str">
        <f>IF(ISBLANK(C428),"",IF(IFERROR(VLOOKUP(C428,DB_materiali!$A$2:$A$5000,1,FALSE),"Kļūda artikulā")=C428,"✔",tulkojums!A$42))</f>
        <v/>
      </c>
      <c r="N428" s="2" t="str">
        <f>IF(ISBLANK(C428),"",IF(ISNUMBER(F428)=TRUE,"✔",tulkojums!A$43))</f>
        <v/>
      </c>
      <c r="O428" s="2" t="str">
        <f>IF(ISBLANK(C428),"",IF(G428="Y","✔",IF(G428="X","✔",IF(G428="N","✔",tulkojums!A$44))))</f>
        <v/>
      </c>
      <c r="P428" s="2" t="str">
        <f>IF(ISBLANK(H428),"",IF(INDEX(DB_materiali!$E$2:$E$5000,MATCH($C428,DB_materiali!$A$2:$A$5000,0))&gt;=INDEX(DB_malas!$C$2:$C$5000,MATCH(H428,DB_malas!$A$2:$A$5000,0)),IF(INDEX(DB_materiali!$E$2:$E$5000,MATCH($C428,DB_materiali!$A$2:$A$5000,0))&lt;=INDEX(DB_malas!$D$2:$D$5000,MATCH(H428,DB_malas!$A$2:$A$5000,0)),IF(OR(INDEX(DB_materiali!$B$2:$B$5000,MATCH($C428,DB_materiali!$A$2:$A$5000,0))=INDEX(DB_malas!$B$2:$B$5000,MATCH(H428,DB_malas!$A$2:$A$5000,0)),$H428="ORG"),"✔",tulkojums!$A$38),tulkojums!$A$39),tulkojums!$A$39))</f>
        <v/>
      </c>
      <c r="Q428" s="2" t="str">
        <f>IF(ISBLANK(I428),"",IF(INDEX(DB_materiali!$E$2:$E$5000,MATCH($C428,DB_materiali!$A$2:$A$5000,0))&gt;=INDEX(DB_malas!$C$2:$C$5000,MATCH(I428,DB_malas!$A$2:$A$5000,0)),IF(INDEX(DB_materiali!$E$2:$E$5000,MATCH($C428,DB_materiali!$A$2:$A$5000,0))&lt;=INDEX(DB_malas!$D$2:$D$5000,MATCH(I428,DB_malas!$A$2:$A$5000,0)),IF(OR(INDEX(DB_materiali!$B$2:$B$5000,MATCH($C428,DB_materiali!$A$2:$A$5000,0))=INDEX(DB_malas!$B$2:$B$5000,MATCH(I428,DB_malas!$A$2:$A$5000,0)),$H428="ORG"),"✔",tulkojums!$A$38),tulkojums!$A$39),tulkojums!$A$39))</f>
        <v/>
      </c>
      <c r="R428" s="2" t="str">
        <f>IF(ISBLANK(J428),"",IF(INDEX(DB_materiali!$E$2:$E$5000,MATCH($C428,DB_materiali!$A$2:$A$5000,0))&gt;=INDEX(DB_malas!$C$2:$C$5000,MATCH(J428,DB_malas!$A$2:$A$5000,0)),IF(INDEX(DB_materiali!$E$2:$E$5000,MATCH($C428,DB_materiali!$A$2:$A$5000,0))&lt;=INDEX(DB_malas!$D$2:$D$5000,MATCH(J428,DB_malas!$A$2:$A$5000,0)),IF(INDEX(DB_materiali!$B$2:$B$5000,MATCH($C428,DB_materiali!$A$2:$A$5000,0))=INDEX(DB_malas!$B$2:$B$5000,MATCH(J428,DB_malas!$A$2:$A$5000,0)),"✔",tulkojums!$A$38),tulkojums!$A$39),tulkojums!$A$39))</f>
        <v/>
      </c>
      <c r="S428" s="2" t="str">
        <f>IF(ISBLANK(K428),"",IF(INDEX(DB_materiali!$E$2:$E$5000,MATCH($C428,DB_materiali!$A$2:$A$5000,0))&gt;=INDEX(DB_malas!$C$2:$C$5000,MATCH(K428,DB_malas!$A$2:$A$5000,0)),IF(INDEX(DB_materiali!$E$2:$E$5000,MATCH($C428,DB_materiali!$A$2:$A$5000,0))&lt;=INDEX(DB_malas!$D$2:$D$5000,MATCH(K428,DB_malas!$A$2:$A$5000,0)),IF(INDEX(DB_materiali!$B$2:$B$5000,MATCH($C428,DB_materiali!$A$2:$A$5000,0))=INDEX(DB_malas!$B$2:$B$5000,MATCH(K428,DB_malas!$A$2:$A$5000,0)),"✔",tulkojums!$A$38),tulkojums!$A$39),tulkojums!$A$39))</f>
        <v/>
      </c>
      <c r="T428" s="2"/>
      <c r="U428" s="2"/>
      <c r="V428" s="2"/>
      <c r="W428" s="2"/>
      <c r="X428" s="2"/>
      <c r="Y428" s="2"/>
      <c r="Z428" s="2"/>
    </row>
    <row r="429" spans="1:26" ht="15.75" customHeight="1">
      <c r="A429" s="17"/>
      <c r="B429" s="18"/>
      <c r="C429" s="19"/>
      <c r="D429" s="55"/>
      <c r="E429" s="55"/>
      <c r="F429" s="56"/>
      <c r="G429" s="57" t="str">
        <f>IF(ISBLANK(C429),"",
   IFERROR(
      IF(
         INDEX(DB_materiali!C$2:C$5000,
               MATCH(C429, DB_materiali!A$2:A$5000, 0)
         )="FALSE",
         "N",
         "Y"
      ),
   "")
)</f>
        <v/>
      </c>
      <c r="H429" s="20"/>
      <c r="I429" s="20"/>
      <c r="J429" s="20"/>
      <c r="K429" s="20"/>
      <c r="M429" s="2" t="str">
        <f>IF(ISBLANK(C429),"",IF(IFERROR(VLOOKUP(C429,DB_materiali!$A$2:$A$5000,1,FALSE),"Kļūda artikulā")=C429,"✔",tulkojums!A$42))</f>
        <v/>
      </c>
      <c r="N429" s="2" t="str">
        <f>IF(ISBLANK(C429),"",IF(ISNUMBER(F429)=TRUE,"✔",tulkojums!A$43))</f>
        <v/>
      </c>
      <c r="O429" s="2" t="str">
        <f>IF(ISBLANK(C429),"",IF(G429="Y","✔",IF(G429="X","✔",IF(G429="N","✔",tulkojums!A$44))))</f>
        <v/>
      </c>
      <c r="P429" s="2" t="str">
        <f>IF(ISBLANK(H429),"",IF(INDEX(DB_materiali!$E$2:$E$5000,MATCH($C429,DB_materiali!$A$2:$A$5000,0))&gt;=INDEX(DB_malas!$C$2:$C$5000,MATCH(H429,DB_malas!$A$2:$A$5000,0)),IF(INDEX(DB_materiali!$E$2:$E$5000,MATCH($C429,DB_materiali!$A$2:$A$5000,0))&lt;=INDEX(DB_malas!$D$2:$D$5000,MATCH(H429,DB_malas!$A$2:$A$5000,0)),IF(OR(INDEX(DB_materiali!$B$2:$B$5000,MATCH($C429,DB_materiali!$A$2:$A$5000,0))=INDEX(DB_malas!$B$2:$B$5000,MATCH(H429,DB_malas!$A$2:$A$5000,0)),$H429="ORG"),"✔",tulkojums!$A$38),tulkojums!$A$39),tulkojums!$A$39))</f>
        <v/>
      </c>
      <c r="Q429" s="2" t="str">
        <f>IF(ISBLANK(I429),"",IF(INDEX(DB_materiali!$E$2:$E$5000,MATCH($C429,DB_materiali!$A$2:$A$5000,0))&gt;=INDEX(DB_malas!$C$2:$C$5000,MATCH(I429,DB_malas!$A$2:$A$5000,0)),IF(INDEX(DB_materiali!$E$2:$E$5000,MATCH($C429,DB_materiali!$A$2:$A$5000,0))&lt;=INDEX(DB_malas!$D$2:$D$5000,MATCH(I429,DB_malas!$A$2:$A$5000,0)),IF(OR(INDEX(DB_materiali!$B$2:$B$5000,MATCH($C429,DB_materiali!$A$2:$A$5000,0))=INDEX(DB_malas!$B$2:$B$5000,MATCH(I429,DB_malas!$A$2:$A$5000,0)),$H429="ORG"),"✔",tulkojums!$A$38),tulkojums!$A$39),tulkojums!$A$39))</f>
        <v/>
      </c>
      <c r="R429" s="2" t="str">
        <f>IF(ISBLANK(J429),"",IF(INDEX(DB_materiali!$E$2:$E$5000,MATCH($C429,DB_materiali!$A$2:$A$5000,0))&gt;=INDEX(DB_malas!$C$2:$C$5000,MATCH(J429,DB_malas!$A$2:$A$5000,0)),IF(INDEX(DB_materiali!$E$2:$E$5000,MATCH($C429,DB_materiali!$A$2:$A$5000,0))&lt;=INDEX(DB_malas!$D$2:$D$5000,MATCH(J429,DB_malas!$A$2:$A$5000,0)),IF(INDEX(DB_materiali!$B$2:$B$5000,MATCH($C429,DB_materiali!$A$2:$A$5000,0))=INDEX(DB_malas!$B$2:$B$5000,MATCH(J429,DB_malas!$A$2:$A$5000,0)),"✔",tulkojums!$A$38),tulkojums!$A$39),tulkojums!$A$39))</f>
        <v/>
      </c>
      <c r="S429" s="2" t="str">
        <f>IF(ISBLANK(K429),"",IF(INDEX(DB_materiali!$E$2:$E$5000,MATCH($C429,DB_materiali!$A$2:$A$5000,0))&gt;=INDEX(DB_malas!$C$2:$C$5000,MATCH(K429,DB_malas!$A$2:$A$5000,0)),IF(INDEX(DB_materiali!$E$2:$E$5000,MATCH($C429,DB_materiali!$A$2:$A$5000,0))&lt;=INDEX(DB_malas!$D$2:$D$5000,MATCH(K429,DB_malas!$A$2:$A$5000,0)),IF(INDEX(DB_materiali!$B$2:$B$5000,MATCH($C429,DB_materiali!$A$2:$A$5000,0))=INDEX(DB_malas!$B$2:$B$5000,MATCH(K429,DB_malas!$A$2:$A$5000,0)),"✔",tulkojums!$A$38),tulkojums!$A$39),tulkojums!$A$39))</f>
        <v/>
      </c>
      <c r="T429" s="2"/>
      <c r="U429" s="2"/>
      <c r="V429" s="2"/>
      <c r="W429" s="2"/>
      <c r="X429" s="2"/>
      <c r="Y429" s="2"/>
      <c r="Z429" s="2"/>
    </row>
    <row r="430" spans="1:26" ht="15.75" customHeight="1">
      <c r="A430" s="17"/>
      <c r="B430" s="18"/>
      <c r="C430" s="19"/>
      <c r="D430" s="55"/>
      <c r="E430" s="55"/>
      <c r="F430" s="56"/>
      <c r="G430" s="57" t="str">
        <f>IF(ISBLANK(C430),"",
   IFERROR(
      IF(
         INDEX(DB_materiali!C$2:C$5000,
               MATCH(C430, DB_materiali!A$2:A$5000, 0)
         )="FALSE",
         "N",
         "Y"
      ),
   "")
)</f>
        <v/>
      </c>
      <c r="H430" s="20"/>
      <c r="I430" s="20"/>
      <c r="J430" s="20"/>
      <c r="K430" s="20"/>
      <c r="M430" s="2" t="str">
        <f>IF(ISBLANK(C430),"",IF(IFERROR(VLOOKUP(C430,DB_materiali!$A$2:$A$5000,1,FALSE),"Kļūda artikulā")=C430,"✔",tulkojums!A$42))</f>
        <v/>
      </c>
      <c r="N430" s="2" t="str">
        <f>IF(ISBLANK(C430),"",IF(ISNUMBER(F430)=TRUE,"✔",tulkojums!A$43))</f>
        <v/>
      </c>
      <c r="O430" s="2" t="str">
        <f>IF(ISBLANK(C430),"",IF(G430="Y","✔",IF(G430="X","✔",IF(G430="N","✔",tulkojums!A$44))))</f>
        <v/>
      </c>
      <c r="P430" s="2" t="str">
        <f>IF(ISBLANK(H430),"",IF(INDEX(DB_materiali!$E$2:$E$5000,MATCH($C430,DB_materiali!$A$2:$A$5000,0))&gt;=INDEX(DB_malas!$C$2:$C$5000,MATCH(H430,DB_malas!$A$2:$A$5000,0)),IF(INDEX(DB_materiali!$E$2:$E$5000,MATCH($C430,DB_materiali!$A$2:$A$5000,0))&lt;=INDEX(DB_malas!$D$2:$D$5000,MATCH(H430,DB_malas!$A$2:$A$5000,0)),IF(OR(INDEX(DB_materiali!$B$2:$B$5000,MATCH($C430,DB_materiali!$A$2:$A$5000,0))=INDEX(DB_malas!$B$2:$B$5000,MATCH(H430,DB_malas!$A$2:$A$5000,0)),$H430="ORG"),"✔",tulkojums!$A$38),tulkojums!$A$39),tulkojums!$A$39))</f>
        <v/>
      </c>
      <c r="Q430" s="2" t="str">
        <f>IF(ISBLANK(I430),"",IF(INDEX(DB_materiali!$E$2:$E$5000,MATCH($C430,DB_materiali!$A$2:$A$5000,0))&gt;=INDEX(DB_malas!$C$2:$C$5000,MATCH(I430,DB_malas!$A$2:$A$5000,0)),IF(INDEX(DB_materiali!$E$2:$E$5000,MATCH($C430,DB_materiali!$A$2:$A$5000,0))&lt;=INDEX(DB_malas!$D$2:$D$5000,MATCH(I430,DB_malas!$A$2:$A$5000,0)),IF(OR(INDEX(DB_materiali!$B$2:$B$5000,MATCH($C430,DB_materiali!$A$2:$A$5000,0))=INDEX(DB_malas!$B$2:$B$5000,MATCH(I430,DB_malas!$A$2:$A$5000,0)),$H430="ORG"),"✔",tulkojums!$A$38),tulkojums!$A$39),tulkojums!$A$39))</f>
        <v/>
      </c>
      <c r="R430" s="2" t="str">
        <f>IF(ISBLANK(J430),"",IF(INDEX(DB_materiali!$E$2:$E$5000,MATCH($C430,DB_materiali!$A$2:$A$5000,0))&gt;=INDEX(DB_malas!$C$2:$C$5000,MATCH(J430,DB_malas!$A$2:$A$5000,0)),IF(INDEX(DB_materiali!$E$2:$E$5000,MATCH($C430,DB_materiali!$A$2:$A$5000,0))&lt;=INDEX(DB_malas!$D$2:$D$5000,MATCH(J430,DB_malas!$A$2:$A$5000,0)),IF(INDEX(DB_materiali!$B$2:$B$5000,MATCH($C430,DB_materiali!$A$2:$A$5000,0))=INDEX(DB_malas!$B$2:$B$5000,MATCH(J430,DB_malas!$A$2:$A$5000,0)),"✔",tulkojums!$A$38),tulkojums!$A$39),tulkojums!$A$39))</f>
        <v/>
      </c>
      <c r="S430" s="2" t="str">
        <f>IF(ISBLANK(K430),"",IF(INDEX(DB_materiali!$E$2:$E$5000,MATCH($C430,DB_materiali!$A$2:$A$5000,0))&gt;=INDEX(DB_malas!$C$2:$C$5000,MATCH(K430,DB_malas!$A$2:$A$5000,0)),IF(INDEX(DB_materiali!$E$2:$E$5000,MATCH($C430,DB_materiali!$A$2:$A$5000,0))&lt;=INDEX(DB_malas!$D$2:$D$5000,MATCH(K430,DB_malas!$A$2:$A$5000,0)),IF(INDEX(DB_materiali!$B$2:$B$5000,MATCH($C430,DB_materiali!$A$2:$A$5000,0))=INDEX(DB_malas!$B$2:$B$5000,MATCH(K430,DB_malas!$A$2:$A$5000,0)),"✔",tulkojums!$A$38),tulkojums!$A$39),tulkojums!$A$39))</f>
        <v/>
      </c>
      <c r="T430" s="2"/>
      <c r="U430" s="2"/>
      <c r="V430" s="2"/>
      <c r="W430" s="2"/>
      <c r="X430" s="2"/>
      <c r="Y430" s="2"/>
      <c r="Z430" s="2"/>
    </row>
    <row r="431" spans="1:26" ht="15.75" customHeight="1">
      <c r="A431" s="17"/>
      <c r="B431" s="18"/>
      <c r="C431" s="19"/>
      <c r="D431" s="55"/>
      <c r="E431" s="55"/>
      <c r="F431" s="56"/>
      <c r="G431" s="57" t="str">
        <f>IF(ISBLANK(C431),"",
   IFERROR(
      IF(
         INDEX(DB_materiali!C$2:C$5000,
               MATCH(C431, DB_materiali!A$2:A$5000, 0)
         )="FALSE",
         "N",
         "Y"
      ),
   "")
)</f>
        <v/>
      </c>
      <c r="H431" s="20"/>
      <c r="I431" s="20"/>
      <c r="J431" s="20"/>
      <c r="K431" s="20"/>
      <c r="M431" s="2" t="str">
        <f>IF(ISBLANK(C431),"",IF(IFERROR(VLOOKUP(C431,DB_materiali!$A$2:$A$5000,1,FALSE),"Kļūda artikulā")=C431,"✔",tulkojums!A$42))</f>
        <v/>
      </c>
      <c r="N431" s="2" t="str">
        <f>IF(ISBLANK(C431),"",IF(ISNUMBER(F431)=TRUE,"✔",tulkojums!A$43))</f>
        <v/>
      </c>
      <c r="O431" s="2" t="str">
        <f>IF(ISBLANK(C431),"",IF(G431="Y","✔",IF(G431="X","✔",IF(G431="N","✔",tulkojums!A$44))))</f>
        <v/>
      </c>
      <c r="P431" s="2" t="str">
        <f>IF(ISBLANK(H431),"",IF(INDEX(DB_materiali!$E$2:$E$5000,MATCH($C431,DB_materiali!$A$2:$A$5000,0))&gt;=INDEX(DB_malas!$C$2:$C$5000,MATCH(H431,DB_malas!$A$2:$A$5000,0)),IF(INDEX(DB_materiali!$E$2:$E$5000,MATCH($C431,DB_materiali!$A$2:$A$5000,0))&lt;=INDEX(DB_malas!$D$2:$D$5000,MATCH(H431,DB_malas!$A$2:$A$5000,0)),IF(OR(INDEX(DB_materiali!$B$2:$B$5000,MATCH($C431,DB_materiali!$A$2:$A$5000,0))=INDEX(DB_malas!$B$2:$B$5000,MATCH(H431,DB_malas!$A$2:$A$5000,0)),$H431="ORG"),"✔",tulkojums!$A$38),tulkojums!$A$39),tulkojums!$A$39))</f>
        <v/>
      </c>
      <c r="Q431" s="2" t="str">
        <f>IF(ISBLANK(I431),"",IF(INDEX(DB_materiali!$E$2:$E$5000,MATCH($C431,DB_materiali!$A$2:$A$5000,0))&gt;=INDEX(DB_malas!$C$2:$C$5000,MATCH(I431,DB_malas!$A$2:$A$5000,0)),IF(INDEX(DB_materiali!$E$2:$E$5000,MATCH($C431,DB_materiali!$A$2:$A$5000,0))&lt;=INDEX(DB_malas!$D$2:$D$5000,MATCH(I431,DB_malas!$A$2:$A$5000,0)),IF(OR(INDEX(DB_materiali!$B$2:$B$5000,MATCH($C431,DB_materiali!$A$2:$A$5000,0))=INDEX(DB_malas!$B$2:$B$5000,MATCH(I431,DB_malas!$A$2:$A$5000,0)),$H431="ORG"),"✔",tulkojums!$A$38),tulkojums!$A$39),tulkojums!$A$39))</f>
        <v/>
      </c>
      <c r="R431" s="2" t="str">
        <f>IF(ISBLANK(J431),"",IF(INDEX(DB_materiali!$E$2:$E$5000,MATCH($C431,DB_materiali!$A$2:$A$5000,0))&gt;=INDEX(DB_malas!$C$2:$C$5000,MATCH(J431,DB_malas!$A$2:$A$5000,0)),IF(INDEX(DB_materiali!$E$2:$E$5000,MATCH($C431,DB_materiali!$A$2:$A$5000,0))&lt;=INDEX(DB_malas!$D$2:$D$5000,MATCH(J431,DB_malas!$A$2:$A$5000,0)),IF(INDEX(DB_materiali!$B$2:$B$5000,MATCH($C431,DB_materiali!$A$2:$A$5000,0))=INDEX(DB_malas!$B$2:$B$5000,MATCH(J431,DB_malas!$A$2:$A$5000,0)),"✔",tulkojums!$A$38),tulkojums!$A$39),tulkojums!$A$39))</f>
        <v/>
      </c>
      <c r="S431" s="2" t="str">
        <f>IF(ISBLANK(K431),"",IF(INDEX(DB_materiali!$E$2:$E$5000,MATCH($C431,DB_materiali!$A$2:$A$5000,0))&gt;=INDEX(DB_malas!$C$2:$C$5000,MATCH(K431,DB_malas!$A$2:$A$5000,0)),IF(INDEX(DB_materiali!$E$2:$E$5000,MATCH($C431,DB_materiali!$A$2:$A$5000,0))&lt;=INDEX(DB_malas!$D$2:$D$5000,MATCH(K431,DB_malas!$A$2:$A$5000,0)),IF(INDEX(DB_materiali!$B$2:$B$5000,MATCH($C431,DB_materiali!$A$2:$A$5000,0))=INDEX(DB_malas!$B$2:$B$5000,MATCH(K431,DB_malas!$A$2:$A$5000,0)),"✔",tulkojums!$A$38),tulkojums!$A$39),tulkojums!$A$39))</f>
        <v/>
      </c>
      <c r="T431" s="2"/>
      <c r="U431" s="2"/>
      <c r="V431" s="2"/>
      <c r="W431" s="2"/>
      <c r="X431" s="2"/>
      <c r="Y431" s="2"/>
      <c r="Z431" s="2"/>
    </row>
    <row r="432" spans="1:26" ht="15.75" customHeight="1">
      <c r="A432" s="17"/>
      <c r="B432" s="18"/>
      <c r="C432" s="19"/>
      <c r="D432" s="55"/>
      <c r="E432" s="55"/>
      <c r="F432" s="56"/>
      <c r="G432" s="57" t="str">
        <f>IF(ISBLANK(C432),"",
   IFERROR(
      IF(
         INDEX(DB_materiali!C$2:C$5000,
               MATCH(C432, DB_materiali!A$2:A$5000, 0)
         )="FALSE",
         "N",
         "Y"
      ),
   "")
)</f>
        <v/>
      </c>
      <c r="H432" s="20"/>
      <c r="I432" s="20"/>
      <c r="J432" s="20"/>
      <c r="K432" s="20"/>
      <c r="M432" s="2" t="str">
        <f>IF(ISBLANK(C432),"",IF(IFERROR(VLOOKUP(C432,DB_materiali!$A$2:$A$5000,1,FALSE),"Kļūda artikulā")=C432,"✔",tulkojums!A$42))</f>
        <v/>
      </c>
      <c r="N432" s="2" t="str">
        <f>IF(ISBLANK(C432),"",IF(ISNUMBER(F432)=TRUE,"✔",tulkojums!A$43))</f>
        <v/>
      </c>
      <c r="O432" s="2" t="str">
        <f>IF(ISBLANK(C432),"",IF(G432="Y","✔",IF(G432="X","✔",IF(G432="N","✔",tulkojums!A$44))))</f>
        <v/>
      </c>
      <c r="P432" s="2" t="str">
        <f>IF(ISBLANK(H432),"",IF(INDEX(DB_materiali!$E$2:$E$5000,MATCH($C432,DB_materiali!$A$2:$A$5000,0))&gt;=INDEX(DB_malas!$C$2:$C$5000,MATCH(H432,DB_malas!$A$2:$A$5000,0)),IF(INDEX(DB_materiali!$E$2:$E$5000,MATCH($C432,DB_materiali!$A$2:$A$5000,0))&lt;=INDEX(DB_malas!$D$2:$D$5000,MATCH(H432,DB_malas!$A$2:$A$5000,0)),IF(OR(INDEX(DB_materiali!$B$2:$B$5000,MATCH($C432,DB_materiali!$A$2:$A$5000,0))=INDEX(DB_malas!$B$2:$B$5000,MATCH(H432,DB_malas!$A$2:$A$5000,0)),$H432="ORG"),"✔",tulkojums!$A$38),tulkojums!$A$39),tulkojums!$A$39))</f>
        <v/>
      </c>
      <c r="Q432" s="2" t="str">
        <f>IF(ISBLANK(I432),"",IF(INDEX(DB_materiali!$E$2:$E$5000,MATCH($C432,DB_materiali!$A$2:$A$5000,0))&gt;=INDEX(DB_malas!$C$2:$C$5000,MATCH(I432,DB_malas!$A$2:$A$5000,0)),IF(INDEX(DB_materiali!$E$2:$E$5000,MATCH($C432,DB_materiali!$A$2:$A$5000,0))&lt;=INDEX(DB_malas!$D$2:$D$5000,MATCH(I432,DB_malas!$A$2:$A$5000,0)),IF(OR(INDEX(DB_materiali!$B$2:$B$5000,MATCH($C432,DB_materiali!$A$2:$A$5000,0))=INDEX(DB_malas!$B$2:$B$5000,MATCH(I432,DB_malas!$A$2:$A$5000,0)),$H432="ORG"),"✔",tulkojums!$A$38),tulkojums!$A$39),tulkojums!$A$39))</f>
        <v/>
      </c>
      <c r="R432" s="2" t="str">
        <f>IF(ISBLANK(J432),"",IF(INDEX(DB_materiali!$E$2:$E$5000,MATCH($C432,DB_materiali!$A$2:$A$5000,0))&gt;=INDEX(DB_malas!$C$2:$C$5000,MATCH(J432,DB_malas!$A$2:$A$5000,0)),IF(INDEX(DB_materiali!$E$2:$E$5000,MATCH($C432,DB_materiali!$A$2:$A$5000,0))&lt;=INDEX(DB_malas!$D$2:$D$5000,MATCH(J432,DB_malas!$A$2:$A$5000,0)),IF(INDEX(DB_materiali!$B$2:$B$5000,MATCH($C432,DB_materiali!$A$2:$A$5000,0))=INDEX(DB_malas!$B$2:$B$5000,MATCH(J432,DB_malas!$A$2:$A$5000,0)),"✔",tulkojums!$A$38),tulkojums!$A$39),tulkojums!$A$39))</f>
        <v/>
      </c>
      <c r="S432" s="2" t="str">
        <f>IF(ISBLANK(K432),"",IF(INDEX(DB_materiali!$E$2:$E$5000,MATCH($C432,DB_materiali!$A$2:$A$5000,0))&gt;=INDEX(DB_malas!$C$2:$C$5000,MATCH(K432,DB_malas!$A$2:$A$5000,0)),IF(INDEX(DB_materiali!$E$2:$E$5000,MATCH($C432,DB_materiali!$A$2:$A$5000,0))&lt;=INDEX(DB_malas!$D$2:$D$5000,MATCH(K432,DB_malas!$A$2:$A$5000,0)),IF(INDEX(DB_materiali!$B$2:$B$5000,MATCH($C432,DB_materiali!$A$2:$A$5000,0))=INDEX(DB_malas!$B$2:$B$5000,MATCH(K432,DB_malas!$A$2:$A$5000,0)),"✔",tulkojums!$A$38),tulkojums!$A$39),tulkojums!$A$39))</f>
        <v/>
      </c>
      <c r="T432" s="2"/>
      <c r="U432" s="2"/>
      <c r="V432" s="2"/>
      <c r="W432" s="2"/>
      <c r="X432" s="2"/>
      <c r="Y432" s="2"/>
      <c r="Z432" s="2"/>
    </row>
    <row r="433" spans="1:26" ht="15.75" customHeight="1">
      <c r="A433" s="17"/>
      <c r="B433" s="18"/>
      <c r="C433" s="19"/>
      <c r="D433" s="55"/>
      <c r="E433" s="55"/>
      <c r="F433" s="56"/>
      <c r="G433" s="57" t="str">
        <f>IF(ISBLANK(C433),"",
   IFERROR(
      IF(
         INDEX(DB_materiali!C$2:C$5000,
               MATCH(C433, DB_materiali!A$2:A$5000, 0)
         )="FALSE",
         "N",
         "Y"
      ),
   "")
)</f>
        <v/>
      </c>
      <c r="H433" s="20"/>
      <c r="I433" s="20"/>
      <c r="J433" s="20"/>
      <c r="K433" s="20"/>
      <c r="M433" s="2" t="str">
        <f>IF(ISBLANK(C433),"",IF(IFERROR(VLOOKUP(C433,DB_materiali!$A$2:$A$5000,1,FALSE),"Kļūda artikulā")=C433,"✔",tulkojums!A$42))</f>
        <v/>
      </c>
      <c r="N433" s="2" t="str">
        <f>IF(ISBLANK(C433),"",IF(ISNUMBER(F433)=TRUE,"✔",tulkojums!A$43))</f>
        <v/>
      </c>
      <c r="O433" s="2" t="str">
        <f>IF(ISBLANK(C433),"",IF(G433="Y","✔",IF(G433="X","✔",IF(G433="N","✔",tulkojums!A$44))))</f>
        <v/>
      </c>
      <c r="P433" s="2" t="str">
        <f>IF(ISBLANK(H433),"",IF(INDEX(DB_materiali!$E$2:$E$5000,MATCH($C433,DB_materiali!$A$2:$A$5000,0))&gt;=INDEX(DB_malas!$C$2:$C$5000,MATCH(H433,DB_malas!$A$2:$A$5000,0)),IF(INDEX(DB_materiali!$E$2:$E$5000,MATCH($C433,DB_materiali!$A$2:$A$5000,0))&lt;=INDEX(DB_malas!$D$2:$D$5000,MATCH(H433,DB_malas!$A$2:$A$5000,0)),IF(OR(INDEX(DB_materiali!$B$2:$B$5000,MATCH($C433,DB_materiali!$A$2:$A$5000,0))=INDEX(DB_malas!$B$2:$B$5000,MATCH(H433,DB_malas!$A$2:$A$5000,0)),$H433="ORG"),"✔",tulkojums!$A$38),tulkojums!$A$39),tulkojums!$A$39))</f>
        <v/>
      </c>
      <c r="Q433" s="2" t="str">
        <f>IF(ISBLANK(I433),"",IF(INDEX(DB_materiali!$E$2:$E$5000,MATCH($C433,DB_materiali!$A$2:$A$5000,0))&gt;=INDEX(DB_malas!$C$2:$C$5000,MATCH(I433,DB_malas!$A$2:$A$5000,0)),IF(INDEX(DB_materiali!$E$2:$E$5000,MATCH($C433,DB_materiali!$A$2:$A$5000,0))&lt;=INDEX(DB_malas!$D$2:$D$5000,MATCH(I433,DB_malas!$A$2:$A$5000,0)),IF(OR(INDEX(DB_materiali!$B$2:$B$5000,MATCH($C433,DB_materiali!$A$2:$A$5000,0))=INDEX(DB_malas!$B$2:$B$5000,MATCH(I433,DB_malas!$A$2:$A$5000,0)),$H433="ORG"),"✔",tulkojums!$A$38),tulkojums!$A$39),tulkojums!$A$39))</f>
        <v/>
      </c>
      <c r="R433" s="2" t="str">
        <f>IF(ISBLANK(J433),"",IF(INDEX(DB_materiali!$E$2:$E$5000,MATCH($C433,DB_materiali!$A$2:$A$5000,0))&gt;=INDEX(DB_malas!$C$2:$C$5000,MATCH(J433,DB_malas!$A$2:$A$5000,0)),IF(INDEX(DB_materiali!$E$2:$E$5000,MATCH($C433,DB_materiali!$A$2:$A$5000,0))&lt;=INDEX(DB_malas!$D$2:$D$5000,MATCH(J433,DB_malas!$A$2:$A$5000,0)),IF(INDEX(DB_materiali!$B$2:$B$5000,MATCH($C433,DB_materiali!$A$2:$A$5000,0))=INDEX(DB_malas!$B$2:$B$5000,MATCH(J433,DB_malas!$A$2:$A$5000,0)),"✔",tulkojums!$A$38),tulkojums!$A$39),tulkojums!$A$39))</f>
        <v/>
      </c>
      <c r="S433" s="2" t="str">
        <f>IF(ISBLANK(K433),"",IF(INDEX(DB_materiali!$E$2:$E$5000,MATCH($C433,DB_materiali!$A$2:$A$5000,0))&gt;=INDEX(DB_malas!$C$2:$C$5000,MATCH(K433,DB_malas!$A$2:$A$5000,0)),IF(INDEX(DB_materiali!$E$2:$E$5000,MATCH($C433,DB_materiali!$A$2:$A$5000,0))&lt;=INDEX(DB_malas!$D$2:$D$5000,MATCH(K433,DB_malas!$A$2:$A$5000,0)),IF(INDEX(DB_materiali!$B$2:$B$5000,MATCH($C433,DB_materiali!$A$2:$A$5000,0))=INDEX(DB_malas!$B$2:$B$5000,MATCH(K433,DB_malas!$A$2:$A$5000,0)),"✔",tulkojums!$A$38),tulkojums!$A$39),tulkojums!$A$39))</f>
        <v/>
      </c>
      <c r="T433" s="2"/>
      <c r="U433" s="2"/>
      <c r="V433" s="2"/>
      <c r="W433" s="2"/>
      <c r="X433" s="2"/>
      <c r="Y433" s="2"/>
      <c r="Z433" s="2"/>
    </row>
    <row r="434" spans="1:26" ht="15.75" customHeight="1">
      <c r="A434" s="17"/>
      <c r="B434" s="18"/>
      <c r="C434" s="19"/>
      <c r="D434" s="55"/>
      <c r="E434" s="55"/>
      <c r="F434" s="56"/>
      <c r="G434" s="57" t="str">
        <f>IF(ISBLANK(C434),"",
   IFERROR(
      IF(
         INDEX(DB_materiali!C$2:C$5000,
               MATCH(C434, DB_materiali!A$2:A$5000, 0)
         )="FALSE",
         "N",
         "Y"
      ),
   "")
)</f>
        <v/>
      </c>
      <c r="H434" s="20"/>
      <c r="I434" s="20"/>
      <c r="J434" s="20"/>
      <c r="K434" s="20"/>
      <c r="M434" s="2" t="str">
        <f>IF(ISBLANK(C434),"",IF(IFERROR(VLOOKUP(C434,DB_materiali!$A$2:$A$5000,1,FALSE),"Kļūda artikulā")=C434,"✔",tulkojums!A$42))</f>
        <v/>
      </c>
      <c r="N434" s="2" t="str">
        <f>IF(ISBLANK(C434),"",IF(ISNUMBER(F434)=TRUE,"✔",tulkojums!A$43))</f>
        <v/>
      </c>
      <c r="O434" s="2" t="str">
        <f>IF(ISBLANK(C434),"",IF(G434="Y","✔",IF(G434="X","✔",IF(G434="N","✔",tulkojums!A$44))))</f>
        <v/>
      </c>
      <c r="P434" s="2" t="str">
        <f>IF(ISBLANK(H434),"",IF(INDEX(DB_materiali!$E$2:$E$5000,MATCH($C434,DB_materiali!$A$2:$A$5000,0))&gt;=INDEX(DB_malas!$C$2:$C$5000,MATCH(H434,DB_malas!$A$2:$A$5000,0)),IF(INDEX(DB_materiali!$E$2:$E$5000,MATCH($C434,DB_materiali!$A$2:$A$5000,0))&lt;=INDEX(DB_malas!$D$2:$D$5000,MATCH(H434,DB_malas!$A$2:$A$5000,0)),IF(OR(INDEX(DB_materiali!$B$2:$B$5000,MATCH($C434,DB_materiali!$A$2:$A$5000,0))=INDEX(DB_malas!$B$2:$B$5000,MATCH(H434,DB_malas!$A$2:$A$5000,0)),$H434="ORG"),"✔",tulkojums!$A$38),tulkojums!$A$39),tulkojums!$A$39))</f>
        <v/>
      </c>
      <c r="Q434" s="2" t="str">
        <f>IF(ISBLANK(I434),"",IF(INDEX(DB_materiali!$E$2:$E$5000,MATCH($C434,DB_materiali!$A$2:$A$5000,0))&gt;=INDEX(DB_malas!$C$2:$C$5000,MATCH(I434,DB_malas!$A$2:$A$5000,0)),IF(INDEX(DB_materiali!$E$2:$E$5000,MATCH($C434,DB_materiali!$A$2:$A$5000,0))&lt;=INDEX(DB_malas!$D$2:$D$5000,MATCH(I434,DB_malas!$A$2:$A$5000,0)),IF(OR(INDEX(DB_materiali!$B$2:$B$5000,MATCH($C434,DB_materiali!$A$2:$A$5000,0))=INDEX(DB_malas!$B$2:$B$5000,MATCH(I434,DB_malas!$A$2:$A$5000,0)),$H434="ORG"),"✔",tulkojums!$A$38),tulkojums!$A$39),tulkojums!$A$39))</f>
        <v/>
      </c>
      <c r="R434" s="2" t="str">
        <f>IF(ISBLANK(J434),"",IF(INDEX(DB_materiali!$E$2:$E$5000,MATCH($C434,DB_materiali!$A$2:$A$5000,0))&gt;=INDEX(DB_malas!$C$2:$C$5000,MATCH(J434,DB_malas!$A$2:$A$5000,0)),IF(INDEX(DB_materiali!$E$2:$E$5000,MATCH($C434,DB_materiali!$A$2:$A$5000,0))&lt;=INDEX(DB_malas!$D$2:$D$5000,MATCH(J434,DB_malas!$A$2:$A$5000,0)),IF(INDEX(DB_materiali!$B$2:$B$5000,MATCH($C434,DB_materiali!$A$2:$A$5000,0))=INDEX(DB_malas!$B$2:$B$5000,MATCH(J434,DB_malas!$A$2:$A$5000,0)),"✔",tulkojums!$A$38),tulkojums!$A$39),tulkojums!$A$39))</f>
        <v/>
      </c>
      <c r="S434" s="2" t="str">
        <f>IF(ISBLANK(K434),"",IF(INDEX(DB_materiali!$E$2:$E$5000,MATCH($C434,DB_materiali!$A$2:$A$5000,0))&gt;=INDEX(DB_malas!$C$2:$C$5000,MATCH(K434,DB_malas!$A$2:$A$5000,0)),IF(INDEX(DB_materiali!$E$2:$E$5000,MATCH($C434,DB_materiali!$A$2:$A$5000,0))&lt;=INDEX(DB_malas!$D$2:$D$5000,MATCH(K434,DB_malas!$A$2:$A$5000,0)),IF(INDEX(DB_materiali!$B$2:$B$5000,MATCH($C434,DB_materiali!$A$2:$A$5000,0))=INDEX(DB_malas!$B$2:$B$5000,MATCH(K434,DB_malas!$A$2:$A$5000,0)),"✔",tulkojums!$A$38),tulkojums!$A$39),tulkojums!$A$39))</f>
        <v/>
      </c>
      <c r="T434" s="2"/>
      <c r="U434" s="2"/>
      <c r="V434" s="2"/>
      <c r="W434" s="2"/>
      <c r="X434" s="2"/>
      <c r="Y434" s="2"/>
      <c r="Z434" s="2"/>
    </row>
    <row r="435" spans="1:26" ht="15.75" customHeight="1">
      <c r="A435" s="17"/>
      <c r="B435" s="18"/>
      <c r="C435" s="19"/>
      <c r="D435" s="55"/>
      <c r="E435" s="55"/>
      <c r="F435" s="56"/>
      <c r="G435" s="57" t="str">
        <f>IF(ISBLANK(C435),"",
   IFERROR(
      IF(
         INDEX(DB_materiali!C$2:C$5000,
               MATCH(C435, DB_materiali!A$2:A$5000, 0)
         )="FALSE",
         "N",
         "Y"
      ),
   "")
)</f>
        <v/>
      </c>
      <c r="H435" s="20"/>
      <c r="I435" s="20"/>
      <c r="J435" s="20"/>
      <c r="K435" s="20"/>
      <c r="M435" s="2" t="str">
        <f>IF(ISBLANK(C435),"",IF(IFERROR(VLOOKUP(C435,DB_materiali!$A$2:$A$5000,1,FALSE),"Kļūda artikulā")=C435,"✔",tulkojums!A$42))</f>
        <v/>
      </c>
      <c r="N435" s="2" t="str">
        <f>IF(ISBLANK(C435),"",IF(ISNUMBER(F435)=TRUE,"✔",tulkojums!A$43))</f>
        <v/>
      </c>
      <c r="O435" s="2" t="str">
        <f>IF(ISBLANK(C435),"",IF(G435="Y","✔",IF(G435="X","✔",IF(G435="N","✔",tulkojums!A$44))))</f>
        <v/>
      </c>
      <c r="P435" s="2" t="str">
        <f>IF(ISBLANK(H435),"",IF(INDEX(DB_materiali!$E$2:$E$5000,MATCH($C435,DB_materiali!$A$2:$A$5000,0))&gt;=INDEX(DB_malas!$C$2:$C$5000,MATCH(H435,DB_malas!$A$2:$A$5000,0)),IF(INDEX(DB_materiali!$E$2:$E$5000,MATCH($C435,DB_materiali!$A$2:$A$5000,0))&lt;=INDEX(DB_malas!$D$2:$D$5000,MATCH(H435,DB_malas!$A$2:$A$5000,0)),IF(OR(INDEX(DB_materiali!$B$2:$B$5000,MATCH($C435,DB_materiali!$A$2:$A$5000,0))=INDEX(DB_malas!$B$2:$B$5000,MATCH(H435,DB_malas!$A$2:$A$5000,0)),$H435="ORG"),"✔",tulkojums!$A$38),tulkojums!$A$39),tulkojums!$A$39))</f>
        <v/>
      </c>
      <c r="Q435" s="2" t="str">
        <f>IF(ISBLANK(I435),"",IF(INDEX(DB_materiali!$E$2:$E$5000,MATCH($C435,DB_materiali!$A$2:$A$5000,0))&gt;=INDEX(DB_malas!$C$2:$C$5000,MATCH(I435,DB_malas!$A$2:$A$5000,0)),IF(INDEX(DB_materiali!$E$2:$E$5000,MATCH($C435,DB_materiali!$A$2:$A$5000,0))&lt;=INDEX(DB_malas!$D$2:$D$5000,MATCH(I435,DB_malas!$A$2:$A$5000,0)),IF(OR(INDEX(DB_materiali!$B$2:$B$5000,MATCH($C435,DB_materiali!$A$2:$A$5000,0))=INDEX(DB_malas!$B$2:$B$5000,MATCH(I435,DB_malas!$A$2:$A$5000,0)),$H435="ORG"),"✔",tulkojums!$A$38),tulkojums!$A$39),tulkojums!$A$39))</f>
        <v/>
      </c>
      <c r="R435" s="2" t="str">
        <f>IF(ISBLANK(J435),"",IF(INDEX(DB_materiali!$E$2:$E$5000,MATCH($C435,DB_materiali!$A$2:$A$5000,0))&gt;=INDEX(DB_malas!$C$2:$C$5000,MATCH(J435,DB_malas!$A$2:$A$5000,0)),IF(INDEX(DB_materiali!$E$2:$E$5000,MATCH($C435,DB_materiali!$A$2:$A$5000,0))&lt;=INDEX(DB_malas!$D$2:$D$5000,MATCH(J435,DB_malas!$A$2:$A$5000,0)),IF(INDEX(DB_materiali!$B$2:$B$5000,MATCH($C435,DB_materiali!$A$2:$A$5000,0))=INDEX(DB_malas!$B$2:$B$5000,MATCH(J435,DB_malas!$A$2:$A$5000,0)),"✔",tulkojums!$A$38),tulkojums!$A$39),tulkojums!$A$39))</f>
        <v/>
      </c>
      <c r="S435" s="2" t="str">
        <f>IF(ISBLANK(K435),"",IF(INDEX(DB_materiali!$E$2:$E$5000,MATCH($C435,DB_materiali!$A$2:$A$5000,0))&gt;=INDEX(DB_malas!$C$2:$C$5000,MATCH(K435,DB_malas!$A$2:$A$5000,0)),IF(INDEX(DB_materiali!$E$2:$E$5000,MATCH($C435,DB_materiali!$A$2:$A$5000,0))&lt;=INDEX(DB_malas!$D$2:$D$5000,MATCH(K435,DB_malas!$A$2:$A$5000,0)),IF(INDEX(DB_materiali!$B$2:$B$5000,MATCH($C435,DB_materiali!$A$2:$A$5000,0))=INDEX(DB_malas!$B$2:$B$5000,MATCH(K435,DB_malas!$A$2:$A$5000,0)),"✔",tulkojums!$A$38),tulkojums!$A$39),tulkojums!$A$39))</f>
        <v/>
      </c>
      <c r="T435" s="2"/>
      <c r="U435" s="2"/>
      <c r="V435" s="2"/>
      <c r="W435" s="2"/>
      <c r="X435" s="2"/>
      <c r="Y435" s="2"/>
      <c r="Z435" s="2"/>
    </row>
    <row r="436" spans="1:26" ht="15.75" customHeight="1">
      <c r="A436" s="17"/>
      <c r="B436" s="18"/>
      <c r="C436" s="19"/>
      <c r="D436" s="55"/>
      <c r="E436" s="55"/>
      <c r="F436" s="56"/>
      <c r="G436" s="57" t="str">
        <f>IF(ISBLANK(C436),"",
   IFERROR(
      IF(
         INDEX(DB_materiali!C$2:C$5000,
               MATCH(C436, DB_materiali!A$2:A$5000, 0)
         )="FALSE",
         "N",
         "Y"
      ),
   "")
)</f>
        <v/>
      </c>
      <c r="H436" s="20"/>
      <c r="I436" s="20"/>
      <c r="J436" s="20"/>
      <c r="K436" s="20"/>
      <c r="M436" s="2" t="str">
        <f>IF(ISBLANK(C436),"",IF(IFERROR(VLOOKUP(C436,DB_materiali!$A$2:$A$5000,1,FALSE),"Kļūda artikulā")=C436,"✔",tulkojums!A$42))</f>
        <v/>
      </c>
      <c r="N436" s="2" t="str">
        <f>IF(ISBLANK(C436),"",IF(ISNUMBER(F436)=TRUE,"✔",tulkojums!A$43))</f>
        <v/>
      </c>
      <c r="O436" s="2" t="str">
        <f>IF(ISBLANK(C436),"",IF(G436="Y","✔",IF(G436="X","✔",IF(G436="N","✔",tulkojums!A$44))))</f>
        <v/>
      </c>
      <c r="P436" s="2" t="str">
        <f>IF(ISBLANK(H436),"",IF(INDEX(DB_materiali!$E$2:$E$5000,MATCH($C436,DB_materiali!$A$2:$A$5000,0))&gt;=INDEX(DB_malas!$C$2:$C$5000,MATCH(H436,DB_malas!$A$2:$A$5000,0)),IF(INDEX(DB_materiali!$E$2:$E$5000,MATCH($C436,DB_materiali!$A$2:$A$5000,0))&lt;=INDEX(DB_malas!$D$2:$D$5000,MATCH(H436,DB_malas!$A$2:$A$5000,0)),IF(OR(INDEX(DB_materiali!$B$2:$B$5000,MATCH($C436,DB_materiali!$A$2:$A$5000,0))=INDEX(DB_malas!$B$2:$B$5000,MATCH(H436,DB_malas!$A$2:$A$5000,0)),$H436="ORG"),"✔",tulkojums!$A$38),tulkojums!$A$39),tulkojums!$A$39))</f>
        <v/>
      </c>
      <c r="Q436" s="2" t="str">
        <f>IF(ISBLANK(I436),"",IF(INDEX(DB_materiali!$E$2:$E$5000,MATCH($C436,DB_materiali!$A$2:$A$5000,0))&gt;=INDEX(DB_malas!$C$2:$C$5000,MATCH(I436,DB_malas!$A$2:$A$5000,0)),IF(INDEX(DB_materiali!$E$2:$E$5000,MATCH($C436,DB_materiali!$A$2:$A$5000,0))&lt;=INDEX(DB_malas!$D$2:$D$5000,MATCH(I436,DB_malas!$A$2:$A$5000,0)),IF(OR(INDEX(DB_materiali!$B$2:$B$5000,MATCH($C436,DB_materiali!$A$2:$A$5000,0))=INDEX(DB_malas!$B$2:$B$5000,MATCH(I436,DB_malas!$A$2:$A$5000,0)),$H436="ORG"),"✔",tulkojums!$A$38),tulkojums!$A$39),tulkojums!$A$39))</f>
        <v/>
      </c>
      <c r="R436" s="2" t="str">
        <f>IF(ISBLANK(J436),"",IF(INDEX(DB_materiali!$E$2:$E$5000,MATCH($C436,DB_materiali!$A$2:$A$5000,0))&gt;=INDEX(DB_malas!$C$2:$C$5000,MATCH(J436,DB_malas!$A$2:$A$5000,0)),IF(INDEX(DB_materiali!$E$2:$E$5000,MATCH($C436,DB_materiali!$A$2:$A$5000,0))&lt;=INDEX(DB_malas!$D$2:$D$5000,MATCH(J436,DB_malas!$A$2:$A$5000,0)),IF(INDEX(DB_materiali!$B$2:$B$5000,MATCH($C436,DB_materiali!$A$2:$A$5000,0))=INDEX(DB_malas!$B$2:$B$5000,MATCH(J436,DB_malas!$A$2:$A$5000,0)),"✔",tulkojums!$A$38),tulkojums!$A$39),tulkojums!$A$39))</f>
        <v/>
      </c>
      <c r="S436" s="2" t="str">
        <f>IF(ISBLANK(K436),"",IF(INDEX(DB_materiali!$E$2:$E$5000,MATCH($C436,DB_materiali!$A$2:$A$5000,0))&gt;=INDEX(DB_malas!$C$2:$C$5000,MATCH(K436,DB_malas!$A$2:$A$5000,0)),IF(INDEX(DB_materiali!$E$2:$E$5000,MATCH($C436,DB_materiali!$A$2:$A$5000,0))&lt;=INDEX(DB_malas!$D$2:$D$5000,MATCH(K436,DB_malas!$A$2:$A$5000,0)),IF(INDEX(DB_materiali!$B$2:$B$5000,MATCH($C436,DB_materiali!$A$2:$A$5000,0))=INDEX(DB_malas!$B$2:$B$5000,MATCH(K436,DB_malas!$A$2:$A$5000,0)),"✔",tulkojums!$A$38),tulkojums!$A$39),tulkojums!$A$39))</f>
        <v/>
      </c>
      <c r="T436" s="2"/>
      <c r="U436" s="2"/>
      <c r="V436" s="2"/>
      <c r="W436" s="2"/>
      <c r="X436" s="2"/>
      <c r="Y436" s="2"/>
      <c r="Z436" s="2"/>
    </row>
    <row r="437" spans="1:26" ht="15.75" customHeight="1">
      <c r="A437" s="17"/>
      <c r="B437" s="18"/>
      <c r="C437" s="19"/>
      <c r="D437" s="55"/>
      <c r="E437" s="55"/>
      <c r="F437" s="56"/>
      <c r="G437" s="57" t="str">
        <f>IF(ISBLANK(C437),"",
   IFERROR(
      IF(
         INDEX(DB_materiali!C$2:C$5000,
               MATCH(C437, DB_materiali!A$2:A$5000, 0)
         )="FALSE",
         "N",
         "Y"
      ),
   "")
)</f>
        <v/>
      </c>
      <c r="H437" s="20"/>
      <c r="I437" s="20"/>
      <c r="J437" s="20"/>
      <c r="K437" s="20"/>
      <c r="M437" s="2" t="str">
        <f>IF(ISBLANK(C437),"",IF(IFERROR(VLOOKUP(C437,DB_materiali!$A$2:$A$5000,1,FALSE),"Kļūda artikulā")=C437,"✔",tulkojums!A$42))</f>
        <v/>
      </c>
      <c r="N437" s="2" t="str">
        <f>IF(ISBLANK(C437),"",IF(ISNUMBER(F437)=TRUE,"✔",tulkojums!A$43))</f>
        <v/>
      </c>
      <c r="O437" s="2" t="str">
        <f>IF(ISBLANK(C437),"",IF(G437="Y","✔",IF(G437="X","✔",IF(G437="N","✔",tulkojums!A$44))))</f>
        <v/>
      </c>
      <c r="P437" s="2" t="str">
        <f>IF(ISBLANK(H437),"",IF(INDEX(DB_materiali!$E$2:$E$5000,MATCH($C437,DB_materiali!$A$2:$A$5000,0))&gt;=INDEX(DB_malas!$C$2:$C$5000,MATCH(H437,DB_malas!$A$2:$A$5000,0)),IF(INDEX(DB_materiali!$E$2:$E$5000,MATCH($C437,DB_materiali!$A$2:$A$5000,0))&lt;=INDEX(DB_malas!$D$2:$D$5000,MATCH(H437,DB_malas!$A$2:$A$5000,0)),IF(OR(INDEX(DB_materiali!$B$2:$B$5000,MATCH($C437,DB_materiali!$A$2:$A$5000,0))=INDEX(DB_malas!$B$2:$B$5000,MATCH(H437,DB_malas!$A$2:$A$5000,0)),$H437="ORG"),"✔",tulkojums!$A$38),tulkojums!$A$39),tulkojums!$A$39))</f>
        <v/>
      </c>
      <c r="Q437" s="2" t="str">
        <f>IF(ISBLANK(I437),"",IF(INDEX(DB_materiali!$E$2:$E$5000,MATCH($C437,DB_materiali!$A$2:$A$5000,0))&gt;=INDEX(DB_malas!$C$2:$C$5000,MATCH(I437,DB_malas!$A$2:$A$5000,0)),IF(INDEX(DB_materiali!$E$2:$E$5000,MATCH($C437,DB_materiali!$A$2:$A$5000,0))&lt;=INDEX(DB_malas!$D$2:$D$5000,MATCH(I437,DB_malas!$A$2:$A$5000,0)),IF(OR(INDEX(DB_materiali!$B$2:$B$5000,MATCH($C437,DB_materiali!$A$2:$A$5000,0))=INDEX(DB_malas!$B$2:$B$5000,MATCH(I437,DB_malas!$A$2:$A$5000,0)),$H437="ORG"),"✔",tulkojums!$A$38),tulkojums!$A$39),tulkojums!$A$39))</f>
        <v/>
      </c>
      <c r="R437" s="2" t="str">
        <f>IF(ISBLANK(J437),"",IF(INDEX(DB_materiali!$E$2:$E$5000,MATCH($C437,DB_materiali!$A$2:$A$5000,0))&gt;=INDEX(DB_malas!$C$2:$C$5000,MATCH(J437,DB_malas!$A$2:$A$5000,0)),IF(INDEX(DB_materiali!$E$2:$E$5000,MATCH($C437,DB_materiali!$A$2:$A$5000,0))&lt;=INDEX(DB_malas!$D$2:$D$5000,MATCH(J437,DB_malas!$A$2:$A$5000,0)),IF(INDEX(DB_materiali!$B$2:$B$5000,MATCH($C437,DB_materiali!$A$2:$A$5000,0))=INDEX(DB_malas!$B$2:$B$5000,MATCH(J437,DB_malas!$A$2:$A$5000,0)),"✔",tulkojums!$A$38),tulkojums!$A$39),tulkojums!$A$39))</f>
        <v/>
      </c>
      <c r="S437" s="2" t="str">
        <f>IF(ISBLANK(K437),"",IF(INDEX(DB_materiali!$E$2:$E$5000,MATCH($C437,DB_materiali!$A$2:$A$5000,0))&gt;=INDEX(DB_malas!$C$2:$C$5000,MATCH(K437,DB_malas!$A$2:$A$5000,0)),IF(INDEX(DB_materiali!$E$2:$E$5000,MATCH($C437,DB_materiali!$A$2:$A$5000,0))&lt;=INDEX(DB_malas!$D$2:$D$5000,MATCH(K437,DB_malas!$A$2:$A$5000,0)),IF(INDEX(DB_materiali!$B$2:$B$5000,MATCH($C437,DB_materiali!$A$2:$A$5000,0))=INDEX(DB_malas!$B$2:$B$5000,MATCH(K437,DB_malas!$A$2:$A$5000,0)),"✔",tulkojums!$A$38),tulkojums!$A$39),tulkojums!$A$39))</f>
        <v/>
      </c>
      <c r="T437" s="2"/>
      <c r="U437" s="2"/>
      <c r="V437" s="2"/>
      <c r="W437" s="2"/>
      <c r="X437" s="2"/>
      <c r="Y437" s="2"/>
      <c r="Z437" s="2"/>
    </row>
    <row r="438" spans="1:26" ht="15.75" customHeight="1">
      <c r="A438" s="17"/>
      <c r="B438" s="18"/>
      <c r="C438" s="19"/>
      <c r="D438" s="55"/>
      <c r="E438" s="55"/>
      <c r="F438" s="56"/>
      <c r="G438" s="57" t="str">
        <f>IF(ISBLANK(C438),"",
   IFERROR(
      IF(
         INDEX(DB_materiali!C$2:C$5000,
               MATCH(C438, DB_materiali!A$2:A$5000, 0)
         )="FALSE",
         "N",
         "Y"
      ),
   "")
)</f>
        <v/>
      </c>
      <c r="H438" s="20"/>
      <c r="I438" s="20"/>
      <c r="J438" s="20"/>
      <c r="K438" s="20"/>
      <c r="M438" s="2" t="str">
        <f>IF(ISBLANK(C438),"",IF(IFERROR(VLOOKUP(C438,DB_materiali!$A$2:$A$5000,1,FALSE),"Kļūda artikulā")=C438,"✔",tulkojums!A$42))</f>
        <v/>
      </c>
      <c r="N438" s="2" t="str">
        <f>IF(ISBLANK(C438),"",IF(ISNUMBER(F438)=TRUE,"✔",tulkojums!A$43))</f>
        <v/>
      </c>
      <c r="O438" s="2" t="str">
        <f>IF(ISBLANK(C438),"",IF(G438="Y","✔",IF(G438="X","✔",IF(G438="N","✔",tulkojums!A$44))))</f>
        <v/>
      </c>
      <c r="P438" s="2" t="str">
        <f>IF(ISBLANK(H438),"",IF(INDEX(DB_materiali!$E$2:$E$5000,MATCH($C438,DB_materiali!$A$2:$A$5000,0))&gt;=INDEX(DB_malas!$C$2:$C$5000,MATCH(H438,DB_malas!$A$2:$A$5000,0)),IF(INDEX(DB_materiali!$E$2:$E$5000,MATCH($C438,DB_materiali!$A$2:$A$5000,0))&lt;=INDEX(DB_malas!$D$2:$D$5000,MATCH(H438,DB_malas!$A$2:$A$5000,0)),IF(OR(INDEX(DB_materiali!$B$2:$B$5000,MATCH($C438,DB_materiali!$A$2:$A$5000,0))=INDEX(DB_malas!$B$2:$B$5000,MATCH(H438,DB_malas!$A$2:$A$5000,0)),$H438="ORG"),"✔",tulkojums!$A$38),tulkojums!$A$39),tulkojums!$A$39))</f>
        <v/>
      </c>
      <c r="Q438" s="2" t="str">
        <f>IF(ISBLANK(I438),"",IF(INDEX(DB_materiali!$E$2:$E$5000,MATCH($C438,DB_materiali!$A$2:$A$5000,0))&gt;=INDEX(DB_malas!$C$2:$C$5000,MATCH(I438,DB_malas!$A$2:$A$5000,0)),IF(INDEX(DB_materiali!$E$2:$E$5000,MATCH($C438,DB_materiali!$A$2:$A$5000,0))&lt;=INDEX(DB_malas!$D$2:$D$5000,MATCH(I438,DB_malas!$A$2:$A$5000,0)),IF(OR(INDEX(DB_materiali!$B$2:$B$5000,MATCH($C438,DB_materiali!$A$2:$A$5000,0))=INDEX(DB_malas!$B$2:$B$5000,MATCH(I438,DB_malas!$A$2:$A$5000,0)),$H438="ORG"),"✔",tulkojums!$A$38),tulkojums!$A$39),tulkojums!$A$39))</f>
        <v/>
      </c>
      <c r="R438" s="2" t="str">
        <f>IF(ISBLANK(J438),"",IF(INDEX(DB_materiali!$E$2:$E$5000,MATCH($C438,DB_materiali!$A$2:$A$5000,0))&gt;=INDEX(DB_malas!$C$2:$C$5000,MATCH(J438,DB_malas!$A$2:$A$5000,0)),IF(INDEX(DB_materiali!$E$2:$E$5000,MATCH($C438,DB_materiali!$A$2:$A$5000,0))&lt;=INDEX(DB_malas!$D$2:$D$5000,MATCH(J438,DB_malas!$A$2:$A$5000,0)),IF(INDEX(DB_materiali!$B$2:$B$5000,MATCH($C438,DB_materiali!$A$2:$A$5000,0))=INDEX(DB_malas!$B$2:$B$5000,MATCH(J438,DB_malas!$A$2:$A$5000,0)),"✔",tulkojums!$A$38),tulkojums!$A$39),tulkojums!$A$39))</f>
        <v/>
      </c>
      <c r="S438" s="2" t="str">
        <f>IF(ISBLANK(K438),"",IF(INDEX(DB_materiali!$E$2:$E$5000,MATCH($C438,DB_materiali!$A$2:$A$5000,0))&gt;=INDEX(DB_malas!$C$2:$C$5000,MATCH(K438,DB_malas!$A$2:$A$5000,0)),IF(INDEX(DB_materiali!$E$2:$E$5000,MATCH($C438,DB_materiali!$A$2:$A$5000,0))&lt;=INDEX(DB_malas!$D$2:$D$5000,MATCH(K438,DB_malas!$A$2:$A$5000,0)),IF(INDEX(DB_materiali!$B$2:$B$5000,MATCH($C438,DB_materiali!$A$2:$A$5000,0))=INDEX(DB_malas!$B$2:$B$5000,MATCH(K438,DB_malas!$A$2:$A$5000,0)),"✔",tulkojums!$A$38),tulkojums!$A$39),tulkojums!$A$39))</f>
        <v/>
      </c>
      <c r="T438" s="2"/>
      <c r="U438" s="2"/>
      <c r="V438" s="2"/>
      <c r="W438" s="2"/>
      <c r="X438" s="2"/>
      <c r="Y438" s="2"/>
      <c r="Z438" s="2"/>
    </row>
    <row r="439" spans="1:26" ht="15.75" customHeight="1">
      <c r="A439" s="17"/>
      <c r="B439" s="18"/>
      <c r="C439" s="19"/>
      <c r="D439" s="55"/>
      <c r="E439" s="55"/>
      <c r="F439" s="56"/>
      <c r="G439" s="57" t="str">
        <f>IF(ISBLANK(C439),"",
   IFERROR(
      IF(
         INDEX(DB_materiali!C$2:C$5000,
               MATCH(C439, DB_materiali!A$2:A$5000, 0)
         )="FALSE",
         "N",
         "Y"
      ),
   "")
)</f>
        <v/>
      </c>
      <c r="H439" s="20"/>
      <c r="I439" s="20"/>
      <c r="J439" s="20"/>
      <c r="K439" s="20"/>
      <c r="M439" s="2" t="str">
        <f>IF(ISBLANK(C439),"",IF(IFERROR(VLOOKUP(C439,DB_materiali!$A$2:$A$5000,1,FALSE),"Kļūda artikulā")=C439,"✔",tulkojums!A$42))</f>
        <v/>
      </c>
      <c r="N439" s="2" t="str">
        <f>IF(ISBLANK(C439),"",IF(ISNUMBER(F439)=TRUE,"✔",tulkojums!A$43))</f>
        <v/>
      </c>
      <c r="O439" s="2" t="str">
        <f>IF(ISBLANK(C439),"",IF(G439="Y","✔",IF(G439="X","✔",IF(G439="N","✔",tulkojums!A$44))))</f>
        <v/>
      </c>
      <c r="P439" s="2" t="str">
        <f>IF(ISBLANK(H439),"",IF(INDEX(DB_materiali!$E$2:$E$5000,MATCH($C439,DB_materiali!$A$2:$A$5000,0))&gt;=INDEX(DB_malas!$C$2:$C$5000,MATCH(H439,DB_malas!$A$2:$A$5000,0)),IF(INDEX(DB_materiali!$E$2:$E$5000,MATCH($C439,DB_materiali!$A$2:$A$5000,0))&lt;=INDEX(DB_malas!$D$2:$D$5000,MATCH(H439,DB_malas!$A$2:$A$5000,0)),IF(OR(INDEX(DB_materiali!$B$2:$B$5000,MATCH($C439,DB_materiali!$A$2:$A$5000,0))=INDEX(DB_malas!$B$2:$B$5000,MATCH(H439,DB_malas!$A$2:$A$5000,0)),$H439="ORG"),"✔",tulkojums!$A$38),tulkojums!$A$39),tulkojums!$A$39))</f>
        <v/>
      </c>
      <c r="Q439" s="2" t="str">
        <f>IF(ISBLANK(I439),"",IF(INDEX(DB_materiali!$E$2:$E$5000,MATCH($C439,DB_materiali!$A$2:$A$5000,0))&gt;=INDEX(DB_malas!$C$2:$C$5000,MATCH(I439,DB_malas!$A$2:$A$5000,0)),IF(INDEX(DB_materiali!$E$2:$E$5000,MATCH($C439,DB_materiali!$A$2:$A$5000,0))&lt;=INDEX(DB_malas!$D$2:$D$5000,MATCH(I439,DB_malas!$A$2:$A$5000,0)),IF(OR(INDEX(DB_materiali!$B$2:$B$5000,MATCH($C439,DB_materiali!$A$2:$A$5000,0))=INDEX(DB_malas!$B$2:$B$5000,MATCH(I439,DB_malas!$A$2:$A$5000,0)),$H439="ORG"),"✔",tulkojums!$A$38),tulkojums!$A$39),tulkojums!$A$39))</f>
        <v/>
      </c>
      <c r="R439" s="2" t="str">
        <f>IF(ISBLANK(J439),"",IF(INDEX(DB_materiali!$E$2:$E$5000,MATCH($C439,DB_materiali!$A$2:$A$5000,0))&gt;=INDEX(DB_malas!$C$2:$C$5000,MATCH(J439,DB_malas!$A$2:$A$5000,0)),IF(INDEX(DB_materiali!$E$2:$E$5000,MATCH($C439,DB_materiali!$A$2:$A$5000,0))&lt;=INDEX(DB_malas!$D$2:$D$5000,MATCH(J439,DB_malas!$A$2:$A$5000,0)),IF(INDEX(DB_materiali!$B$2:$B$5000,MATCH($C439,DB_materiali!$A$2:$A$5000,0))=INDEX(DB_malas!$B$2:$B$5000,MATCH(J439,DB_malas!$A$2:$A$5000,0)),"✔",tulkojums!$A$38),tulkojums!$A$39),tulkojums!$A$39))</f>
        <v/>
      </c>
      <c r="S439" s="2" t="str">
        <f>IF(ISBLANK(K439),"",IF(INDEX(DB_materiali!$E$2:$E$5000,MATCH($C439,DB_materiali!$A$2:$A$5000,0))&gt;=INDEX(DB_malas!$C$2:$C$5000,MATCH(K439,DB_malas!$A$2:$A$5000,0)),IF(INDEX(DB_materiali!$E$2:$E$5000,MATCH($C439,DB_materiali!$A$2:$A$5000,0))&lt;=INDEX(DB_malas!$D$2:$D$5000,MATCH(K439,DB_malas!$A$2:$A$5000,0)),IF(INDEX(DB_materiali!$B$2:$B$5000,MATCH($C439,DB_materiali!$A$2:$A$5000,0))=INDEX(DB_malas!$B$2:$B$5000,MATCH(K439,DB_malas!$A$2:$A$5000,0)),"✔",tulkojums!$A$38),tulkojums!$A$39),tulkojums!$A$39))</f>
        <v/>
      </c>
      <c r="T439" s="2"/>
      <c r="U439" s="2"/>
      <c r="V439" s="2"/>
      <c r="W439" s="2"/>
      <c r="X439" s="2"/>
      <c r="Y439" s="2"/>
      <c r="Z439" s="2"/>
    </row>
    <row r="440" spans="1:26" ht="15.75" customHeight="1">
      <c r="A440" s="17"/>
      <c r="B440" s="18"/>
      <c r="C440" s="19"/>
      <c r="D440" s="55"/>
      <c r="E440" s="55"/>
      <c r="F440" s="56"/>
      <c r="G440" s="57" t="str">
        <f>IF(ISBLANK(C440),"",
   IFERROR(
      IF(
         INDEX(DB_materiali!C$2:C$5000,
               MATCH(C440, DB_materiali!A$2:A$5000, 0)
         )="FALSE",
         "N",
         "Y"
      ),
   "")
)</f>
        <v/>
      </c>
      <c r="H440" s="20"/>
      <c r="I440" s="20"/>
      <c r="J440" s="20"/>
      <c r="K440" s="20"/>
      <c r="M440" s="2" t="str">
        <f>IF(ISBLANK(C440),"",IF(IFERROR(VLOOKUP(C440,DB_materiali!$A$2:$A$5000,1,FALSE),"Kļūda artikulā")=C440,"✔",tulkojums!A$42))</f>
        <v/>
      </c>
      <c r="N440" s="2" t="str">
        <f>IF(ISBLANK(C440),"",IF(ISNUMBER(F440)=TRUE,"✔",tulkojums!A$43))</f>
        <v/>
      </c>
      <c r="O440" s="2" t="str">
        <f>IF(ISBLANK(C440),"",IF(G440="Y","✔",IF(G440="X","✔",IF(G440="N","✔",tulkojums!A$44))))</f>
        <v/>
      </c>
      <c r="P440" s="2" t="str">
        <f>IF(ISBLANK(H440),"",IF(INDEX(DB_materiali!$E$2:$E$5000,MATCH($C440,DB_materiali!$A$2:$A$5000,0))&gt;=INDEX(DB_malas!$C$2:$C$5000,MATCH(H440,DB_malas!$A$2:$A$5000,0)),IF(INDEX(DB_materiali!$E$2:$E$5000,MATCH($C440,DB_materiali!$A$2:$A$5000,0))&lt;=INDEX(DB_malas!$D$2:$D$5000,MATCH(H440,DB_malas!$A$2:$A$5000,0)),IF(OR(INDEX(DB_materiali!$B$2:$B$5000,MATCH($C440,DB_materiali!$A$2:$A$5000,0))=INDEX(DB_malas!$B$2:$B$5000,MATCH(H440,DB_malas!$A$2:$A$5000,0)),$H440="ORG"),"✔",tulkojums!$A$38),tulkojums!$A$39),tulkojums!$A$39))</f>
        <v/>
      </c>
      <c r="Q440" s="2" t="str">
        <f>IF(ISBLANK(I440),"",IF(INDEX(DB_materiali!$E$2:$E$5000,MATCH($C440,DB_materiali!$A$2:$A$5000,0))&gt;=INDEX(DB_malas!$C$2:$C$5000,MATCH(I440,DB_malas!$A$2:$A$5000,0)),IF(INDEX(DB_materiali!$E$2:$E$5000,MATCH($C440,DB_materiali!$A$2:$A$5000,0))&lt;=INDEX(DB_malas!$D$2:$D$5000,MATCH(I440,DB_malas!$A$2:$A$5000,0)),IF(OR(INDEX(DB_materiali!$B$2:$B$5000,MATCH($C440,DB_materiali!$A$2:$A$5000,0))=INDEX(DB_malas!$B$2:$B$5000,MATCH(I440,DB_malas!$A$2:$A$5000,0)),$H440="ORG"),"✔",tulkojums!$A$38),tulkojums!$A$39),tulkojums!$A$39))</f>
        <v/>
      </c>
      <c r="R440" s="2" t="str">
        <f>IF(ISBLANK(J440),"",IF(INDEX(DB_materiali!$E$2:$E$5000,MATCH($C440,DB_materiali!$A$2:$A$5000,0))&gt;=INDEX(DB_malas!$C$2:$C$5000,MATCH(J440,DB_malas!$A$2:$A$5000,0)),IF(INDEX(DB_materiali!$E$2:$E$5000,MATCH($C440,DB_materiali!$A$2:$A$5000,0))&lt;=INDEX(DB_malas!$D$2:$D$5000,MATCH(J440,DB_malas!$A$2:$A$5000,0)),IF(INDEX(DB_materiali!$B$2:$B$5000,MATCH($C440,DB_materiali!$A$2:$A$5000,0))=INDEX(DB_malas!$B$2:$B$5000,MATCH(J440,DB_malas!$A$2:$A$5000,0)),"✔",tulkojums!$A$38),tulkojums!$A$39),tulkojums!$A$39))</f>
        <v/>
      </c>
      <c r="S440" s="2" t="str">
        <f>IF(ISBLANK(K440),"",IF(INDEX(DB_materiali!$E$2:$E$5000,MATCH($C440,DB_materiali!$A$2:$A$5000,0))&gt;=INDEX(DB_malas!$C$2:$C$5000,MATCH(K440,DB_malas!$A$2:$A$5000,0)),IF(INDEX(DB_materiali!$E$2:$E$5000,MATCH($C440,DB_materiali!$A$2:$A$5000,0))&lt;=INDEX(DB_malas!$D$2:$D$5000,MATCH(K440,DB_malas!$A$2:$A$5000,0)),IF(INDEX(DB_materiali!$B$2:$B$5000,MATCH($C440,DB_materiali!$A$2:$A$5000,0))=INDEX(DB_malas!$B$2:$B$5000,MATCH(K440,DB_malas!$A$2:$A$5000,0)),"✔",tulkojums!$A$38),tulkojums!$A$39),tulkojums!$A$39))</f>
        <v/>
      </c>
      <c r="T440" s="2"/>
      <c r="U440" s="2"/>
      <c r="V440" s="2"/>
      <c r="W440" s="2"/>
      <c r="X440" s="2"/>
      <c r="Y440" s="2"/>
      <c r="Z440" s="2"/>
    </row>
    <row r="441" spans="1:26" ht="15.75" customHeight="1">
      <c r="A441" s="17"/>
      <c r="B441" s="18"/>
      <c r="C441" s="19"/>
      <c r="D441" s="55"/>
      <c r="E441" s="55"/>
      <c r="F441" s="56"/>
      <c r="G441" s="57" t="str">
        <f>IF(ISBLANK(C441),"",
   IFERROR(
      IF(
         INDEX(DB_materiali!C$2:C$5000,
               MATCH(C441, DB_materiali!A$2:A$5000, 0)
         )="FALSE",
         "N",
         "Y"
      ),
   "")
)</f>
        <v/>
      </c>
      <c r="H441" s="20"/>
      <c r="I441" s="20"/>
      <c r="J441" s="20"/>
      <c r="K441" s="20"/>
      <c r="M441" s="2" t="str">
        <f>IF(ISBLANK(C441),"",IF(IFERROR(VLOOKUP(C441,DB_materiali!$A$2:$A$5000,1,FALSE),"Kļūda artikulā")=C441,"✔",tulkojums!A$42))</f>
        <v/>
      </c>
      <c r="N441" s="2" t="str">
        <f>IF(ISBLANK(C441),"",IF(ISNUMBER(F441)=TRUE,"✔",tulkojums!A$43))</f>
        <v/>
      </c>
      <c r="O441" s="2" t="str">
        <f>IF(ISBLANK(C441),"",IF(G441="Y","✔",IF(G441="X","✔",IF(G441="N","✔",tulkojums!A$44))))</f>
        <v/>
      </c>
      <c r="P441" s="2" t="str">
        <f>IF(ISBLANK(H441),"",IF(INDEX(DB_materiali!$E$2:$E$5000,MATCH($C441,DB_materiali!$A$2:$A$5000,0))&gt;=INDEX(DB_malas!$C$2:$C$5000,MATCH(H441,DB_malas!$A$2:$A$5000,0)),IF(INDEX(DB_materiali!$E$2:$E$5000,MATCH($C441,DB_materiali!$A$2:$A$5000,0))&lt;=INDEX(DB_malas!$D$2:$D$5000,MATCH(H441,DB_malas!$A$2:$A$5000,0)),IF(OR(INDEX(DB_materiali!$B$2:$B$5000,MATCH($C441,DB_materiali!$A$2:$A$5000,0))=INDEX(DB_malas!$B$2:$B$5000,MATCH(H441,DB_malas!$A$2:$A$5000,0)),$H441="ORG"),"✔",tulkojums!$A$38),tulkojums!$A$39),tulkojums!$A$39))</f>
        <v/>
      </c>
      <c r="Q441" s="2" t="str">
        <f>IF(ISBLANK(I441),"",IF(INDEX(DB_materiali!$E$2:$E$5000,MATCH($C441,DB_materiali!$A$2:$A$5000,0))&gt;=INDEX(DB_malas!$C$2:$C$5000,MATCH(I441,DB_malas!$A$2:$A$5000,0)),IF(INDEX(DB_materiali!$E$2:$E$5000,MATCH($C441,DB_materiali!$A$2:$A$5000,0))&lt;=INDEX(DB_malas!$D$2:$D$5000,MATCH(I441,DB_malas!$A$2:$A$5000,0)),IF(OR(INDEX(DB_materiali!$B$2:$B$5000,MATCH($C441,DB_materiali!$A$2:$A$5000,0))=INDEX(DB_malas!$B$2:$B$5000,MATCH(I441,DB_malas!$A$2:$A$5000,0)),$H441="ORG"),"✔",tulkojums!$A$38),tulkojums!$A$39),tulkojums!$A$39))</f>
        <v/>
      </c>
      <c r="R441" s="2" t="str">
        <f>IF(ISBLANK(J441),"",IF(INDEX(DB_materiali!$E$2:$E$5000,MATCH($C441,DB_materiali!$A$2:$A$5000,0))&gt;=INDEX(DB_malas!$C$2:$C$5000,MATCH(J441,DB_malas!$A$2:$A$5000,0)),IF(INDEX(DB_materiali!$E$2:$E$5000,MATCH($C441,DB_materiali!$A$2:$A$5000,0))&lt;=INDEX(DB_malas!$D$2:$D$5000,MATCH(J441,DB_malas!$A$2:$A$5000,0)),IF(INDEX(DB_materiali!$B$2:$B$5000,MATCH($C441,DB_materiali!$A$2:$A$5000,0))=INDEX(DB_malas!$B$2:$B$5000,MATCH(J441,DB_malas!$A$2:$A$5000,0)),"✔",tulkojums!$A$38),tulkojums!$A$39),tulkojums!$A$39))</f>
        <v/>
      </c>
      <c r="S441" s="2" t="str">
        <f>IF(ISBLANK(K441),"",IF(INDEX(DB_materiali!$E$2:$E$5000,MATCH($C441,DB_materiali!$A$2:$A$5000,0))&gt;=INDEX(DB_malas!$C$2:$C$5000,MATCH(K441,DB_malas!$A$2:$A$5000,0)),IF(INDEX(DB_materiali!$E$2:$E$5000,MATCH($C441,DB_materiali!$A$2:$A$5000,0))&lt;=INDEX(DB_malas!$D$2:$D$5000,MATCH(K441,DB_malas!$A$2:$A$5000,0)),IF(INDEX(DB_materiali!$B$2:$B$5000,MATCH($C441,DB_materiali!$A$2:$A$5000,0))=INDEX(DB_malas!$B$2:$B$5000,MATCH(K441,DB_malas!$A$2:$A$5000,0)),"✔",tulkojums!$A$38),tulkojums!$A$39),tulkojums!$A$39))</f>
        <v/>
      </c>
      <c r="T441" s="2"/>
      <c r="U441" s="2"/>
      <c r="V441" s="2"/>
      <c r="W441" s="2"/>
      <c r="X441" s="2"/>
      <c r="Y441" s="2"/>
      <c r="Z441" s="2"/>
    </row>
    <row r="442" spans="1:26" ht="15.75" customHeight="1">
      <c r="A442" s="17"/>
      <c r="B442" s="18"/>
      <c r="C442" s="19"/>
      <c r="D442" s="55"/>
      <c r="E442" s="55"/>
      <c r="F442" s="56"/>
      <c r="G442" s="57" t="str">
        <f>IF(ISBLANK(C442),"",
   IFERROR(
      IF(
         INDEX(DB_materiali!C$2:C$5000,
               MATCH(C442, DB_materiali!A$2:A$5000, 0)
         )="FALSE",
         "N",
         "Y"
      ),
   "")
)</f>
        <v/>
      </c>
      <c r="H442" s="20"/>
      <c r="I442" s="20"/>
      <c r="J442" s="20"/>
      <c r="K442" s="20"/>
      <c r="M442" s="2" t="str">
        <f>IF(ISBLANK(C442),"",IF(IFERROR(VLOOKUP(C442,DB_materiali!$A$2:$A$5000,1,FALSE),"Kļūda artikulā")=C442,"✔",tulkojums!A$42))</f>
        <v/>
      </c>
      <c r="N442" s="2" t="str">
        <f>IF(ISBLANK(C442),"",IF(ISNUMBER(F442)=TRUE,"✔",tulkojums!A$43))</f>
        <v/>
      </c>
      <c r="O442" s="2" t="str">
        <f>IF(ISBLANK(C442),"",IF(G442="Y","✔",IF(G442="X","✔",IF(G442="N","✔",tulkojums!A$44))))</f>
        <v/>
      </c>
      <c r="P442" s="2" t="str">
        <f>IF(ISBLANK(H442),"",IF(INDEX(DB_materiali!$E$2:$E$5000,MATCH($C442,DB_materiali!$A$2:$A$5000,0))&gt;=INDEX(DB_malas!$C$2:$C$5000,MATCH(H442,DB_malas!$A$2:$A$5000,0)),IF(INDEX(DB_materiali!$E$2:$E$5000,MATCH($C442,DB_materiali!$A$2:$A$5000,0))&lt;=INDEX(DB_malas!$D$2:$D$5000,MATCH(H442,DB_malas!$A$2:$A$5000,0)),IF(OR(INDEX(DB_materiali!$B$2:$B$5000,MATCH($C442,DB_materiali!$A$2:$A$5000,0))=INDEX(DB_malas!$B$2:$B$5000,MATCH(H442,DB_malas!$A$2:$A$5000,0)),$H442="ORG"),"✔",tulkojums!$A$38),tulkojums!$A$39),tulkojums!$A$39))</f>
        <v/>
      </c>
      <c r="Q442" s="2" t="str">
        <f>IF(ISBLANK(I442),"",IF(INDEX(DB_materiali!$E$2:$E$5000,MATCH($C442,DB_materiali!$A$2:$A$5000,0))&gt;=INDEX(DB_malas!$C$2:$C$5000,MATCH(I442,DB_malas!$A$2:$A$5000,0)),IF(INDEX(DB_materiali!$E$2:$E$5000,MATCH($C442,DB_materiali!$A$2:$A$5000,0))&lt;=INDEX(DB_malas!$D$2:$D$5000,MATCH(I442,DB_malas!$A$2:$A$5000,0)),IF(OR(INDEX(DB_materiali!$B$2:$B$5000,MATCH($C442,DB_materiali!$A$2:$A$5000,0))=INDEX(DB_malas!$B$2:$B$5000,MATCH(I442,DB_malas!$A$2:$A$5000,0)),$H442="ORG"),"✔",tulkojums!$A$38),tulkojums!$A$39),tulkojums!$A$39))</f>
        <v/>
      </c>
      <c r="R442" s="2" t="str">
        <f>IF(ISBLANK(J442),"",IF(INDEX(DB_materiali!$E$2:$E$5000,MATCH($C442,DB_materiali!$A$2:$A$5000,0))&gt;=INDEX(DB_malas!$C$2:$C$5000,MATCH(J442,DB_malas!$A$2:$A$5000,0)),IF(INDEX(DB_materiali!$E$2:$E$5000,MATCH($C442,DB_materiali!$A$2:$A$5000,0))&lt;=INDEX(DB_malas!$D$2:$D$5000,MATCH(J442,DB_malas!$A$2:$A$5000,0)),IF(INDEX(DB_materiali!$B$2:$B$5000,MATCH($C442,DB_materiali!$A$2:$A$5000,0))=INDEX(DB_malas!$B$2:$B$5000,MATCH(J442,DB_malas!$A$2:$A$5000,0)),"✔",tulkojums!$A$38),tulkojums!$A$39),tulkojums!$A$39))</f>
        <v/>
      </c>
      <c r="S442" s="2" t="str">
        <f>IF(ISBLANK(K442),"",IF(INDEX(DB_materiali!$E$2:$E$5000,MATCH($C442,DB_materiali!$A$2:$A$5000,0))&gt;=INDEX(DB_malas!$C$2:$C$5000,MATCH(K442,DB_malas!$A$2:$A$5000,0)),IF(INDEX(DB_materiali!$E$2:$E$5000,MATCH($C442,DB_materiali!$A$2:$A$5000,0))&lt;=INDEX(DB_malas!$D$2:$D$5000,MATCH(K442,DB_malas!$A$2:$A$5000,0)),IF(INDEX(DB_materiali!$B$2:$B$5000,MATCH($C442,DB_materiali!$A$2:$A$5000,0))=INDEX(DB_malas!$B$2:$B$5000,MATCH(K442,DB_malas!$A$2:$A$5000,0)),"✔",tulkojums!$A$38),tulkojums!$A$39),tulkojums!$A$39))</f>
        <v/>
      </c>
      <c r="T442" s="2"/>
      <c r="U442" s="2"/>
      <c r="V442" s="2"/>
      <c r="W442" s="2"/>
      <c r="X442" s="2"/>
      <c r="Y442" s="2"/>
      <c r="Z442" s="2"/>
    </row>
    <row r="443" spans="1:26" ht="15.75" customHeight="1">
      <c r="A443" s="17"/>
      <c r="B443" s="18"/>
      <c r="C443" s="19"/>
      <c r="D443" s="55"/>
      <c r="E443" s="55"/>
      <c r="F443" s="56"/>
      <c r="G443" s="57" t="str">
        <f>IF(ISBLANK(C443),"",
   IFERROR(
      IF(
         INDEX(DB_materiali!C$2:C$5000,
               MATCH(C443, DB_materiali!A$2:A$5000, 0)
         )="FALSE",
         "N",
         "Y"
      ),
   "")
)</f>
        <v/>
      </c>
      <c r="H443" s="20"/>
      <c r="I443" s="20"/>
      <c r="J443" s="20"/>
      <c r="K443" s="20"/>
      <c r="M443" s="2" t="str">
        <f>IF(ISBLANK(C443),"",IF(IFERROR(VLOOKUP(C443,DB_materiali!$A$2:$A$5000,1,FALSE),"Kļūda artikulā")=C443,"✔",tulkojums!A$42))</f>
        <v/>
      </c>
      <c r="N443" s="2" t="str">
        <f>IF(ISBLANK(C443),"",IF(ISNUMBER(F443)=TRUE,"✔",tulkojums!A$43))</f>
        <v/>
      </c>
      <c r="O443" s="2" t="str">
        <f>IF(ISBLANK(C443),"",IF(G443="Y","✔",IF(G443="X","✔",IF(G443="N","✔",tulkojums!A$44))))</f>
        <v/>
      </c>
      <c r="P443" s="2" t="str">
        <f>IF(ISBLANK(H443),"",IF(INDEX(DB_materiali!$E$2:$E$5000,MATCH($C443,DB_materiali!$A$2:$A$5000,0))&gt;=INDEX(DB_malas!$C$2:$C$5000,MATCH(H443,DB_malas!$A$2:$A$5000,0)),IF(INDEX(DB_materiali!$E$2:$E$5000,MATCH($C443,DB_materiali!$A$2:$A$5000,0))&lt;=INDEX(DB_malas!$D$2:$D$5000,MATCH(H443,DB_malas!$A$2:$A$5000,0)),IF(OR(INDEX(DB_materiali!$B$2:$B$5000,MATCH($C443,DB_materiali!$A$2:$A$5000,0))=INDEX(DB_malas!$B$2:$B$5000,MATCH(H443,DB_malas!$A$2:$A$5000,0)),$H443="ORG"),"✔",tulkojums!$A$38),tulkojums!$A$39),tulkojums!$A$39))</f>
        <v/>
      </c>
      <c r="Q443" s="2" t="str">
        <f>IF(ISBLANK(I443),"",IF(INDEX(DB_materiali!$E$2:$E$5000,MATCH($C443,DB_materiali!$A$2:$A$5000,0))&gt;=INDEX(DB_malas!$C$2:$C$5000,MATCH(I443,DB_malas!$A$2:$A$5000,0)),IF(INDEX(DB_materiali!$E$2:$E$5000,MATCH($C443,DB_materiali!$A$2:$A$5000,0))&lt;=INDEX(DB_malas!$D$2:$D$5000,MATCH(I443,DB_malas!$A$2:$A$5000,0)),IF(OR(INDEX(DB_materiali!$B$2:$B$5000,MATCH($C443,DB_materiali!$A$2:$A$5000,0))=INDEX(DB_malas!$B$2:$B$5000,MATCH(I443,DB_malas!$A$2:$A$5000,0)),$H443="ORG"),"✔",tulkojums!$A$38),tulkojums!$A$39),tulkojums!$A$39))</f>
        <v/>
      </c>
      <c r="R443" s="2" t="str">
        <f>IF(ISBLANK(J443),"",IF(INDEX(DB_materiali!$E$2:$E$5000,MATCH($C443,DB_materiali!$A$2:$A$5000,0))&gt;=INDEX(DB_malas!$C$2:$C$5000,MATCH(J443,DB_malas!$A$2:$A$5000,0)),IF(INDEX(DB_materiali!$E$2:$E$5000,MATCH($C443,DB_materiali!$A$2:$A$5000,0))&lt;=INDEX(DB_malas!$D$2:$D$5000,MATCH(J443,DB_malas!$A$2:$A$5000,0)),IF(INDEX(DB_materiali!$B$2:$B$5000,MATCH($C443,DB_materiali!$A$2:$A$5000,0))=INDEX(DB_malas!$B$2:$B$5000,MATCH(J443,DB_malas!$A$2:$A$5000,0)),"✔",tulkojums!$A$38),tulkojums!$A$39),tulkojums!$A$39))</f>
        <v/>
      </c>
      <c r="S443" s="2" t="str">
        <f>IF(ISBLANK(K443),"",IF(INDEX(DB_materiali!$E$2:$E$5000,MATCH($C443,DB_materiali!$A$2:$A$5000,0))&gt;=INDEX(DB_malas!$C$2:$C$5000,MATCH(K443,DB_malas!$A$2:$A$5000,0)),IF(INDEX(DB_materiali!$E$2:$E$5000,MATCH($C443,DB_materiali!$A$2:$A$5000,0))&lt;=INDEX(DB_malas!$D$2:$D$5000,MATCH(K443,DB_malas!$A$2:$A$5000,0)),IF(INDEX(DB_materiali!$B$2:$B$5000,MATCH($C443,DB_materiali!$A$2:$A$5000,0))=INDEX(DB_malas!$B$2:$B$5000,MATCH(K443,DB_malas!$A$2:$A$5000,0)),"✔",tulkojums!$A$38),tulkojums!$A$39),tulkojums!$A$39))</f>
        <v/>
      </c>
      <c r="T443" s="2"/>
      <c r="U443" s="2"/>
      <c r="V443" s="2"/>
      <c r="W443" s="2"/>
      <c r="X443" s="2"/>
      <c r="Y443" s="2"/>
      <c r="Z443" s="2"/>
    </row>
    <row r="444" spans="1:26" ht="15.75" customHeight="1">
      <c r="A444" s="17"/>
      <c r="B444" s="18"/>
      <c r="C444" s="19"/>
      <c r="D444" s="55"/>
      <c r="E444" s="55"/>
      <c r="F444" s="56"/>
      <c r="G444" s="57" t="str">
        <f>IF(ISBLANK(C444),"",
   IFERROR(
      IF(
         INDEX(DB_materiali!C$2:C$5000,
               MATCH(C444, DB_materiali!A$2:A$5000, 0)
         )="FALSE",
         "N",
         "Y"
      ),
   "")
)</f>
        <v/>
      </c>
      <c r="H444" s="20"/>
      <c r="I444" s="20"/>
      <c r="J444" s="20"/>
      <c r="K444" s="20"/>
      <c r="M444" s="2" t="str">
        <f>IF(ISBLANK(C444),"",IF(IFERROR(VLOOKUP(C444,DB_materiali!$A$2:$A$5000,1,FALSE),"Kļūda artikulā")=C444,"✔",tulkojums!A$42))</f>
        <v/>
      </c>
      <c r="N444" s="2" t="str">
        <f>IF(ISBLANK(C444),"",IF(ISNUMBER(F444)=TRUE,"✔",tulkojums!A$43))</f>
        <v/>
      </c>
      <c r="O444" s="2" t="str">
        <f>IF(ISBLANK(C444),"",IF(G444="Y","✔",IF(G444="X","✔",IF(G444="N","✔",tulkojums!A$44))))</f>
        <v/>
      </c>
      <c r="P444" s="2" t="str">
        <f>IF(ISBLANK(H444),"",IF(INDEX(DB_materiali!$E$2:$E$5000,MATCH($C444,DB_materiali!$A$2:$A$5000,0))&gt;=INDEX(DB_malas!$C$2:$C$5000,MATCH(H444,DB_malas!$A$2:$A$5000,0)),IF(INDEX(DB_materiali!$E$2:$E$5000,MATCH($C444,DB_materiali!$A$2:$A$5000,0))&lt;=INDEX(DB_malas!$D$2:$D$5000,MATCH(H444,DB_malas!$A$2:$A$5000,0)),IF(OR(INDEX(DB_materiali!$B$2:$B$5000,MATCH($C444,DB_materiali!$A$2:$A$5000,0))=INDEX(DB_malas!$B$2:$B$5000,MATCH(H444,DB_malas!$A$2:$A$5000,0)),$H444="ORG"),"✔",tulkojums!$A$38),tulkojums!$A$39),tulkojums!$A$39))</f>
        <v/>
      </c>
      <c r="Q444" s="2" t="str">
        <f>IF(ISBLANK(I444),"",IF(INDEX(DB_materiali!$E$2:$E$5000,MATCH($C444,DB_materiali!$A$2:$A$5000,0))&gt;=INDEX(DB_malas!$C$2:$C$5000,MATCH(I444,DB_malas!$A$2:$A$5000,0)),IF(INDEX(DB_materiali!$E$2:$E$5000,MATCH($C444,DB_materiali!$A$2:$A$5000,0))&lt;=INDEX(DB_malas!$D$2:$D$5000,MATCH(I444,DB_malas!$A$2:$A$5000,0)),IF(OR(INDEX(DB_materiali!$B$2:$B$5000,MATCH($C444,DB_materiali!$A$2:$A$5000,0))=INDEX(DB_malas!$B$2:$B$5000,MATCH(I444,DB_malas!$A$2:$A$5000,0)),$H444="ORG"),"✔",tulkojums!$A$38),tulkojums!$A$39),tulkojums!$A$39))</f>
        <v/>
      </c>
      <c r="R444" s="2" t="str">
        <f>IF(ISBLANK(J444),"",IF(INDEX(DB_materiali!$E$2:$E$5000,MATCH($C444,DB_materiali!$A$2:$A$5000,0))&gt;=INDEX(DB_malas!$C$2:$C$5000,MATCH(J444,DB_malas!$A$2:$A$5000,0)),IF(INDEX(DB_materiali!$E$2:$E$5000,MATCH($C444,DB_materiali!$A$2:$A$5000,0))&lt;=INDEX(DB_malas!$D$2:$D$5000,MATCH(J444,DB_malas!$A$2:$A$5000,0)),IF(INDEX(DB_materiali!$B$2:$B$5000,MATCH($C444,DB_materiali!$A$2:$A$5000,0))=INDEX(DB_malas!$B$2:$B$5000,MATCH(J444,DB_malas!$A$2:$A$5000,0)),"✔",tulkojums!$A$38),tulkojums!$A$39),tulkojums!$A$39))</f>
        <v/>
      </c>
      <c r="S444" s="2" t="str">
        <f>IF(ISBLANK(K444),"",IF(INDEX(DB_materiali!$E$2:$E$5000,MATCH($C444,DB_materiali!$A$2:$A$5000,0))&gt;=INDEX(DB_malas!$C$2:$C$5000,MATCH(K444,DB_malas!$A$2:$A$5000,0)),IF(INDEX(DB_materiali!$E$2:$E$5000,MATCH($C444,DB_materiali!$A$2:$A$5000,0))&lt;=INDEX(DB_malas!$D$2:$D$5000,MATCH(K444,DB_malas!$A$2:$A$5000,0)),IF(INDEX(DB_materiali!$B$2:$B$5000,MATCH($C444,DB_materiali!$A$2:$A$5000,0))=INDEX(DB_malas!$B$2:$B$5000,MATCH(K444,DB_malas!$A$2:$A$5000,0)),"✔",tulkojums!$A$38),tulkojums!$A$39),tulkojums!$A$39))</f>
        <v/>
      </c>
      <c r="T444" s="2"/>
      <c r="U444" s="2"/>
      <c r="V444" s="2"/>
      <c r="W444" s="2"/>
      <c r="X444" s="2"/>
      <c r="Y444" s="2"/>
      <c r="Z444" s="2"/>
    </row>
    <row r="445" spans="1:26" ht="15.75" customHeight="1">
      <c r="A445" s="17"/>
      <c r="B445" s="18"/>
      <c r="C445" s="19"/>
      <c r="D445" s="55"/>
      <c r="E445" s="55"/>
      <c r="F445" s="56"/>
      <c r="G445" s="57" t="str">
        <f>IF(ISBLANK(C445),"",
   IFERROR(
      IF(
         INDEX(DB_materiali!C$2:C$5000,
               MATCH(C445, DB_materiali!A$2:A$5000, 0)
         )="FALSE",
         "N",
         "Y"
      ),
   "")
)</f>
        <v/>
      </c>
      <c r="H445" s="20"/>
      <c r="I445" s="20"/>
      <c r="J445" s="20"/>
      <c r="K445" s="20"/>
      <c r="M445" s="2" t="str">
        <f>IF(ISBLANK(C445),"",IF(IFERROR(VLOOKUP(C445,DB_materiali!$A$2:$A$5000,1,FALSE),"Kļūda artikulā")=C445,"✔",tulkojums!A$42))</f>
        <v/>
      </c>
      <c r="N445" s="2" t="str">
        <f>IF(ISBLANK(C445),"",IF(ISNUMBER(F445)=TRUE,"✔",tulkojums!A$43))</f>
        <v/>
      </c>
      <c r="O445" s="2" t="str">
        <f>IF(ISBLANK(C445),"",IF(G445="Y","✔",IF(G445="X","✔",IF(G445="N","✔",tulkojums!A$44))))</f>
        <v/>
      </c>
      <c r="P445" s="2" t="str">
        <f>IF(ISBLANK(H445),"",IF(INDEX(DB_materiali!$E$2:$E$5000,MATCH($C445,DB_materiali!$A$2:$A$5000,0))&gt;=INDEX(DB_malas!$C$2:$C$5000,MATCH(H445,DB_malas!$A$2:$A$5000,0)),IF(INDEX(DB_materiali!$E$2:$E$5000,MATCH($C445,DB_materiali!$A$2:$A$5000,0))&lt;=INDEX(DB_malas!$D$2:$D$5000,MATCH(H445,DB_malas!$A$2:$A$5000,0)),IF(OR(INDEX(DB_materiali!$B$2:$B$5000,MATCH($C445,DB_materiali!$A$2:$A$5000,0))=INDEX(DB_malas!$B$2:$B$5000,MATCH(H445,DB_malas!$A$2:$A$5000,0)),$H445="ORG"),"✔",tulkojums!$A$38),tulkojums!$A$39),tulkojums!$A$39))</f>
        <v/>
      </c>
      <c r="Q445" s="2" t="str">
        <f>IF(ISBLANK(I445),"",IF(INDEX(DB_materiali!$E$2:$E$5000,MATCH($C445,DB_materiali!$A$2:$A$5000,0))&gt;=INDEX(DB_malas!$C$2:$C$5000,MATCH(I445,DB_malas!$A$2:$A$5000,0)),IF(INDEX(DB_materiali!$E$2:$E$5000,MATCH($C445,DB_materiali!$A$2:$A$5000,0))&lt;=INDEX(DB_malas!$D$2:$D$5000,MATCH(I445,DB_malas!$A$2:$A$5000,0)),IF(OR(INDEX(DB_materiali!$B$2:$B$5000,MATCH($C445,DB_materiali!$A$2:$A$5000,0))=INDEX(DB_malas!$B$2:$B$5000,MATCH(I445,DB_malas!$A$2:$A$5000,0)),$H445="ORG"),"✔",tulkojums!$A$38),tulkojums!$A$39),tulkojums!$A$39))</f>
        <v/>
      </c>
      <c r="R445" s="2" t="str">
        <f>IF(ISBLANK(J445),"",IF(INDEX(DB_materiali!$E$2:$E$5000,MATCH($C445,DB_materiali!$A$2:$A$5000,0))&gt;=INDEX(DB_malas!$C$2:$C$5000,MATCH(J445,DB_malas!$A$2:$A$5000,0)),IF(INDEX(DB_materiali!$E$2:$E$5000,MATCH($C445,DB_materiali!$A$2:$A$5000,0))&lt;=INDEX(DB_malas!$D$2:$D$5000,MATCH(J445,DB_malas!$A$2:$A$5000,0)),IF(INDEX(DB_materiali!$B$2:$B$5000,MATCH($C445,DB_materiali!$A$2:$A$5000,0))=INDEX(DB_malas!$B$2:$B$5000,MATCH(J445,DB_malas!$A$2:$A$5000,0)),"✔",tulkojums!$A$38),tulkojums!$A$39),tulkojums!$A$39))</f>
        <v/>
      </c>
      <c r="S445" s="2" t="str">
        <f>IF(ISBLANK(K445),"",IF(INDEX(DB_materiali!$E$2:$E$5000,MATCH($C445,DB_materiali!$A$2:$A$5000,0))&gt;=INDEX(DB_malas!$C$2:$C$5000,MATCH(K445,DB_malas!$A$2:$A$5000,0)),IF(INDEX(DB_materiali!$E$2:$E$5000,MATCH($C445,DB_materiali!$A$2:$A$5000,0))&lt;=INDEX(DB_malas!$D$2:$D$5000,MATCH(K445,DB_malas!$A$2:$A$5000,0)),IF(INDEX(DB_materiali!$B$2:$B$5000,MATCH($C445,DB_materiali!$A$2:$A$5000,0))=INDEX(DB_malas!$B$2:$B$5000,MATCH(K445,DB_malas!$A$2:$A$5000,0)),"✔",tulkojums!$A$38),tulkojums!$A$39),tulkojums!$A$39))</f>
        <v/>
      </c>
      <c r="T445" s="2"/>
      <c r="U445" s="2"/>
      <c r="V445" s="2"/>
      <c r="W445" s="2"/>
      <c r="X445" s="2"/>
      <c r="Y445" s="2"/>
      <c r="Z445" s="2"/>
    </row>
    <row r="446" spans="1:26" ht="15.75" customHeight="1">
      <c r="A446" s="17"/>
      <c r="B446" s="18"/>
      <c r="C446" s="19"/>
      <c r="D446" s="55"/>
      <c r="E446" s="55"/>
      <c r="F446" s="56"/>
      <c r="G446" s="57" t="str">
        <f>IF(ISBLANK(C446),"",
   IFERROR(
      IF(
         INDEX(DB_materiali!C$2:C$5000,
               MATCH(C446, DB_materiali!A$2:A$5000, 0)
         )="FALSE",
         "N",
         "Y"
      ),
   "")
)</f>
        <v/>
      </c>
      <c r="H446" s="20"/>
      <c r="I446" s="20"/>
      <c r="J446" s="20"/>
      <c r="K446" s="20"/>
      <c r="M446" s="2" t="str">
        <f>IF(ISBLANK(C446),"",IF(IFERROR(VLOOKUP(C446,DB_materiali!$A$2:$A$5000,1,FALSE),"Kļūda artikulā")=C446,"✔",tulkojums!A$42))</f>
        <v/>
      </c>
      <c r="N446" s="2" t="str">
        <f>IF(ISBLANK(C446),"",IF(ISNUMBER(F446)=TRUE,"✔",tulkojums!A$43))</f>
        <v/>
      </c>
      <c r="O446" s="2" t="str">
        <f>IF(ISBLANK(C446),"",IF(G446="Y","✔",IF(G446="X","✔",IF(G446="N","✔",tulkojums!A$44))))</f>
        <v/>
      </c>
      <c r="P446" s="2" t="str">
        <f>IF(ISBLANK(H446),"",IF(INDEX(DB_materiali!$E$2:$E$5000,MATCH($C446,DB_materiali!$A$2:$A$5000,0))&gt;=INDEX(DB_malas!$C$2:$C$5000,MATCH(H446,DB_malas!$A$2:$A$5000,0)),IF(INDEX(DB_materiali!$E$2:$E$5000,MATCH($C446,DB_materiali!$A$2:$A$5000,0))&lt;=INDEX(DB_malas!$D$2:$D$5000,MATCH(H446,DB_malas!$A$2:$A$5000,0)),IF(OR(INDEX(DB_materiali!$B$2:$B$5000,MATCH($C446,DB_materiali!$A$2:$A$5000,0))=INDEX(DB_malas!$B$2:$B$5000,MATCH(H446,DB_malas!$A$2:$A$5000,0)),$H446="ORG"),"✔",tulkojums!$A$38),tulkojums!$A$39),tulkojums!$A$39))</f>
        <v/>
      </c>
      <c r="Q446" s="2" t="str">
        <f>IF(ISBLANK(I446),"",IF(INDEX(DB_materiali!$E$2:$E$5000,MATCH($C446,DB_materiali!$A$2:$A$5000,0))&gt;=INDEX(DB_malas!$C$2:$C$5000,MATCH(I446,DB_malas!$A$2:$A$5000,0)),IF(INDEX(DB_materiali!$E$2:$E$5000,MATCH($C446,DB_materiali!$A$2:$A$5000,0))&lt;=INDEX(DB_malas!$D$2:$D$5000,MATCH(I446,DB_malas!$A$2:$A$5000,0)),IF(OR(INDEX(DB_materiali!$B$2:$B$5000,MATCH($C446,DB_materiali!$A$2:$A$5000,0))=INDEX(DB_malas!$B$2:$B$5000,MATCH(I446,DB_malas!$A$2:$A$5000,0)),$H446="ORG"),"✔",tulkojums!$A$38),tulkojums!$A$39),tulkojums!$A$39))</f>
        <v/>
      </c>
      <c r="R446" s="2" t="str">
        <f>IF(ISBLANK(J446),"",IF(INDEX(DB_materiali!$E$2:$E$5000,MATCH($C446,DB_materiali!$A$2:$A$5000,0))&gt;=INDEX(DB_malas!$C$2:$C$5000,MATCH(J446,DB_malas!$A$2:$A$5000,0)),IF(INDEX(DB_materiali!$E$2:$E$5000,MATCH($C446,DB_materiali!$A$2:$A$5000,0))&lt;=INDEX(DB_malas!$D$2:$D$5000,MATCH(J446,DB_malas!$A$2:$A$5000,0)),IF(INDEX(DB_materiali!$B$2:$B$5000,MATCH($C446,DB_materiali!$A$2:$A$5000,0))=INDEX(DB_malas!$B$2:$B$5000,MATCH(J446,DB_malas!$A$2:$A$5000,0)),"✔",tulkojums!$A$38),tulkojums!$A$39),tulkojums!$A$39))</f>
        <v/>
      </c>
      <c r="S446" s="2" t="str">
        <f>IF(ISBLANK(K446),"",IF(INDEX(DB_materiali!$E$2:$E$5000,MATCH($C446,DB_materiali!$A$2:$A$5000,0))&gt;=INDEX(DB_malas!$C$2:$C$5000,MATCH(K446,DB_malas!$A$2:$A$5000,0)),IF(INDEX(DB_materiali!$E$2:$E$5000,MATCH($C446,DB_materiali!$A$2:$A$5000,0))&lt;=INDEX(DB_malas!$D$2:$D$5000,MATCH(K446,DB_malas!$A$2:$A$5000,0)),IF(INDEX(DB_materiali!$B$2:$B$5000,MATCH($C446,DB_materiali!$A$2:$A$5000,0))=INDEX(DB_malas!$B$2:$B$5000,MATCH(K446,DB_malas!$A$2:$A$5000,0)),"✔",tulkojums!$A$38),tulkojums!$A$39),tulkojums!$A$39))</f>
        <v/>
      </c>
      <c r="T446" s="2"/>
      <c r="U446" s="2"/>
      <c r="V446" s="2"/>
      <c r="W446" s="2"/>
      <c r="X446" s="2"/>
      <c r="Y446" s="2"/>
      <c r="Z446" s="2"/>
    </row>
    <row r="447" spans="1:26" ht="15.75" customHeight="1">
      <c r="A447" s="17"/>
      <c r="B447" s="18"/>
      <c r="C447" s="19"/>
      <c r="D447" s="55"/>
      <c r="E447" s="55"/>
      <c r="F447" s="56"/>
      <c r="G447" s="57" t="str">
        <f>IF(ISBLANK(C447),"",
   IFERROR(
      IF(
         INDEX(DB_materiali!C$2:C$5000,
               MATCH(C447, DB_materiali!A$2:A$5000, 0)
         )="FALSE",
         "N",
         "Y"
      ),
   "")
)</f>
        <v/>
      </c>
      <c r="H447" s="20"/>
      <c r="I447" s="20"/>
      <c r="J447" s="20"/>
      <c r="K447" s="20"/>
      <c r="M447" s="2" t="str">
        <f>IF(ISBLANK(C447),"",IF(IFERROR(VLOOKUP(C447,DB_materiali!$A$2:$A$5000,1,FALSE),"Kļūda artikulā")=C447,"✔",tulkojums!A$42))</f>
        <v/>
      </c>
      <c r="N447" s="2" t="str">
        <f>IF(ISBLANK(C447),"",IF(ISNUMBER(F447)=TRUE,"✔",tulkojums!A$43))</f>
        <v/>
      </c>
      <c r="O447" s="2" t="str">
        <f>IF(ISBLANK(C447),"",IF(G447="Y","✔",IF(G447="X","✔",IF(G447="N","✔",tulkojums!A$44))))</f>
        <v/>
      </c>
      <c r="P447" s="2" t="str">
        <f>IF(ISBLANK(H447),"",IF(INDEX(DB_materiali!$E$2:$E$5000,MATCH($C447,DB_materiali!$A$2:$A$5000,0))&gt;=INDEX(DB_malas!$C$2:$C$5000,MATCH(H447,DB_malas!$A$2:$A$5000,0)),IF(INDEX(DB_materiali!$E$2:$E$5000,MATCH($C447,DB_materiali!$A$2:$A$5000,0))&lt;=INDEX(DB_malas!$D$2:$D$5000,MATCH(H447,DB_malas!$A$2:$A$5000,0)),IF(OR(INDEX(DB_materiali!$B$2:$B$5000,MATCH($C447,DB_materiali!$A$2:$A$5000,0))=INDEX(DB_malas!$B$2:$B$5000,MATCH(H447,DB_malas!$A$2:$A$5000,0)),$H447="ORG"),"✔",tulkojums!$A$38),tulkojums!$A$39),tulkojums!$A$39))</f>
        <v/>
      </c>
      <c r="Q447" s="2" t="str">
        <f>IF(ISBLANK(I447),"",IF(INDEX(DB_materiali!$E$2:$E$5000,MATCH($C447,DB_materiali!$A$2:$A$5000,0))&gt;=INDEX(DB_malas!$C$2:$C$5000,MATCH(I447,DB_malas!$A$2:$A$5000,0)),IF(INDEX(DB_materiali!$E$2:$E$5000,MATCH($C447,DB_materiali!$A$2:$A$5000,0))&lt;=INDEX(DB_malas!$D$2:$D$5000,MATCH(I447,DB_malas!$A$2:$A$5000,0)),IF(OR(INDEX(DB_materiali!$B$2:$B$5000,MATCH($C447,DB_materiali!$A$2:$A$5000,0))=INDEX(DB_malas!$B$2:$B$5000,MATCH(I447,DB_malas!$A$2:$A$5000,0)),$H447="ORG"),"✔",tulkojums!$A$38),tulkojums!$A$39),tulkojums!$A$39))</f>
        <v/>
      </c>
      <c r="R447" s="2" t="str">
        <f>IF(ISBLANK(J447),"",IF(INDEX(DB_materiali!$E$2:$E$5000,MATCH($C447,DB_materiali!$A$2:$A$5000,0))&gt;=INDEX(DB_malas!$C$2:$C$5000,MATCH(J447,DB_malas!$A$2:$A$5000,0)),IF(INDEX(DB_materiali!$E$2:$E$5000,MATCH($C447,DB_materiali!$A$2:$A$5000,0))&lt;=INDEX(DB_malas!$D$2:$D$5000,MATCH(J447,DB_malas!$A$2:$A$5000,0)),IF(INDEX(DB_materiali!$B$2:$B$5000,MATCH($C447,DB_materiali!$A$2:$A$5000,0))=INDEX(DB_malas!$B$2:$B$5000,MATCH(J447,DB_malas!$A$2:$A$5000,0)),"✔",tulkojums!$A$38),tulkojums!$A$39),tulkojums!$A$39))</f>
        <v/>
      </c>
      <c r="S447" s="2" t="str">
        <f>IF(ISBLANK(K447),"",IF(INDEX(DB_materiali!$E$2:$E$5000,MATCH($C447,DB_materiali!$A$2:$A$5000,0))&gt;=INDEX(DB_malas!$C$2:$C$5000,MATCH(K447,DB_malas!$A$2:$A$5000,0)),IF(INDEX(DB_materiali!$E$2:$E$5000,MATCH($C447,DB_materiali!$A$2:$A$5000,0))&lt;=INDEX(DB_malas!$D$2:$D$5000,MATCH(K447,DB_malas!$A$2:$A$5000,0)),IF(INDEX(DB_materiali!$B$2:$B$5000,MATCH($C447,DB_materiali!$A$2:$A$5000,0))=INDEX(DB_malas!$B$2:$B$5000,MATCH(K447,DB_malas!$A$2:$A$5000,0)),"✔",tulkojums!$A$38),tulkojums!$A$39),tulkojums!$A$39))</f>
        <v/>
      </c>
      <c r="T447" s="2"/>
      <c r="U447" s="2"/>
      <c r="V447" s="2"/>
      <c r="W447" s="2"/>
      <c r="X447" s="2"/>
      <c r="Y447" s="2"/>
      <c r="Z447" s="2"/>
    </row>
    <row r="448" spans="1:26" ht="15.75" customHeight="1">
      <c r="A448" s="17"/>
      <c r="B448" s="18"/>
      <c r="C448" s="19"/>
      <c r="D448" s="55"/>
      <c r="E448" s="55"/>
      <c r="F448" s="56"/>
      <c r="G448" s="57" t="str">
        <f>IF(ISBLANK(C448),"",
   IFERROR(
      IF(
         INDEX(DB_materiali!C$2:C$5000,
               MATCH(C448, DB_materiali!A$2:A$5000, 0)
         )="FALSE",
         "N",
         "Y"
      ),
   "")
)</f>
        <v/>
      </c>
      <c r="H448" s="20"/>
      <c r="I448" s="20"/>
      <c r="J448" s="20"/>
      <c r="K448" s="20"/>
      <c r="M448" s="2" t="str">
        <f>IF(ISBLANK(C448),"",IF(IFERROR(VLOOKUP(C448,DB_materiali!$A$2:$A$5000,1,FALSE),"Kļūda artikulā")=C448,"✔",tulkojums!A$42))</f>
        <v/>
      </c>
      <c r="N448" s="2" t="str">
        <f>IF(ISBLANK(C448),"",IF(ISNUMBER(F448)=TRUE,"✔",tulkojums!A$43))</f>
        <v/>
      </c>
      <c r="O448" s="2" t="str">
        <f>IF(ISBLANK(C448),"",IF(G448="Y","✔",IF(G448="X","✔",IF(G448="N","✔",tulkojums!A$44))))</f>
        <v/>
      </c>
      <c r="P448" s="2" t="str">
        <f>IF(ISBLANK(H448),"",IF(INDEX(DB_materiali!$E$2:$E$5000,MATCH($C448,DB_materiali!$A$2:$A$5000,0))&gt;=INDEX(DB_malas!$C$2:$C$5000,MATCH(H448,DB_malas!$A$2:$A$5000,0)),IF(INDEX(DB_materiali!$E$2:$E$5000,MATCH($C448,DB_materiali!$A$2:$A$5000,0))&lt;=INDEX(DB_malas!$D$2:$D$5000,MATCH(H448,DB_malas!$A$2:$A$5000,0)),IF(OR(INDEX(DB_materiali!$B$2:$B$5000,MATCH($C448,DB_materiali!$A$2:$A$5000,0))=INDEX(DB_malas!$B$2:$B$5000,MATCH(H448,DB_malas!$A$2:$A$5000,0)),$H448="ORG"),"✔",tulkojums!$A$38),tulkojums!$A$39),tulkojums!$A$39))</f>
        <v/>
      </c>
      <c r="Q448" s="2" t="str">
        <f>IF(ISBLANK(I448),"",IF(INDEX(DB_materiali!$E$2:$E$5000,MATCH($C448,DB_materiali!$A$2:$A$5000,0))&gt;=INDEX(DB_malas!$C$2:$C$5000,MATCH(I448,DB_malas!$A$2:$A$5000,0)),IF(INDEX(DB_materiali!$E$2:$E$5000,MATCH($C448,DB_materiali!$A$2:$A$5000,0))&lt;=INDEX(DB_malas!$D$2:$D$5000,MATCH(I448,DB_malas!$A$2:$A$5000,0)),IF(OR(INDEX(DB_materiali!$B$2:$B$5000,MATCH($C448,DB_materiali!$A$2:$A$5000,0))=INDEX(DB_malas!$B$2:$B$5000,MATCH(I448,DB_malas!$A$2:$A$5000,0)),$H448="ORG"),"✔",tulkojums!$A$38),tulkojums!$A$39),tulkojums!$A$39))</f>
        <v/>
      </c>
      <c r="R448" s="2" t="str">
        <f>IF(ISBLANK(J448),"",IF(INDEX(DB_materiali!$E$2:$E$5000,MATCH($C448,DB_materiali!$A$2:$A$5000,0))&gt;=INDEX(DB_malas!$C$2:$C$5000,MATCH(J448,DB_malas!$A$2:$A$5000,0)),IF(INDEX(DB_materiali!$E$2:$E$5000,MATCH($C448,DB_materiali!$A$2:$A$5000,0))&lt;=INDEX(DB_malas!$D$2:$D$5000,MATCH(J448,DB_malas!$A$2:$A$5000,0)),IF(INDEX(DB_materiali!$B$2:$B$5000,MATCH($C448,DB_materiali!$A$2:$A$5000,0))=INDEX(DB_malas!$B$2:$B$5000,MATCH(J448,DB_malas!$A$2:$A$5000,0)),"✔",tulkojums!$A$38),tulkojums!$A$39),tulkojums!$A$39))</f>
        <v/>
      </c>
      <c r="S448" s="2" t="str">
        <f>IF(ISBLANK(K448),"",IF(INDEX(DB_materiali!$E$2:$E$5000,MATCH($C448,DB_materiali!$A$2:$A$5000,0))&gt;=INDEX(DB_malas!$C$2:$C$5000,MATCH(K448,DB_malas!$A$2:$A$5000,0)),IF(INDEX(DB_materiali!$E$2:$E$5000,MATCH($C448,DB_materiali!$A$2:$A$5000,0))&lt;=INDEX(DB_malas!$D$2:$D$5000,MATCH(K448,DB_malas!$A$2:$A$5000,0)),IF(INDEX(DB_materiali!$B$2:$B$5000,MATCH($C448,DB_materiali!$A$2:$A$5000,0))=INDEX(DB_malas!$B$2:$B$5000,MATCH(K448,DB_malas!$A$2:$A$5000,0)),"✔",tulkojums!$A$38),tulkojums!$A$39),tulkojums!$A$39))</f>
        <v/>
      </c>
      <c r="T448" s="2"/>
      <c r="U448" s="2"/>
      <c r="V448" s="2"/>
      <c r="W448" s="2"/>
      <c r="X448" s="2"/>
      <c r="Y448" s="2"/>
      <c r="Z448" s="2"/>
    </row>
    <row r="449" spans="1:26" ht="15.75" customHeight="1">
      <c r="A449" s="17"/>
      <c r="B449" s="18"/>
      <c r="C449" s="19"/>
      <c r="D449" s="55"/>
      <c r="E449" s="55"/>
      <c r="F449" s="56"/>
      <c r="G449" s="57" t="str">
        <f>IF(ISBLANK(C449),"",
   IFERROR(
      IF(
         INDEX(DB_materiali!C$2:C$5000,
               MATCH(C449, DB_materiali!A$2:A$5000, 0)
         )="FALSE",
         "N",
         "Y"
      ),
   "")
)</f>
        <v/>
      </c>
      <c r="H449" s="20"/>
      <c r="I449" s="20"/>
      <c r="J449" s="20"/>
      <c r="K449" s="20"/>
      <c r="M449" s="2" t="str">
        <f>IF(ISBLANK(C449),"",IF(IFERROR(VLOOKUP(C449,DB_materiali!$A$2:$A$5000,1,FALSE),"Kļūda artikulā")=C449,"✔",tulkojums!A$42))</f>
        <v/>
      </c>
      <c r="N449" s="2" t="str">
        <f>IF(ISBLANK(C449),"",IF(ISNUMBER(F449)=TRUE,"✔",tulkojums!A$43))</f>
        <v/>
      </c>
      <c r="O449" s="2" t="str">
        <f>IF(ISBLANK(C449),"",IF(G449="Y","✔",IF(G449="X","✔",IF(G449="N","✔",tulkojums!A$44))))</f>
        <v/>
      </c>
      <c r="P449" s="2" t="str">
        <f>IF(ISBLANK(H449),"",IF(INDEX(DB_materiali!$E$2:$E$5000,MATCH($C449,DB_materiali!$A$2:$A$5000,0))&gt;=INDEX(DB_malas!$C$2:$C$5000,MATCH(H449,DB_malas!$A$2:$A$5000,0)),IF(INDEX(DB_materiali!$E$2:$E$5000,MATCH($C449,DB_materiali!$A$2:$A$5000,0))&lt;=INDEX(DB_malas!$D$2:$D$5000,MATCH(H449,DB_malas!$A$2:$A$5000,0)),IF(OR(INDEX(DB_materiali!$B$2:$B$5000,MATCH($C449,DB_materiali!$A$2:$A$5000,0))=INDEX(DB_malas!$B$2:$B$5000,MATCH(H449,DB_malas!$A$2:$A$5000,0)),$H449="ORG"),"✔",tulkojums!$A$38),tulkojums!$A$39),tulkojums!$A$39))</f>
        <v/>
      </c>
      <c r="Q449" s="2" t="str">
        <f>IF(ISBLANK(I449),"",IF(INDEX(DB_materiali!$E$2:$E$5000,MATCH($C449,DB_materiali!$A$2:$A$5000,0))&gt;=INDEX(DB_malas!$C$2:$C$5000,MATCH(I449,DB_malas!$A$2:$A$5000,0)),IF(INDEX(DB_materiali!$E$2:$E$5000,MATCH($C449,DB_materiali!$A$2:$A$5000,0))&lt;=INDEX(DB_malas!$D$2:$D$5000,MATCH(I449,DB_malas!$A$2:$A$5000,0)),IF(OR(INDEX(DB_materiali!$B$2:$B$5000,MATCH($C449,DB_materiali!$A$2:$A$5000,0))=INDEX(DB_malas!$B$2:$B$5000,MATCH(I449,DB_malas!$A$2:$A$5000,0)),$H449="ORG"),"✔",tulkojums!$A$38),tulkojums!$A$39),tulkojums!$A$39))</f>
        <v/>
      </c>
      <c r="R449" s="2" t="str">
        <f>IF(ISBLANK(J449),"",IF(INDEX(DB_materiali!$E$2:$E$5000,MATCH($C449,DB_materiali!$A$2:$A$5000,0))&gt;=INDEX(DB_malas!$C$2:$C$5000,MATCH(J449,DB_malas!$A$2:$A$5000,0)),IF(INDEX(DB_materiali!$E$2:$E$5000,MATCH($C449,DB_materiali!$A$2:$A$5000,0))&lt;=INDEX(DB_malas!$D$2:$D$5000,MATCH(J449,DB_malas!$A$2:$A$5000,0)),IF(INDEX(DB_materiali!$B$2:$B$5000,MATCH($C449,DB_materiali!$A$2:$A$5000,0))=INDEX(DB_malas!$B$2:$B$5000,MATCH(J449,DB_malas!$A$2:$A$5000,0)),"✔",tulkojums!$A$38),tulkojums!$A$39),tulkojums!$A$39))</f>
        <v/>
      </c>
      <c r="S449" s="2" t="str">
        <f>IF(ISBLANK(K449),"",IF(INDEX(DB_materiali!$E$2:$E$5000,MATCH($C449,DB_materiali!$A$2:$A$5000,0))&gt;=INDEX(DB_malas!$C$2:$C$5000,MATCH(K449,DB_malas!$A$2:$A$5000,0)),IF(INDEX(DB_materiali!$E$2:$E$5000,MATCH($C449,DB_materiali!$A$2:$A$5000,0))&lt;=INDEX(DB_malas!$D$2:$D$5000,MATCH(K449,DB_malas!$A$2:$A$5000,0)),IF(INDEX(DB_materiali!$B$2:$B$5000,MATCH($C449,DB_materiali!$A$2:$A$5000,0))=INDEX(DB_malas!$B$2:$B$5000,MATCH(K449,DB_malas!$A$2:$A$5000,0)),"✔",tulkojums!$A$38),tulkojums!$A$39),tulkojums!$A$39))</f>
        <v/>
      </c>
      <c r="T449" s="2"/>
      <c r="U449" s="2"/>
      <c r="V449" s="2"/>
      <c r="W449" s="2"/>
      <c r="X449" s="2"/>
      <c r="Y449" s="2"/>
      <c r="Z449" s="2"/>
    </row>
    <row r="450" spans="1:26" ht="15.75" customHeight="1">
      <c r="A450" s="17"/>
      <c r="B450" s="18"/>
      <c r="C450" s="19"/>
      <c r="D450" s="55"/>
      <c r="E450" s="55"/>
      <c r="F450" s="56"/>
      <c r="G450" s="57" t="str">
        <f>IF(ISBLANK(C450),"",
   IFERROR(
      IF(
         INDEX(DB_materiali!C$2:C$5000,
               MATCH(C450, DB_materiali!A$2:A$5000, 0)
         )="FALSE",
         "N",
         "Y"
      ),
   "")
)</f>
        <v/>
      </c>
      <c r="H450" s="20"/>
      <c r="I450" s="20"/>
      <c r="J450" s="20"/>
      <c r="K450" s="20"/>
      <c r="M450" s="2" t="str">
        <f>IF(ISBLANK(C450),"",IF(IFERROR(VLOOKUP(C450,DB_materiali!$A$2:$A$5000,1,FALSE),"Kļūda artikulā")=C450,"✔",tulkojums!A$42))</f>
        <v/>
      </c>
      <c r="N450" s="2" t="str">
        <f>IF(ISBLANK(C450),"",IF(ISNUMBER(F450)=TRUE,"✔",tulkojums!A$43))</f>
        <v/>
      </c>
      <c r="O450" s="2" t="str">
        <f>IF(ISBLANK(C450),"",IF(G450="Y","✔",IF(G450="X","✔",IF(G450="N","✔",tulkojums!A$44))))</f>
        <v/>
      </c>
      <c r="P450" s="2" t="str">
        <f>IF(ISBLANK(H450),"",IF(INDEX(DB_materiali!$E$2:$E$5000,MATCH($C450,DB_materiali!$A$2:$A$5000,0))&gt;=INDEX(DB_malas!$C$2:$C$5000,MATCH(H450,DB_malas!$A$2:$A$5000,0)),IF(INDEX(DB_materiali!$E$2:$E$5000,MATCH($C450,DB_materiali!$A$2:$A$5000,0))&lt;=INDEX(DB_malas!$D$2:$D$5000,MATCH(H450,DB_malas!$A$2:$A$5000,0)),IF(OR(INDEX(DB_materiali!$B$2:$B$5000,MATCH($C450,DB_materiali!$A$2:$A$5000,0))=INDEX(DB_malas!$B$2:$B$5000,MATCH(H450,DB_malas!$A$2:$A$5000,0)),$H450="ORG"),"✔",tulkojums!$A$38),tulkojums!$A$39),tulkojums!$A$39))</f>
        <v/>
      </c>
      <c r="Q450" s="2" t="str">
        <f>IF(ISBLANK(I450),"",IF(INDEX(DB_materiali!$E$2:$E$5000,MATCH($C450,DB_materiali!$A$2:$A$5000,0))&gt;=INDEX(DB_malas!$C$2:$C$5000,MATCH(I450,DB_malas!$A$2:$A$5000,0)),IF(INDEX(DB_materiali!$E$2:$E$5000,MATCH($C450,DB_materiali!$A$2:$A$5000,0))&lt;=INDEX(DB_malas!$D$2:$D$5000,MATCH(I450,DB_malas!$A$2:$A$5000,0)),IF(OR(INDEX(DB_materiali!$B$2:$B$5000,MATCH($C450,DB_materiali!$A$2:$A$5000,0))=INDEX(DB_malas!$B$2:$B$5000,MATCH(I450,DB_malas!$A$2:$A$5000,0)),$H450="ORG"),"✔",tulkojums!$A$38),tulkojums!$A$39),tulkojums!$A$39))</f>
        <v/>
      </c>
      <c r="R450" s="2" t="str">
        <f>IF(ISBLANK(J450),"",IF(INDEX(DB_materiali!$E$2:$E$5000,MATCH($C450,DB_materiali!$A$2:$A$5000,0))&gt;=INDEX(DB_malas!$C$2:$C$5000,MATCH(J450,DB_malas!$A$2:$A$5000,0)),IF(INDEX(DB_materiali!$E$2:$E$5000,MATCH($C450,DB_materiali!$A$2:$A$5000,0))&lt;=INDEX(DB_malas!$D$2:$D$5000,MATCH(J450,DB_malas!$A$2:$A$5000,0)),IF(INDEX(DB_materiali!$B$2:$B$5000,MATCH($C450,DB_materiali!$A$2:$A$5000,0))=INDEX(DB_malas!$B$2:$B$5000,MATCH(J450,DB_malas!$A$2:$A$5000,0)),"✔",tulkojums!$A$38),tulkojums!$A$39),tulkojums!$A$39))</f>
        <v/>
      </c>
      <c r="S450" s="2" t="str">
        <f>IF(ISBLANK(K450),"",IF(INDEX(DB_materiali!$E$2:$E$5000,MATCH($C450,DB_materiali!$A$2:$A$5000,0))&gt;=INDEX(DB_malas!$C$2:$C$5000,MATCH(K450,DB_malas!$A$2:$A$5000,0)),IF(INDEX(DB_materiali!$E$2:$E$5000,MATCH($C450,DB_materiali!$A$2:$A$5000,0))&lt;=INDEX(DB_malas!$D$2:$D$5000,MATCH(K450,DB_malas!$A$2:$A$5000,0)),IF(INDEX(DB_materiali!$B$2:$B$5000,MATCH($C450,DB_materiali!$A$2:$A$5000,0))=INDEX(DB_malas!$B$2:$B$5000,MATCH(K450,DB_malas!$A$2:$A$5000,0)),"✔",tulkojums!$A$38),tulkojums!$A$39),tulkojums!$A$39))</f>
        <v/>
      </c>
      <c r="T450" s="2"/>
      <c r="U450" s="2"/>
      <c r="V450" s="2"/>
      <c r="W450" s="2"/>
      <c r="X450" s="2"/>
      <c r="Y450" s="2"/>
      <c r="Z450" s="2"/>
    </row>
    <row r="451" spans="1:26" ht="15.75" customHeight="1">
      <c r="A451" s="17"/>
      <c r="B451" s="18"/>
      <c r="C451" s="19"/>
      <c r="D451" s="55"/>
      <c r="E451" s="55"/>
      <c r="F451" s="56"/>
      <c r="G451" s="57" t="str">
        <f>IF(ISBLANK(C451),"",
   IFERROR(
      IF(
         INDEX(DB_materiali!C$2:C$5000,
               MATCH(C451, DB_materiali!A$2:A$5000, 0)
         )="FALSE",
         "N",
         "Y"
      ),
   "")
)</f>
        <v/>
      </c>
      <c r="H451" s="20"/>
      <c r="I451" s="20"/>
      <c r="J451" s="20"/>
      <c r="K451" s="20"/>
      <c r="M451" s="2" t="str">
        <f>IF(ISBLANK(C451),"",IF(IFERROR(VLOOKUP(C451,DB_materiali!$A$2:$A$5000,1,FALSE),"Kļūda artikulā")=C451,"✔",tulkojums!A$42))</f>
        <v/>
      </c>
      <c r="N451" s="2" t="str">
        <f>IF(ISBLANK(C451),"",IF(ISNUMBER(F451)=TRUE,"✔",tulkojums!A$43))</f>
        <v/>
      </c>
      <c r="O451" s="2" t="str">
        <f>IF(ISBLANK(C451),"",IF(G451="Y","✔",IF(G451="X","✔",IF(G451="N","✔",tulkojums!A$44))))</f>
        <v/>
      </c>
      <c r="P451" s="2" t="str">
        <f>IF(ISBLANK(H451),"",IF(INDEX(DB_materiali!$E$2:$E$5000,MATCH($C451,DB_materiali!$A$2:$A$5000,0))&gt;=INDEX(DB_malas!$C$2:$C$5000,MATCH(H451,DB_malas!$A$2:$A$5000,0)),IF(INDEX(DB_materiali!$E$2:$E$5000,MATCH($C451,DB_materiali!$A$2:$A$5000,0))&lt;=INDEX(DB_malas!$D$2:$D$5000,MATCH(H451,DB_malas!$A$2:$A$5000,0)),IF(OR(INDEX(DB_materiali!$B$2:$B$5000,MATCH($C451,DB_materiali!$A$2:$A$5000,0))=INDEX(DB_malas!$B$2:$B$5000,MATCH(H451,DB_malas!$A$2:$A$5000,0)),$H451="ORG"),"✔",tulkojums!$A$38),tulkojums!$A$39),tulkojums!$A$39))</f>
        <v/>
      </c>
      <c r="Q451" s="2" t="str">
        <f>IF(ISBLANK(I451),"",IF(INDEX(DB_materiali!$E$2:$E$5000,MATCH($C451,DB_materiali!$A$2:$A$5000,0))&gt;=INDEX(DB_malas!$C$2:$C$5000,MATCH(I451,DB_malas!$A$2:$A$5000,0)),IF(INDEX(DB_materiali!$E$2:$E$5000,MATCH($C451,DB_materiali!$A$2:$A$5000,0))&lt;=INDEX(DB_malas!$D$2:$D$5000,MATCH(I451,DB_malas!$A$2:$A$5000,0)),IF(OR(INDEX(DB_materiali!$B$2:$B$5000,MATCH($C451,DB_materiali!$A$2:$A$5000,0))=INDEX(DB_malas!$B$2:$B$5000,MATCH(I451,DB_malas!$A$2:$A$5000,0)),$H451="ORG"),"✔",tulkojums!$A$38),tulkojums!$A$39),tulkojums!$A$39))</f>
        <v/>
      </c>
      <c r="R451" s="2" t="str">
        <f>IF(ISBLANK(J451),"",IF(INDEX(DB_materiali!$E$2:$E$5000,MATCH($C451,DB_materiali!$A$2:$A$5000,0))&gt;=INDEX(DB_malas!$C$2:$C$5000,MATCH(J451,DB_malas!$A$2:$A$5000,0)),IF(INDEX(DB_materiali!$E$2:$E$5000,MATCH($C451,DB_materiali!$A$2:$A$5000,0))&lt;=INDEX(DB_malas!$D$2:$D$5000,MATCH(J451,DB_malas!$A$2:$A$5000,0)),IF(INDEX(DB_materiali!$B$2:$B$5000,MATCH($C451,DB_materiali!$A$2:$A$5000,0))=INDEX(DB_malas!$B$2:$B$5000,MATCH(J451,DB_malas!$A$2:$A$5000,0)),"✔",tulkojums!$A$38),tulkojums!$A$39),tulkojums!$A$39))</f>
        <v/>
      </c>
      <c r="S451" s="2" t="str">
        <f>IF(ISBLANK(K451),"",IF(INDEX(DB_materiali!$E$2:$E$5000,MATCH($C451,DB_materiali!$A$2:$A$5000,0))&gt;=INDEX(DB_malas!$C$2:$C$5000,MATCH(K451,DB_malas!$A$2:$A$5000,0)),IF(INDEX(DB_materiali!$E$2:$E$5000,MATCH($C451,DB_materiali!$A$2:$A$5000,0))&lt;=INDEX(DB_malas!$D$2:$D$5000,MATCH(K451,DB_malas!$A$2:$A$5000,0)),IF(INDEX(DB_materiali!$B$2:$B$5000,MATCH($C451,DB_materiali!$A$2:$A$5000,0))=INDEX(DB_malas!$B$2:$B$5000,MATCH(K451,DB_malas!$A$2:$A$5000,0)),"✔",tulkojums!$A$38),tulkojums!$A$39),tulkojums!$A$39))</f>
        <v/>
      </c>
      <c r="T451" s="2"/>
      <c r="U451" s="2"/>
      <c r="V451" s="2"/>
      <c r="W451" s="2"/>
      <c r="X451" s="2"/>
      <c r="Y451" s="2"/>
      <c r="Z451" s="2"/>
    </row>
    <row r="452" spans="1:26" ht="15.75" customHeight="1">
      <c r="A452" s="17"/>
      <c r="B452" s="18"/>
      <c r="C452" s="19"/>
      <c r="D452" s="55"/>
      <c r="E452" s="55"/>
      <c r="F452" s="56"/>
      <c r="G452" s="57" t="str">
        <f>IF(ISBLANK(C452),"",
   IFERROR(
      IF(
         INDEX(DB_materiali!C$2:C$5000,
               MATCH(C452, DB_materiali!A$2:A$5000, 0)
         )="FALSE",
         "N",
         "Y"
      ),
   "")
)</f>
        <v/>
      </c>
      <c r="H452" s="20"/>
      <c r="I452" s="20"/>
      <c r="J452" s="20"/>
      <c r="K452" s="20"/>
      <c r="M452" s="2" t="str">
        <f>IF(ISBLANK(C452),"",IF(IFERROR(VLOOKUP(C452,DB_materiali!$A$2:$A$5000,1,FALSE),"Kļūda artikulā")=C452,"✔",tulkojums!A$42))</f>
        <v/>
      </c>
      <c r="N452" s="2" t="str">
        <f>IF(ISBLANK(C452),"",IF(ISNUMBER(F452)=TRUE,"✔",tulkojums!A$43))</f>
        <v/>
      </c>
      <c r="O452" s="2" t="str">
        <f>IF(ISBLANK(C452),"",IF(G452="Y","✔",IF(G452="X","✔",IF(G452="N","✔",tulkojums!A$44))))</f>
        <v/>
      </c>
      <c r="P452" s="2" t="str">
        <f>IF(ISBLANK(H452),"",IF(INDEX(DB_materiali!$E$2:$E$5000,MATCH($C452,DB_materiali!$A$2:$A$5000,0))&gt;=INDEX(DB_malas!$C$2:$C$5000,MATCH(H452,DB_malas!$A$2:$A$5000,0)),IF(INDEX(DB_materiali!$E$2:$E$5000,MATCH($C452,DB_materiali!$A$2:$A$5000,0))&lt;=INDEX(DB_malas!$D$2:$D$5000,MATCH(H452,DB_malas!$A$2:$A$5000,0)),IF(OR(INDEX(DB_materiali!$B$2:$B$5000,MATCH($C452,DB_materiali!$A$2:$A$5000,0))=INDEX(DB_malas!$B$2:$B$5000,MATCH(H452,DB_malas!$A$2:$A$5000,0)),$H452="ORG"),"✔",tulkojums!$A$38),tulkojums!$A$39),tulkojums!$A$39))</f>
        <v/>
      </c>
      <c r="Q452" s="2" t="str">
        <f>IF(ISBLANK(I452),"",IF(INDEX(DB_materiali!$E$2:$E$5000,MATCH($C452,DB_materiali!$A$2:$A$5000,0))&gt;=INDEX(DB_malas!$C$2:$C$5000,MATCH(I452,DB_malas!$A$2:$A$5000,0)),IF(INDEX(DB_materiali!$E$2:$E$5000,MATCH($C452,DB_materiali!$A$2:$A$5000,0))&lt;=INDEX(DB_malas!$D$2:$D$5000,MATCH(I452,DB_malas!$A$2:$A$5000,0)),IF(OR(INDEX(DB_materiali!$B$2:$B$5000,MATCH($C452,DB_materiali!$A$2:$A$5000,0))=INDEX(DB_malas!$B$2:$B$5000,MATCH(I452,DB_malas!$A$2:$A$5000,0)),$H452="ORG"),"✔",tulkojums!$A$38),tulkojums!$A$39),tulkojums!$A$39))</f>
        <v/>
      </c>
      <c r="R452" s="2" t="str">
        <f>IF(ISBLANK(J452),"",IF(INDEX(DB_materiali!$E$2:$E$5000,MATCH($C452,DB_materiali!$A$2:$A$5000,0))&gt;=INDEX(DB_malas!$C$2:$C$5000,MATCH(J452,DB_malas!$A$2:$A$5000,0)),IF(INDEX(DB_materiali!$E$2:$E$5000,MATCH($C452,DB_materiali!$A$2:$A$5000,0))&lt;=INDEX(DB_malas!$D$2:$D$5000,MATCH(J452,DB_malas!$A$2:$A$5000,0)),IF(INDEX(DB_materiali!$B$2:$B$5000,MATCH($C452,DB_materiali!$A$2:$A$5000,0))=INDEX(DB_malas!$B$2:$B$5000,MATCH(J452,DB_malas!$A$2:$A$5000,0)),"✔",tulkojums!$A$38),tulkojums!$A$39),tulkojums!$A$39))</f>
        <v/>
      </c>
      <c r="S452" s="2" t="str">
        <f>IF(ISBLANK(K452),"",IF(INDEX(DB_materiali!$E$2:$E$5000,MATCH($C452,DB_materiali!$A$2:$A$5000,0))&gt;=INDEX(DB_malas!$C$2:$C$5000,MATCH(K452,DB_malas!$A$2:$A$5000,0)),IF(INDEX(DB_materiali!$E$2:$E$5000,MATCH($C452,DB_materiali!$A$2:$A$5000,0))&lt;=INDEX(DB_malas!$D$2:$D$5000,MATCH(K452,DB_malas!$A$2:$A$5000,0)),IF(INDEX(DB_materiali!$B$2:$B$5000,MATCH($C452,DB_materiali!$A$2:$A$5000,0))=INDEX(DB_malas!$B$2:$B$5000,MATCH(K452,DB_malas!$A$2:$A$5000,0)),"✔",tulkojums!$A$38),tulkojums!$A$39),tulkojums!$A$39))</f>
        <v/>
      </c>
      <c r="T452" s="2"/>
      <c r="U452" s="2"/>
      <c r="V452" s="2"/>
      <c r="W452" s="2"/>
      <c r="X452" s="2"/>
      <c r="Y452" s="2"/>
      <c r="Z452" s="2"/>
    </row>
    <row r="453" spans="1:26" ht="15.75" customHeight="1">
      <c r="A453" s="17"/>
      <c r="B453" s="18"/>
      <c r="C453" s="19"/>
      <c r="D453" s="55"/>
      <c r="E453" s="55"/>
      <c r="F453" s="56"/>
      <c r="G453" s="57" t="str">
        <f>IF(ISBLANK(C453),"",
   IFERROR(
      IF(
         INDEX(DB_materiali!C$2:C$5000,
               MATCH(C453, DB_materiali!A$2:A$5000, 0)
         )="FALSE",
         "N",
         "Y"
      ),
   "")
)</f>
        <v/>
      </c>
      <c r="H453" s="20"/>
      <c r="I453" s="20"/>
      <c r="J453" s="20"/>
      <c r="K453" s="20"/>
      <c r="M453" s="2" t="str">
        <f>IF(ISBLANK(C453),"",IF(IFERROR(VLOOKUP(C453,DB_materiali!$A$2:$A$5000,1,FALSE),"Kļūda artikulā")=C453,"✔",tulkojums!A$42))</f>
        <v/>
      </c>
      <c r="N453" s="2" t="str">
        <f>IF(ISBLANK(C453),"",IF(ISNUMBER(F453)=TRUE,"✔",tulkojums!A$43))</f>
        <v/>
      </c>
      <c r="O453" s="2" t="str">
        <f>IF(ISBLANK(C453),"",IF(G453="Y","✔",IF(G453="X","✔",IF(G453="N","✔",tulkojums!A$44))))</f>
        <v/>
      </c>
      <c r="P453" s="2" t="str">
        <f>IF(ISBLANK(H453),"",IF(INDEX(DB_materiali!$E$2:$E$5000,MATCH($C453,DB_materiali!$A$2:$A$5000,0))&gt;=INDEX(DB_malas!$C$2:$C$5000,MATCH(H453,DB_malas!$A$2:$A$5000,0)),IF(INDEX(DB_materiali!$E$2:$E$5000,MATCH($C453,DB_materiali!$A$2:$A$5000,0))&lt;=INDEX(DB_malas!$D$2:$D$5000,MATCH(H453,DB_malas!$A$2:$A$5000,0)),IF(OR(INDEX(DB_materiali!$B$2:$B$5000,MATCH($C453,DB_materiali!$A$2:$A$5000,0))=INDEX(DB_malas!$B$2:$B$5000,MATCH(H453,DB_malas!$A$2:$A$5000,0)),$H453="ORG"),"✔",tulkojums!$A$38),tulkojums!$A$39),tulkojums!$A$39))</f>
        <v/>
      </c>
      <c r="Q453" s="2" t="str">
        <f>IF(ISBLANK(I453),"",IF(INDEX(DB_materiali!$E$2:$E$5000,MATCH($C453,DB_materiali!$A$2:$A$5000,0))&gt;=INDEX(DB_malas!$C$2:$C$5000,MATCH(I453,DB_malas!$A$2:$A$5000,0)),IF(INDEX(DB_materiali!$E$2:$E$5000,MATCH($C453,DB_materiali!$A$2:$A$5000,0))&lt;=INDEX(DB_malas!$D$2:$D$5000,MATCH(I453,DB_malas!$A$2:$A$5000,0)),IF(OR(INDEX(DB_materiali!$B$2:$B$5000,MATCH($C453,DB_materiali!$A$2:$A$5000,0))=INDEX(DB_malas!$B$2:$B$5000,MATCH(I453,DB_malas!$A$2:$A$5000,0)),$H453="ORG"),"✔",tulkojums!$A$38),tulkojums!$A$39),tulkojums!$A$39))</f>
        <v/>
      </c>
      <c r="R453" s="2" t="str">
        <f>IF(ISBLANK(J453),"",IF(INDEX(DB_materiali!$E$2:$E$5000,MATCH($C453,DB_materiali!$A$2:$A$5000,0))&gt;=INDEX(DB_malas!$C$2:$C$5000,MATCH(J453,DB_malas!$A$2:$A$5000,0)),IF(INDEX(DB_materiali!$E$2:$E$5000,MATCH($C453,DB_materiali!$A$2:$A$5000,0))&lt;=INDEX(DB_malas!$D$2:$D$5000,MATCH(J453,DB_malas!$A$2:$A$5000,0)),IF(INDEX(DB_materiali!$B$2:$B$5000,MATCH($C453,DB_materiali!$A$2:$A$5000,0))=INDEX(DB_malas!$B$2:$B$5000,MATCH(J453,DB_malas!$A$2:$A$5000,0)),"✔",tulkojums!$A$38),tulkojums!$A$39),tulkojums!$A$39))</f>
        <v/>
      </c>
      <c r="S453" s="2" t="str">
        <f>IF(ISBLANK(K453),"",IF(INDEX(DB_materiali!$E$2:$E$5000,MATCH($C453,DB_materiali!$A$2:$A$5000,0))&gt;=INDEX(DB_malas!$C$2:$C$5000,MATCH(K453,DB_malas!$A$2:$A$5000,0)),IF(INDEX(DB_materiali!$E$2:$E$5000,MATCH($C453,DB_materiali!$A$2:$A$5000,0))&lt;=INDEX(DB_malas!$D$2:$D$5000,MATCH(K453,DB_malas!$A$2:$A$5000,0)),IF(INDEX(DB_materiali!$B$2:$B$5000,MATCH($C453,DB_materiali!$A$2:$A$5000,0))=INDEX(DB_malas!$B$2:$B$5000,MATCH(K453,DB_malas!$A$2:$A$5000,0)),"✔",tulkojums!$A$38),tulkojums!$A$39),tulkojums!$A$39))</f>
        <v/>
      </c>
      <c r="T453" s="2"/>
      <c r="U453" s="2"/>
      <c r="V453" s="2"/>
      <c r="W453" s="2"/>
      <c r="X453" s="2"/>
      <c r="Y453" s="2"/>
      <c r="Z453" s="2"/>
    </row>
    <row r="454" spans="1:26" ht="15.75" customHeight="1">
      <c r="A454" s="17"/>
      <c r="B454" s="18"/>
      <c r="C454" s="19"/>
      <c r="D454" s="55"/>
      <c r="E454" s="55"/>
      <c r="F454" s="56"/>
      <c r="G454" s="57" t="str">
        <f>IF(ISBLANK(C454),"",
   IFERROR(
      IF(
         INDEX(DB_materiali!C$2:C$5000,
               MATCH(C454, DB_materiali!A$2:A$5000, 0)
         )="FALSE",
         "N",
         "Y"
      ),
   "")
)</f>
        <v/>
      </c>
      <c r="H454" s="20"/>
      <c r="I454" s="20"/>
      <c r="J454" s="20"/>
      <c r="K454" s="20"/>
      <c r="M454" s="2" t="str">
        <f>IF(ISBLANK(C454),"",IF(IFERROR(VLOOKUP(C454,DB_materiali!$A$2:$A$5000,1,FALSE),"Kļūda artikulā")=C454,"✔",tulkojums!A$42))</f>
        <v/>
      </c>
      <c r="N454" s="2" t="str">
        <f>IF(ISBLANK(C454),"",IF(ISNUMBER(F454)=TRUE,"✔",tulkojums!A$43))</f>
        <v/>
      </c>
      <c r="O454" s="2" t="str">
        <f>IF(ISBLANK(C454),"",IF(G454="Y","✔",IF(G454="X","✔",IF(G454="N","✔",tulkojums!A$44))))</f>
        <v/>
      </c>
      <c r="P454" s="2" t="str">
        <f>IF(ISBLANK(H454),"",IF(INDEX(DB_materiali!$E$2:$E$5000,MATCH($C454,DB_materiali!$A$2:$A$5000,0))&gt;=INDEX(DB_malas!$C$2:$C$5000,MATCH(H454,DB_malas!$A$2:$A$5000,0)),IF(INDEX(DB_materiali!$E$2:$E$5000,MATCH($C454,DB_materiali!$A$2:$A$5000,0))&lt;=INDEX(DB_malas!$D$2:$D$5000,MATCH(H454,DB_malas!$A$2:$A$5000,0)),IF(OR(INDEX(DB_materiali!$B$2:$B$5000,MATCH($C454,DB_materiali!$A$2:$A$5000,0))=INDEX(DB_malas!$B$2:$B$5000,MATCH(H454,DB_malas!$A$2:$A$5000,0)),$H454="ORG"),"✔",tulkojums!$A$38),tulkojums!$A$39),tulkojums!$A$39))</f>
        <v/>
      </c>
      <c r="Q454" s="2" t="str">
        <f>IF(ISBLANK(I454),"",IF(INDEX(DB_materiali!$E$2:$E$5000,MATCH($C454,DB_materiali!$A$2:$A$5000,0))&gt;=INDEX(DB_malas!$C$2:$C$5000,MATCH(I454,DB_malas!$A$2:$A$5000,0)),IF(INDEX(DB_materiali!$E$2:$E$5000,MATCH($C454,DB_materiali!$A$2:$A$5000,0))&lt;=INDEX(DB_malas!$D$2:$D$5000,MATCH(I454,DB_malas!$A$2:$A$5000,0)),IF(OR(INDEX(DB_materiali!$B$2:$B$5000,MATCH($C454,DB_materiali!$A$2:$A$5000,0))=INDEX(DB_malas!$B$2:$B$5000,MATCH(I454,DB_malas!$A$2:$A$5000,0)),$H454="ORG"),"✔",tulkojums!$A$38),tulkojums!$A$39),tulkojums!$A$39))</f>
        <v/>
      </c>
      <c r="R454" s="2" t="str">
        <f>IF(ISBLANK(J454),"",IF(INDEX(DB_materiali!$E$2:$E$5000,MATCH($C454,DB_materiali!$A$2:$A$5000,0))&gt;=INDEX(DB_malas!$C$2:$C$5000,MATCH(J454,DB_malas!$A$2:$A$5000,0)),IF(INDEX(DB_materiali!$E$2:$E$5000,MATCH($C454,DB_materiali!$A$2:$A$5000,0))&lt;=INDEX(DB_malas!$D$2:$D$5000,MATCH(J454,DB_malas!$A$2:$A$5000,0)),IF(INDEX(DB_materiali!$B$2:$B$5000,MATCH($C454,DB_materiali!$A$2:$A$5000,0))=INDEX(DB_malas!$B$2:$B$5000,MATCH(J454,DB_malas!$A$2:$A$5000,0)),"✔",tulkojums!$A$38),tulkojums!$A$39),tulkojums!$A$39))</f>
        <v/>
      </c>
      <c r="S454" s="2" t="str">
        <f>IF(ISBLANK(K454),"",IF(INDEX(DB_materiali!$E$2:$E$5000,MATCH($C454,DB_materiali!$A$2:$A$5000,0))&gt;=INDEX(DB_malas!$C$2:$C$5000,MATCH(K454,DB_malas!$A$2:$A$5000,0)),IF(INDEX(DB_materiali!$E$2:$E$5000,MATCH($C454,DB_materiali!$A$2:$A$5000,0))&lt;=INDEX(DB_malas!$D$2:$D$5000,MATCH(K454,DB_malas!$A$2:$A$5000,0)),IF(INDEX(DB_materiali!$B$2:$B$5000,MATCH($C454,DB_materiali!$A$2:$A$5000,0))=INDEX(DB_malas!$B$2:$B$5000,MATCH(K454,DB_malas!$A$2:$A$5000,0)),"✔",tulkojums!$A$38),tulkojums!$A$39),tulkojums!$A$39))</f>
        <v/>
      </c>
      <c r="T454" s="2"/>
      <c r="U454" s="2"/>
      <c r="V454" s="2"/>
      <c r="W454" s="2"/>
      <c r="X454" s="2"/>
      <c r="Y454" s="2"/>
      <c r="Z454" s="2"/>
    </row>
    <row r="455" spans="1:26" ht="15.75" customHeight="1">
      <c r="A455" s="17"/>
      <c r="B455" s="18"/>
      <c r="C455" s="19"/>
      <c r="D455" s="55"/>
      <c r="E455" s="55"/>
      <c r="F455" s="56"/>
      <c r="G455" s="57" t="str">
        <f>IF(ISBLANK(C455),"",
   IFERROR(
      IF(
         INDEX(DB_materiali!C$2:C$5000,
               MATCH(C455, DB_materiali!A$2:A$5000, 0)
         )="FALSE",
         "N",
         "Y"
      ),
   "")
)</f>
        <v/>
      </c>
      <c r="H455" s="20"/>
      <c r="I455" s="20"/>
      <c r="J455" s="20"/>
      <c r="K455" s="20"/>
      <c r="M455" s="2" t="str">
        <f>IF(ISBLANK(C455),"",IF(IFERROR(VLOOKUP(C455,DB_materiali!$A$2:$A$5000,1,FALSE),"Kļūda artikulā")=C455,"✔",tulkojums!A$42))</f>
        <v/>
      </c>
      <c r="N455" s="2" t="str">
        <f>IF(ISBLANK(C455),"",IF(ISNUMBER(F455)=TRUE,"✔",tulkojums!A$43))</f>
        <v/>
      </c>
      <c r="O455" s="2" t="str">
        <f>IF(ISBLANK(C455),"",IF(G455="Y","✔",IF(G455="X","✔",IF(G455="N","✔",tulkojums!A$44))))</f>
        <v/>
      </c>
      <c r="P455" s="2" t="str">
        <f>IF(ISBLANK(H455),"",IF(INDEX(DB_materiali!$E$2:$E$5000,MATCH($C455,DB_materiali!$A$2:$A$5000,0))&gt;=INDEX(DB_malas!$C$2:$C$5000,MATCH(H455,DB_malas!$A$2:$A$5000,0)),IF(INDEX(DB_materiali!$E$2:$E$5000,MATCH($C455,DB_materiali!$A$2:$A$5000,0))&lt;=INDEX(DB_malas!$D$2:$D$5000,MATCH(H455,DB_malas!$A$2:$A$5000,0)),IF(OR(INDEX(DB_materiali!$B$2:$B$5000,MATCH($C455,DB_materiali!$A$2:$A$5000,0))=INDEX(DB_malas!$B$2:$B$5000,MATCH(H455,DB_malas!$A$2:$A$5000,0)),$H455="ORG"),"✔",tulkojums!$A$38),tulkojums!$A$39),tulkojums!$A$39))</f>
        <v/>
      </c>
      <c r="Q455" s="2" t="str">
        <f>IF(ISBLANK(I455),"",IF(INDEX(DB_materiali!$E$2:$E$5000,MATCH($C455,DB_materiali!$A$2:$A$5000,0))&gt;=INDEX(DB_malas!$C$2:$C$5000,MATCH(I455,DB_malas!$A$2:$A$5000,0)),IF(INDEX(DB_materiali!$E$2:$E$5000,MATCH($C455,DB_materiali!$A$2:$A$5000,0))&lt;=INDEX(DB_malas!$D$2:$D$5000,MATCH(I455,DB_malas!$A$2:$A$5000,0)),IF(OR(INDEX(DB_materiali!$B$2:$B$5000,MATCH($C455,DB_materiali!$A$2:$A$5000,0))=INDEX(DB_malas!$B$2:$B$5000,MATCH(I455,DB_malas!$A$2:$A$5000,0)),$H455="ORG"),"✔",tulkojums!$A$38),tulkojums!$A$39),tulkojums!$A$39))</f>
        <v/>
      </c>
      <c r="R455" s="2" t="str">
        <f>IF(ISBLANK(J455),"",IF(INDEX(DB_materiali!$E$2:$E$5000,MATCH($C455,DB_materiali!$A$2:$A$5000,0))&gt;=INDEX(DB_malas!$C$2:$C$5000,MATCH(J455,DB_malas!$A$2:$A$5000,0)),IF(INDEX(DB_materiali!$E$2:$E$5000,MATCH($C455,DB_materiali!$A$2:$A$5000,0))&lt;=INDEX(DB_malas!$D$2:$D$5000,MATCH(J455,DB_malas!$A$2:$A$5000,0)),IF(INDEX(DB_materiali!$B$2:$B$5000,MATCH($C455,DB_materiali!$A$2:$A$5000,0))=INDEX(DB_malas!$B$2:$B$5000,MATCH(J455,DB_malas!$A$2:$A$5000,0)),"✔",tulkojums!$A$38),tulkojums!$A$39),tulkojums!$A$39))</f>
        <v/>
      </c>
      <c r="S455" s="2" t="str">
        <f>IF(ISBLANK(K455),"",IF(INDEX(DB_materiali!$E$2:$E$5000,MATCH($C455,DB_materiali!$A$2:$A$5000,0))&gt;=INDEX(DB_malas!$C$2:$C$5000,MATCH(K455,DB_malas!$A$2:$A$5000,0)),IF(INDEX(DB_materiali!$E$2:$E$5000,MATCH($C455,DB_materiali!$A$2:$A$5000,0))&lt;=INDEX(DB_malas!$D$2:$D$5000,MATCH(K455,DB_malas!$A$2:$A$5000,0)),IF(INDEX(DB_materiali!$B$2:$B$5000,MATCH($C455,DB_materiali!$A$2:$A$5000,0))=INDEX(DB_malas!$B$2:$B$5000,MATCH(K455,DB_malas!$A$2:$A$5000,0)),"✔",tulkojums!$A$38),tulkojums!$A$39),tulkojums!$A$39))</f>
        <v/>
      </c>
      <c r="T455" s="2"/>
      <c r="U455" s="2"/>
      <c r="V455" s="2"/>
      <c r="W455" s="2"/>
      <c r="X455" s="2"/>
      <c r="Y455" s="2"/>
      <c r="Z455" s="2"/>
    </row>
    <row r="456" spans="1:26" ht="15.75" customHeight="1">
      <c r="A456" s="17"/>
      <c r="B456" s="18"/>
      <c r="C456" s="19"/>
      <c r="D456" s="55"/>
      <c r="E456" s="55"/>
      <c r="F456" s="56"/>
      <c r="G456" s="57" t="str">
        <f>IF(ISBLANK(C456),"",
   IFERROR(
      IF(
         INDEX(DB_materiali!C$2:C$5000,
               MATCH(C456, DB_materiali!A$2:A$5000, 0)
         )="FALSE",
         "N",
         "Y"
      ),
   "")
)</f>
        <v/>
      </c>
      <c r="H456" s="20"/>
      <c r="I456" s="20"/>
      <c r="J456" s="20"/>
      <c r="K456" s="20"/>
      <c r="M456" s="2" t="str">
        <f>IF(ISBLANK(C456),"",IF(IFERROR(VLOOKUP(C456,DB_materiali!$A$2:$A$5000,1,FALSE),"Kļūda artikulā")=C456,"✔",tulkojums!A$42))</f>
        <v/>
      </c>
      <c r="N456" s="2" t="str">
        <f>IF(ISBLANK(C456),"",IF(ISNUMBER(F456)=TRUE,"✔",tulkojums!A$43))</f>
        <v/>
      </c>
      <c r="O456" s="2" t="str">
        <f>IF(ISBLANK(C456),"",IF(G456="Y","✔",IF(G456="X","✔",IF(G456="N","✔",tulkojums!A$44))))</f>
        <v/>
      </c>
      <c r="P456" s="2" t="str">
        <f>IF(ISBLANK(H456),"",IF(INDEX(DB_materiali!$E$2:$E$5000,MATCH($C456,DB_materiali!$A$2:$A$5000,0))&gt;=INDEX(DB_malas!$C$2:$C$5000,MATCH(H456,DB_malas!$A$2:$A$5000,0)),IF(INDEX(DB_materiali!$E$2:$E$5000,MATCH($C456,DB_materiali!$A$2:$A$5000,0))&lt;=INDEX(DB_malas!$D$2:$D$5000,MATCH(H456,DB_malas!$A$2:$A$5000,0)),IF(OR(INDEX(DB_materiali!$B$2:$B$5000,MATCH($C456,DB_materiali!$A$2:$A$5000,0))=INDEX(DB_malas!$B$2:$B$5000,MATCH(H456,DB_malas!$A$2:$A$5000,0)),$H456="ORG"),"✔",tulkojums!$A$38),tulkojums!$A$39),tulkojums!$A$39))</f>
        <v/>
      </c>
      <c r="Q456" s="2" t="str">
        <f>IF(ISBLANK(I456),"",IF(INDEX(DB_materiali!$E$2:$E$5000,MATCH($C456,DB_materiali!$A$2:$A$5000,0))&gt;=INDEX(DB_malas!$C$2:$C$5000,MATCH(I456,DB_malas!$A$2:$A$5000,0)),IF(INDEX(DB_materiali!$E$2:$E$5000,MATCH($C456,DB_materiali!$A$2:$A$5000,0))&lt;=INDEX(DB_malas!$D$2:$D$5000,MATCH(I456,DB_malas!$A$2:$A$5000,0)),IF(OR(INDEX(DB_materiali!$B$2:$B$5000,MATCH($C456,DB_materiali!$A$2:$A$5000,0))=INDEX(DB_malas!$B$2:$B$5000,MATCH(I456,DB_malas!$A$2:$A$5000,0)),$H456="ORG"),"✔",tulkojums!$A$38),tulkojums!$A$39),tulkojums!$A$39))</f>
        <v/>
      </c>
      <c r="R456" s="2" t="str">
        <f>IF(ISBLANK(J456),"",IF(INDEX(DB_materiali!$E$2:$E$5000,MATCH($C456,DB_materiali!$A$2:$A$5000,0))&gt;=INDEX(DB_malas!$C$2:$C$5000,MATCH(J456,DB_malas!$A$2:$A$5000,0)),IF(INDEX(DB_materiali!$E$2:$E$5000,MATCH($C456,DB_materiali!$A$2:$A$5000,0))&lt;=INDEX(DB_malas!$D$2:$D$5000,MATCH(J456,DB_malas!$A$2:$A$5000,0)),IF(INDEX(DB_materiali!$B$2:$B$5000,MATCH($C456,DB_materiali!$A$2:$A$5000,0))=INDEX(DB_malas!$B$2:$B$5000,MATCH(J456,DB_malas!$A$2:$A$5000,0)),"✔",tulkojums!$A$38),tulkojums!$A$39),tulkojums!$A$39))</f>
        <v/>
      </c>
      <c r="S456" s="2" t="str">
        <f>IF(ISBLANK(K456),"",IF(INDEX(DB_materiali!$E$2:$E$5000,MATCH($C456,DB_materiali!$A$2:$A$5000,0))&gt;=INDEX(DB_malas!$C$2:$C$5000,MATCH(K456,DB_malas!$A$2:$A$5000,0)),IF(INDEX(DB_materiali!$E$2:$E$5000,MATCH($C456,DB_materiali!$A$2:$A$5000,0))&lt;=INDEX(DB_malas!$D$2:$D$5000,MATCH(K456,DB_malas!$A$2:$A$5000,0)),IF(INDEX(DB_materiali!$B$2:$B$5000,MATCH($C456,DB_materiali!$A$2:$A$5000,0))=INDEX(DB_malas!$B$2:$B$5000,MATCH(K456,DB_malas!$A$2:$A$5000,0)),"✔",tulkojums!$A$38),tulkojums!$A$39),tulkojums!$A$39))</f>
        <v/>
      </c>
      <c r="T456" s="2"/>
      <c r="U456" s="2"/>
      <c r="V456" s="2"/>
      <c r="W456" s="2"/>
      <c r="X456" s="2"/>
      <c r="Y456" s="2"/>
      <c r="Z456" s="2"/>
    </row>
    <row r="457" spans="1:26" ht="15.75" customHeight="1">
      <c r="A457" s="17"/>
      <c r="B457" s="18"/>
      <c r="C457" s="19"/>
      <c r="D457" s="55"/>
      <c r="E457" s="55"/>
      <c r="F457" s="56"/>
      <c r="G457" s="57" t="str">
        <f>IF(ISBLANK(C457),"",
   IFERROR(
      IF(
         INDEX(DB_materiali!C$2:C$5000,
               MATCH(C457, DB_materiali!A$2:A$5000, 0)
         )="FALSE",
         "N",
         "Y"
      ),
   "")
)</f>
        <v/>
      </c>
      <c r="H457" s="20"/>
      <c r="I457" s="20"/>
      <c r="J457" s="20"/>
      <c r="K457" s="20"/>
      <c r="M457" s="2" t="str">
        <f>IF(ISBLANK(C457),"",IF(IFERROR(VLOOKUP(C457,DB_materiali!$A$2:$A$5000,1,FALSE),"Kļūda artikulā")=C457,"✔",tulkojums!A$42))</f>
        <v/>
      </c>
      <c r="N457" s="2" t="str">
        <f>IF(ISBLANK(C457),"",IF(ISNUMBER(F457)=TRUE,"✔",tulkojums!A$43))</f>
        <v/>
      </c>
      <c r="O457" s="2" t="str">
        <f>IF(ISBLANK(C457),"",IF(G457="Y","✔",IF(G457="X","✔",IF(G457="N","✔",tulkojums!A$44))))</f>
        <v/>
      </c>
      <c r="P457" s="2" t="str">
        <f>IF(ISBLANK(H457),"",IF(INDEX(DB_materiali!$E$2:$E$5000,MATCH($C457,DB_materiali!$A$2:$A$5000,0))&gt;=INDEX(DB_malas!$C$2:$C$5000,MATCH(H457,DB_malas!$A$2:$A$5000,0)),IF(INDEX(DB_materiali!$E$2:$E$5000,MATCH($C457,DB_materiali!$A$2:$A$5000,0))&lt;=INDEX(DB_malas!$D$2:$D$5000,MATCH(H457,DB_malas!$A$2:$A$5000,0)),IF(OR(INDEX(DB_materiali!$B$2:$B$5000,MATCH($C457,DB_materiali!$A$2:$A$5000,0))=INDEX(DB_malas!$B$2:$B$5000,MATCH(H457,DB_malas!$A$2:$A$5000,0)),$H457="ORG"),"✔",tulkojums!$A$38),tulkojums!$A$39),tulkojums!$A$39))</f>
        <v/>
      </c>
      <c r="Q457" s="2" t="str">
        <f>IF(ISBLANK(I457),"",IF(INDEX(DB_materiali!$E$2:$E$5000,MATCH($C457,DB_materiali!$A$2:$A$5000,0))&gt;=INDEX(DB_malas!$C$2:$C$5000,MATCH(I457,DB_malas!$A$2:$A$5000,0)),IF(INDEX(DB_materiali!$E$2:$E$5000,MATCH($C457,DB_materiali!$A$2:$A$5000,0))&lt;=INDEX(DB_malas!$D$2:$D$5000,MATCH(I457,DB_malas!$A$2:$A$5000,0)),IF(OR(INDEX(DB_materiali!$B$2:$B$5000,MATCH($C457,DB_materiali!$A$2:$A$5000,0))=INDEX(DB_malas!$B$2:$B$5000,MATCH(I457,DB_malas!$A$2:$A$5000,0)),$H457="ORG"),"✔",tulkojums!$A$38),tulkojums!$A$39),tulkojums!$A$39))</f>
        <v/>
      </c>
      <c r="R457" s="2" t="str">
        <f>IF(ISBLANK(J457),"",IF(INDEX(DB_materiali!$E$2:$E$5000,MATCH($C457,DB_materiali!$A$2:$A$5000,0))&gt;=INDEX(DB_malas!$C$2:$C$5000,MATCH(J457,DB_malas!$A$2:$A$5000,0)),IF(INDEX(DB_materiali!$E$2:$E$5000,MATCH($C457,DB_materiali!$A$2:$A$5000,0))&lt;=INDEX(DB_malas!$D$2:$D$5000,MATCH(J457,DB_malas!$A$2:$A$5000,0)),IF(INDEX(DB_materiali!$B$2:$B$5000,MATCH($C457,DB_materiali!$A$2:$A$5000,0))=INDEX(DB_malas!$B$2:$B$5000,MATCH(J457,DB_malas!$A$2:$A$5000,0)),"✔",tulkojums!$A$38),tulkojums!$A$39),tulkojums!$A$39))</f>
        <v/>
      </c>
      <c r="S457" s="2" t="str">
        <f>IF(ISBLANK(K457),"",IF(INDEX(DB_materiali!$E$2:$E$5000,MATCH($C457,DB_materiali!$A$2:$A$5000,0))&gt;=INDEX(DB_malas!$C$2:$C$5000,MATCH(K457,DB_malas!$A$2:$A$5000,0)),IF(INDEX(DB_materiali!$E$2:$E$5000,MATCH($C457,DB_materiali!$A$2:$A$5000,0))&lt;=INDEX(DB_malas!$D$2:$D$5000,MATCH(K457,DB_malas!$A$2:$A$5000,0)),IF(INDEX(DB_materiali!$B$2:$B$5000,MATCH($C457,DB_materiali!$A$2:$A$5000,0))=INDEX(DB_malas!$B$2:$B$5000,MATCH(K457,DB_malas!$A$2:$A$5000,0)),"✔",tulkojums!$A$38),tulkojums!$A$39),tulkojums!$A$39))</f>
        <v/>
      </c>
      <c r="T457" s="2"/>
      <c r="U457" s="2"/>
      <c r="V457" s="2"/>
      <c r="W457" s="2"/>
      <c r="X457" s="2"/>
      <c r="Y457" s="2"/>
      <c r="Z457" s="2"/>
    </row>
    <row r="458" spans="1:26" ht="15.75" customHeight="1">
      <c r="A458" s="17"/>
      <c r="B458" s="18"/>
      <c r="C458" s="19"/>
      <c r="D458" s="55"/>
      <c r="E458" s="55"/>
      <c r="F458" s="56"/>
      <c r="G458" s="57" t="str">
        <f>IF(ISBLANK(C458),"",
   IFERROR(
      IF(
         INDEX(DB_materiali!C$2:C$5000,
               MATCH(C458, DB_materiali!A$2:A$5000, 0)
         )="FALSE",
         "N",
         "Y"
      ),
   "")
)</f>
        <v/>
      </c>
      <c r="H458" s="20"/>
      <c r="I458" s="20"/>
      <c r="J458" s="20"/>
      <c r="K458" s="20"/>
      <c r="M458" s="2" t="str">
        <f>IF(ISBLANK(C458),"",IF(IFERROR(VLOOKUP(C458,DB_materiali!$A$2:$A$5000,1,FALSE),"Kļūda artikulā")=C458,"✔",tulkojums!A$42))</f>
        <v/>
      </c>
      <c r="N458" s="2" t="str">
        <f>IF(ISBLANK(C458),"",IF(ISNUMBER(F458)=TRUE,"✔",tulkojums!A$43))</f>
        <v/>
      </c>
      <c r="O458" s="2" t="str">
        <f>IF(ISBLANK(C458),"",IF(G458="Y","✔",IF(G458="X","✔",IF(G458="N","✔",tulkojums!A$44))))</f>
        <v/>
      </c>
      <c r="P458" s="2" t="str">
        <f>IF(ISBLANK(H458),"",IF(INDEX(DB_materiali!$E$2:$E$5000,MATCH($C458,DB_materiali!$A$2:$A$5000,0))&gt;=INDEX(DB_malas!$C$2:$C$5000,MATCH(H458,DB_malas!$A$2:$A$5000,0)),IF(INDEX(DB_materiali!$E$2:$E$5000,MATCH($C458,DB_materiali!$A$2:$A$5000,0))&lt;=INDEX(DB_malas!$D$2:$D$5000,MATCH(H458,DB_malas!$A$2:$A$5000,0)),IF(OR(INDEX(DB_materiali!$B$2:$B$5000,MATCH($C458,DB_materiali!$A$2:$A$5000,0))=INDEX(DB_malas!$B$2:$B$5000,MATCH(H458,DB_malas!$A$2:$A$5000,0)),$H458="ORG"),"✔",tulkojums!$A$38),tulkojums!$A$39),tulkojums!$A$39))</f>
        <v/>
      </c>
      <c r="Q458" s="2" t="str">
        <f>IF(ISBLANK(I458),"",IF(INDEX(DB_materiali!$E$2:$E$5000,MATCH($C458,DB_materiali!$A$2:$A$5000,0))&gt;=INDEX(DB_malas!$C$2:$C$5000,MATCH(I458,DB_malas!$A$2:$A$5000,0)),IF(INDEX(DB_materiali!$E$2:$E$5000,MATCH($C458,DB_materiali!$A$2:$A$5000,0))&lt;=INDEX(DB_malas!$D$2:$D$5000,MATCH(I458,DB_malas!$A$2:$A$5000,0)),IF(OR(INDEX(DB_materiali!$B$2:$B$5000,MATCH($C458,DB_materiali!$A$2:$A$5000,0))=INDEX(DB_malas!$B$2:$B$5000,MATCH(I458,DB_malas!$A$2:$A$5000,0)),$H458="ORG"),"✔",tulkojums!$A$38),tulkojums!$A$39),tulkojums!$A$39))</f>
        <v/>
      </c>
      <c r="R458" s="2" t="str">
        <f>IF(ISBLANK(J458),"",IF(INDEX(DB_materiali!$E$2:$E$5000,MATCH($C458,DB_materiali!$A$2:$A$5000,0))&gt;=INDEX(DB_malas!$C$2:$C$5000,MATCH(J458,DB_malas!$A$2:$A$5000,0)),IF(INDEX(DB_materiali!$E$2:$E$5000,MATCH($C458,DB_materiali!$A$2:$A$5000,0))&lt;=INDEX(DB_malas!$D$2:$D$5000,MATCH(J458,DB_malas!$A$2:$A$5000,0)),IF(INDEX(DB_materiali!$B$2:$B$5000,MATCH($C458,DB_materiali!$A$2:$A$5000,0))=INDEX(DB_malas!$B$2:$B$5000,MATCH(J458,DB_malas!$A$2:$A$5000,0)),"✔",tulkojums!$A$38),tulkojums!$A$39),tulkojums!$A$39))</f>
        <v/>
      </c>
      <c r="S458" s="2" t="str">
        <f>IF(ISBLANK(K458),"",IF(INDEX(DB_materiali!$E$2:$E$5000,MATCH($C458,DB_materiali!$A$2:$A$5000,0))&gt;=INDEX(DB_malas!$C$2:$C$5000,MATCH(K458,DB_malas!$A$2:$A$5000,0)),IF(INDEX(DB_materiali!$E$2:$E$5000,MATCH($C458,DB_materiali!$A$2:$A$5000,0))&lt;=INDEX(DB_malas!$D$2:$D$5000,MATCH(K458,DB_malas!$A$2:$A$5000,0)),IF(INDEX(DB_materiali!$B$2:$B$5000,MATCH($C458,DB_materiali!$A$2:$A$5000,0))=INDEX(DB_malas!$B$2:$B$5000,MATCH(K458,DB_malas!$A$2:$A$5000,0)),"✔",tulkojums!$A$38),tulkojums!$A$39),tulkojums!$A$39))</f>
        <v/>
      </c>
      <c r="T458" s="2"/>
      <c r="U458" s="2"/>
      <c r="V458" s="2"/>
      <c r="W458" s="2"/>
      <c r="X458" s="2"/>
      <c r="Y458" s="2"/>
      <c r="Z458" s="2"/>
    </row>
    <row r="459" spans="1:26" ht="15.75" customHeight="1">
      <c r="A459" s="17"/>
      <c r="B459" s="18"/>
      <c r="C459" s="19"/>
      <c r="D459" s="55"/>
      <c r="E459" s="55"/>
      <c r="F459" s="56"/>
      <c r="G459" s="57" t="str">
        <f>IF(ISBLANK(C459),"",
   IFERROR(
      IF(
         INDEX(DB_materiali!C$2:C$5000,
               MATCH(C459, DB_materiali!A$2:A$5000, 0)
         )="FALSE",
         "N",
         "Y"
      ),
   "")
)</f>
        <v/>
      </c>
      <c r="H459" s="20"/>
      <c r="I459" s="20"/>
      <c r="J459" s="20"/>
      <c r="K459" s="20"/>
      <c r="M459" s="2" t="str">
        <f>IF(ISBLANK(C459),"",IF(IFERROR(VLOOKUP(C459,DB_materiali!$A$2:$A$5000,1,FALSE),"Kļūda artikulā")=C459,"✔",tulkojums!A$42))</f>
        <v/>
      </c>
      <c r="N459" s="2" t="str">
        <f>IF(ISBLANK(C459),"",IF(ISNUMBER(F459)=TRUE,"✔",tulkojums!A$43))</f>
        <v/>
      </c>
      <c r="O459" s="2" t="str">
        <f>IF(ISBLANK(C459),"",IF(G459="Y","✔",IF(G459="X","✔",IF(G459="N","✔",tulkojums!A$44))))</f>
        <v/>
      </c>
      <c r="P459" s="2" t="str">
        <f>IF(ISBLANK(H459),"",IF(INDEX(DB_materiali!$E$2:$E$5000,MATCH($C459,DB_materiali!$A$2:$A$5000,0))&gt;=INDEX(DB_malas!$C$2:$C$5000,MATCH(H459,DB_malas!$A$2:$A$5000,0)),IF(INDEX(DB_materiali!$E$2:$E$5000,MATCH($C459,DB_materiali!$A$2:$A$5000,0))&lt;=INDEX(DB_malas!$D$2:$D$5000,MATCH(H459,DB_malas!$A$2:$A$5000,0)),IF(OR(INDEX(DB_materiali!$B$2:$B$5000,MATCH($C459,DB_materiali!$A$2:$A$5000,0))=INDEX(DB_malas!$B$2:$B$5000,MATCH(H459,DB_malas!$A$2:$A$5000,0)),$H459="ORG"),"✔",tulkojums!$A$38),tulkojums!$A$39),tulkojums!$A$39))</f>
        <v/>
      </c>
      <c r="Q459" s="2" t="str">
        <f>IF(ISBLANK(I459),"",IF(INDEX(DB_materiali!$E$2:$E$5000,MATCH($C459,DB_materiali!$A$2:$A$5000,0))&gt;=INDEX(DB_malas!$C$2:$C$5000,MATCH(I459,DB_malas!$A$2:$A$5000,0)),IF(INDEX(DB_materiali!$E$2:$E$5000,MATCH($C459,DB_materiali!$A$2:$A$5000,0))&lt;=INDEX(DB_malas!$D$2:$D$5000,MATCH(I459,DB_malas!$A$2:$A$5000,0)),IF(OR(INDEX(DB_materiali!$B$2:$B$5000,MATCH($C459,DB_materiali!$A$2:$A$5000,0))=INDEX(DB_malas!$B$2:$B$5000,MATCH(I459,DB_malas!$A$2:$A$5000,0)),$H459="ORG"),"✔",tulkojums!$A$38),tulkojums!$A$39),tulkojums!$A$39))</f>
        <v/>
      </c>
      <c r="R459" s="2" t="str">
        <f>IF(ISBLANK(J459),"",IF(INDEX(DB_materiali!$E$2:$E$5000,MATCH($C459,DB_materiali!$A$2:$A$5000,0))&gt;=INDEX(DB_malas!$C$2:$C$5000,MATCH(J459,DB_malas!$A$2:$A$5000,0)),IF(INDEX(DB_materiali!$E$2:$E$5000,MATCH($C459,DB_materiali!$A$2:$A$5000,0))&lt;=INDEX(DB_malas!$D$2:$D$5000,MATCH(J459,DB_malas!$A$2:$A$5000,0)),IF(INDEX(DB_materiali!$B$2:$B$5000,MATCH($C459,DB_materiali!$A$2:$A$5000,0))=INDEX(DB_malas!$B$2:$B$5000,MATCH(J459,DB_malas!$A$2:$A$5000,0)),"✔",tulkojums!$A$38),tulkojums!$A$39),tulkojums!$A$39))</f>
        <v/>
      </c>
      <c r="S459" s="2" t="str">
        <f>IF(ISBLANK(K459),"",IF(INDEX(DB_materiali!$E$2:$E$5000,MATCH($C459,DB_materiali!$A$2:$A$5000,0))&gt;=INDEX(DB_malas!$C$2:$C$5000,MATCH(K459,DB_malas!$A$2:$A$5000,0)),IF(INDEX(DB_materiali!$E$2:$E$5000,MATCH($C459,DB_materiali!$A$2:$A$5000,0))&lt;=INDEX(DB_malas!$D$2:$D$5000,MATCH(K459,DB_malas!$A$2:$A$5000,0)),IF(INDEX(DB_materiali!$B$2:$B$5000,MATCH($C459,DB_materiali!$A$2:$A$5000,0))=INDEX(DB_malas!$B$2:$B$5000,MATCH(K459,DB_malas!$A$2:$A$5000,0)),"✔",tulkojums!$A$38),tulkojums!$A$39),tulkojums!$A$39))</f>
        <v/>
      </c>
      <c r="T459" s="2"/>
      <c r="U459" s="2"/>
      <c r="V459" s="2"/>
      <c r="W459" s="2"/>
      <c r="X459" s="2"/>
      <c r="Y459" s="2"/>
      <c r="Z459" s="2"/>
    </row>
    <row r="460" spans="1:26" ht="15.75" customHeight="1">
      <c r="A460" s="17"/>
      <c r="B460" s="18"/>
      <c r="C460" s="19"/>
      <c r="D460" s="55"/>
      <c r="E460" s="55"/>
      <c r="F460" s="56"/>
      <c r="G460" s="57" t="str">
        <f>IF(ISBLANK(C460),"",
   IFERROR(
      IF(
         INDEX(DB_materiali!C$2:C$5000,
               MATCH(C460, DB_materiali!A$2:A$5000, 0)
         )="FALSE",
         "N",
         "Y"
      ),
   "")
)</f>
        <v/>
      </c>
      <c r="H460" s="20"/>
      <c r="I460" s="20"/>
      <c r="J460" s="20"/>
      <c r="K460" s="20"/>
      <c r="M460" s="2" t="str">
        <f>IF(ISBLANK(C460),"",IF(IFERROR(VLOOKUP(C460,DB_materiali!$A$2:$A$5000,1,FALSE),"Kļūda artikulā")=C460,"✔",tulkojums!A$42))</f>
        <v/>
      </c>
      <c r="N460" s="2" t="str">
        <f>IF(ISBLANK(C460),"",IF(ISNUMBER(F460)=TRUE,"✔",tulkojums!A$43))</f>
        <v/>
      </c>
      <c r="O460" s="2" t="str">
        <f>IF(ISBLANK(C460),"",IF(G460="Y","✔",IF(G460="X","✔",IF(G460="N","✔",tulkojums!A$44))))</f>
        <v/>
      </c>
      <c r="P460" s="2" t="str">
        <f>IF(ISBLANK(H460),"",IF(INDEX(DB_materiali!$E$2:$E$5000,MATCH($C460,DB_materiali!$A$2:$A$5000,0))&gt;=INDEX(DB_malas!$C$2:$C$5000,MATCH(H460,DB_malas!$A$2:$A$5000,0)),IF(INDEX(DB_materiali!$E$2:$E$5000,MATCH($C460,DB_materiali!$A$2:$A$5000,0))&lt;=INDEX(DB_malas!$D$2:$D$5000,MATCH(H460,DB_malas!$A$2:$A$5000,0)),IF(OR(INDEX(DB_materiali!$B$2:$B$5000,MATCH($C460,DB_materiali!$A$2:$A$5000,0))=INDEX(DB_malas!$B$2:$B$5000,MATCH(H460,DB_malas!$A$2:$A$5000,0)),$H460="ORG"),"✔",tulkojums!$A$38),tulkojums!$A$39),tulkojums!$A$39))</f>
        <v/>
      </c>
      <c r="Q460" s="2" t="str">
        <f>IF(ISBLANK(I460),"",IF(INDEX(DB_materiali!$E$2:$E$5000,MATCH($C460,DB_materiali!$A$2:$A$5000,0))&gt;=INDEX(DB_malas!$C$2:$C$5000,MATCH(I460,DB_malas!$A$2:$A$5000,0)),IF(INDEX(DB_materiali!$E$2:$E$5000,MATCH($C460,DB_materiali!$A$2:$A$5000,0))&lt;=INDEX(DB_malas!$D$2:$D$5000,MATCH(I460,DB_malas!$A$2:$A$5000,0)),IF(OR(INDEX(DB_materiali!$B$2:$B$5000,MATCH($C460,DB_materiali!$A$2:$A$5000,0))=INDEX(DB_malas!$B$2:$B$5000,MATCH(I460,DB_malas!$A$2:$A$5000,0)),$H460="ORG"),"✔",tulkojums!$A$38),tulkojums!$A$39),tulkojums!$A$39))</f>
        <v/>
      </c>
      <c r="R460" s="2" t="str">
        <f>IF(ISBLANK(J460),"",IF(INDEX(DB_materiali!$E$2:$E$5000,MATCH($C460,DB_materiali!$A$2:$A$5000,0))&gt;=INDEX(DB_malas!$C$2:$C$5000,MATCH(J460,DB_malas!$A$2:$A$5000,0)),IF(INDEX(DB_materiali!$E$2:$E$5000,MATCH($C460,DB_materiali!$A$2:$A$5000,0))&lt;=INDEX(DB_malas!$D$2:$D$5000,MATCH(J460,DB_malas!$A$2:$A$5000,0)),IF(INDEX(DB_materiali!$B$2:$B$5000,MATCH($C460,DB_materiali!$A$2:$A$5000,0))=INDEX(DB_malas!$B$2:$B$5000,MATCH(J460,DB_malas!$A$2:$A$5000,0)),"✔",tulkojums!$A$38),tulkojums!$A$39),tulkojums!$A$39))</f>
        <v/>
      </c>
      <c r="S460" s="2" t="str">
        <f>IF(ISBLANK(K460),"",IF(INDEX(DB_materiali!$E$2:$E$5000,MATCH($C460,DB_materiali!$A$2:$A$5000,0))&gt;=INDEX(DB_malas!$C$2:$C$5000,MATCH(K460,DB_malas!$A$2:$A$5000,0)),IF(INDEX(DB_materiali!$E$2:$E$5000,MATCH($C460,DB_materiali!$A$2:$A$5000,0))&lt;=INDEX(DB_malas!$D$2:$D$5000,MATCH(K460,DB_malas!$A$2:$A$5000,0)),IF(INDEX(DB_materiali!$B$2:$B$5000,MATCH($C460,DB_materiali!$A$2:$A$5000,0))=INDEX(DB_malas!$B$2:$B$5000,MATCH(K460,DB_malas!$A$2:$A$5000,0)),"✔",tulkojums!$A$38),tulkojums!$A$39),tulkojums!$A$39))</f>
        <v/>
      </c>
      <c r="T460" s="2"/>
      <c r="U460" s="2"/>
      <c r="V460" s="2"/>
      <c r="W460" s="2"/>
      <c r="X460" s="2"/>
      <c r="Y460" s="2"/>
      <c r="Z460" s="2"/>
    </row>
    <row r="461" spans="1:26" ht="15.75" customHeight="1">
      <c r="A461" s="17"/>
      <c r="B461" s="18"/>
      <c r="C461" s="19"/>
      <c r="D461" s="55"/>
      <c r="E461" s="55"/>
      <c r="F461" s="56"/>
      <c r="G461" s="57" t="str">
        <f>IF(ISBLANK(C461),"",
   IFERROR(
      IF(
         INDEX(DB_materiali!C$2:C$5000,
               MATCH(C461, DB_materiali!A$2:A$5000, 0)
         )="FALSE",
         "N",
         "Y"
      ),
   "")
)</f>
        <v/>
      </c>
      <c r="H461" s="20"/>
      <c r="I461" s="20"/>
      <c r="J461" s="20"/>
      <c r="K461" s="20"/>
      <c r="M461" s="2" t="str">
        <f>IF(ISBLANK(C461),"",IF(IFERROR(VLOOKUP(C461,DB_materiali!$A$2:$A$5000,1,FALSE),"Kļūda artikulā")=C461,"✔",tulkojums!A$42))</f>
        <v/>
      </c>
      <c r="N461" s="2" t="str">
        <f>IF(ISBLANK(C461),"",IF(ISNUMBER(F461)=TRUE,"✔",tulkojums!A$43))</f>
        <v/>
      </c>
      <c r="O461" s="2" t="str">
        <f>IF(ISBLANK(C461),"",IF(G461="Y","✔",IF(G461="X","✔",IF(G461="N","✔",tulkojums!A$44))))</f>
        <v/>
      </c>
      <c r="P461" s="2" t="str">
        <f>IF(ISBLANK(H461),"",IF(INDEX(DB_materiali!$E$2:$E$5000,MATCH($C461,DB_materiali!$A$2:$A$5000,0))&gt;=INDEX(DB_malas!$C$2:$C$5000,MATCH(H461,DB_malas!$A$2:$A$5000,0)),IF(INDEX(DB_materiali!$E$2:$E$5000,MATCH($C461,DB_materiali!$A$2:$A$5000,0))&lt;=INDEX(DB_malas!$D$2:$D$5000,MATCH(H461,DB_malas!$A$2:$A$5000,0)),IF(OR(INDEX(DB_materiali!$B$2:$B$5000,MATCH($C461,DB_materiali!$A$2:$A$5000,0))=INDEX(DB_malas!$B$2:$B$5000,MATCH(H461,DB_malas!$A$2:$A$5000,0)),$H461="ORG"),"✔",tulkojums!$A$38),tulkojums!$A$39),tulkojums!$A$39))</f>
        <v/>
      </c>
      <c r="Q461" s="2" t="str">
        <f>IF(ISBLANK(I461),"",IF(INDEX(DB_materiali!$E$2:$E$5000,MATCH($C461,DB_materiali!$A$2:$A$5000,0))&gt;=INDEX(DB_malas!$C$2:$C$5000,MATCH(I461,DB_malas!$A$2:$A$5000,0)),IF(INDEX(DB_materiali!$E$2:$E$5000,MATCH($C461,DB_materiali!$A$2:$A$5000,0))&lt;=INDEX(DB_malas!$D$2:$D$5000,MATCH(I461,DB_malas!$A$2:$A$5000,0)),IF(OR(INDEX(DB_materiali!$B$2:$B$5000,MATCH($C461,DB_materiali!$A$2:$A$5000,0))=INDEX(DB_malas!$B$2:$B$5000,MATCH(I461,DB_malas!$A$2:$A$5000,0)),$H461="ORG"),"✔",tulkojums!$A$38),tulkojums!$A$39),tulkojums!$A$39))</f>
        <v/>
      </c>
      <c r="R461" s="2" t="str">
        <f>IF(ISBLANK(J461),"",IF(INDEX(DB_materiali!$E$2:$E$5000,MATCH($C461,DB_materiali!$A$2:$A$5000,0))&gt;=INDEX(DB_malas!$C$2:$C$5000,MATCH(J461,DB_malas!$A$2:$A$5000,0)),IF(INDEX(DB_materiali!$E$2:$E$5000,MATCH($C461,DB_materiali!$A$2:$A$5000,0))&lt;=INDEX(DB_malas!$D$2:$D$5000,MATCH(J461,DB_malas!$A$2:$A$5000,0)),IF(INDEX(DB_materiali!$B$2:$B$5000,MATCH($C461,DB_materiali!$A$2:$A$5000,0))=INDEX(DB_malas!$B$2:$B$5000,MATCH(J461,DB_malas!$A$2:$A$5000,0)),"✔",tulkojums!$A$38),tulkojums!$A$39),tulkojums!$A$39))</f>
        <v/>
      </c>
      <c r="S461" s="2" t="str">
        <f>IF(ISBLANK(K461),"",IF(INDEX(DB_materiali!$E$2:$E$5000,MATCH($C461,DB_materiali!$A$2:$A$5000,0))&gt;=INDEX(DB_malas!$C$2:$C$5000,MATCH(K461,DB_malas!$A$2:$A$5000,0)),IF(INDEX(DB_materiali!$E$2:$E$5000,MATCH($C461,DB_materiali!$A$2:$A$5000,0))&lt;=INDEX(DB_malas!$D$2:$D$5000,MATCH(K461,DB_malas!$A$2:$A$5000,0)),IF(INDEX(DB_materiali!$B$2:$B$5000,MATCH($C461,DB_materiali!$A$2:$A$5000,0))=INDEX(DB_malas!$B$2:$B$5000,MATCH(K461,DB_malas!$A$2:$A$5000,0)),"✔",tulkojums!$A$38),tulkojums!$A$39),tulkojums!$A$39))</f>
        <v/>
      </c>
      <c r="T461" s="2"/>
      <c r="U461" s="2"/>
      <c r="V461" s="2"/>
      <c r="W461" s="2"/>
      <c r="X461" s="2"/>
      <c r="Y461" s="2"/>
      <c r="Z461" s="2"/>
    </row>
    <row r="462" spans="1:26" ht="15.75" customHeight="1">
      <c r="A462" s="17"/>
      <c r="B462" s="18"/>
      <c r="C462" s="19"/>
      <c r="D462" s="55"/>
      <c r="E462" s="55"/>
      <c r="F462" s="56"/>
      <c r="G462" s="57" t="str">
        <f>IF(ISBLANK(C462),"",
   IFERROR(
      IF(
         INDEX(DB_materiali!C$2:C$5000,
               MATCH(C462, DB_materiali!A$2:A$5000, 0)
         )="FALSE",
         "N",
         "Y"
      ),
   "")
)</f>
        <v/>
      </c>
      <c r="H462" s="20"/>
      <c r="I462" s="20"/>
      <c r="J462" s="20"/>
      <c r="K462" s="20"/>
      <c r="M462" s="2" t="str">
        <f>IF(ISBLANK(C462),"",IF(IFERROR(VLOOKUP(C462,DB_materiali!$A$2:$A$5000,1,FALSE),"Kļūda artikulā")=C462,"✔",tulkojums!A$42))</f>
        <v/>
      </c>
      <c r="N462" s="2" t="str">
        <f>IF(ISBLANK(C462),"",IF(ISNUMBER(F462)=TRUE,"✔",tulkojums!A$43))</f>
        <v/>
      </c>
      <c r="O462" s="2" t="str">
        <f>IF(ISBLANK(C462),"",IF(G462="Y","✔",IF(G462="X","✔",IF(G462="N","✔",tulkojums!A$44))))</f>
        <v/>
      </c>
      <c r="P462" s="2" t="str">
        <f>IF(ISBLANK(H462),"",IF(INDEX(DB_materiali!$E$2:$E$5000,MATCH($C462,DB_materiali!$A$2:$A$5000,0))&gt;=INDEX(DB_malas!$C$2:$C$5000,MATCH(H462,DB_malas!$A$2:$A$5000,0)),IF(INDEX(DB_materiali!$E$2:$E$5000,MATCH($C462,DB_materiali!$A$2:$A$5000,0))&lt;=INDEX(DB_malas!$D$2:$D$5000,MATCH(H462,DB_malas!$A$2:$A$5000,0)),IF(OR(INDEX(DB_materiali!$B$2:$B$5000,MATCH($C462,DB_materiali!$A$2:$A$5000,0))=INDEX(DB_malas!$B$2:$B$5000,MATCH(H462,DB_malas!$A$2:$A$5000,0)),$H462="ORG"),"✔",tulkojums!$A$38),tulkojums!$A$39),tulkojums!$A$39))</f>
        <v/>
      </c>
      <c r="Q462" s="2" t="str">
        <f>IF(ISBLANK(I462),"",IF(INDEX(DB_materiali!$E$2:$E$5000,MATCH($C462,DB_materiali!$A$2:$A$5000,0))&gt;=INDEX(DB_malas!$C$2:$C$5000,MATCH(I462,DB_malas!$A$2:$A$5000,0)),IF(INDEX(DB_materiali!$E$2:$E$5000,MATCH($C462,DB_materiali!$A$2:$A$5000,0))&lt;=INDEX(DB_malas!$D$2:$D$5000,MATCH(I462,DB_malas!$A$2:$A$5000,0)),IF(OR(INDEX(DB_materiali!$B$2:$B$5000,MATCH($C462,DB_materiali!$A$2:$A$5000,0))=INDEX(DB_malas!$B$2:$B$5000,MATCH(I462,DB_malas!$A$2:$A$5000,0)),$H462="ORG"),"✔",tulkojums!$A$38),tulkojums!$A$39),tulkojums!$A$39))</f>
        <v/>
      </c>
      <c r="R462" s="2" t="str">
        <f>IF(ISBLANK(J462),"",IF(INDEX(DB_materiali!$E$2:$E$5000,MATCH($C462,DB_materiali!$A$2:$A$5000,0))&gt;=INDEX(DB_malas!$C$2:$C$5000,MATCH(J462,DB_malas!$A$2:$A$5000,0)),IF(INDEX(DB_materiali!$E$2:$E$5000,MATCH($C462,DB_materiali!$A$2:$A$5000,0))&lt;=INDEX(DB_malas!$D$2:$D$5000,MATCH(J462,DB_malas!$A$2:$A$5000,0)),IF(INDEX(DB_materiali!$B$2:$B$5000,MATCH($C462,DB_materiali!$A$2:$A$5000,0))=INDEX(DB_malas!$B$2:$B$5000,MATCH(J462,DB_malas!$A$2:$A$5000,0)),"✔",tulkojums!$A$38),tulkojums!$A$39),tulkojums!$A$39))</f>
        <v/>
      </c>
      <c r="S462" s="2" t="str">
        <f>IF(ISBLANK(K462),"",IF(INDEX(DB_materiali!$E$2:$E$5000,MATCH($C462,DB_materiali!$A$2:$A$5000,0))&gt;=INDEX(DB_malas!$C$2:$C$5000,MATCH(K462,DB_malas!$A$2:$A$5000,0)),IF(INDEX(DB_materiali!$E$2:$E$5000,MATCH($C462,DB_materiali!$A$2:$A$5000,0))&lt;=INDEX(DB_malas!$D$2:$D$5000,MATCH(K462,DB_malas!$A$2:$A$5000,0)),IF(INDEX(DB_materiali!$B$2:$B$5000,MATCH($C462,DB_materiali!$A$2:$A$5000,0))=INDEX(DB_malas!$B$2:$B$5000,MATCH(K462,DB_malas!$A$2:$A$5000,0)),"✔",tulkojums!$A$38),tulkojums!$A$39),tulkojums!$A$39))</f>
        <v/>
      </c>
      <c r="T462" s="2"/>
      <c r="U462" s="2"/>
      <c r="V462" s="2"/>
      <c r="W462" s="2"/>
      <c r="X462" s="2"/>
      <c r="Y462" s="2"/>
      <c r="Z462" s="2"/>
    </row>
    <row r="463" spans="1:26" ht="15.75" customHeight="1">
      <c r="A463" s="17"/>
      <c r="B463" s="18"/>
      <c r="C463" s="19"/>
      <c r="D463" s="55"/>
      <c r="E463" s="55"/>
      <c r="F463" s="56"/>
      <c r="G463" s="57" t="str">
        <f>IF(ISBLANK(C463),"",
   IFERROR(
      IF(
         INDEX(DB_materiali!C$2:C$5000,
               MATCH(C463, DB_materiali!A$2:A$5000, 0)
         )="FALSE",
         "N",
         "Y"
      ),
   "")
)</f>
        <v/>
      </c>
      <c r="H463" s="20"/>
      <c r="I463" s="20"/>
      <c r="J463" s="20"/>
      <c r="K463" s="20"/>
      <c r="M463" s="2" t="str">
        <f>IF(ISBLANK(C463),"",IF(IFERROR(VLOOKUP(C463,DB_materiali!$A$2:$A$5000,1,FALSE),"Kļūda artikulā")=C463,"✔",tulkojums!A$42))</f>
        <v/>
      </c>
      <c r="N463" s="2" t="str">
        <f>IF(ISBLANK(C463),"",IF(ISNUMBER(F463)=TRUE,"✔",tulkojums!A$43))</f>
        <v/>
      </c>
      <c r="O463" s="2" t="str">
        <f>IF(ISBLANK(C463),"",IF(G463="Y","✔",IF(G463="X","✔",IF(G463="N","✔",tulkojums!A$44))))</f>
        <v/>
      </c>
      <c r="P463" s="2" t="str">
        <f>IF(ISBLANK(H463),"",IF(INDEX(DB_materiali!$E$2:$E$5000,MATCH($C463,DB_materiali!$A$2:$A$5000,0))&gt;=INDEX(DB_malas!$C$2:$C$5000,MATCH(H463,DB_malas!$A$2:$A$5000,0)),IF(INDEX(DB_materiali!$E$2:$E$5000,MATCH($C463,DB_materiali!$A$2:$A$5000,0))&lt;=INDEX(DB_malas!$D$2:$D$5000,MATCH(H463,DB_malas!$A$2:$A$5000,0)),IF(OR(INDEX(DB_materiali!$B$2:$B$5000,MATCH($C463,DB_materiali!$A$2:$A$5000,0))=INDEX(DB_malas!$B$2:$B$5000,MATCH(H463,DB_malas!$A$2:$A$5000,0)),$H463="ORG"),"✔",tulkojums!$A$38),tulkojums!$A$39),tulkojums!$A$39))</f>
        <v/>
      </c>
      <c r="Q463" s="2" t="str">
        <f>IF(ISBLANK(I463),"",IF(INDEX(DB_materiali!$E$2:$E$5000,MATCH($C463,DB_materiali!$A$2:$A$5000,0))&gt;=INDEX(DB_malas!$C$2:$C$5000,MATCH(I463,DB_malas!$A$2:$A$5000,0)),IF(INDEX(DB_materiali!$E$2:$E$5000,MATCH($C463,DB_materiali!$A$2:$A$5000,0))&lt;=INDEX(DB_malas!$D$2:$D$5000,MATCH(I463,DB_malas!$A$2:$A$5000,0)),IF(OR(INDEX(DB_materiali!$B$2:$B$5000,MATCH($C463,DB_materiali!$A$2:$A$5000,0))=INDEX(DB_malas!$B$2:$B$5000,MATCH(I463,DB_malas!$A$2:$A$5000,0)),$H463="ORG"),"✔",tulkojums!$A$38),tulkojums!$A$39),tulkojums!$A$39))</f>
        <v/>
      </c>
      <c r="R463" s="2" t="str">
        <f>IF(ISBLANK(J463),"",IF(INDEX(DB_materiali!$E$2:$E$5000,MATCH($C463,DB_materiali!$A$2:$A$5000,0))&gt;=INDEX(DB_malas!$C$2:$C$5000,MATCH(J463,DB_malas!$A$2:$A$5000,0)),IF(INDEX(DB_materiali!$E$2:$E$5000,MATCH($C463,DB_materiali!$A$2:$A$5000,0))&lt;=INDEX(DB_malas!$D$2:$D$5000,MATCH(J463,DB_malas!$A$2:$A$5000,0)),IF(INDEX(DB_materiali!$B$2:$B$5000,MATCH($C463,DB_materiali!$A$2:$A$5000,0))=INDEX(DB_malas!$B$2:$B$5000,MATCH(J463,DB_malas!$A$2:$A$5000,0)),"✔",tulkojums!$A$38),tulkojums!$A$39),tulkojums!$A$39))</f>
        <v/>
      </c>
      <c r="S463" s="2" t="str">
        <f>IF(ISBLANK(K463),"",IF(INDEX(DB_materiali!$E$2:$E$5000,MATCH($C463,DB_materiali!$A$2:$A$5000,0))&gt;=INDEX(DB_malas!$C$2:$C$5000,MATCH(K463,DB_malas!$A$2:$A$5000,0)),IF(INDEX(DB_materiali!$E$2:$E$5000,MATCH($C463,DB_materiali!$A$2:$A$5000,0))&lt;=INDEX(DB_malas!$D$2:$D$5000,MATCH(K463,DB_malas!$A$2:$A$5000,0)),IF(INDEX(DB_materiali!$B$2:$B$5000,MATCH($C463,DB_materiali!$A$2:$A$5000,0))=INDEX(DB_malas!$B$2:$B$5000,MATCH(K463,DB_malas!$A$2:$A$5000,0)),"✔",tulkojums!$A$38),tulkojums!$A$39),tulkojums!$A$39))</f>
        <v/>
      </c>
      <c r="T463" s="2"/>
      <c r="U463" s="2"/>
      <c r="V463" s="2"/>
      <c r="W463" s="2"/>
      <c r="X463" s="2"/>
      <c r="Y463" s="2"/>
      <c r="Z463" s="2"/>
    </row>
    <row r="464" spans="1:26" ht="15.75" customHeight="1">
      <c r="A464" s="17"/>
      <c r="B464" s="18"/>
      <c r="C464" s="19"/>
      <c r="D464" s="55"/>
      <c r="E464" s="55"/>
      <c r="F464" s="56"/>
      <c r="G464" s="57" t="str">
        <f>IF(ISBLANK(C464),"",
   IFERROR(
      IF(
         INDEX(DB_materiali!C$2:C$5000,
               MATCH(C464, DB_materiali!A$2:A$5000, 0)
         )="FALSE",
         "N",
         "Y"
      ),
   "")
)</f>
        <v/>
      </c>
      <c r="H464" s="20"/>
      <c r="I464" s="20"/>
      <c r="J464" s="20"/>
      <c r="K464" s="20"/>
      <c r="M464" s="2" t="str">
        <f>IF(ISBLANK(C464),"",IF(IFERROR(VLOOKUP(C464,DB_materiali!$A$2:$A$5000,1,FALSE),"Kļūda artikulā")=C464,"✔",tulkojums!A$42))</f>
        <v/>
      </c>
      <c r="N464" s="2" t="str">
        <f>IF(ISBLANK(C464),"",IF(ISNUMBER(F464)=TRUE,"✔",tulkojums!A$43))</f>
        <v/>
      </c>
      <c r="O464" s="2" t="str">
        <f>IF(ISBLANK(C464),"",IF(G464="Y","✔",IF(G464="X","✔",IF(G464="N","✔",tulkojums!A$44))))</f>
        <v/>
      </c>
      <c r="P464" s="2" t="str">
        <f>IF(ISBLANK(H464),"",IF(INDEX(DB_materiali!$E$2:$E$5000,MATCH($C464,DB_materiali!$A$2:$A$5000,0))&gt;=INDEX(DB_malas!$C$2:$C$5000,MATCH(H464,DB_malas!$A$2:$A$5000,0)),IF(INDEX(DB_materiali!$E$2:$E$5000,MATCH($C464,DB_materiali!$A$2:$A$5000,0))&lt;=INDEX(DB_malas!$D$2:$D$5000,MATCH(H464,DB_malas!$A$2:$A$5000,0)),IF(OR(INDEX(DB_materiali!$B$2:$B$5000,MATCH($C464,DB_materiali!$A$2:$A$5000,0))=INDEX(DB_malas!$B$2:$B$5000,MATCH(H464,DB_malas!$A$2:$A$5000,0)),$H464="ORG"),"✔",tulkojums!$A$38),tulkojums!$A$39),tulkojums!$A$39))</f>
        <v/>
      </c>
      <c r="Q464" s="2" t="str">
        <f>IF(ISBLANK(I464),"",IF(INDEX(DB_materiali!$E$2:$E$5000,MATCH($C464,DB_materiali!$A$2:$A$5000,0))&gt;=INDEX(DB_malas!$C$2:$C$5000,MATCH(I464,DB_malas!$A$2:$A$5000,0)),IF(INDEX(DB_materiali!$E$2:$E$5000,MATCH($C464,DB_materiali!$A$2:$A$5000,0))&lt;=INDEX(DB_malas!$D$2:$D$5000,MATCH(I464,DB_malas!$A$2:$A$5000,0)),IF(OR(INDEX(DB_materiali!$B$2:$B$5000,MATCH($C464,DB_materiali!$A$2:$A$5000,0))=INDEX(DB_malas!$B$2:$B$5000,MATCH(I464,DB_malas!$A$2:$A$5000,0)),$H464="ORG"),"✔",tulkojums!$A$38),tulkojums!$A$39),tulkojums!$A$39))</f>
        <v/>
      </c>
      <c r="R464" s="2" t="str">
        <f>IF(ISBLANK(J464),"",IF(INDEX(DB_materiali!$E$2:$E$5000,MATCH($C464,DB_materiali!$A$2:$A$5000,0))&gt;=INDEX(DB_malas!$C$2:$C$5000,MATCH(J464,DB_malas!$A$2:$A$5000,0)),IF(INDEX(DB_materiali!$E$2:$E$5000,MATCH($C464,DB_materiali!$A$2:$A$5000,0))&lt;=INDEX(DB_malas!$D$2:$D$5000,MATCH(J464,DB_malas!$A$2:$A$5000,0)),IF(INDEX(DB_materiali!$B$2:$B$5000,MATCH($C464,DB_materiali!$A$2:$A$5000,0))=INDEX(DB_malas!$B$2:$B$5000,MATCH(J464,DB_malas!$A$2:$A$5000,0)),"✔",tulkojums!$A$38),tulkojums!$A$39),tulkojums!$A$39))</f>
        <v/>
      </c>
      <c r="S464" s="2" t="str">
        <f>IF(ISBLANK(K464),"",IF(INDEX(DB_materiali!$E$2:$E$5000,MATCH($C464,DB_materiali!$A$2:$A$5000,0))&gt;=INDEX(DB_malas!$C$2:$C$5000,MATCH(K464,DB_malas!$A$2:$A$5000,0)),IF(INDEX(DB_materiali!$E$2:$E$5000,MATCH($C464,DB_materiali!$A$2:$A$5000,0))&lt;=INDEX(DB_malas!$D$2:$D$5000,MATCH(K464,DB_malas!$A$2:$A$5000,0)),IF(INDEX(DB_materiali!$B$2:$B$5000,MATCH($C464,DB_materiali!$A$2:$A$5000,0))=INDEX(DB_malas!$B$2:$B$5000,MATCH(K464,DB_malas!$A$2:$A$5000,0)),"✔",tulkojums!$A$38),tulkojums!$A$39),tulkojums!$A$39))</f>
        <v/>
      </c>
      <c r="T464" s="2"/>
      <c r="U464" s="2"/>
      <c r="V464" s="2"/>
      <c r="W464" s="2"/>
      <c r="X464" s="2"/>
      <c r="Y464" s="2"/>
      <c r="Z464" s="2"/>
    </row>
    <row r="465" spans="1:26" ht="15.75" customHeight="1">
      <c r="A465" s="17"/>
      <c r="B465" s="18"/>
      <c r="C465" s="19"/>
      <c r="D465" s="55"/>
      <c r="E465" s="55"/>
      <c r="F465" s="56"/>
      <c r="G465" s="57" t="str">
        <f>IF(ISBLANK(C465),"",
   IFERROR(
      IF(
         INDEX(DB_materiali!C$2:C$5000,
               MATCH(C465, DB_materiali!A$2:A$5000, 0)
         )="FALSE",
         "N",
         "Y"
      ),
   "")
)</f>
        <v/>
      </c>
      <c r="H465" s="20"/>
      <c r="I465" s="20"/>
      <c r="J465" s="20"/>
      <c r="K465" s="20"/>
      <c r="M465" s="2" t="str">
        <f>IF(ISBLANK(C465),"",IF(IFERROR(VLOOKUP(C465,DB_materiali!$A$2:$A$5000,1,FALSE),"Kļūda artikulā")=C465,"✔",tulkojums!A$42))</f>
        <v/>
      </c>
      <c r="N465" s="2" t="str">
        <f>IF(ISBLANK(C465),"",IF(ISNUMBER(F465)=TRUE,"✔",tulkojums!A$43))</f>
        <v/>
      </c>
      <c r="O465" s="2" t="str">
        <f>IF(ISBLANK(C465),"",IF(G465="Y","✔",IF(G465="X","✔",IF(G465="N","✔",tulkojums!A$44))))</f>
        <v/>
      </c>
      <c r="P465" s="2" t="str">
        <f>IF(ISBLANK(H465),"",IF(INDEX(DB_materiali!$E$2:$E$5000,MATCH($C465,DB_materiali!$A$2:$A$5000,0))&gt;=INDEX(DB_malas!$C$2:$C$5000,MATCH(H465,DB_malas!$A$2:$A$5000,0)),IF(INDEX(DB_materiali!$E$2:$E$5000,MATCH($C465,DB_materiali!$A$2:$A$5000,0))&lt;=INDEX(DB_malas!$D$2:$D$5000,MATCH(H465,DB_malas!$A$2:$A$5000,0)),IF(OR(INDEX(DB_materiali!$B$2:$B$5000,MATCH($C465,DB_materiali!$A$2:$A$5000,0))=INDEX(DB_malas!$B$2:$B$5000,MATCH(H465,DB_malas!$A$2:$A$5000,0)),$H465="ORG"),"✔",tulkojums!$A$38),tulkojums!$A$39),tulkojums!$A$39))</f>
        <v/>
      </c>
      <c r="Q465" s="2" t="str">
        <f>IF(ISBLANK(I465),"",IF(INDEX(DB_materiali!$E$2:$E$5000,MATCH($C465,DB_materiali!$A$2:$A$5000,0))&gt;=INDEX(DB_malas!$C$2:$C$5000,MATCH(I465,DB_malas!$A$2:$A$5000,0)),IF(INDEX(DB_materiali!$E$2:$E$5000,MATCH($C465,DB_materiali!$A$2:$A$5000,0))&lt;=INDEX(DB_malas!$D$2:$D$5000,MATCH(I465,DB_malas!$A$2:$A$5000,0)),IF(OR(INDEX(DB_materiali!$B$2:$B$5000,MATCH($C465,DB_materiali!$A$2:$A$5000,0))=INDEX(DB_malas!$B$2:$B$5000,MATCH(I465,DB_malas!$A$2:$A$5000,0)),$H465="ORG"),"✔",tulkojums!$A$38),tulkojums!$A$39),tulkojums!$A$39))</f>
        <v/>
      </c>
      <c r="R465" s="2" t="str">
        <f>IF(ISBLANK(J465),"",IF(INDEX(DB_materiali!$E$2:$E$5000,MATCH($C465,DB_materiali!$A$2:$A$5000,0))&gt;=INDEX(DB_malas!$C$2:$C$5000,MATCH(J465,DB_malas!$A$2:$A$5000,0)),IF(INDEX(DB_materiali!$E$2:$E$5000,MATCH($C465,DB_materiali!$A$2:$A$5000,0))&lt;=INDEX(DB_malas!$D$2:$D$5000,MATCH(J465,DB_malas!$A$2:$A$5000,0)),IF(INDEX(DB_materiali!$B$2:$B$5000,MATCH($C465,DB_materiali!$A$2:$A$5000,0))=INDEX(DB_malas!$B$2:$B$5000,MATCH(J465,DB_malas!$A$2:$A$5000,0)),"✔",tulkojums!$A$38),tulkojums!$A$39),tulkojums!$A$39))</f>
        <v/>
      </c>
      <c r="S465" s="2" t="str">
        <f>IF(ISBLANK(K465),"",IF(INDEX(DB_materiali!$E$2:$E$5000,MATCH($C465,DB_materiali!$A$2:$A$5000,0))&gt;=INDEX(DB_malas!$C$2:$C$5000,MATCH(K465,DB_malas!$A$2:$A$5000,0)),IF(INDEX(DB_materiali!$E$2:$E$5000,MATCH($C465,DB_materiali!$A$2:$A$5000,0))&lt;=INDEX(DB_malas!$D$2:$D$5000,MATCH(K465,DB_malas!$A$2:$A$5000,0)),IF(INDEX(DB_materiali!$B$2:$B$5000,MATCH($C465,DB_materiali!$A$2:$A$5000,0))=INDEX(DB_malas!$B$2:$B$5000,MATCH(K465,DB_malas!$A$2:$A$5000,0)),"✔",tulkojums!$A$38),tulkojums!$A$39),tulkojums!$A$39))</f>
        <v/>
      </c>
      <c r="T465" s="2"/>
      <c r="U465" s="2"/>
      <c r="V465" s="2"/>
      <c r="W465" s="2"/>
      <c r="X465" s="2"/>
      <c r="Y465" s="2"/>
      <c r="Z465" s="2"/>
    </row>
    <row r="466" spans="1:26" ht="15.75" customHeight="1">
      <c r="A466" s="17"/>
      <c r="B466" s="18"/>
      <c r="C466" s="19"/>
      <c r="D466" s="55"/>
      <c r="E466" s="55"/>
      <c r="F466" s="56"/>
      <c r="G466" s="57" t="str">
        <f>IF(ISBLANK(C466),"",
   IFERROR(
      IF(
         INDEX(DB_materiali!C$2:C$5000,
               MATCH(C466, DB_materiali!A$2:A$5000, 0)
         )="FALSE",
         "N",
         "Y"
      ),
   "")
)</f>
        <v/>
      </c>
      <c r="H466" s="20"/>
      <c r="I466" s="20"/>
      <c r="J466" s="20"/>
      <c r="K466" s="20"/>
      <c r="M466" s="2" t="str">
        <f>IF(ISBLANK(C466),"",IF(IFERROR(VLOOKUP(C466,DB_materiali!$A$2:$A$5000,1,FALSE),"Kļūda artikulā")=C466,"✔",tulkojums!A$42))</f>
        <v/>
      </c>
      <c r="N466" s="2" t="str">
        <f>IF(ISBLANK(C466),"",IF(ISNUMBER(F466)=TRUE,"✔",tulkojums!A$43))</f>
        <v/>
      </c>
      <c r="O466" s="2" t="str">
        <f>IF(ISBLANK(C466),"",IF(G466="Y","✔",IF(G466="X","✔",IF(G466="N","✔",tulkojums!A$44))))</f>
        <v/>
      </c>
      <c r="P466" s="2" t="str">
        <f>IF(ISBLANK(H466),"",IF(INDEX(DB_materiali!$E$2:$E$5000,MATCH($C466,DB_materiali!$A$2:$A$5000,0))&gt;=INDEX(DB_malas!$C$2:$C$5000,MATCH(H466,DB_malas!$A$2:$A$5000,0)),IF(INDEX(DB_materiali!$E$2:$E$5000,MATCH($C466,DB_materiali!$A$2:$A$5000,0))&lt;=INDEX(DB_malas!$D$2:$D$5000,MATCH(H466,DB_malas!$A$2:$A$5000,0)),IF(OR(INDEX(DB_materiali!$B$2:$B$5000,MATCH($C466,DB_materiali!$A$2:$A$5000,0))=INDEX(DB_malas!$B$2:$B$5000,MATCH(H466,DB_malas!$A$2:$A$5000,0)),$H466="ORG"),"✔",tulkojums!$A$38),tulkojums!$A$39),tulkojums!$A$39))</f>
        <v/>
      </c>
      <c r="Q466" s="2" t="str">
        <f>IF(ISBLANK(I466),"",IF(INDEX(DB_materiali!$E$2:$E$5000,MATCH($C466,DB_materiali!$A$2:$A$5000,0))&gt;=INDEX(DB_malas!$C$2:$C$5000,MATCH(I466,DB_malas!$A$2:$A$5000,0)),IF(INDEX(DB_materiali!$E$2:$E$5000,MATCH($C466,DB_materiali!$A$2:$A$5000,0))&lt;=INDEX(DB_malas!$D$2:$D$5000,MATCH(I466,DB_malas!$A$2:$A$5000,0)),IF(OR(INDEX(DB_materiali!$B$2:$B$5000,MATCH($C466,DB_materiali!$A$2:$A$5000,0))=INDEX(DB_malas!$B$2:$B$5000,MATCH(I466,DB_malas!$A$2:$A$5000,0)),$H466="ORG"),"✔",tulkojums!$A$38),tulkojums!$A$39),tulkojums!$A$39))</f>
        <v/>
      </c>
      <c r="R466" s="2" t="str">
        <f>IF(ISBLANK(J466),"",IF(INDEX(DB_materiali!$E$2:$E$5000,MATCH($C466,DB_materiali!$A$2:$A$5000,0))&gt;=INDEX(DB_malas!$C$2:$C$5000,MATCH(J466,DB_malas!$A$2:$A$5000,0)),IF(INDEX(DB_materiali!$E$2:$E$5000,MATCH($C466,DB_materiali!$A$2:$A$5000,0))&lt;=INDEX(DB_malas!$D$2:$D$5000,MATCH(J466,DB_malas!$A$2:$A$5000,0)),IF(INDEX(DB_materiali!$B$2:$B$5000,MATCH($C466,DB_materiali!$A$2:$A$5000,0))=INDEX(DB_malas!$B$2:$B$5000,MATCH(J466,DB_malas!$A$2:$A$5000,0)),"✔",tulkojums!$A$38),tulkojums!$A$39),tulkojums!$A$39))</f>
        <v/>
      </c>
      <c r="S466" s="2" t="str">
        <f>IF(ISBLANK(K466),"",IF(INDEX(DB_materiali!$E$2:$E$5000,MATCH($C466,DB_materiali!$A$2:$A$5000,0))&gt;=INDEX(DB_malas!$C$2:$C$5000,MATCH(K466,DB_malas!$A$2:$A$5000,0)),IF(INDEX(DB_materiali!$E$2:$E$5000,MATCH($C466,DB_materiali!$A$2:$A$5000,0))&lt;=INDEX(DB_malas!$D$2:$D$5000,MATCH(K466,DB_malas!$A$2:$A$5000,0)),IF(INDEX(DB_materiali!$B$2:$B$5000,MATCH($C466,DB_materiali!$A$2:$A$5000,0))=INDEX(DB_malas!$B$2:$B$5000,MATCH(K466,DB_malas!$A$2:$A$5000,0)),"✔",tulkojums!$A$38),tulkojums!$A$39),tulkojums!$A$39))</f>
        <v/>
      </c>
      <c r="T466" s="2"/>
      <c r="U466" s="2"/>
      <c r="V466" s="2"/>
      <c r="W466" s="2"/>
      <c r="X466" s="2"/>
      <c r="Y466" s="2"/>
      <c r="Z466" s="2"/>
    </row>
    <row r="467" spans="1:26" ht="15.75" customHeight="1">
      <c r="A467" s="17"/>
      <c r="B467" s="18"/>
      <c r="C467" s="19"/>
      <c r="D467" s="55"/>
      <c r="E467" s="55"/>
      <c r="F467" s="56"/>
      <c r="G467" s="57" t="str">
        <f>IF(ISBLANK(C467),"",
   IFERROR(
      IF(
         INDEX(DB_materiali!C$2:C$5000,
               MATCH(C467, DB_materiali!A$2:A$5000, 0)
         )="FALSE",
         "N",
         "Y"
      ),
   "")
)</f>
        <v/>
      </c>
      <c r="H467" s="20"/>
      <c r="I467" s="20"/>
      <c r="J467" s="20"/>
      <c r="K467" s="20"/>
      <c r="M467" s="2" t="str">
        <f>IF(ISBLANK(C467),"",IF(IFERROR(VLOOKUP(C467,DB_materiali!$A$2:$A$5000,1,FALSE),"Kļūda artikulā")=C467,"✔",tulkojums!A$42))</f>
        <v/>
      </c>
      <c r="N467" s="2" t="str">
        <f>IF(ISBLANK(C467),"",IF(ISNUMBER(F467)=TRUE,"✔",tulkojums!A$43))</f>
        <v/>
      </c>
      <c r="O467" s="2" t="str">
        <f>IF(ISBLANK(C467),"",IF(G467="Y","✔",IF(G467="X","✔",IF(G467="N","✔",tulkojums!A$44))))</f>
        <v/>
      </c>
      <c r="P467" s="2" t="str">
        <f>IF(ISBLANK(H467),"",IF(INDEX(DB_materiali!$E$2:$E$5000,MATCH($C467,DB_materiali!$A$2:$A$5000,0))&gt;=INDEX(DB_malas!$C$2:$C$5000,MATCH(H467,DB_malas!$A$2:$A$5000,0)),IF(INDEX(DB_materiali!$E$2:$E$5000,MATCH($C467,DB_materiali!$A$2:$A$5000,0))&lt;=INDEX(DB_malas!$D$2:$D$5000,MATCH(H467,DB_malas!$A$2:$A$5000,0)),IF(OR(INDEX(DB_materiali!$B$2:$B$5000,MATCH($C467,DB_materiali!$A$2:$A$5000,0))=INDEX(DB_malas!$B$2:$B$5000,MATCH(H467,DB_malas!$A$2:$A$5000,0)),$H467="ORG"),"✔",tulkojums!$A$38),tulkojums!$A$39),tulkojums!$A$39))</f>
        <v/>
      </c>
      <c r="Q467" s="2" t="str">
        <f>IF(ISBLANK(I467),"",IF(INDEX(DB_materiali!$E$2:$E$5000,MATCH($C467,DB_materiali!$A$2:$A$5000,0))&gt;=INDEX(DB_malas!$C$2:$C$5000,MATCH(I467,DB_malas!$A$2:$A$5000,0)),IF(INDEX(DB_materiali!$E$2:$E$5000,MATCH($C467,DB_materiali!$A$2:$A$5000,0))&lt;=INDEX(DB_malas!$D$2:$D$5000,MATCH(I467,DB_malas!$A$2:$A$5000,0)),IF(OR(INDEX(DB_materiali!$B$2:$B$5000,MATCH($C467,DB_materiali!$A$2:$A$5000,0))=INDEX(DB_malas!$B$2:$B$5000,MATCH(I467,DB_malas!$A$2:$A$5000,0)),$H467="ORG"),"✔",tulkojums!$A$38),tulkojums!$A$39),tulkojums!$A$39))</f>
        <v/>
      </c>
      <c r="R467" s="2" t="str">
        <f>IF(ISBLANK(J467),"",IF(INDEX(DB_materiali!$E$2:$E$5000,MATCH($C467,DB_materiali!$A$2:$A$5000,0))&gt;=INDEX(DB_malas!$C$2:$C$5000,MATCH(J467,DB_malas!$A$2:$A$5000,0)),IF(INDEX(DB_materiali!$E$2:$E$5000,MATCH($C467,DB_materiali!$A$2:$A$5000,0))&lt;=INDEX(DB_malas!$D$2:$D$5000,MATCH(J467,DB_malas!$A$2:$A$5000,0)),IF(INDEX(DB_materiali!$B$2:$B$5000,MATCH($C467,DB_materiali!$A$2:$A$5000,0))=INDEX(DB_malas!$B$2:$B$5000,MATCH(J467,DB_malas!$A$2:$A$5000,0)),"✔",tulkojums!$A$38),tulkojums!$A$39),tulkojums!$A$39))</f>
        <v/>
      </c>
      <c r="S467" s="2" t="str">
        <f>IF(ISBLANK(K467),"",IF(INDEX(DB_materiali!$E$2:$E$5000,MATCH($C467,DB_materiali!$A$2:$A$5000,0))&gt;=INDEX(DB_malas!$C$2:$C$5000,MATCH(K467,DB_malas!$A$2:$A$5000,0)),IF(INDEX(DB_materiali!$E$2:$E$5000,MATCH($C467,DB_materiali!$A$2:$A$5000,0))&lt;=INDEX(DB_malas!$D$2:$D$5000,MATCH(K467,DB_malas!$A$2:$A$5000,0)),IF(INDEX(DB_materiali!$B$2:$B$5000,MATCH($C467,DB_materiali!$A$2:$A$5000,0))=INDEX(DB_malas!$B$2:$B$5000,MATCH(K467,DB_malas!$A$2:$A$5000,0)),"✔",tulkojums!$A$38),tulkojums!$A$39),tulkojums!$A$39))</f>
        <v/>
      </c>
      <c r="T467" s="2"/>
      <c r="U467" s="2"/>
      <c r="V467" s="2"/>
      <c r="W467" s="2"/>
      <c r="X467" s="2"/>
      <c r="Y467" s="2"/>
      <c r="Z467" s="2"/>
    </row>
    <row r="468" spans="1:26" ht="15.75" customHeight="1">
      <c r="A468" s="17"/>
      <c r="B468" s="18"/>
      <c r="C468" s="19"/>
      <c r="D468" s="55"/>
      <c r="E468" s="55"/>
      <c r="F468" s="56"/>
      <c r="G468" s="57" t="str">
        <f>IF(ISBLANK(C468),"",
   IFERROR(
      IF(
         INDEX(DB_materiali!C$2:C$5000,
               MATCH(C468, DB_materiali!A$2:A$5000, 0)
         )="FALSE",
         "N",
         "Y"
      ),
   "")
)</f>
        <v/>
      </c>
      <c r="H468" s="20"/>
      <c r="I468" s="20"/>
      <c r="J468" s="20"/>
      <c r="K468" s="20"/>
      <c r="M468" s="2" t="str">
        <f>IF(ISBLANK(C468),"",IF(IFERROR(VLOOKUP(C468,DB_materiali!$A$2:$A$5000,1,FALSE),"Kļūda artikulā")=C468,"✔",tulkojums!A$42))</f>
        <v/>
      </c>
      <c r="N468" s="2" t="str">
        <f>IF(ISBLANK(C468),"",IF(ISNUMBER(F468)=TRUE,"✔",tulkojums!A$43))</f>
        <v/>
      </c>
      <c r="O468" s="2" t="str">
        <f>IF(ISBLANK(C468),"",IF(G468="Y","✔",IF(G468="X","✔",IF(G468="N","✔",tulkojums!A$44))))</f>
        <v/>
      </c>
      <c r="P468" s="2" t="str">
        <f>IF(ISBLANK(H468),"",IF(INDEX(DB_materiali!$E$2:$E$5000,MATCH($C468,DB_materiali!$A$2:$A$5000,0))&gt;=INDEX(DB_malas!$C$2:$C$5000,MATCH(H468,DB_malas!$A$2:$A$5000,0)),IF(INDEX(DB_materiali!$E$2:$E$5000,MATCH($C468,DB_materiali!$A$2:$A$5000,0))&lt;=INDEX(DB_malas!$D$2:$D$5000,MATCH(H468,DB_malas!$A$2:$A$5000,0)),IF(OR(INDEX(DB_materiali!$B$2:$B$5000,MATCH($C468,DB_materiali!$A$2:$A$5000,0))=INDEX(DB_malas!$B$2:$B$5000,MATCH(H468,DB_malas!$A$2:$A$5000,0)),$H468="ORG"),"✔",tulkojums!$A$38),tulkojums!$A$39),tulkojums!$A$39))</f>
        <v/>
      </c>
      <c r="Q468" s="2" t="str">
        <f>IF(ISBLANK(I468),"",IF(INDEX(DB_materiali!$E$2:$E$5000,MATCH($C468,DB_materiali!$A$2:$A$5000,0))&gt;=INDEX(DB_malas!$C$2:$C$5000,MATCH(I468,DB_malas!$A$2:$A$5000,0)),IF(INDEX(DB_materiali!$E$2:$E$5000,MATCH($C468,DB_materiali!$A$2:$A$5000,0))&lt;=INDEX(DB_malas!$D$2:$D$5000,MATCH(I468,DB_malas!$A$2:$A$5000,0)),IF(OR(INDEX(DB_materiali!$B$2:$B$5000,MATCH($C468,DB_materiali!$A$2:$A$5000,0))=INDEX(DB_malas!$B$2:$B$5000,MATCH(I468,DB_malas!$A$2:$A$5000,0)),$H468="ORG"),"✔",tulkojums!$A$38),tulkojums!$A$39),tulkojums!$A$39))</f>
        <v/>
      </c>
      <c r="R468" s="2" t="str">
        <f>IF(ISBLANK(J468),"",IF(INDEX(DB_materiali!$E$2:$E$5000,MATCH($C468,DB_materiali!$A$2:$A$5000,0))&gt;=INDEX(DB_malas!$C$2:$C$5000,MATCH(J468,DB_malas!$A$2:$A$5000,0)),IF(INDEX(DB_materiali!$E$2:$E$5000,MATCH($C468,DB_materiali!$A$2:$A$5000,0))&lt;=INDEX(DB_malas!$D$2:$D$5000,MATCH(J468,DB_malas!$A$2:$A$5000,0)),IF(INDEX(DB_materiali!$B$2:$B$5000,MATCH($C468,DB_materiali!$A$2:$A$5000,0))=INDEX(DB_malas!$B$2:$B$5000,MATCH(J468,DB_malas!$A$2:$A$5000,0)),"✔",tulkojums!$A$38),tulkojums!$A$39),tulkojums!$A$39))</f>
        <v/>
      </c>
      <c r="S468" s="2" t="str">
        <f>IF(ISBLANK(K468),"",IF(INDEX(DB_materiali!$E$2:$E$5000,MATCH($C468,DB_materiali!$A$2:$A$5000,0))&gt;=INDEX(DB_malas!$C$2:$C$5000,MATCH(K468,DB_malas!$A$2:$A$5000,0)),IF(INDEX(DB_materiali!$E$2:$E$5000,MATCH($C468,DB_materiali!$A$2:$A$5000,0))&lt;=INDEX(DB_malas!$D$2:$D$5000,MATCH(K468,DB_malas!$A$2:$A$5000,0)),IF(INDEX(DB_materiali!$B$2:$B$5000,MATCH($C468,DB_materiali!$A$2:$A$5000,0))=INDEX(DB_malas!$B$2:$B$5000,MATCH(K468,DB_malas!$A$2:$A$5000,0)),"✔",tulkojums!$A$38),tulkojums!$A$39),tulkojums!$A$39))</f>
        <v/>
      </c>
      <c r="T468" s="2"/>
      <c r="U468" s="2"/>
      <c r="V468" s="2"/>
      <c r="W468" s="2"/>
      <c r="X468" s="2"/>
      <c r="Y468" s="2"/>
      <c r="Z468" s="2"/>
    </row>
    <row r="469" spans="1:26" ht="15.75" customHeight="1">
      <c r="A469" s="17"/>
      <c r="B469" s="18"/>
      <c r="C469" s="19"/>
      <c r="D469" s="55"/>
      <c r="E469" s="55"/>
      <c r="F469" s="56"/>
      <c r="G469" s="57" t="str">
        <f>IF(ISBLANK(C469),"",
   IFERROR(
      IF(
         INDEX(DB_materiali!C$2:C$5000,
               MATCH(C469, DB_materiali!A$2:A$5000, 0)
         )="FALSE",
         "N",
         "Y"
      ),
   "")
)</f>
        <v/>
      </c>
      <c r="H469" s="20"/>
      <c r="I469" s="20"/>
      <c r="J469" s="20"/>
      <c r="K469" s="20"/>
      <c r="M469" s="2" t="str">
        <f>IF(ISBLANK(C469),"",IF(IFERROR(VLOOKUP(C469,DB_materiali!$A$2:$A$5000,1,FALSE),"Kļūda artikulā")=C469,"✔",tulkojums!A$42))</f>
        <v/>
      </c>
      <c r="N469" s="2" t="str">
        <f>IF(ISBLANK(C469),"",IF(ISNUMBER(F469)=TRUE,"✔",tulkojums!A$43))</f>
        <v/>
      </c>
      <c r="O469" s="2" t="str">
        <f>IF(ISBLANK(C469),"",IF(G469="Y","✔",IF(G469="X","✔",IF(G469="N","✔",tulkojums!A$44))))</f>
        <v/>
      </c>
      <c r="P469" s="2" t="str">
        <f>IF(ISBLANK(H469),"",IF(INDEX(DB_materiali!$E$2:$E$5000,MATCH($C469,DB_materiali!$A$2:$A$5000,0))&gt;=INDEX(DB_malas!$C$2:$C$5000,MATCH(H469,DB_malas!$A$2:$A$5000,0)),IF(INDEX(DB_materiali!$E$2:$E$5000,MATCH($C469,DB_materiali!$A$2:$A$5000,0))&lt;=INDEX(DB_malas!$D$2:$D$5000,MATCH(H469,DB_malas!$A$2:$A$5000,0)),IF(OR(INDEX(DB_materiali!$B$2:$B$5000,MATCH($C469,DB_materiali!$A$2:$A$5000,0))=INDEX(DB_malas!$B$2:$B$5000,MATCH(H469,DB_malas!$A$2:$A$5000,0)),$H469="ORG"),"✔",tulkojums!$A$38),tulkojums!$A$39),tulkojums!$A$39))</f>
        <v/>
      </c>
      <c r="Q469" s="2" t="str">
        <f>IF(ISBLANK(I469),"",IF(INDEX(DB_materiali!$E$2:$E$5000,MATCH($C469,DB_materiali!$A$2:$A$5000,0))&gt;=INDEX(DB_malas!$C$2:$C$5000,MATCH(I469,DB_malas!$A$2:$A$5000,0)),IF(INDEX(DB_materiali!$E$2:$E$5000,MATCH($C469,DB_materiali!$A$2:$A$5000,0))&lt;=INDEX(DB_malas!$D$2:$D$5000,MATCH(I469,DB_malas!$A$2:$A$5000,0)),IF(OR(INDEX(DB_materiali!$B$2:$B$5000,MATCH($C469,DB_materiali!$A$2:$A$5000,0))=INDEX(DB_malas!$B$2:$B$5000,MATCH(I469,DB_malas!$A$2:$A$5000,0)),$H469="ORG"),"✔",tulkojums!$A$38),tulkojums!$A$39),tulkojums!$A$39))</f>
        <v/>
      </c>
      <c r="R469" s="2" t="str">
        <f>IF(ISBLANK(J469),"",IF(INDEX(DB_materiali!$E$2:$E$5000,MATCH($C469,DB_materiali!$A$2:$A$5000,0))&gt;=INDEX(DB_malas!$C$2:$C$5000,MATCH(J469,DB_malas!$A$2:$A$5000,0)),IF(INDEX(DB_materiali!$E$2:$E$5000,MATCH($C469,DB_materiali!$A$2:$A$5000,0))&lt;=INDEX(DB_malas!$D$2:$D$5000,MATCH(J469,DB_malas!$A$2:$A$5000,0)),IF(INDEX(DB_materiali!$B$2:$B$5000,MATCH($C469,DB_materiali!$A$2:$A$5000,0))=INDEX(DB_malas!$B$2:$B$5000,MATCH(J469,DB_malas!$A$2:$A$5000,0)),"✔",tulkojums!$A$38),tulkojums!$A$39),tulkojums!$A$39))</f>
        <v/>
      </c>
      <c r="S469" s="2" t="str">
        <f>IF(ISBLANK(K469),"",IF(INDEX(DB_materiali!$E$2:$E$5000,MATCH($C469,DB_materiali!$A$2:$A$5000,0))&gt;=INDEX(DB_malas!$C$2:$C$5000,MATCH(K469,DB_malas!$A$2:$A$5000,0)),IF(INDEX(DB_materiali!$E$2:$E$5000,MATCH($C469,DB_materiali!$A$2:$A$5000,0))&lt;=INDEX(DB_malas!$D$2:$D$5000,MATCH(K469,DB_malas!$A$2:$A$5000,0)),IF(INDEX(DB_materiali!$B$2:$B$5000,MATCH($C469,DB_materiali!$A$2:$A$5000,0))=INDEX(DB_malas!$B$2:$B$5000,MATCH(K469,DB_malas!$A$2:$A$5000,0)),"✔",tulkojums!$A$38),tulkojums!$A$39),tulkojums!$A$39))</f>
        <v/>
      </c>
      <c r="T469" s="2"/>
      <c r="U469" s="2"/>
      <c r="V469" s="2"/>
      <c r="W469" s="2"/>
      <c r="X469" s="2"/>
      <c r="Y469" s="2"/>
      <c r="Z469" s="2"/>
    </row>
    <row r="470" spans="1:26" ht="15.75" customHeight="1">
      <c r="A470" s="17"/>
      <c r="B470" s="18"/>
      <c r="C470" s="19"/>
      <c r="D470" s="55"/>
      <c r="E470" s="55"/>
      <c r="F470" s="56"/>
      <c r="G470" s="57" t="str">
        <f>IF(ISBLANK(C470),"",
   IFERROR(
      IF(
         INDEX(DB_materiali!C$2:C$5000,
               MATCH(C470, DB_materiali!A$2:A$5000, 0)
         )="FALSE",
         "N",
         "Y"
      ),
   "")
)</f>
        <v/>
      </c>
      <c r="H470" s="20"/>
      <c r="I470" s="20"/>
      <c r="J470" s="20"/>
      <c r="K470" s="20"/>
      <c r="M470" s="2" t="str">
        <f>IF(ISBLANK(C470),"",IF(IFERROR(VLOOKUP(C470,DB_materiali!$A$2:$A$5000,1,FALSE),"Kļūda artikulā")=C470,"✔",tulkojums!A$42))</f>
        <v/>
      </c>
      <c r="N470" s="2" t="str">
        <f>IF(ISBLANK(C470),"",IF(ISNUMBER(F470)=TRUE,"✔",tulkojums!A$43))</f>
        <v/>
      </c>
      <c r="O470" s="2" t="str">
        <f>IF(ISBLANK(C470),"",IF(G470="Y","✔",IF(G470="X","✔",IF(G470="N","✔",tulkojums!A$44))))</f>
        <v/>
      </c>
      <c r="P470" s="2" t="str">
        <f>IF(ISBLANK(H470),"",IF(INDEX(DB_materiali!$E$2:$E$5000,MATCH($C470,DB_materiali!$A$2:$A$5000,0))&gt;=INDEX(DB_malas!$C$2:$C$5000,MATCH(H470,DB_malas!$A$2:$A$5000,0)),IF(INDEX(DB_materiali!$E$2:$E$5000,MATCH($C470,DB_materiali!$A$2:$A$5000,0))&lt;=INDEX(DB_malas!$D$2:$D$5000,MATCH(H470,DB_malas!$A$2:$A$5000,0)),IF(OR(INDEX(DB_materiali!$B$2:$B$5000,MATCH($C470,DB_materiali!$A$2:$A$5000,0))=INDEX(DB_malas!$B$2:$B$5000,MATCH(H470,DB_malas!$A$2:$A$5000,0)),$H470="ORG"),"✔",tulkojums!$A$38),tulkojums!$A$39),tulkojums!$A$39))</f>
        <v/>
      </c>
      <c r="Q470" s="2" t="str">
        <f>IF(ISBLANK(I470),"",IF(INDEX(DB_materiali!$E$2:$E$5000,MATCH($C470,DB_materiali!$A$2:$A$5000,0))&gt;=INDEX(DB_malas!$C$2:$C$5000,MATCH(I470,DB_malas!$A$2:$A$5000,0)),IF(INDEX(DB_materiali!$E$2:$E$5000,MATCH($C470,DB_materiali!$A$2:$A$5000,0))&lt;=INDEX(DB_malas!$D$2:$D$5000,MATCH(I470,DB_malas!$A$2:$A$5000,0)),IF(OR(INDEX(DB_materiali!$B$2:$B$5000,MATCH($C470,DB_materiali!$A$2:$A$5000,0))=INDEX(DB_malas!$B$2:$B$5000,MATCH(I470,DB_malas!$A$2:$A$5000,0)),$H470="ORG"),"✔",tulkojums!$A$38),tulkojums!$A$39),tulkojums!$A$39))</f>
        <v/>
      </c>
      <c r="R470" s="2" t="str">
        <f>IF(ISBLANK(J470),"",IF(INDEX(DB_materiali!$E$2:$E$5000,MATCH($C470,DB_materiali!$A$2:$A$5000,0))&gt;=INDEX(DB_malas!$C$2:$C$5000,MATCH(J470,DB_malas!$A$2:$A$5000,0)),IF(INDEX(DB_materiali!$E$2:$E$5000,MATCH($C470,DB_materiali!$A$2:$A$5000,0))&lt;=INDEX(DB_malas!$D$2:$D$5000,MATCH(J470,DB_malas!$A$2:$A$5000,0)),IF(INDEX(DB_materiali!$B$2:$B$5000,MATCH($C470,DB_materiali!$A$2:$A$5000,0))=INDEX(DB_malas!$B$2:$B$5000,MATCH(J470,DB_malas!$A$2:$A$5000,0)),"✔",tulkojums!$A$38),tulkojums!$A$39),tulkojums!$A$39))</f>
        <v/>
      </c>
      <c r="S470" s="2" t="str">
        <f>IF(ISBLANK(K470),"",IF(INDEX(DB_materiali!$E$2:$E$5000,MATCH($C470,DB_materiali!$A$2:$A$5000,0))&gt;=INDEX(DB_malas!$C$2:$C$5000,MATCH(K470,DB_malas!$A$2:$A$5000,0)),IF(INDEX(DB_materiali!$E$2:$E$5000,MATCH($C470,DB_materiali!$A$2:$A$5000,0))&lt;=INDEX(DB_malas!$D$2:$D$5000,MATCH(K470,DB_malas!$A$2:$A$5000,0)),IF(INDEX(DB_materiali!$B$2:$B$5000,MATCH($C470,DB_materiali!$A$2:$A$5000,0))=INDEX(DB_malas!$B$2:$B$5000,MATCH(K470,DB_malas!$A$2:$A$5000,0)),"✔",tulkojums!$A$38),tulkojums!$A$39),tulkojums!$A$39))</f>
        <v/>
      </c>
      <c r="T470" s="2"/>
      <c r="U470" s="2"/>
      <c r="V470" s="2"/>
      <c r="W470" s="2"/>
      <c r="X470" s="2"/>
      <c r="Y470" s="2"/>
      <c r="Z470" s="2"/>
    </row>
    <row r="471" spans="1:26" ht="15.75" customHeight="1">
      <c r="A471" s="17"/>
      <c r="B471" s="18"/>
      <c r="C471" s="19"/>
      <c r="D471" s="55"/>
      <c r="E471" s="55"/>
      <c r="F471" s="56"/>
      <c r="G471" s="57" t="str">
        <f>IF(ISBLANK(C471),"",
   IFERROR(
      IF(
         INDEX(DB_materiali!C$2:C$5000,
               MATCH(C471, DB_materiali!A$2:A$5000, 0)
         )="FALSE",
         "N",
         "Y"
      ),
   "")
)</f>
        <v/>
      </c>
      <c r="H471" s="20"/>
      <c r="I471" s="20"/>
      <c r="J471" s="20"/>
      <c r="K471" s="20"/>
      <c r="M471" s="2" t="str">
        <f>IF(ISBLANK(C471),"",IF(IFERROR(VLOOKUP(C471,DB_materiali!$A$2:$A$5000,1,FALSE),"Kļūda artikulā")=C471,"✔",tulkojums!A$42))</f>
        <v/>
      </c>
      <c r="N471" s="2" t="str">
        <f>IF(ISBLANK(C471),"",IF(ISNUMBER(F471)=TRUE,"✔",tulkojums!A$43))</f>
        <v/>
      </c>
      <c r="O471" s="2" t="str">
        <f>IF(ISBLANK(C471),"",IF(G471="Y","✔",IF(G471="X","✔",IF(G471="N","✔",tulkojums!A$44))))</f>
        <v/>
      </c>
      <c r="P471" s="2" t="str">
        <f>IF(ISBLANK(H471),"",IF(INDEX(DB_materiali!$E$2:$E$5000,MATCH($C471,DB_materiali!$A$2:$A$5000,0))&gt;=INDEX(DB_malas!$C$2:$C$5000,MATCH(H471,DB_malas!$A$2:$A$5000,0)),IF(INDEX(DB_materiali!$E$2:$E$5000,MATCH($C471,DB_materiali!$A$2:$A$5000,0))&lt;=INDEX(DB_malas!$D$2:$D$5000,MATCH(H471,DB_malas!$A$2:$A$5000,0)),IF(OR(INDEX(DB_materiali!$B$2:$B$5000,MATCH($C471,DB_materiali!$A$2:$A$5000,0))=INDEX(DB_malas!$B$2:$B$5000,MATCH(H471,DB_malas!$A$2:$A$5000,0)),$H471="ORG"),"✔",tulkojums!$A$38),tulkojums!$A$39),tulkojums!$A$39))</f>
        <v/>
      </c>
      <c r="Q471" s="2" t="str">
        <f>IF(ISBLANK(I471),"",IF(INDEX(DB_materiali!$E$2:$E$5000,MATCH($C471,DB_materiali!$A$2:$A$5000,0))&gt;=INDEX(DB_malas!$C$2:$C$5000,MATCH(I471,DB_malas!$A$2:$A$5000,0)),IF(INDEX(DB_materiali!$E$2:$E$5000,MATCH($C471,DB_materiali!$A$2:$A$5000,0))&lt;=INDEX(DB_malas!$D$2:$D$5000,MATCH(I471,DB_malas!$A$2:$A$5000,0)),IF(OR(INDEX(DB_materiali!$B$2:$B$5000,MATCH($C471,DB_materiali!$A$2:$A$5000,0))=INDEX(DB_malas!$B$2:$B$5000,MATCH(I471,DB_malas!$A$2:$A$5000,0)),$H471="ORG"),"✔",tulkojums!$A$38),tulkojums!$A$39),tulkojums!$A$39))</f>
        <v/>
      </c>
      <c r="R471" s="2" t="str">
        <f>IF(ISBLANK(J471),"",IF(INDEX(DB_materiali!$E$2:$E$5000,MATCH($C471,DB_materiali!$A$2:$A$5000,0))&gt;=INDEX(DB_malas!$C$2:$C$5000,MATCH(J471,DB_malas!$A$2:$A$5000,0)),IF(INDEX(DB_materiali!$E$2:$E$5000,MATCH($C471,DB_materiali!$A$2:$A$5000,0))&lt;=INDEX(DB_malas!$D$2:$D$5000,MATCH(J471,DB_malas!$A$2:$A$5000,0)),IF(INDEX(DB_materiali!$B$2:$B$5000,MATCH($C471,DB_materiali!$A$2:$A$5000,0))=INDEX(DB_malas!$B$2:$B$5000,MATCH(J471,DB_malas!$A$2:$A$5000,0)),"✔",tulkojums!$A$38),tulkojums!$A$39),tulkojums!$A$39))</f>
        <v/>
      </c>
      <c r="S471" s="2" t="str">
        <f>IF(ISBLANK(K471),"",IF(INDEX(DB_materiali!$E$2:$E$5000,MATCH($C471,DB_materiali!$A$2:$A$5000,0))&gt;=INDEX(DB_malas!$C$2:$C$5000,MATCH(K471,DB_malas!$A$2:$A$5000,0)),IF(INDEX(DB_materiali!$E$2:$E$5000,MATCH($C471,DB_materiali!$A$2:$A$5000,0))&lt;=INDEX(DB_malas!$D$2:$D$5000,MATCH(K471,DB_malas!$A$2:$A$5000,0)),IF(INDEX(DB_materiali!$B$2:$B$5000,MATCH($C471,DB_materiali!$A$2:$A$5000,0))=INDEX(DB_malas!$B$2:$B$5000,MATCH(K471,DB_malas!$A$2:$A$5000,0)),"✔",tulkojums!$A$38),tulkojums!$A$39),tulkojums!$A$39))</f>
        <v/>
      </c>
      <c r="T471" s="2"/>
      <c r="U471" s="2"/>
      <c r="V471" s="2"/>
      <c r="W471" s="2"/>
      <c r="X471" s="2"/>
      <c r="Y471" s="2"/>
      <c r="Z471" s="2"/>
    </row>
    <row r="472" spans="1:26" ht="15.75" customHeight="1">
      <c r="A472" s="17"/>
      <c r="B472" s="18"/>
      <c r="C472" s="19"/>
      <c r="D472" s="55"/>
      <c r="E472" s="55"/>
      <c r="F472" s="56"/>
      <c r="G472" s="57" t="str">
        <f>IF(ISBLANK(C472),"",
   IFERROR(
      IF(
         INDEX(DB_materiali!C$2:C$5000,
               MATCH(C472, DB_materiali!A$2:A$5000, 0)
         )="FALSE",
         "N",
         "Y"
      ),
   "")
)</f>
        <v/>
      </c>
      <c r="H472" s="20"/>
      <c r="I472" s="20"/>
      <c r="J472" s="20"/>
      <c r="K472" s="20"/>
      <c r="M472" s="2" t="str">
        <f>IF(ISBLANK(C472),"",IF(IFERROR(VLOOKUP(C472,DB_materiali!$A$2:$A$5000,1,FALSE),"Kļūda artikulā")=C472,"✔",tulkojums!A$42))</f>
        <v/>
      </c>
      <c r="N472" s="2" t="str">
        <f>IF(ISBLANK(C472),"",IF(ISNUMBER(F472)=TRUE,"✔",tulkojums!A$43))</f>
        <v/>
      </c>
      <c r="O472" s="2" t="str">
        <f>IF(ISBLANK(C472),"",IF(G472="Y","✔",IF(G472="X","✔",IF(G472="N","✔",tulkojums!A$44))))</f>
        <v/>
      </c>
      <c r="P472" s="2" t="str">
        <f>IF(ISBLANK(H472),"",IF(INDEX(DB_materiali!$E$2:$E$5000,MATCH($C472,DB_materiali!$A$2:$A$5000,0))&gt;=INDEX(DB_malas!$C$2:$C$5000,MATCH(H472,DB_malas!$A$2:$A$5000,0)),IF(INDEX(DB_materiali!$E$2:$E$5000,MATCH($C472,DB_materiali!$A$2:$A$5000,0))&lt;=INDEX(DB_malas!$D$2:$D$5000,MATCH(H472,DB_malas!$A$2:$A$5000,0)),IF(OR(INDEX(DB_materiali!$B$2:$B$5000,MATCH($C472,DB_materiali!$A$2:$A$5000,0))=INDEX(DB_malas!$B$2:$B$5000,MATCH(H472,DB_malas!$A$2:$A$5000,0)),$H472="ORG"),"✔",tulkojums!$A$38),tulkojums!$A$39),tulkojums!$A$39))</f>
        <v/>
      </c>
      <c r="Q472" s="2" t="str">
        <f>IF(ISBLANK(I472),"",IF(INDEX(DB_materiali!$E$2:$E$5000,MATCH($C472,DB_materiali!$A$2:$A$5000,0))&gt;=INDEX(DB_malas!$C$2:$C$5000,MATCH(I472,DB_malas!$A$2:$A$5000,0)),IF(INDEX(DB_materiali!$E$2:$E$5000,MATCH($C472,DB_materiali!$A$2:$A$5000,0))&lt;=INDEX(DB_malas!$D$2:$D$5000,MATCH(I472,DB_malas!$A$2:$A$5000,0)),IF(OR(INDEX(DB_materiali!$B$2:$B$5000,MATCH($C472,DB_materiali!$A$2:$A$5000,0))=INDEX(DB_malas!$B$2:$B$5000,MATCH(I472,DB_malas!$A$2:$A$5000,0)),$H472="ORG"),"✔",tulkojums!$A$38),tulkojums!$A$39),tulkojums!$A$39))</f>
        <v/>
      </c>
      <c r="R472" s="2" t="str">
        <f>IF(ISBLANK(J472),"",IF(INDEX(DB_materiali!$E$2:$E$5000,MATCH($C472,DB_materiali!$A$2:$A$5000,0))&gt;=INDEX(DB_malas!$C$2:$C$5000,MATCH(J472,DB_malas!$A$2:$A$5000,0)),IF(INDEX(DB_materiali!$E$2:$E$5000,MATCH($C472,DB_materiali!$A$2:$A$5000,0))&lt;=INDEX(DB_malas!$D$2:$D$5000,MATCH(J472,DB_malas!$A$2:$A$5000,0)),IF(INDEX(DB_materiali!$B$2:$B$5000,MATCH($C472,DB_materiali!$A$2:$A$5000,0))=INDEX(DB_malas!$B$2:$B$5000,MATCH(J472,DB_malas!$A$2:$A$5000,0)),"✔",tulkojums!$A$38),tulkojums!$A$39),tulkojums!$A$39))</f>
        <v/>
      </c>
      <c r="S472" s="2" t="str">
        <f>IF(ISBLANK(K472),"",IF(INDEX(DB_materiali!$E$2:$E$5000,MATCH($C472,DB_materiali!$A$2:$A$5000,0))&gt;=INDEX(DB_malas!$C$2:$C$5000,MATCH(K472,DB_malas!$A$2:$A$5000,0)),IF(INDEX(DB_materiali!$E$2:$E$5000,MATCH($C472,DB_materiali!$A$2:$A$5000,0))&lt;=INDEX(DB_malas!$D$2:$D$5000,MATCH(K472,DB_malas!$A$2:$A$5000,0)),IF(INDEX(DB_materiali!$B$2:$B$5000,MATCH($C472,DB_materiali!$A$2:$A$5000,0))=INDEX(DB_malas!$B$2:$B$5000,MATCH(K472,DB_malas!$A$2:$A$5000,0)),"✔",tulkojums!$A$38),tulkojums!$A$39),tulkojums!$A$39))</f>
        <v/>
      </c>
      <c r="T472" s="2"/>
      <c r="U472" s="2"/>
      <c r="V472" s="2"/>
      <c r="W472" s="2"/>
      <c r="X472" s="2"/>
      <c r="Y472" s="2"/>
      <c r="Z472" s="2"/>
    </row>
    <row r="473" spans="1:26" ht="15.75" customHeight="1">
      <c r="A473" s="17"/>
      <c r="B473" s="18"/>
      <c r="C473" s="19"/>
      <c r="D473" s="55"/>
      <c r="E473" s="55"/>
      <c r="F473" s="56"/>
      <c r="G473" s="57" t="str">
        <f>IF(ISBLANK(C473),"",
   IFERROR(
      IF(
         INDEX(DB_materiali!C$2:C$5000,
               MATCH(C473, DB_materiali!A$2:A$5000, 0)
         )="FALSE",
         "N",
         "Y"
      ),
   "")
)</f>
        <v/>
      </c>
      <c r="H473" s="20"/>
      <c r="I473" s="20"/>
      <c r="J473" s="20"/>
      <c r="K473" s="20"/>
      <c r="M473" s="2" t="str">
        <f>IF(ISBLANK(C473),"",IF(IFERROR(VLOOKUP(C473,DB_materiali!$A$2:$A$5000,1,FALSE),"Kļūda artikulā")=C473,"✔",tulkojums!A$42))</f>
        <v/>
      </c>
      <c r="N473" s="2" t="str">
        <f>IF(ISBLANK(C473),"",IF(ISNUMBER(F473)=TRUE,"✔",tulkojums!A$43))</f>
        <v/>
      </c>
      <c r="O473" s="2" t="str">
        <f>IF(ISBLANK(C473),"",IF(G473="Y","✔",IF(G473="X","✔",IF(G473="N","✔",tulkojums!A$44))))</f>
        <v/>
      </c>
      <c r="P473" s="2" t="str">
        <f>IF(ISBLANK(H473),"",IF(INDEX(DB_materiali!$E$2:$E$5000,MATCH($C473,DB_materiali!$A$2:$A$5000,0))&gt;=INDEX(DB_malas!$C$2:$C$5000,MATCH(H473,DB_malas!$A$2:$A$5000,0)),IF(INDEX(DB_materiali!$E$2:$E$5000,MATCH($C473,DB_materiali!$A$2:$A$5000,0))&lt;=INDEX(DB_malas!$D$2:$D$5000,MATCH(H473,DB_malas!$A$2:$A$5000,0)),IF(OR(INDEX(DB_materiali!$B$2:$B$5000,MATCH($C473,DB_materiali!$A$2:$A$5000,0))=INDEX(DB_malas!$B$2:$B$5000,MATCH(H473,DB_malas!$A$2:$A$5000,0)),$H473="ORG"),"✔",tulkojums!$A$38),tulkojums!$A$39),tulkojums!$A$39))</f>
        <v/>
      </c>
      <c r="Q473" s="2" t="str">
        <f>IF(ISBLANK(I473),"",IF(INDEX(DB_materiali!$E$2:$E$5000,MATCH($C473,DB_materiali!$A$2:$A$5000,0))&gt;=INDEX(DB_malas!$C$2:$C$5000,MATCH(I473,DB_malas!$A$2:$A$5000,0)),IF(INDEX(DB_materiali!$E$2:$E$5000,MATCH($C473,DB_materiali!$A$2:$A$5000,0))&lt;=INDEX(DB_malas!$D$2:$D$5000,MATCH(I473,DB_malas!$A$2:$A$5000,0)),IF(OR(INDEX(DB_materiali!$B$2:$B$5000,MATCH($C473,DB_materiali!$A$2:$A$5000,0))=INDEX(DB_malas!$B$2:$B$5000,MATCH(I473,DB_malas!$A$2:$A$5000,0)),$H473="ORG"),"✔",tulkojums!$A$38),tulkojums!$A$39),tulkojums!$A$39))</f>
        <v/>
      </c>
      <c r="R473" s="2" t="str">
        <f>IF(ISBLANK(J473),"",IF(INDEX(DB_materiali!$E$2:$E$5000,MATCH($C473,DB_materiali!$A$2:$A$5000,0))&gt;=INDEX(DB_malas!$C$2:$C$5000,MATCH(J473,DB_malas!$A$2:$A$5000,0)),IF(INDEX(DB_materiali!$E$2:$E$5000,MATCH($C473,DB_materiali!$A$2:$A$5000,0))&lt;=INDEX(DB_malas!$D$2:$D$5000,MATCH(J473,DB_malas!$A$2:$A$5000,0)),IF(INDEX(DB_materiali!$B$2:$B$5000,MATCH($C473,DB_materiali!$A$2:$A$5000,0))=INDEX(DB_malas!$B$2:$B$5000,MATCH(J473,DB_malas!$A$2:$A$5000,0)),"✔",tulkojums!$A$38),tulkojums!$A$39),tulkojums!$A$39))</f>
        <v/>
      </c>
      <c r="S473" s="2" t="str">
        <f>IF(ISBLANK(K473),"",IF(INDEX(DB_materiali!$E$2:$E$5000,MATCH($C473,DB_materiali!$A$2:$A$5000,0))&gt;=INDEX(DB_malas!$C$2:$C$5000,MATCH(K473,DB_malas!$A$2:$A$5000,0)),IF(INDEX(DB_materiali!$E$2:$E$5000,MATCH($C473,DB_materiali!$A$2:$A$5000,0))&lt;=INDEX(DB_malas!$D$2:$D$5000,MATCH(K473,DB_malas!$A$2:$A$5000,0)),IF(INDEX(DB_materiali!$B$2:$B$5000,MATCH($C473,DB_materiali!$A$2:$A$5000,0))=INDEX(DB_malas!$B$2:$B$5000,MATCH(K473,DB_malas!$A$2:$A$5000,0)),"✔",tulkojums!$A$38),tulkojums!$A$39),tulkojums!$A$39))</f>
        <v/>
      </c>
      <c r="T473" s="2"/>
      <c r="U473" s="2"/>
      <c r="V473" s="2"/>
      <c r="W473" s="2"/>
      <c r="X473" s="2"/>
      <c r="Y473" s="2"/>
      <c r="Z473" s="2"/>
    </row>
    <row r="474" spans="1:26" ht="15.75" customHeight="1">
      <c r="A474" s="17"/>
      <c r="B474" s="18"/>
      <c r="C474" s="19"/>
      <c r="D474" s="55"/>
      <c r="E474" s="55"/>
      <c r="F474" s="56"/>
      <c r="G474" s="57" t="str">
        <f>IF(ISBLANK(C474),"",
   IFERROR(
      IF(
         INDEX(DB_materiali!C$2:C$5000,
               MATCH(C474, DB_materiali!A$2:A$5000, 0)
         )="FALSE",
         "N",
         "Y"
      ),
   "")
)</f>
        <v/>
      </c>
      <c r="H474" s="20"/>
      <c r="I474" s="20"/>
      <c r="J474" s="20"/>
      <c r="K474" s="20"/>
      <c r="M474" s="2" t="str">
        <f>IF(ISBLANK(C474),"",IF(IFERROR(VLOOKUP(C474,DB_materiali!$A$2:$A$5000,1,FALSE),"Kļūda artikulā")=C474,"✔",tulkojums!A$42))</f>
        <v/>
      </c>
      <c r="N474" s="2" t="str">
        <f>IF(ISBLANK(C474),"",IF(ISNUMBER(F474)=TRUE,"✔",tulkojums!A$43))</f>
        <v/>
      </c>
      <c r="O474" s="2" t="str">
        <f>IF(ISBLANK(C474),"",IF(G474="Y","✔",IF(G474="X","✔",IF(G474="N","✔",tulkojums!A$44))))</f>
        <v/>
      </c>
      <c r="P474" s="2" t="str">
        <f>IF(ISBLANK(H474),"",IF(INDEX(DB_materiali!$E$2:$E$5000,MATCH($C474,DB_materiali!$A$2:$A$5000,0))&gt;=INDEX(DB_malas!$C$2:$C$5000,MATCH(H474,DB_malas!$A$2:$A$5000,0)),IF(INDEX(DB_materiali!$E$2:$E$5000,MATCH($C474,DB_materiali!$A$2:$A$5000,0))&lt;=INDEX(DB_malas!$D$2:$D$5000,MATCH(H474,DB_malas!$A$2:$A$5000,0)),IF(OR(INDEX(DB_materiali!$B$2:$B$5000,MATCH($C474,DB_materiali!$A$2:$A$5000,0))=INDEX(DB_malas!$B$2:$B$5000,MATCH(H474,DB_malas!$A$2:$A$5000,0)),$H474="ORG"),"✔",tulkojums!$A$38),tulkojums!$A$39),tulkojums!$A$39))</f>
        <v/>
      </c>
      <c r="Q474" s="2" t="str">
        <f>IF(ISBLANK(I474),"",IF(INDEX(DB_materiali!$E$2:$E$5000,MATCH($C474,DB_materiali!$A$2:$A$5000,0))&gt;=INDEX(DB_malas!$C$2:$C$5000,MATCH(I474,DB_malas!$A$2:$A$5000,0)),IF(INDEX(DB_materiali!$E$2:$E$5000,MATCH($C474,DB_materiali!$A$2:$A$5000,0))&lt;=INDEX(DB_malas!$D$2:$D$5000,MATCH(I474,DB_malas!$A$2:$A$5000,0)),IF(OR(INDEX(DB_materiali!$B$2:$B$5000,MATCH($C474,DB_materiali!$A$2:$A$5000,0))=INDEX(DB_malas!$B$2:$B$5000,MATCH(I474,DB_malas!$A$2:$A$5000,0)),$H474="ORG"),"✔",tulkojums!$A$38),tulkojums!$A$39),tulkojums!$A$39))</f>
        <v/>
      </c>
      <c r="R474" s="2" t="str">
        <f>IF(ISBLANK(J474),"",IF(INDEX(DB_materiali!$E$2:$E$5000,MATCH($C474,DB_materiali!$A$2:$A$5000,0))&gt;=INDEX(DB_malas!$C$2:$C$5000,MATCH(J474,DB_malas!$A$2:$A$5000,0)),IF(INDEX(DB_materiali!$E$2:$E$5000,MATCH($C474,DB_materiali!$A$2:$A$5000,0))&lt;=INDEX(DB_malas!$D$2:$D$5000,MATCH(J474,DB_malas!$A$2:$A$5000,0)),IF(INDEX(DB_materiali!$B$2:$B$5000,MATCH($C474,DB_materiali!$A$2:$A$5000,0))=INDEX(DB_malas!$B$2:$B$5000,MATCH(J474,DB_malas!$A$2:$A$5000,0)),"✔",tulkojums!$A$38),tulkojums!$A$39),tulkojums!$A$39))</f>
        <v/>
      </c>
      <c r="S474" s="2" t="str">
        <f>IF(ISBLANK(K474),"",IF(INDEX(DB_materiali!$E$2:$E$5000,MATCH($C474,DB_materiali!$A$2:$A$5000,0))&gt;=INDEX(DB_malas!$C$2:$C$5000,MATCH(K474,DB_malas!$A$2:$A$5000,0)),IF(INDEX(DB_materiali!$E$2:$E$5000,MATCH($C474,DB_materiali!$A$2:$A$5000,0))&lt;=INDEX(DB_malas!$D$2:$D$5000,MATCH(K474,DB_malas!$A$2:$A$5000,0)),IF(INDEX(DB_materiali!$B$2:$B$5000,MATCH($C474,DB_materiali!$A$2:$A$5000,0))=INDEX(DB_malas!$B$2:$B$5000,MATCH(K474,DB_malas!$A$2:$A$5000,0)),"✔",tulkojums!$A$38),tulkojums!$A$39),tulkojums!$A$39))</f>
        <v/>
      </c>
      <c r="T474" s="2"/>
      <c r="U474" s="2"/>
      <c r="V474" s="2"/>
      <c r="W474" s="2"/>
      <c r="X474" s="2"/>
      <c r="Y474" s="2"/>
      <c r="Z474" s="2"/>
    </row>
    <row r="475" spans="1:26" ht="15.75" customHeight="1">
      <c r="A475" s="17"/>
      <c r="B475" s="18"/>
      <c r="C475" s="19"/>
      <c r="D475" s="55"/>
      <c r="E475" s="55"/>
      <c r="F475" s="56"/>
      <c r="G475" s="57" t="str">
        <f>IF(ISBLANK(C475),"",
   IFERROR(
      IF(
         INDEX(DB_materiali!C$2:C$5000,
               MATCH(C475, DB_materiali!A$2:A$5000, 0)
         )="FALSE",
         "N",
         "Y"
      ),
   "")
)</f>
        <v/>
      </c>
      <c r="H475" s="20"/>
      <c r="I475" s="20"/>
      <c r="J475" s="20"/>
      <c r="K475" s="20"/>
      <c r="M475" s="2" t="str">
        <f>IF(ISBLANK(C475),"",IF(IFERROR(VLOOKUP(C475,DB_materiali!$A$2:$A$5000,1,FALSE),"Kļūda artikulā")=C475,"✔",tulkojums!A$42))</f>
        <v/>
      </c>
      <c r="N475" s="2" t="str">
        <f>IF(ISBLANK(C475),"",IF(ISNUMBER(F475)=TRUE,"✔",tulkojums!A$43))</f>
        <v/>
      </c>
      <c r="O475" s="2" t="str">
        <f>IF(ISBLANK(C475),"",IF(G475="Y","✔",IF(G475="X","✔",IF(G475="N","✔",tulkojums!A$44))))</f>
        <v/>
      </c>
      <c r="P475" s="2" t="str">
        <f>IF(ISBLANK(H475),"",IF(INDEX(DB_materiali!$E$2:$E$5000,MATCH($C475,DB_materiali!$A$2:$A$5000,0))&gt;=INDEX(DB_malas!$C$2:$C$5000,MATCH(H475,DB_malas!$A$2:$A$5000,0)),IF(INDEX(DB_materiali!$E$2:$E$5000,MATCH($C475,DB_materiali!$A$2:$A$5000,0))&lt;=INDEX(DB_malas!$D$2:$D$5000,MATCH(H475,DB_malas!$A$2:$A$5000,0)),IF(OR(INDEX(DB_materiali!$B$2:$B$5000,MATCH($C475,DB_materiali!$A$2:$A$5000,0))=INDEX(DB_malas!$B$2:$B$5000,MATCH(H475,DB_malas!$A$2:$A$5000,0)),$H475="ORG"),"✔",tulkojums!$A$38),tulkojums!$A$39),tulkojums!$A$39))</f>
        <v/>
      </c>
      <c r="Q475" s="2" t="str">
        <f>IF(ISBLANK(I475),"",IF(INDEX(DB_materiali!$E$2:$E$5000,MATCH($C475,DB_materiali!$A$2:$A$5000,0))&gt;=INDEX(DB_malas!$C$2:$C$5000,MATCH(I475,DB_malas!$A$2:$A$5000,0)),IF(INDEX(DB_materiali!$E$2:$E$5000,MATCH($C475,DB_materiali!$A$2:$A$5000,0))&lt;=INDEX(DB_malas!$D$2:$D$5000,MATCH(I475,DB_malas!$A$2:$A$5000,0)),IF(OR(INDEX(DB_materiali!$B$2:$B$5000,MATCH($C475,DB_materiali!$A$2:$A$5000,0))=INDEX(DB_malas!$B$2:$B$5000,MATCH(I475,DB_malas!$A$2:$A$5000,0)),$H475="ORG"),"✔",tulkojums!$A$38),tulkojums!$A$39),tulkojums!$A$39))</f>
        <v/>
      </c>
      <c r="R475" s="2" t="str">
        <f>IF(ISBLANK(J475),"",IF(INDEX(DB_materiali!$E$2:$E$5000,MATCH($C475,DB_materiali!$A$2:$A$5000,0))&gt;=INDEX(DB_malas!$C$2:$C$5000,MATCH(J475,DB_malas!$A$2:$A$5000,0)),IF(INDEX(DB_materiali!$E$2:$E$5000,MATCH($C475,DB_materiali!$A$2:$A$5000,0))&lt;=INDEX(DB_malas!$D$2:$D$5000,MATCH(J475,DB_malas!$A$2:$A$5000,0)),IF(INDEX(DB_materiali!$B$2:$B$5000,MATCH($C475,DB_materiali!$A$2:$A$5000,0))=INDEX(DB_malas!$B$2:$B$5000,MATCH(J475,DB_malas!$A$2:$A$5000,0)),"✔",tulkojums!$A$38),tulkojums!$A$39),tulkojums!$A$39))</f>
        <v/>
      </c>
      <c r="S475" s="2" t="str">
        <f>IF(ISBLANK(K475),"",IF(INDEX(DB_materiali!$E$2:$E$5000,MATCH($C475,DB_materiali!$A$2:$A$5000,0))&gt;=INDEX(DB_malas!$C$2:$C$5000,MATCH(K475,DB_malas!$A$2:$A$5000,0)),IF(INDEX(DB_materiali!$E$2:$E$5000,MATCH($C475,DB_materiali!$A$2:$A$5000,0))&lt;=INDEX(DB_malas!$D$2:$D$5000,MATCH(K475,DB_malas!$A$2:$A$5000,0)),IF(INDEX(DB_materiali!$B$2:$B$5000,MATCH($C475,DB_materiali!$A$2:$A$5000,0))=INDEX(DB_malas!$B$2:$B$5000,MATCH(K475,DB_malas!$A$2:$A$5000,0)),"✔",tulkojums!$A$38),tulkojums!$A$39),tulkojums!$A$39))</f>
        <v/>
      </c>
      <c r="T475" s="2"/>
      <c r="U475" s="2"/>
      <c r="V475" s="2"/>
      <c r="W475" s="2"/>
      <c r="X475" s="2"/>
      <c r="Y475" s="2"/>
      <c r="Z475" s="2"/>
    </row>
    <row r="476" spans="1:26" ht="15.75" customHeight="1">
      <c r="A476" s="17"/>
      <c r="B476" s="18"/>
      <c r="C476" s="19"/>
      <c r="D476" s="55"/>
      <c r="E476" s="55"/>
      <c r="F476" s="56"/>
      <c r="G476" s="57" t="str">
        <f>IF(ISBLANK(C476),"",
   IFERROR(
      IF(
         INDEX(DB_materiali!C$2:C$5000,
               MATCH(C476, DB_materiali!A$2:A$5000, 0)
         )="FALSE",
         "N",
         "Y"
      ),
   "")
)</f>
        <v/>
      </c>
      <c r="H476" s="20"/>
      <c r="I476" s="20"/>
      <c r="J476" s="20"/>
      <c r="K476" s="20"/>
      <c r="M476" s="2" t="str">
        <f>IF(ISBLANK(C476),"",IF(IFERROR(VLOOKUP(C476,DB_materiali!$A$2:$A$5000,1,FALSE),"Kļūda artikulā")=C476,"✔",tulkojums!A$42))</f>
        <v/>
      </c>
      <c r="N476" s="2" t="str">
        <f>IF(ISBLANK(C476),"",IF(ISNUMBER(F476)=TRUE,"✔",tulkojums!A$43))</f>
        <v/>
      </c>
      <c r="O476" s="2" t="str">
        <f>IF(ISBLANK(C476),"",IF(G476="Y","✔",IF(G476="X","✔",IF(G476="N","✔",tulkojums!A$44))))</f>
        <v/>
      </c>
      <c r="P476" s="2" t="str">
        <f>IF(ISBLANK(H476),"",IF(INDEX(DB_materiali!$E$2:$E$5000,MATCH($C476,DB_materiali!$A$2:$A$5000,0))&gt;=INDEX(DB_malas!$C$2:$C$5000,MATCH(H476,DB_malas!$A$2:$A$5000,0)),IF(INDEX(DB_materiali!$E$2:$E$5000,MATCH($C476,DB_materiali!$A$2:$A$5000,0))&lt;=INDEX(DB_malas!$D$2:$D$5000,MATCH(H476,DB_malas!$A$2:$A$5000,0)),IF(OR(INDEX(DB_materiali!$B$2:$B$5000,MATCH($C476,DB_materiali!$A$2:$A$5000,0))=INDEX(DB_malas!$B$2:$B$5000,MATCH(H476,DB_malas!$A$2:$A$5000,0)),$H476="ORG"),"✔",tulkojums!$A$38),tulkojums!$A$39),tulkojums!$A$39))</f>
        <v/>
      </c>
      <c r="Q476" s="2" t="str">
        <f>IF(ISBLANK(I476),"",IF(INDEX(DB_materiali!$E$2:$E$5000,MATCH($C476,DB_materiali!$A$2:$A$5000,0))&gt;=INDEX(DB_malas!$C$2:$C$5000,MATCH(I476,DB_malas!$A$2:$A$5000,0)),IF(INDEX(DB_materiali!$E$2:$E$5000,MATCH($C476,DB_materiali!$A$2:$A$5000,0))&lt;=INDEX(DB_malas!$D$2:$D$5000,MATCH(I476,DB_malas!$A$2:$A$5000,0)),IF(OR(INDEX(DB_materiali!$B$2:$B$5000,MATCH($C476,DB_materiali!$A$2:$A$5000,0))=INDEX(DB_malas!$B$2:$B$5000,MATCH(I476,DB_malas!$A$2:$A$5000,0)),$H476="ORG"),"✔",tulkojums!$A$38),tulkojums!$A$39),tulkojums!$A$39))</f>
        <v/>
      </c>
      <c r="R476" s="2" t="str">
        <f>IF(ISBLANK(J476),"",IF(INDEX(DB_materiali!$E$2:$E$5000,MATCH($C476,DB_materiali!$A$2:$A$5000,0))&gt;=INDEX(DB_malas!$C$2:$C$5000,MATCH(J476,DB_malas!$A$2:$A$5000,0)),IF(INDEX(DB_materiali!$E$2:$E$5000,MATCH($C476,DB_materiali!$A$2:$A$5000,0))&lt;=INDEX(DB_malas!$D$2:$D$5000,MATCH(J476,DB_malas!$A$2:$A$5000,0)),IF(INDEX(DB_materiali!$B$2:$B$5000,MATCH($C476,DB_materiali!$A$2:$A$5000,0))=INDEX(DB_malas!$B$2:$B$5000,MATCH(J476,DB_malas!$A$2:$A$5000,0)),"✔",tulkojums!$A$38),tulkojums!$A$39),tulkojums!$A$39))</f>
        <v/>
      </c>
      <c r="S476" s="2" t="str">
        <f>IF(ISBLANK(K476),"",IF(INDEX(DB_materiali!$E$2:$E$5000,MATCH($C476,DB_materiali!$A$2:$A$5000,0))&gt;=INDEX(DB_malas!$C$2:$C$5000,MATCH(K476,DB_malas!$A$2:$A$5000,0)),IF(INDEX(DB_materiali!$E$2:$E$5000,MATCH($C476,DB_materiali!$A$2:$A$5000,0))&lt;=INDEX(DB_malas!$D$2:$D$5000,MATCH(K476,DB_malas!$A$2:$A$5000,0)),IF(INDEX(DB_materiali!$B$2:$B$5000,MATCH($C476,DB_materiali!$A$2:$A$5000,0))=INDEX(DB_malas!$B$2:$B$5000,MATCH(K476,DB_malas!$A$2:$A$5000,0)),"✔",tulkojums!$A$38),tulkojums!$A$39),tulkojums!$A$39))</f>
        <v/>
      </c>
      <c r="T476" s="2"/>
      <c r="U476" s="2"/>
      <c r="V476" s="2"/>
      <c r="W476" s="2"/>
      <c r="X476" s="2"/>
      <c r="Y476" s="2"/>
      <c r="Z476" s="2"/>
    </row>
    <row r="477" spans="1:26" ht="15.75" customHeight="1">
      <c r="A477" s="17"/>
      <c r="B477" s="18"/>
      <c r="C477" s="19"/>
      <c r="D477" s="55"/>
      <c r="E477" s="55"/>
      <c r="F477" s="56"/>
      <c r="G477" s="57" t="str">
        <f>IF(ISBLANK(C477),"",
   IFERROR(
      IF(
         INDEX(DB_materiali!C$2:C$5000,
               MATCH(C477, DB_materiali!A$2:A$5000, 0)
         )="FALSE",
         "N",
         "Y"
      ),
   "")
)</f>
        <v/>
      </c>
      <c r="H477" s="20"/>
      <c r="I477" s="20"/>
      <c r="J477" s="20"/>
      <c r="K477" s="20"/>
      <c r="M477" s="2" t="str">
        <f>IF(ISBLANK(C477),"",IF(IFERROR(VLOOKUP(C477,DB_materiali!$A$2:$A$5000,1,FALSE),"Kļūda artikulā")=C477,"✔",tulkojums!A$42))</f>
        <v/>
      </c>
      <c r="N477" s="2" t="str">
        <f>IF(ISBLANK(C477),"",IF(ISNUMBER(F477)=TRUE,"✔",tulkojums!A$43))</f>
        <v/>
      </c>
      <c r="O477" s="2" t="str">
        <f>IF(ISBLANK(C477),"",IF(G477="Y","✔",IF(G477="X","✔",IF(G477="N","✔",tulkojums!A$44))))</f>
        <v/>
      </c>
      <c r="P477" s="2" t="str">
        <f>IF(ISBLANK(H477),"",IF(INDEX(DB_materiali!$E$2:$E$5000,MATCH($C477,DB_materiali!$A$2:$A$5000,0))&gt;=INDEX(DB_malas!$C$2:$C$5000,MATCH(H477,DB_malas!$A$2:$A$5000,0)),IF(INDEX(DB_materiali!$E$2:$E$5000,MATCH($C477,DB_materiali!$A$2:$A$5000,0))&lt;=INDEX(DB_malas!$D$2:$D$5000,MATCH(H477,DB_malas!$A$2:$A$5000,0)),IF(OR(INDEX(DB_materiali!$B$2:$B$5000,MATCH($C477,DB_materiali!$A$2:$A$5000,0))=INDEX(DB_malas!$B$2:$B$5000,MATCH(H477,DB_malas!$A$2:$A$5000,0)),$H477="ORG"),"✔",tulkojums!$A$38),tulkojums!$A$39),tulkojums!$A$39))</f>
        <v/>
      </c>
      <c r="Q477" s="2" t="str">
        <f>IF(ISBLANK(I477),"",IF(INDEX(DB_materiali!$E$2:$E$5000,MATCH($C477,DB_materiali!$A$2:$A$5000,0))&gt;=INDEX(DB_malas!$C$2:$C$5000,MATCH(I477,DB_malas!$A$2:$A$5000,0)),IF(INDEX(DB_materiali!$E$2:$E$5000,MATCH($C477,DB_materiali!$A$2:$A$5000,0))&lt;=INDEX(DB_malas!$D$2:$D$5000,MATCH(I477,DB_malas!$A$2:$A$5000,0)),IF(OR(INDEX(DB_materiali!$B$2:$B$5000,MATCH($C477,DB_materiali!$A$2:$A$5000,0))=INDEX(DB_malas!$B$2:$B$5000,MATCH(I477,DB_malas!$A$2:$A$5000,0)),$H477="ORG"),"✔",tulkojums!$A$38),tulkojums!$A$39),tulkojums!$A$39))</f>
        <v/>
      </c>
      <c r="R477" s="2" t="str">
        <f>IF(ISBLANK(J477),"",IF(INDEX(DB_materiali!$E$2:$E$5000,MATCH($C477,DB_materiali!$A$2:$A$5000,0))&gt;=INDEX(DB_malas!$C$2:$C$5000,MATCH(J477,DB_malas!$A$2:$A$5000,0)),IF(INDEX(DB_materiali!$E$2:$E$5000,MATCH($C477,DB_materiali!$A$2:$A$5000,0))&lt;=INDEX(DB_malas!$D$2:$D$5000,MATCH(J477,DB_malas!$A$2:$A$5000,0)),IF(INDEX(DB_materiali!$B$2:$B$5000,MATCH($C477,DB_materiali!$A$2:$A$5000,0))=INDEX(DB_malas!$B$2:$B$5000,MATCH(J477,DB_malas!$A$2:$A$5000,0)),"✔",tulkojums!$A$38),tulkojums!$A$39),tulkojums!$A$39))</f>
        <v/>
      </c>
      <c r="S477" s="2" t="str">
        <f>IF(ISBLANK(K477),"",IF(INDEX(DB_materiali!$E$2:$E$5000,MATCH($C477,DB_materiali!$A$2:$A$5000,0))&gt;=INDEX(DB_malas!$C$2:$C$5000,MATCH(K477,DB_malas!$A$2:$A$5000,0)),IF(INDEX(DB_materiali!$E$2:$E$5000,MATCH($C477,DB_materiali!$A$2:$A$5000,0))&lt;=INDEX(DB_malas!$D$2:$D$5000,MATCH(K477,DB_malas!$A$2:$A$5000,0)),IF(INDEX(DB_materiali!$B$2:$B$5000,MATCH($C477,DB_materiali!$A$2:$A$5000,0))=INDEX(DB_malas!$B$2:$B$5000,MATCH(K477,DB_malas!$A$2:$A$5000,0)),"✔",tulkojums!$A$38),tulkojums!$A$39),tulkojums!$A$39))</f>
        <v/>
      </c>
      <c r="T477" s="2"/>
      <c r="U477" s="2"/>
      <c r="V477" s="2"/>
      <c r="W477" s="2"/>
      <c r="X477" s="2"/>
      <c r="Y477" s="2"/>
      <c r="Z477" s="2"/>
    </row>
    <row r="478" spans="1:26" ht="15.75" customHeight="1">
      <c r="A478" s="17"/>
      <c r="B478" s="18"/>
      <c r="C478" s="19"/>
      <c r="D478" s="55"/>
      <c r="E478" s="55"/>
      <c r="F478" s="56"/>
      <c r="G478" s="57" t="str">
        <f>IF(ISBLANK(C478),"",
   IFERROR(
      IF(
         INDEX(DB_materiali!C$2:C$5000,
               MATCH(C478, DB_materiali!A$2:A$5000, 0)
         )="FALSE",
         "N",
         "Y"
      ),
   "")
)</f>
        <v/>
      </c>
      <c r="H478" s="20"/>
      <c r="I478" s="20"/>
      <c r="J478" s="20"/>
      <c r="K478" s="20"/>
      <c r="M478" s="2" t="str">
        <f>IF(ISBLANK(C478),"",IF(IFERROR(VLOOKUP(C478,DB_materiali!$A$2:$A$5000,1,FALSE),"Kļūda artikulā")=C478,"✔",tulkojums!A$42))</f>
        <v/>
      </c>
      <c r="N478" s="2" t="str">
        <f>IF(ISBLANK(C478),"",IF(ISNUMBER(F478)=TRUE,"✔",tulkojums!A$43))</f>
        <v/>
      </c>
      <c r="O478" s="2" t="str">
        <f>IF(ISBLANK(C478),"",IF(G478="Y","✔",IF(G478="X","✔",IF(G478="N","✔",tulkojums!A$44))))</f>
        <v/>
      </c>
      <c r="P478" s="2" t="str">
        <f>IF(ISBLANK(H478),"",IF(INDEX(DB_materiali!$E$2:$E$5000,MATCH($C478,DB_materiali!$A$2:$A$5000,0))&gt;=INDEX(DB_malas!$C$2:$C$5000,MATCH(H478,DB_malas!$A$2:$A$5000,0)),IF(INDEX(DB_materiali!$E$2:$E$5000,MATCH($C478,DB_materiali!$A$2:$A$5000,0))&lt;=INDEX(DB_malas!$D$2:$D$5000,MATCH(H478,DB_malas!$A$2:$A$5000,0)),IF(OR(INDEX(DB_materiali!$B$2:$B$5000,MATCH($C478,DB_materiali!$A$2:$A$5000,0))=INDEX(DB_malas!$B$2:$B$5000,MATCH(H478,DB_malas!$A$2:$A$5000,0)),$H478="ORG"),"✔",tulkojums!$A$38),tulkojums!$A$39),tulkojums!$A$39))</f>
        <v/>
      </c>
      <c r="Q478" s="2" t="str">
        <f>IF(ISBLANK(I478),"",IF(INDEX(DB_materiali!$E$2:$E$5000,MATCH($C478,DB_materiali!$A$2:$A$5000,0))&gt;=INDEX(DB_malas!$C$2:$C$5000,MATCH(I478,DB_malas!$A$2:$A$5000,0)),IF(INDEX(DB_materiali!$E$2:$E$5000,MATCH($C478,DB_materiali!$A$2:$A$5000,0))&lt;=INDEX(DB_malas!$D$2:$D$5000,MATCH(I478,DB_malas!$A$2:$A$5000,0)),IF(OR(INDEX(DB_materiali!$B$2:$B$5000,MATCH($C478,DB_materiali!$A$2:$A$5000,0))=INDEX(DB_malas!$B$2:$B$5000,MATCH(I478,DB_malas!$A$2:$A$5000,0)),$H478="ORG"),"✔",tulkojums!$A$38),tulkojums!$A$39),tulkojums!$A$39))</f>
        <v/>
      </c>
      <c r="R478" s="2" t="str">
        <f>IF(ISBLANK(J478),"",IF(INDEX(DB_materiali!$E$2:$E$5000,MATCH($C478,DB_materiali!$A$2:$A$5000,0))&gt;=INDEX(DB_malas!$C$2:$C$5000,MATCH(J478,DB_malas!$A$2:$A$5000,0)),IF(INDEX(DB_materiali!$E$2:$E$5000,MATCH($C478,DB_materiali!$A$2:$A$5000,0))&lt;=INDEX(DB_malas!$D$2:$D$5000,MATCH(J478,DB_malas!$A$2:$A$5000,0)),IF(INDEX(DB_materiali!$B$2:$B$5000,MATCH($C478,DB_materiali!$A$2:$A$5000,0))=INDEX(DB_malas!$B$2:$B$5000,MATCH(J478,DB_malas!$A$2:$A$5000,0)),"✔",tulkojums!$A$38),tulkojums!$A$39),tulkojums!$A$39))</f>
        <v/>
      </c>
      <c r="S478" s="2" t="str">
        <f>IF(ISBLANK(K478),"",IF(INDEX(DB_materiali!$E$2:$E$5000,MATCH($C478,DB_materiali!$A$2:$A$5000,0))&gt;=INDEX(DB_malas!$C$2:$C$5000,MATCH(K478,DB_malas!$A$2:$A$5000,0)),IF(INDEX(DB_materiali!$E$2:$E$5000,MATCH($C478,DB_materiali!$A$2:$A$5000,0))&lt;=INDEX(DB_malas!$D$2:$D$5000,MATCH(K478,DB_malas!$A$2:$A$5000,0)),IF(INDEX(DB_materiali!$B$2:$B$5000,MATCH($C478,DB_materiali!$A$2:$A$5000,0))=INDEX(DB_malas!$B$2:$B$5000,MATCH(K478,DB_malas!$A$2:$A$5000,0)),"✔",tulkojums!$A$38),tulkojums!$A$39),tulkojums!$A$39))</f>
        <v/>
      </c>
      <c r="T478" s="2"/>
      <c r="U478" s="2"/>
      <c r="V478" s="2"/>
      <c r="W478" s="2"/>
      <c r="X478" s="2"/>
      <c r="Y478" s="2"/>
      <c r="Z478" s="2"/>
    </row>
    <row r="479" spans="1:26" ht="15.75" customHeight="1">
      <c r="A479" s="17"/>
      <c r="B479" s="18"/>
      <c r="C479" s="19"/>
      <c r="D479" s="55"/>
      <c r="E479" s="55"/>
      <c r="F479" s="56"/>
      <c r="G479" s="57" t="str">
        <f>IF(ISBLANK(C479),"",
   IFERROR(
      IF(
         INDEX(DB_materiali!C$2:C$5000,
               MATCH(C479, DB_materiali!A$2:A$5000, 0)
         )="FALSE",
         "N",
         "Y"
      ),
   "")
)</f>
        <v/>
      </c>
      <c r="H479" s="20"/>
      <c r="I479" s="20"/>
      <c r="J479" s="20"/>
      <c r="K479" s="20"/>
      <c r="M479" s="2" t="str">
        <f>IF(ISBLANK(C479),"",IF(IFERROR(VLOOKUP(C479,DB_materiali!$A$2:$A$5000,1,FALSE),"Kļūda artikulā")=C479,"✔",tulkojums!A$42))</f>
        <v/>
      </c>
      <c r="N479" s="2" t="str">
        <f>IF(ISBLANK(C479),"",IF(ISNUMBER(F479)=TRUE,"✔",tulkojums!A$43))</f>
        <v/>
      </c>
      <c r="O479" s="2" t="str">
        <f>IF(ISBLANK(C479),"",IF(G479="Y","✔",IF(G479="X","✔",IF(G479="N","✔",tulkojums!A$44))))</f>
        <v/>
      </c>
      <c r="P479" s="2" t="str">
        <f>IF(ISBLANK(H479),"",IF(INDEX(DB_materiali!$E$2:$E$5000,MATCH($C479,DB_materiali!$A$2:$A$5000,0))&gt;=INDEX(DB_malas!$C$2:$C$5000,MATCH(H479,DB_malas!$A$2:$A$5000,0)),IF(INDEX(DB_materiali!$E$2:$E$5000,MATCH($C479,DB_materiali!$A$2:$A$5000,0))&lt;=INDEX(DB_malas!$D$2:$D$5000,MATCH(H479,DB_malas!$A$2:$A$5000,0)),IF(OR(INDEX(DB_materiali!$B$2:$B$5000,MATCH($C479,DB_materiali!$A$2:$A$5000,0))=INDEX(DB_malas!$B$2:$B$5000,MATCH(H479,DB_malas!$A$2:$A$5000,0)),$H479="ORG"),"✔",tulkojums!$A$38),tulkojums!$A$39),tulkojums!$A$39))</f>
        <v/>
      </c>
      <c r="Q479" s="2" t="str">
        <f>IF(ISBLANK(I479),"",IF(INDEX(DB_materiali!$E$2:$E$5000,MATCH($C479,DB_materiali!$A$2:$A$5000,0))&gt;=INDEX(DB_malas!$C$2:$C$5000,MATCH(I479,DB_malas!$A$2:$A$5000,0)),IF(INDEX(DB_materiali!$E$2:$E$5000,MATCH($C479,DB_materiali!$A$2:$A$5000,0))&lt;=INDEX(DB_malas!$D$2:$D$5000,MATCH(I479,DB_malas!$A$2:$A$5000,0)),IF(OR(INDEX(DB_materiali!$B$2:$B$5000,MATCH($C479,DB_materiali!$A$2:$A$5000,0))=INDEX(DB_malas!$B$2:$B$5000,MATCH(I479,DB_malas!$A$2:$A$5000,0)),$H479="ORG"),"✔",tulkojums!$A$38),tulkojums!$A$39),tulkojums!$A$39))</f>
        <v/>
      </c>
      <c r="R479" s="2" t="str">
        <f>IF(ISBLANK(J479),"",IF(INDEX(DB_materiali!$E$2:$E$5000,MATCH($C479,DB_materiali!$A$2:$A$5000,0))&gt;=INDEX(DB_malas!$C$2:$C$5000,MATCH(J479,DB_malas!$A$2:$A$5000,0)),IF(INDEX(DB_materiali!$E$2:$E$5000,MATCH($C479,DB_materiali!$A$2:$A$5000,0))&lt;=INDEX(DB_malas!$D$2:$D$5000,MATCH(J479,DB_malas!$A$2:$A$5000,0)),IF(INDEX(DB_materiali!$B$2:$B$5000,MATCH($C479,DB_materiali!$A$2:$A$5000,0))=INDEX(DB_malas!$B$2:$B$5000,MATCH(J479,DB_malas!$A$2:$A$5000,0)),"✔",tulkojums!$A$38),tulkojums!$A$39),tulkojums!$A$39))</f>
        <v/>
      </c>
      <c r="S479" s="2" t="str">
        <f>IF(ISBLANK(K479),"",IF(INDEX(DB_materiali!$E$2:$E$5000,MATCH($C479,DB_materiali!$A$2:$A$5000,0))&gt;=INDEX(DB_malas!$C$2:$C$5000,MATCH(K479,DB_malas!$A$2:$A$5000,0)),IF(INDEX(DB_materiali!$E$2:$E$5000,MATCH($C479,DB_materiali!$A$2:$A$5000,0))&lt;=INDEX(DB_malas!$D$2:$D$5000,MATCH(K479,DB_malas!$A$2:$A$5000,0)),IF(INDEX(DB_materiali!$B$2:$B$5000,MATCH($C479,DB_materiali!$A$2:$A$5000,0))=INDEX(DB_malas!$B$2:$B$5000,MATCH(K479,DB_malas!$A$2:$A$5000,0)),"✔",tulkojums!$A$38),tulkojums!$A$39),tulkojums!$A$39))</f>
        <v/>
      </c>
      <c r="T479" s="2"/>
      <c r="U479" s="2"/>
      <c r="V479" s="2"/>
      <c r="W479" s="2"/>
      <c r="X479" s="2"/>
      <c r="Y479" s="2"/>
      <c r="Z479" s="2"/>
    </row>
    <row r="480" spans="1:26" ht="15.75" customHeight="1">
      <c r="A480" s="17"/>
      <c r="B480" s="18"/>
      <c r="C480" s="19"/>
      <c r="D480" s="55"/>
      <c r="E480" s="55"/>
      <c r="F480" s="56"/>
      <c r="G480" s="57" t="str">
        <f>IF(ISBLANK(C480),"",
   IFERROR(
      IF(
         INDEX(DB_materiali!C$2:C$5000,
               MATCH(C480, DB_materiali!A$2:A$5000, 0)
         )="FALSE",
         "N",
         "Y"
      ),
   "")
)</f>
        <v/>
      </c>
      <c r="H480" s="20"/>
      <c r="I480" s="20"/>
      <c r="J480" s="20"/>
      <c r="K480" s="20"/>
      <c r="M480" s="2" t="str">
        <f>IF(ISBLANK(C480),"",IF(IFERROR(VLOOKUP(C480,DB_materiali!$A$2:$A$5000,1,FALSE),"Kļūda artikulā")=C480,"✔",tulkojums!A$42))</f>
        <v/>
      </c>
      <c r="N480" s="2" t="str">
        <f>IF(ISBLANK(C480),"",IF(ISNUMBER(F480)=TRUE,"✔",tulkojums!A$43))</f>
        <v/>
      </c>
      <c r="O480" s="2" t="str">
        <f>IF(ISBLANK(C480),"",IF(G480="Y","✔",IF(G480="X","✔",IF(G480="N","✔",tulkojums!A$44))))</f>
        <v/>
      </c>
      <c r="P480" s="2" t="str">
        <f>IF(ISBLANK(H480),"",IF(INDEX(DB_materiali!$E$2:$E$5000,MATCH($C480,DB_materiali!$A$2:$A$5000,0))&gt;=INDEX(DB_malas!$C$2:$C$5000,MATCH(H480,DB_malas!$A$2:$A$5000,0)),IF(INDEX(DB_materiali!$E$2:$E$5000,MATCH($C480,DB_materiali!$A$2:$A$5000,0))&lt;=INDEX(DB_malas!$D$2:$D$5000,MATCH(H480,DB_malas!$A$2:$A$5000,0)),IF(OR(INDEX(DB_materiali!$B$2:$B$5000,MATCH($C480,DB_materiali!$A$2:$A$5000,0))=INDEX(DB_malas!$B$2:$B$5000,MATCH(H480,DB_malas!$A$2:$A$5000,0)),$H480="ORG"),"✔",tulkojums!$A$38),tulkojums!$A$39),tulkojums!$A$39))</f>
        <v/>
      </c>
      <c r="Q480" s="2" t="str">
        <f>IF(ISBLANK(I480),"",IF(INDEX(DB_materiali!$E$2:$E$5000,MATCH($C480,DB_materiali!$A$2:$A$5000,0))&gt;=INDEX(DB_malas!$C$2:$C$5000,MATCH(I480,DB_malas!$A$2:$A$5000,0)),IF(INDEX(DB_materiali!$E$2:$E$5000,MATCH($C480,DB_materiali!$A$2:$A$5000,0))&lt;=INDEX(DB_malas!$D$2:$D$5000,MATCH(I480,DB_malas!$A$2:$A$5000,0)),IF(OR(INDEX(DB_materiali!$B$2:$B$5000,MATCH($C480,DB_materiali!$A$2:$A$5000,0))=INDEX(DB_malas!$B$2:$B$5000,MATCH(I480,DB_malas!$A$2:$A$5000,0)),$H480="ORG"),"✔",tulkojums!$A$38),tulkojums!$A$39),tulkojums!$A$39))</f>
        <v/>
      </c>
      <c r="R480" s="2" t="str">
        <f>IF(ISBLANK(J480),"",IF(INDEX(DB_materiali!$E$2:$E$5000,MATCH($C480,DB_materiali!$A$2:$A$5000,0))&gt;=INDEX(DB_malas!$C$2:$C$5000,MATCH(J480,DB_malas!$A$2:$A$5000,0)),IF(INDEX(DB_materiali!$E$2:$E$5000,MATCH($C480,DB_materiali!$A$2:$A$5000,0))&lt;=INDEX(DB_malas!$D$2:$D$5000,MATCH(J480,DB_malas!$A$2:$A$5000,0)),IF(INDEX(DB_materiali!$B$2:$B$5000,MATCH($C480,DB_materiali!$A$2:$A$5000,0))=INDEX(DB_malas!$B$2:$B$5000,MATCH(J480,DB_malas!$A$2:$A$5000,0)),"✔",tulkojums!$A$38),tulkojums!$A$39),tulkojums!$A$39))</f>
        <v/>
      </c>
      <c r="S480" s="2" t="str">
        <f>IF(ISBLANK(K480),"",IF(INDEX(DB_materiali!$E$2:$E$5000,MATCH($C480,DB_materiali!$A$2:$A$5000,0))&gt;=INDEX(DB_malas!$C$2:$C$5000,MATCH(K480,DB_malas!$A$2:$A$5000,0)),IF(INDEX(DB_materiali!$E$2:$E$5000,MATCH($C480,DB_materiali!$A$2:$A$5000,0))&lt;=INDEX(DB_malas!$D$2:$D$5000,MATCH(K480,DB_malas!$A$2:$A$5000,0)),IF(INDEX(DB_materiali!$B$2:$B$5000,MATCH($C480,DB_materiali!$A$2:$A$5000,0))=INDEX(DB_malas!$B$2:$B$5000,MATCH(K480,DB_malas!$A$2:$A$5000,0)),"✔",tulkojums!$A$38),tulkojums!$A$39),tulkojums!$A$39))</f>
        <v/>
      </c>
      <c r="T480" s="2"/>
      <c r="U480" s="2"/>
      <c r="V480" s="2"/>
      <c r="W480" s="2"/>
      <c r="X480" s="2"/>
      <c r="Y480" s="2"/>
      <c r="Z480" s="2"/>
    </row>
    <row r="481" spans="1:26" ht="15.75" customHeight="1">
      <c r="A481" s="17"/>
      <c r="B481" s="18"/>
      <c r="C481" s="19"/>
      <c r="D481" s="55"/>
      <c r="E481" s="55"/>
      <c r="F481" s="56"/>
      <c r="G481" s="57" t="str">
        <f>IF(ISBLANK(C481),"",
   IFERROR(
      IF(
         INDEX(DB_materiali!C$2:C$5000,
               MATCH(C481, DB_materiali!A$2:A$5000, 0)
         )="FALSE",
         "N",
         "Y"
      ),
   "")
)</f>
        <v/>
      </c>
      <c r="H481" s="20"/>
      <c r="I481" s="20"/>
      <c r="J481" s="20"/>
      <c r="K481" s="20"/>
      <c r="M481" s="2" t="str">
        <f>IF(ISBLANK(C481),"",IF(IFERROR(VLOOKUP(C481,DB_materiali!$A$2:$A$5000,1,FALSE),"Kļūda artikulā")=C481,"✔",tulkojums!A$42))</f>
        <v/>
      </c>
      <c r="N481" s="2" t="str">
        <f>IF(ISBLANK(C481),"",IF(ISNUMBER(F481)=TRUE,"✔",tulkojums!A$43))</f>
        <v/>
      </c>
      <c r="O481" s="2" t="str">
        <f>IF(ISBLANK(C481),"",IF(G481="Y","✔",IF(G481="X","✔",IF(G481="N","✔",tulkojums!A$44))))</f>
        <v/>
      </c>
      <c r="P481" s="2" t="str">
        <f>IF(ISBLANK(H481),"",IF(INDEX(DB_materiali!$E$2:$E$5000,MATCH($C481,DB_materiali!$A$2:$A$5000,0))&gt;=INDEX(DB_malas!$C$2:$C$5000,MATCH(H481,DB_malas!$A$2:$A$5000,0)),IF(INDEX(DB_materiali!$E$2:$E$5000,MATCH($C481,DB_materiali!$A$2:$A$5000,0))&lt;=INDEX(DB_malas!$D$2:$D$5000,MATCH(H481,DB_malas!$A$2:$A$5000,0)),IF(OR(INDEX(DB_materiali!$B$2:$B$5000,MATCH($C481,DB_materiali!$A$2:$A$5000,0))=INDEX(DB_malas!$B$2:$B$5000,MATCH(H481,DB_malas!$A$2:$A$5000,0)),$H481="ORG"),"✔",tulkojums!$A$38),tulkojums!$A$39),tulkojums!$A$39))</f>
        <v/>
      </c>
      <c r="Q481" s="2" t="str">
        <f>IF(ISBLANK(I481),"",IF(INDEX(DB_materiali!$E$2:$E$5000,MATCH($C481,DB_materiali!$A$2:$A$5000,0))&gt;=INDEX(DB_malas!$C$2:$C$5000,MATCH(I481,DB_malas!$A$2:$A$5000,0)),IF(INDEX(DB_materiali!$E$2:$E$5000,MATCH($C481,DB_materiali!$A$2:$A$5000,0))&lt;=INDEX(DB_malas!$D$2:$D$5000,MATCH(I481,DB_malas!$A$2:$A$5000,0)),IF(OR(INDEX(DB_materiali!$B$2:$B$5000,MATCH($C481,DB_materiali!$A$2:$A$5000,0))=INDEX(DB_malas!$B$2:$B$5000,MATCH(I481,DB_malas!$A$2:$A$5000,0)),$H481="ORG"),"✔",tulkojums!$A$38),tulkojums!$A$39),tulkojums!$A$39))</f>
        <v/>
      </c>
      <c r="R481" s="2" t="str">
        <f>IF(ISBLANK(J481),"",IF(INDEX(DB_materiali!$E$2:$E$5000,MATCH($C481,DB_materiali!$A$2:$A$5000,0))&gt;=INDEX(DB_malas!$C$2:$C$5000,MATCH(J481,DB_malas!$A$2:$A$5000,0)),IF(INDEX(DB_materiali!$E$2:$E$5000,MATCH($C481,DB_materiali!$A$2:$A$5000,0))&lt;=INDEX(DB_malas!$D$2:$D$5000,MATCH(J481,DB_malas!$A$2:$A$5000,0)),IF(INDEX(DB_materiali!$B$2:$B$5000,MATCH($C481,DB_materiali!$A$2:$A$5000,0))=INDEX(DB_malas!$B$2:$B$5000,MATCH(J481,DB_malas!$A$2:$A$5000,0)),"✔",tulkojums!$A$38),tulkojums!$A$39),tulkojums!$A$39))</f>
        <v/>
      </c>
      <c r="S481" s="2" t="str">
        <f>IF(ISBLANK(K481),"",IF(INDEX(DB_materiali!$E$2:$E$5000,MATCH($C481,DB_materiali!$A$2:$A$5000,0))&gt;=INDEX(DB_malas!$C$2:$C$5000,MATCH(K481,DB_malas!$A$2:$A$5000,0)),IF(INDEX(DB_materiali!$E$2:$E$5000,MATCH($C481,DB_materiali!$A$2:$A$5000,0))&lt;=INDEX(DB_malas!$D$2:$D$5000,MATCH(K481,DB_malas!$A$2:$A$5000,0)),IF(INDEX(DB_materiali!$B$2:$B$5000,MATCH($C481,DB_materiali!$A$2:$A$5000,0))=INDEX(DB_malas!$B$2:$B$5000,MATCH(K481,DB_malas!$A$2:$A$5000,0)),"✔",tulkojums!$A$38),tulkojums!$A$39),tulkojums!$A$39))</f>
        <v/>
      </c>
      <c r="T481" s="2"/>
      <c r="U481" s="2"/>
      <c r="V481" s="2"/>
      <c r="W481" s="2"/>
      <c r="X481" s="2"/>
      <c r="Y481" s="2"/>
      <c r="Z481" s="2"/>
    </row>
    <row r="482" spans="1:26" ht="15.75" customHeight="1">
      <c r="A482" s="17"/>
      <c r="B482" s="18"/>
      <c r="C482" s="19"/>
      <c r="D482" s="55"/>
      <c r="E482" s="55"/>
      <c r="F482" s="56"/>
      <c r="G482" s="57" t="str">
        <f>IF(ISBLANK(C482),"",
   IFERROR(
      IF(
         INDEX(DB_materiali!C$2:C$5000,
               MATCH(C482, DB_materiali!A$2:A$5000, 0)
         )="FALSE",
         "N",
         "Y"
      ),
   "")
)</f>
        <v/>
      </c>
      <c r="H482" s="20"/>
      <c r="I482" s="20"/>
      <c r="J482" s="20"/>
      <c r="K482" s="20"/>
      <c r="M482" s="2" t="str">
        <f>IF(ISBLANK(C482),"",IF(IFERROR(VLOOKUP(C482,DB_materiali!$A$2:$A$5000,1,FALSE),"Kļūda artikulā")=C482,"✔",tulkojums!A$42))</f>
        <v/>
      </c>
      <c r="N482" s="2" t="str">
        <f>IF(ISBLANK(C482),"",IF(ISNUMBER(F482)=TRUE,"✔",tulkojums!A$43))</f>
        <v/>
      </c>
      <c r="O482" s="2" t="str">
        <f>IF(ISBLANK(C482),"",IF(G482="Y","✔",IF(G482="X","✔",IF(G482="N","✔",tulkojums!A$44))))</f>
        <v/>
      </c>
      <c r="P482" s="2" t="str">
        <f>IF(ISBLANK(H482),"",IF(INDEX(DB_materiali!$E$2:$E$5000,MATCH($C482,DB_materiali!$A$2:$A$5000,0))&gt;=INDEX(DB_malas!$C$2:$C$5000,MATCH(H482,DB_malas!$A$2:$A$5000,0)),IF(INDEX(DB_materiali!$E$2:$E$5000,MATCH($C482,DB_materiali!$A$2:$A$5000,0))&lt;=INDEX(DB_malas!$D$2:$D$5000,MATCH(H482,DB_malas!$A$2:$A$5000,0)),IF(OR(INDEX(DB_materiali!$B$2:$B$5000,MATCH($C482,DB_materiali!$A$2:$A$5000,0))=INDEX(DB_malas!$B$2:$B$5000,MATCH(H482,DB_malas!$A$2:$A$5000,0)),$H482="ORG"),"✔",tulkojums!$A$38),tulkojums!$A$39),tulkojums!$A$39))</f>
        <v/>
      </c>
      <c r="Q482" s="2" t="str">
        <f>IF(ISBLANK(I482),"",IF(INDEX(DB_materiali!$E$2:$E$5000,MATCH($C482,DB_materiali!$A$2:$A$5000,0))&gt;=INDEX(DB_malas!$C$2:$C$5000,MATCH(I482,DB_malas!$A$2:$A$5000,0)),IF(INDEX(DB_materiali!$E$2:$E$5000,MATCH($C482,DB_materiali!$A$2:$A$5000,0))&lt;=INDEX(DB_malas!$D$2:$D$5000,MATCH(I482,DB_malas!$A$2:$A$5000,0)),IF(OR(INDEX(DB_materiali!$B$2:$B$5000,MATCH($C482,DB_materiali!$A$2:$A$5000,0))=INDEX(DB_malas!$B$2:$B$5000,MATCH(I482,DB_malas!$A$2:$A$5000,0)),$H482="ORG"),"✔",tulkojums!$A$38),tulkojums!$A$39),tulkojums!$A$39))</f>
        <v/>
      </c>
      <c r="R482" s="2" t="str">
        <f>IF(ISBLANK(J482),"",IF(INDEX(DB_materiali!$E$2:$E$5000,MATCH($C482,DB_materiali!$A$2:$A$5000,0))&gt;=INDEX(DB_malas!$C$2:$C$5000,MATCH(J482,DB_malas!$A$2:$A$5000,0)),IF(INDEX(DB_materiali!$E$2:$E$5000,MATCH($C482,DB_materiali!$A$2:$A$5000,0))&lt;=INDEX(DB_malas!$D$2:$D$5000,MATCH(J482,DB_malas!$A$2:$A$5000,0)),IF(INDEX(DB_materiali!$B$2:$B$5000,MATCH($C482,DB_materiali!$A$2:$A$5000,0))=INDEX(DB_malas!$B$2:$B$5000,MATCH(J482,DB_malas!$A$2:$A$5000,0)),"✔",tulkojums!$A$38),tulkojums!$A$39),tulkojums!$A$39))</f>
        <v/>
      </c>
      <c r="S482" s="2" t="str">
        <f>IF(ISBLANK(K482),"",IF(INDEX(DB_materiali!$E$2:$E$5000,MATCH($C482,DB_materiali!$A$2:$A$5000,0))&gt;=INDEX(DB_malas!$C$2:$C$5000,MATCH(K482,DB_malas!$A$2:$A$5000,0)),IF(INDEX(DB_materiali!$E$2:$E$5000,MATCH($C482,DB_materiali!$A$2:$A$5000,0))&lt;=INDEX(DB_malas!$D$2:$D$5000,MATCH(K482,DB_malas!$A$2:$A$5000,0)),IF(INDEX(DB_materiali!$B$2:$B$5000,MATCH($C482,DB_materiali!$A$2:$A$5000,0))=INDEX(DB_malas!$B$2:$B$5000,MATCH(K482,DB_malas!$A$2:$A$5000,0)),"✔",tulkojums!$A$38),tulkojums!$A$39),tulkojums!$A$39))</f>
        <v/>
      </c>
      <c r="T482" s="2"/>
      <c r="U482" s="2"/>
      <c r="V482" s="2"/>
      <c r="W482" s="2"/>
      <c r="X482" s="2"/>
      <c r="Y482" s="2"/>
      <c r="Z482" s="2"/>
    </row>
    <row r="483" spans="1:26" ht="15.75" customHeight="1">
      <c r="A483" s="17"/>
      <c r="B483" s="18"/>
      <c r="C483" s="19"/>
      <c r="D483" s="55"/>
      <c r="E483" s="55"/>
      <c r="F483" s="56"/>
      <c r="G483" s="57" t="str">
        <f>IF(ISBLANK(C483),"",
   IFERROR(
      IF(
         INDEX(DB_materiali!C$2:C$5000,
               MATCH(C483, DB_materiali!A$2:A$5000, 0)
         )="FALSE",
         "N",
         "Y"
      ),
   "")
)</f>
        <v/>
      </c>
      <c r="H483" s="20"/>
      <c r="I483" s="20"/>
      <c r="J483" s="20"/>
      <c r="K483" s="20"/>
      <c r="M483" s="2" t="str">
        <f>IF(ISBLANK(C483),"",IF(IFERROR(VLOOKUP(C483,DB_materiali!$A$2:$A$5000,1,FALSE),"Kļūda artikulā")=C483,"✔",tulkojums!A$42))</f>
        <v/>
      </c>
      <c r="N483" s="2" t="str">
        <f>IF(ISBLANK(C483),"",IF(ISNUMBER(F483)=TRUE,"✔",tulkojums!A$43))</f>
        <v/>
      </c>
      <c r="O483" s="2" t="str">
        <f>IF(ISBLANK(C483),"",IF(G483="Y","✔",IF(G483="X","✔",IF(G483="N","✔",tulkojums!A$44))))</f>
        <v/>
      </c>
      <c r="P483" s="2" t="str">
        <f>IF(ISBLANK(H483),"",IF(INDEX(DB_materiali!$E$2:$E$5000,MATCH($C483,DB_materiali!$A$2:$A$5000,0))&gt;=INDEX(DB_malas!$C$2:$C$5000,MATCH(H483,DB_malas!$A$2:$A$5000,0)),IF(INDEX(DB_materiali!$E$2:$E$5000,MATCH($C483,DB_materiali!$A$2:$A$5000,0))&lt;=INDEX(DB_malas!$D$2:$D$5000,MATCH(H483,DB_malas!$A$2:$A$5000,0)),IF(OR(INDEX(DB_materiali!$B$2:$B$5000,MATCH($C483,DB_materiali!$A$2:$A$5000,0))=INDEX(DB_malas!$B$2:$B$5000,MATCH(H483,DB_malas!$A$2:$A$5000,0)),$H483="ORG"),"✔",tulkojums!$A$38),tulkojums!$A$39),tulkojums!$A$39))</f>
        <v/>
      </c>
      <c r="Q483" s="2" t="str">
        <f>IF(ISBLANK(I483),"",IF(INDEX(DB_materiali!$E$2:$E$5000,MATCH($C483,DB_materiali!$A$2:$A$5000,0))&gt;=INDEX(DB_malas!$C$2:$C$5000,MATCH(I483,DB_malas!$A$2:$A$5000,0)),IF(INDEX(DB_materiali!$E$2:$E$5000,MATCH($C483,DB_materiali!$A$2:$A$5000,0))&lt;=INDEX(DB_malas!$D$2:$D$5000,MATCH(I483,DB_malas!$A$2:$A$5000,0)),IF(OR(INDEX(DB_materiali!$B$2:$B$5000,MATCH($C483,DB_materiali!$A$2:$A$5000,0))=INDEX(DB_malas!$B$2:$B$5000,MATCH(I483,DB_malas!$A$2:$A$5000,0)),$H483="ORG"),"✔",tulkojums!$A$38),tulkojums!$A$39),tulkojums!$A$39))</f>
        <v/>
      </c>
      <c r="R483" s="2" t="str">
        <f>IF(ISBLANK(J483),"",IF(INDEX(DB_materiali!$E$2:$E$5000,MATCH($C483,DB_materiali!$A$2:$A$5000,0))&gt;=INDEX(DB_malas!$C$2:$C$5000,MATCH(J483,DB_malas!$A$2:$A$5000,0)),IF(INDEX(DB_materiali!$E$2:$E$5000,MATCH($C483,DB_materiali!$A$2:$A$5000,0))&lt;=INDEX(DB_malas!$D$2:$D$5000,MATCH(J483,DB_malas!$A$2:$A$5000,0)),IF(INDEX(DB_materiali!$B$2:$B$5000,MATCH($C483,DB_materiali!$A$2:$A$5000,0))=INDEX(DB_malas!$B$2:$B$5000,MATCH(J483,DB_malas!$A$2:$A$5000,0)),"✔",tulkojums!$A$38),tulkojums!$A$39),tulkojums!$A$39))</f>
        <v/>
      </c>
      <c r="S483" s="2" t="str">
        <f>IF(ISBLANK(K483),"",IF(INDEX(DB_materiali!$E$2:$E$5000,MATCH($C483,DB_materiali!$A$2:$A$5000,0))&gt;=INDEX(DB_malas!$C$2:$C$5000,MATCH(K483,DB_malas!$A$2:$A$5000,0)),IF(INDEX(DB_materiali!$E$2:$E$5000,MATCH($C483,DB_materiali!$A$2:$A$5000,0))&lt;=INDEX(DB_malas!$D$2:$D$5000,MATCH(K483,DB_malas!$A$2:$A$5000,0)),IF(INDEX(DB_materiali!$B$2:$B$5000,MATCH($C483,DB_materiali!$A$2:$A$5000,0))=INDEX(DB_malas!$B$2:$B$5000,MATCH(K483,DB_malas!$A$2:$A$5000,0)),"✔",tulkojums!$A$38),tulkojums!$A$39),tulkojums!$A$39))</f>
        <v/>
      </c>
      <c r="T483" s="2"/>
      <c r="U483" s="2"/>
      <c r="V483" s="2"/>
      <c r="W483" s="2"/>
      <c r="X483" s="2"/>
      <c r="Y483" s="2"/>
      <c r="Z483" s="2"/>
    </row>
    <row r="484" spans="1:26" ht="15.75" customHeight="1">
      <c r="A484" s="17"/>
      <c r="B484" s="18"/>
      <c r="C484" s="19"/>
      <c r="D484" s="55"/>
      <c r="E484" s="55"/>
      <c r="F484" s="56"/>
      <c r="G484" s="57" t="str">
        <f>IF(ISBLANK(C484),"",
   IFERROR(
      IF(
         INDEX(DB_materiali!C$2:C$5000,
               MATCH(C484, DB_materiali!A$2:A$5000, 0)
         )="FALSE",
         "N",
         "Y"
      ),
   "")
)</f>
        <v/>
      </c>
      <c r="H484" s="20"/>
      <c r="I484" s="20"/>
      <c r="J484" s="20"/>
      <c r="K484" s="20"/>
      <c r="M484" s="2" t="str">
        <f>IF(ISBLANK(C484),"",IF(IFERROR(VLOOKUP(C484,DB_materiali!$A$2:$A$5000,1,FALSE),"Kļūda artikulā")=C484,"✔",tulkojums!A$42))</f>
        <v/>
      </c>
      <c r="N484" s="2" t="str">
        <f>IF(ISBLANK(C484),"",IF(ISNUMBER(F484)=TRUE,"✔",tulkojums!A$43))</f>
        <v/>
      </c>
      <c r="O484" s="2" t="str">
        <f>IF(ISBLANK(C484),"",IF(G484="Y","✔",IF(G484="X","✔",IF(G484="N","✔",tulkojums!A$44))))</f>
        <v/>
      </c>
      <c r="P484" s="2" t="str">
        <f>IF(ISBLANK(H484),"",IF(INDEX(DB_materiali!$E$2:$E$5000,MATCH($C484,DB_materiali!$A$2:$A$5000,0))&gt;=INDEX(DB_malas!$C$2:$C$5000,MATCH(H484,DB_malas!$A$2:$A$5000,0)),IF(INDEX(DB_materiali!$E$2:$E$5000,MATCH($C484,DB_materiali!$A$2:$A$5000,0))&lt;=INDEX(DB_malas!$D$2:$D$5000,MATCH(H484,DB_malas!$A$2:$A$5000,0)),IF(OR(INDEX(DB_materiali!$B$2:$B$5000,MATCH($C484,DB_materiali!$A$2:$A$5000,0))=INDEX(DB_malas!$B$2:$B$5000,MATCH(H484,DB_malas!$A$2:$A$5000,0)),$H484="ORG"),"✔",tulkojums!$A$38),tulkojums!$A$39),tulkojums!$A$39))</f>
        <v/>
      </c>
      <c r="Q484" s="2" t="str">
        <f>IF(ISBLANK(I484),"",IF(INDEX(DB_materiali!$E$2:$E$5000,MATCH($C484,DB_materiali!$A$2:$A$5000,0))&gt;=INDEX(DB_malas!$C$2:$C$5000,MATCH(I484,DB_malas!$A$2:$A$5000,0)),IF(INDEX(DB_materiali!$E$2:$E$5000,MATCH($C484,DB_materiali!$A$2:$A$5000,0))&lt;=INDEX(DB_malas!$D$2:$D$5000,MATCH(I484,DB_malas!$A$2:$A$5000,0)),IF(OR(INDEX(DB_materiali!$B$2:$B$5000,MATCH($C484,DB_materiali!$A$2:$A$5000,0))=INDEX(DB_malas!$B$2:$B$5000,MATCH(I484,DB_malas!$A$2:$A$5000,0)),$H484="ORG"),"✔",tulkojums!$A$38),tulkojums!$A$39),tulkojums!$A$39))</f>
        <v/>
      </c>
      <c r="R484" s="2" t="str">
        <f>IF(ISBLANK(J484),"",IF(INDEX(DB_materiali!$E$2:$E$5000,MATCH($C484,DB_materiali!$A$2:$A$5000,0))&gt;=INDEX(DB_malas!$C$2:$C$5000,MATCH(J484,DB_malas!$A$2:$A$5000,0)),IF(INDEX(DB_materiali!$E$2:$E$5000,MATCH($C484,DB_materiali!$A$2:$A$5000,0))&lt;=INDEX(DB_malas!$D$2:$D$5000,MATCH(J484,DB_malas!$A$2:$A$5000,0)),IF(INDEX(DB_materiali!$B$2:$B$5000,MATCH($C484,DB_materiali!$A$2:$A$5000,0))=INDEX(DB_malas!$B$2:$B$5000,MATCH(J484,DB_malas!$A$2:$A$5000,0)),"✔",tulkojums!$A$38),tulkojums!$A$39),tulkojums!$A$39))</f>
        <v/>
      </c>
      <c r="S484" s="2" t="str">
        <f>IF(ISBLANK(K484),"",IF(INDEX(DB_materiali!$E$2:$E$5000,MATCH($C484,DB_materiali!$A$2:$A$5000,0))&gt;=INDEX(DB_malas!$C$2:$C$5000,MATCH(K484,DB_malas!$A$2:$A$5000,0)),IF(INDEX(DB_materiali!$E$2:$E$5000,MATCH($C484,DB_materiali!$A$2:$A$5000,0))&lt;=INDEX(DB_malas!$D$2:$D$5000,MATCH(K484,DB_malas!$A$2:$A$5000,0)),IF(INDEX(DB_materiali!$B$2:$B$5000,MATCH($C484,DB_materiali!$A$2:$A$5000,0))=INDEX(DB_malas!$B$2:$B$5000,MATCH(K484,DB_malas!$A$2:$A$5000,0)),"✔",tulkojums!$A$38),tulkojums!$A$39),tulkojums!$A$39))</f>
        <v/>
      </c>
      <c r="T484" s="2"/>
      <c r="U484" s="2"/>
      <c r="V484" s="2"/>
      <c r="W484" s="2"/>
      <c r="X484" s="2"/>
      <c r="Y484" s="2"/>
      <c r="Z484" s="2"/>
    </row>
    <row r="485" spans="1:26" ht="15.75" customHeight="1">
      <c r="A485" s="17"/>
      <c r="B485" s="18"/>
      <c r="C485" s="19"/>
      <c r="D485" s="55"/>
      <c r="E485" s="55"/>
      <c r="F485" s="56"/>
      <c r="G485" s="57" t="str">
        <f>IF(ISBLANK(C485),"",
   IFERROR(
      IF(
         INDEX(DB_materiali!C$2:C$5000,
               MATCH(C485, DB_materiali!A$2:A$5000, 0)
         )="FALSE",
         "N",
         "Y"
      ),
   "")
)</f>
        <v/>
      </c>
      <c r="H485" s="20"/>
      <c r="I485" s="20"/>
      <c r="J485" s="20"/>
      <c r="K485" s="20"/>
      <c r="M485" s="2" t="str">
        <f>IF(ISBLANK(C485),"",IF(IFERROR(VLOOKUP(C485,DB_materiali!$A$2:$A$5000,1,FALSE),"Kļūda artikulā")=C485,"✔",tulkojums!A$42))</f>
        <v/>
      </c>
      <c r="N485" s="2" t="str">
        <f>IF(ISBLANK(C485),"",IF(ISNUMBER(F485)=TRUE,"✔",tulkojums!A$43))</f>
        <v/>
      </c>
      <c r="O485" s="2" t="str">
        <f>IF(ISBLANK(C485),"",IF(G485="Y","✔",IF(G485="X","✔",IF(G485="N","✔",tulkojums!A$44))))</f>
        <v/>
      </c>
      <c r="P485" s="2" t="str">
        <f>IF(ISBLANK(H485),"",IF(INDEX(DB_materiali!$E$2:$E$5000,MATCH($C485,DB_materiali!$A$2:$A$5000,0))&gt;=INDEX(DB_malas!$C$2:$C$5000,MATCH(H485,DB_malas!$A$2:$A$5000,0)),IF(INDEX(DB_materiali!$E$2:$E$5000,MATCH($C485,DB_materiali!$A$2:$A$5000,0))&lt;=INDEX(DB_malas!$D$2:$D$5000,MATCH(H485,DB_malas!$A$2:$A$5000,0)),IF(OR(INDEX(DB_materiali!$B$2:$B$5000,MATCH($C485,DB_materiali!$A$2:$A$5000,0))=INDEX(DB_malas!$B$2:$B$5000,MATCH(H485,DB_malas!$A$2:$A$5000,0)),$H485="ORG"),"✔",tulkojums!$A$38),tulkojums!$A$39),tulkojums!$A$39))</f>
        <v/>
      </c>
      <c r="Q485" s="2" t="str">
        <f>IF(ISBLANK(I485),"",IF(INDEX(DB_materiali!$E$2:$E$5000,MATCH($C485,DB_materiali!$A$2:$A$5000,0))&gt;=INDEX(DB_malas!$C$2:$C$5000,MATCH(I485,DB_malas!$A$2:$A$5000,0)),IF(INDEX(DB_materiali!$E$2:$E$5000,MATCH($C485,DB_materiali!$A$2:$A$5000,0))&lt;=INDEX(DB_malas!$D$2:$D$5000,MATCH(I485,DB_malas!$A$2:$A$5000,0)),IF(OR(INDEX(DB_materiali!$B$2:$B$5000,MATCH($C485,DB_materiali!$A$2:$A$5000,0))=INDEX(DB_malas!$B$2:$B$5000,MATCH(I485,DB_malas!$A$2:$A$5000,0)),$H485="ORG"),"✔",tulkojums!$A$38),tulkojums!$A$39),tulkojums!$A$39))</f>
        <v/>
      </c>
      <c r="R485" s="2" t="str">
        <f>IF(ISBLANK(J485),"",IF(INDEX(DB_materiali!$E$2:$E$5000,MATCH($C485,DB_materiali!$A$2:$A$5000,0))&gt;=INDEX(DB_malas!$C$2:$C$5000,MATCH(J485,DB_malas!$A$2:$A$5000,0)),IF(INDEX(DB_materiali!$E$2:$E$5000,MATCH($C485,DB_materiali!$A$2:$A$5000,0))&lt;=INDEX(DB_malas!$D$2:$D$5000,MATCH(J485,DB_malas!$A$2:$A$5000,0)),IF(INDEX(DB_materiali!$B$2:$B$5000,MATCH($C485,DB_materiali!$A$2:$A$5000,0))=INDEX(DB_malas!$B$2:$B$5000,MATCH(J485,DB_malas!$A$2:$A$5000,0)),"✔",tulkojums!$A$38),tulkojums!$A$39),tulkojums!$A$39))</f>
        <v/>
      </c>
      <c r="S485" s="2" t="str">
        <f>IF(ISBLANK(K485),"",IF(INDEX(DB_materiali!$E$2:$E$5000,MATCH($C485,DB_materiali!$A$2:$A$5000,0))&gt;=INDEX(DB_malas!$C$2:$C$5000,MATCH(K485,DB_malas!$A$2:$A$5000,0)),IF(INDEX(DB_materiali!$E$2:$E$5000,MATCH($C485,DB_materiali!$A$2:$A$5000,0))&lt;=INDEX(DB_malas!$D$2:$D$5000,MATCH(K485,DB_malas!$A$2:$A$5000,0)),IF(INDEX(DB_materiali!$B$2:$B$5000,MATCH($C485,DB_materiali!$A$2:$A$5000,0))=INDEX(DB_malas!$B$2:$B$5000,MATCH(K485,DB_malas!$A$2:$A$5000,0)),"✔",tulkojums!$A$38),tulkojums!$A$39),tulkojums!$A$39))</f>
        <v/>
      </c>
      <c r="T485" s="2"/>
      <c r="U485" s="2"/>
      <c r="V485" s="2"/>
      <c r="W485" s="2"/>
      <c r="X485" s="2"/>
      <c r="Y485" s="2"/>
      <c r="Z485" s="2"/>
    </row>
    <row r="486" spans="1:26" ht="15.75" customHeight="1">
      <c r="A486" s="17"/>
      <c r="B486" s="18"/>
      <c r="C486" s="19"/>
      <c r="D486" s="55"/>
      <c r="E486" s="55"/>
      <c r="F486" s="56"/>
      <c r="G486" s="57" t="str">
        <f>IF(ISBLANK(C486),"",
   IFERROR(
      IF(
         INDEX(DB_materiali!C$2:C$5000,
               MATCH(C486, DB_materiali!A$2:A$5000, 0)
         )="FALSE",
         "N",
         "Y"
      ),
   "")
)</f>
        <v/>
      </c>
      <c r="H486" s="20"/>
      <c r="I486" s="20"/>
      <c r="J486" s="20"/>
      <c r="K486" s="20"/>
      <c r="M486" s="2" t="str">
        <f>IF(ISBLANK(C486),"",IF(IFERROR(VLOOKUP(C486,DB_materiali!$A$2:$A$5000,1,FALSE),"Kļūda artikulā")=C486,"✔",tulkojums!A$42))</f>
        <v/>
      </c>
      <c r="N486" s="2" t="str">
        <f>IF(ISBLANK(C486),"",IF(ISNUMBER(F486)=TRUE,"✔",tulkojums!A$43))</f>
        <v/>
      </c>
      <c r="O486" s="2" t="str">
        <f>IF(ISBLANK(C486),"",IF(G486="Y","✔",IF(G486="X","✔",IF(G486="N","✔",tulkojums!A$44))))</f>
        <v/>
      </c>
      <c r="P486" s="2" t="str">
        <f>IF(ISBLANK(H486),"",IF(INDEX(DB_materiali!$E$2:$E$5000,MATCH($C486,DB_materiali!$A$2:$A$5000,0))&gt;=INDEX(DB_malas!$C$2:$C$5000,MATCH(H486,DB_malas!$A$2:$A$5000,0)),IF(INDEX(DB_materiali!$E$2:$E$5000,MATCH($C486,DB_materiali!$A$2:$A$5000,0))&lt;=INDEX(DB_malas!$D$2:$D$5000,MATCH(H486,DB_malas!$A$2:$A$5000,0)),IF(OR(INDEX(DB_materiali!$B$2:$B$5000,MATCH($C486,DB_materiali!$A$2:$A$5000,0))=INDEX(DB_malas!$B$2:$B$5000,MATCH(H486,DB_malas!$A$2:$A$5000,0)),$H486="ORG"),"✔",tulkojums!$A$38),tulkojums!$A$39),tulkojums!$A$39))</f>
        <v/>
      </c>
      <c r="Q486" s="2" t="str">
        <f>IF(ISBLANK(I486),"",IF(INDEX(DB_materiali!$E$2:$E$5000,MATCH($C486,DB_materiali!$A$2:$A$5000,0))&gt;=INDEX(DB_malas!$C$2:$C$5000,MATCH(I486,DB_malas!$A$2:$A$5000,0)),IF(INDEX(DB_materiali!$E$2:$E$5000,MATCH($C486,DB_materiali!$A$2:$A$5000,0))&lt;=INDEX(DB_malas!$D$2:$D$5000,MATCH(I486,DB_malas!$A$2:$A$5000,0)),IF(OR(INDEX(DB_materiali!$B$2:$B$5000,MATCH($C486,DB_materiali!$A$2:$A$5000,0))=INDEX(DB_malas!$B$2:$B$5000,MATCH(I486,DB_malas!$A$2:$A$5000,0)),$H486="ORG"),"✔",tulkojums!$A$38),tulkojums!$A$39),tulkojums!$A$39))</f>
        <v/>
      </c>
      <c r="R486" s="2" t="str">
        <f>IF(ISBLANK(J486),"",IF(INDEX(DB_materiali!$E$2:$E$5000,MATCH($C486,DB_materiali!$A$2:$A$5000,0))&gt;=INDEX(DB_malas!$C$2:$C$5000,MATCH(J486,DB_malas!$A$2:$A$5000,0)),IF(INDEX(DB_materiali!$E$2:$E$5000,MATCH($C486,DB_materiali!$A$2:$A$5000,0))&lt;=INDEX(DB_malas!$D$2:$D$5000,MATCH(J486,DB_malas!$A$2:$A$5000,0)),IF(INDEX(DB_materiali!$B$2:$B$5000,MATCH($C486,DB_materiali!$A$2:$A$5000,0))=INDEX(DB_malas!$B$2:$B$5000,MATCH(J486,DB_malas!$A$2:$A$5000,0)),"✔",tulkojums!$A$38),tulkojums!$A$39),tulkojums!$A$39))</f>
        <v/>
      </c>
      <c r="S486" s="2" t="str">
        <f>IF(ISBLANK(K486),"",IF(INDEX(DB_materiali!$E$2:$E$5000,MATCH($C486,DB_materiali!$A$2:$A$5000,0))&gt;=INDEX(DB_malas!$C$2:$C$5000,MATCH(K486,DB_malas!$A$2:$A$5000,0)),IF(INDEX(DB_materiali!$E$2:$E$5000,MATCH($C486,DB_materiali!$A$2:$A$5000,0))&lt;=INDEX(DB_malas!$D$2:$D$5000,MATCH(K486,DB_malas!$A$2:$A$5000,0)),IF(INDEX(DB_materiali!$B$2:$B$5000,MATCH($C486,DB_materiali!$A$2:$A$5000,0))=INDEX(DB_malas!$B$2:$B$5000,MATCH(K486,DB_malas!$A$2:$A$5000,0)),"✔",tulkojums!$A$38),tulkojums!$A$39),tulkojums!$A$39))</f>
        <v/>
      </c>
      <c r="T486" s="2"/>
      <c r="U486" s="2"/>
      <c r="V486" s="2"/>
      <c r="W486" s="2"/>
      <c r="X486" s="2"/>
      <c r="Y486" s="2"/>
      <c r="Z486" s="2"/>
    </row>
    <row r="487" spans="1:26" ht="15.75" customHeight="1">
      <c r="A487" s="17"/>
      <c r="B487" s="18"/>
      <c r="C487" s="19"/>
      <c r="D487" s="55"/>
      <c r="E487" s="55"/>
      <c r="F487" s="56"/>
      <c r="G487" s="57" t="str">
        <f>IF(ISBLANK(C487),"",
   IFERROR(
      IF(
         INDEX(DB_materiali!C$2:C$5000,
               MATCH(C487, DB_materiali!A$2:A$5000, 0)
         )="FALSE",
         "N",
         "Y"
      ),
   "")
)</f>
        <v/>
      </c>
      <c r="H487" s="20"/>
      <c r="I487" s="20"/>
      <c r="J487" s="20"/>
      <c r="K487" s="20"/>
      <c r="M487" s="2" t="str">
        <f>IF(ISBLANK(C487),"",IF(IFERROR(VLOOKUP(C487,DB_materiali!$A$2:$A$5000,1,FALSE),"Kļūda artikulā")=C487,"✔",tulkojums!A$42))</f>
        <v/>
      </c>
      <c r="N487" s="2" t="str">
        <f>IF(ISBLANK(C487),"",IF(ISNUMBER(F487)=TRUE,"✔",tulkojums!A$43))</f>
        <v/>
      </c>
      <c r="O487" s="2" t="str">
        <f>IF(ISBLANK(C487),"",IF(G487="Y","✔",IF(G487="X","✔",IF(G487="N","✔",tulkojums!A$44))))</f>
        <v/>
      </c>
      <c r="P487" s="2" t="str">
        <f>IF(ISBLANK(H487),"",IF(INDEX(DB_materiali!$E$2:$E$5000,MATCH($C487,DB_materiali!$A$2:$A$5000,0))&gt;=INDEX(DB_malas!$C$2:$C$5000,MATCH(H487,DB_malas!$A$2:$A$5000,0)),IF(INDEX(DB_materiali!$E$2:$E$5000,MATCH($C487,DB_materiali!$A$2:$A$5000,0))&lt;=INDEX(DB_malas!$D$2:$D$5000,MATCH(H487,DB_malas!$A$2:$A$5000,0)),IF(OR(INDEX(DB_materiali!$B$2:$B$5000,MATCH($C487,DB_materiali!$A$2:$A$5000,0))=INDEX(DB_malas!$B$2:$B$5000,MATCH(H487,DB_malas!$A$2:$A$5000,0)),$H487="ORG"),"✔",tulkojums!$A$38),tulkojums!$A$39),tulkojums!$A$39))</f>
        <v/>
      </c>
      <c r="Q487" s="2" t="str">
        <f>IF(ISBLANK(I487),"",IF(INDEX(DB_materiali!$E$2:$E$5000,MATCH($C487,DB_materiali!$A$2:$A$5000,0))&gt;=INDEX(DB_malas!$C$2:$C$5000,MATCH(I487,DB_malas!$A$2:$A$5000,0)),IF(INDEX(DB_materiali!$E$2:$E$5000,MATCH($C487,DB_materiali!$A$2:$A$5000,0))&lt;=INDEX(DB_malas!$D$2:$D$5000,MATCH(I487,DB_malas!$A$2:$A$5000,0)),IF(OR(INDEX(DB_materiali!$B$2:$B$5000,MATCH($C487,DB_materiali!$A$2:$A$5000,0))=INDEX(DB_malas!$B$2:$B$5000,MATCH(I487,DB_malas!$A$2:$A$5000,0)),$H487="ORG"),"✔",tulkojums!$A$38),tulkojums!$A$39),tulkojums!$A$39))</f>
        <v/>
      </c>
      <c r="R487" s="2" t="str">
        <f>IF(ISBLANK(J487),"",IF(INDEX(DB_materiali!$E$2:$E$5000,MATCH($C487,DB_materiali!$A$2:$A$5000,0))&gt;=INDEX(DB_malas!$C$2:$C$5000,MATCH(J487,DB_malas!$A$2:$A$5000,0)),IF(INDEX(DB_materiali!$E$2:$E$5000,MATCH($C487,DB_materiali!$A$2:$A$5000,0))&lt;=INDEX(DB_malas!$D$2:$D$5000,MATCH(J487,DB_malas!$A$2:$A$5000,0)),IF(INDEX(DB_materiali!$B$2:$B$5000,MATCH($C487,DB_materiali!$A$2:$A$5000,0))=INDEX(DB_malas!$B$2:$B$5000,MATCH(J487,DB_malas!$A$2:$A$5000,0)),"✔",tulkojums!$A$38),tulkojums!$A$39),tulkojums!$A$39))</f>
        <v/>
      </c>
      <c r="S487" s="2" t="str">
        <f>IF(ISBLANK(K487),"",IF(INDEX(DB_materiali!$E$2:$E$5000,MATCH($C487,DB_materiali!$A$2:$A$5000,0))&gt;=INDEX(DB_malas!$C$2:$C$5000,MATCH(K487,DB_malas!$A$2:$A$5000,0)),IF(INDEX(DB_materiali!$E$2:$E$5000,MATCH($C487,DB_materiali!$A$2:$A$5000,0))&lt;=INDEX(DB_malas!$D$2:$D$5000,MATCH(K487,DB_malas!$A$2:$A$5000,0)),IF(INDEX(DB_materiali!$B$2:$B$5000,MATCH($C487,DB_materiali!$A$2:$A$5000,0))=INDEX(DB_malas!$B$2:$B$5000,MATCH(K487,DB_malas!$A$2:$A$5000,0)),"✔",tulkojums!$A$38),tulkojums!$A$39),tulkojums!$A$39))</f>
        <v/>
      </c>
      <c r="T487" s="2"/>
      <c r="U487" s="2"/>
      <c r="V487" s="2"/>
      <c r="W487" s="2"/>
      <c r="X487" s="2"/>
      <c r="Y487" s="2"/>
      <c r="Z487" s="2"/>
    </row>
    <row r="488" spans="1:26" ht="15.75" customHeight="1">
      <c r="A488" s="17"/>
      <c r="B488" s="18"/>
      <c r="C488" s="19"/>
      <c r="D488" s="55"/>
      <c r="E488" s="55"/>
      <c r="F488" s="56"/>
      <c r="G488" s="57" t="str">
        <f>IF(ISBLANK(C488),"",
   IFERROR(
      IF(
         INDEX(DB_materiali!C$2:C$5000,
               MATCH(C488, DB_materiali!A$2:A$5000, 0)
         )="FALSE",
         "N",
         "Y"
      ),
   "")
)</f>
        <v/>
      </c>
      <c r="H488" s="20"/>
      <c r="I488" s="20"/>
      <c r="J488" s="20"/>
      <c r="K488" s="20"/>
      <c r="M488" s="2" t="str">
        <f>IF(ISBLANK(C488),"",IF(IFERROR(VLOOKUP(C488,DB_materiali!$A$2:$A$5000,1,FALSE),"Kļūda artikulā")=C488,"✔",tulkojums!A$42))</f>
        <v/>
      </c>
      <c r="N488" s="2" t="str">
        <f>IF(ISBLANK(C488),"",IF(ISNUMBER(F488)=TRUE,"✔",tulkojums!A$43))</f>
        <v/>
      </c>
      <c r="O488" s="2" t="str">
        <f>IF(ISBLANK(C488),"",IF(G488="Y","✔",IF(G488="X","✔",IF(G488="N","✔",tulkojums!A$44))))</f>
        <v/>
      </c>
      <c r="P488" s="2" t="str">
        <f>IF(ISBLANK(H488),"",IF(INDEX(DB_materiali!$E$2:$E$5000,MATCH($C488,DB_materiali!$A$2:$A$5000,0))&gt;=INDEX(DB_malas!$C$2:$C$5000,MATCH(H488,DB_malas!$A$2:$A$5000,0)),IF(INDEX(DB_materiali!$E$2:$E$5000,MATCH($C488,DB_materiali!$A$2:$A$5000,0))&lt;=INDEX(DB_malas!$D$2:$D$5000,MATCH(H488,DB_malas!$A$2:$A$5000,0)),IF(OR(INDEX(DB_materiali!$B$2:$B$5000,MATCH($C488,DB_materiali!$A$2:$A$5000,0))=INDEX(DB_malas!$B$2:$B$5000,MATCH(H488,DB_malas!$A$2:$A$5000,0)),$H488="ORG"),"✔",tulkojums!$A$38),tulkojums!$A$39),tulkojums!$A$39))</f>
        <v/>
      </c>
      <c r="Q488" s="2" t="str">
        <f>IF(ISBLANK(I488),"",IF(INDEX(DB_materiali!$E$2:$E$5000,MATCH($C488,DB_materiali!$A$2:$A$5000,0))&gt;=INDEX(DB_malas!$C$2:$C$5000,MATCH(I488,DB_malas!$A$2:$A$5000,0)),IF(INDEX(DB_materiali!$E$2:$E$5000,MATCH($C488,DB_materiali!$A$2:$A$5000,0))&lt;=INDEX(DB_malas!$D$2:$D$5000,MATCH(I488,DB_malas!$A$2:$A$5000,0)),IF(OR(INDEX(DB_materiali!$B$2:$B$5000,MATCH($C488,DB_materiali!$A$2:$A$5000,0))=INDEX(DB_malas!$B$2:$B$5000,MATCH(I488,DB_malas!$A$2:$A$5000,0)),$H488="ORG"),"✔",tulkojums!$A$38),tulkojums!$A$39),tulkojums!$A$39))</f>
        <v/>
      </c>
      <c r="R488" s="2" t="str">
        <f>IF(ISBLANK(J488),"",IF(INDEX(DB_materiali!$E$2:$E$5000,MATCH($C488,DB_materiali!$A$2:$A$5000,0))&gt;=INDEX(DB_malas!$C$2:$C$5000,MATCH(J488,DB_malas!$A$2:$A$5000,0)),IF(INDEX(DB_materiali!$E$2:$E$5000,MATCH($C488,DB_materiali!$A$2:$A$5000,0))&lt;=INDEX(DB_malas!$D$2:$D$5000,MATCH(J488,DB_malas!$A$2:$A$5000,0)),IF(INDEX(DB_materiali!$B$2:$B$5000,MATCH($C488,DB_materiali!$A$2:$A$5000,0))=INDEX(DB_malas!$B$2:$B$5000,MATCH(J488,DB_malas!$A$2:$A$5000,0)),"✔",tulkojums!$A$38),tulkojums!$A$39),tulkojums!$A$39))</f>
        <v/>
      </c>
      <c r="S488" s="2" t="str">
        <f>IF(ISBLANK(K488),"",IF(INDEX(DB_materiali!$E$2:$E$5000,MATCH($C488,DB_materiali!$A$2:$A$5000,0))&gt;=INDEX(DB_malas!$C$2:$C$5000,MATCH(K488,DB_malas!$A$2:$A$5000,0)),IF(INDEX(DB_materiali!$E$2:$E$5000,MATCH($C488,DB_materiali!$A$2:$A$5000,0))&lt;=INDEX(DB_malas!$D$2:$D$5000,MATCH(K488,DB_malas!$A$2:$A$5000,0)),IF(INDEX(DB_materiali!$B$2:$B$5000,MATCH($C488,DB_materiali!$A$2:$A$5000,0))=INDEX(DB_malas!$B$2:$B$5000,MATCH(K488,DB_malas!$A$2:$A$5000,0)),"✔",tulkojums!$A$38),tulkojums!$A$39),tulkojums!$A$39))</f>
        <v/>
      </c>
      <c r="T488" s="2"/>
      <c r="U488" s="2"/>
      <c r="V488" s="2"/>
      <c r="W488" s="2"/>
      <c r="X488" s="2"/>
      <c r="Y488" s="2"/>
      <c r="Z488" s="2"/>
    </row>
    <row r="489" spans="1:26" ht="15.75" customHeight="1">
      <c r="A489" s="17"/>
      <c r="B489" s="18"/>
      <c r="C489" s="19"/>
      <c r="D489" s="55"/>
      <c r="E489" s="55"/>
      <c r="F489" s="56"/>
      <c r="G489" s="57" t="str">
        <f>IF(ISBLANK(C489),"",
   IFERROR(
      IF(
         INDEX(DB_materiali!C$2:C$5000,
               MATCH(C489, DB_materiali!A$2:A$5000, 0)
         )="FALSE",
         "N",
         "Y"
      ),
   "")
)</f>
        <v/>
      </c>
      <c r="H489" s="20"/>
      <c r="I489" s="20"/>
      <c r="J489" s="20"/>
      <c r="K489" s="20"/>
      <c r="M489" s="2" t="str">
        <f>IF(ISBLANK(C489),"",IF(IFERROR(VLOOKUP(C489,DB_materiali!$A$2:$A$5000,1,FALSE),"Kļūda artikulā")=C489,"✔",tulkojums!A$42))</f>
        <v/>
      </c>
      <c r="N489" s="2" t="str">
        <f>IF(ISBLANK(C489),"",IF(ISNUMBER(F489)=TRUE,"✔",tulkojums!A$43))</f>
        <v/>
      </c>
      <c r="O489" s="2" t="str">
        <f>IF(ISBLANK(C489),"",IF(G489="Y","✔",IF(G489="X","✔",IF(G489="N","✔",tulkojums!A$44))))</f>
        <v/>
      </c>
      <c r="P489" s="2" t="str">
        <f>IF(ISBLANK(H489),"",IF(INDEX(DB_materiali!$E$2:$E$5000,MATCH($C489,DB_materiali!$A$2:$A$5000,0))&gt;=INDEX(DB_malas!$C$2:$C$5000,MATCH(H489,DB_malas!$A$2:$A$5000,0)),IF(INDEX(DB_materiali!$E$2:$E$5000,MATCH($C489,DB_materiali!$A$2:$A$5000,0))&lt;=INDEX(DB_malas!$D$2:$D$5000,MATCH(H489,DB_malas!$A$2:$A$5000,0)),IF(OR(INDEX(DB_materiali!$B$2:$B$5000,MATCH($C489,DB_materiali!$A$2:$A$5000,0))=INDEX(DB_malas!$B$2:$B$5000,MATCH(H489,DB_malas!$A$2:$A$5000,0)),$H489="ORG"),"✔",tulkojums!$A$38),tulkojums!$A$39),tulkojums!$A$39))</f>
        <v/>
      </c>
      <c r="Q489" s="2" t="str">
        <f>IF(ISBLANK(I489),"",IF(INDEX(DB_materiali!$E$2:$E$5000,MATCH($C489,DB_materiali!$A$2:$A$5000,0))&gt;=INDEX(DB_malas!$C$2:$C$5000,MATCH(I489,DB_malas!$A$2:$A$5000,0)),IF(INDEX(DB_materiali!$E$2:$E$5000,MATCH($C489,DB_materiali!$A$2:$A$5000,0))&lt;=INDEX(DB_malas!$D$2:$D$5000,MATCH(I489,DB_malas!$A$2:$A$5000,0)),IF(OR(INDEX(DB_materiali!$B$2:$B$5000,MATCH($C489,DB_materiali!$A$2:$A$5000,0))=INDEX(DB_malas!$B$2:$B$5000,MATCH(I489,DB_malas!$A$2:$A$5000,0)),$H489="ORG"),"✔",tulkojums!$A$38),tulkojums!$A$39),tulkojums!$A$39))</f>
        <v/>
      </c>
      <c r="R489" s="2" t="str">
        <f>IF(ISBLANK(J489),"",IF(INDEX(DB_materiali!$E$2:$E$5000,MATCH($C489,DB_materiali!$A$2:$A$5000,0))&gt;=INDEX(DB_malas!$C$2:$C$5000,MATCH(J489,DB_malas!$A$2:$A$5000,0)),IF(INDEX(DB_materiali!$E$2:$E$5000,MATCH($C489,DB_materiali!$A$2:$A$5000,0))&lt;=INDEX(DB_malas!$D$2:$D$5000,MATCH(J489,DB_malas!$A$2:$A$5000,0)),IF(INDEX(DB_materiali!$B$2:$B$5000,MATCH($C489,DB_materiali!$A$2:$A$5000,0))=INDEX(DB_malas!$B$2:$B$5000,MATCH(J489,DB_malas!$A$2:$A$5000,0)),"✔",tulkojums!$A$38),tulkojums!$A$39),tulkojums!$A$39))</f>
        <v/>
      </c>
      <c r="S489" s="2" t="str">
        <f>IF(ISBLANK(K489),"",IF(INDEX(DB_materiali!$E$2:$E$5000,MATCH($C489,DB_materiali!$A$2:$A$5000,0))&gt;=INDEX(DB_malas!$C$2:$C$5000,MATCH(K489,DB_malas!$A$2:$A$5000,0)),IF(INDEX(DB_materiali!$E$2:$E$5000,MATCH($C489,DB_materiali!$A$2:$A$5000,0))&lt;=INDEX(DB_malas!$D$2:$D$5000,MATCH(K489,DB_malas!$A$2:$A$5000,0)),IF(INDEX(DB_materiali!$B$2:$B$5000,MATCH($C489,DB_materiali!$A$2:$A$5000,0))=INDEX(DB_malas!$B$2:$B$5000,MATCH(K489,DB_malas!$A$2:$A$5000,0)),"✔",tulkojums!$A$38),tulkojums!$A$39),tulkojums!$A$39))</f>
        <v/>
      </c>
      <c r="T489" s="2"/>
      <c r="U489" s="2"/>
      <c r="V489" s="2"/>
      <c r="W489" s="2"/>
      <c r="X489" s="2"/>
      <c r="Y489" s="2"/>
      <c r="Z489" s="2"/>
    </row>
    <row r="490" spans="1:26" ht="15.75" customHeight="1">
      <c r="A490" s="17"/>
      <c r="B490" s="18"/>
      <c r="C490" s="19"/>
      <c r="D490" s="55"/>
      <c r="E490" s="55"/>
      <c r="F490" s="56"/>
      <c r="G490" s="57" t="str">
        <f>IF(ISBLANK(C490),"",
   IFERROR(
      IF(
         INDEX(DB_materiali!C$2:C$5000,
               MATCH(C490, DB_materiali!A$2:A$5000, 0)
         )="FALSE",
         "N",
         "Y"
      ),
   "")
)</f>
        <v/>
      </c>
      <c r="H490" s="20"/>
      <c r="I490" s="20"/>
      <c r="J490" s="20"/>
      <c r="K490" s="20"/>
      <c r="M490" s="2" t="str">
        <f>IF(ISBLANK(C490),"",IF(IFERROR(VLOOKUP(C490,DB_materiali!$A$2:$A$5000,1,FALSE),"Kļūda artikulā")=C490,"✔",tulkojums!A$42))</f>
        <v/>
      </c>
      <c r="N490" s="2" t="str">
        <f>IF(ISBLANK(C490),"",IF(ISNUMBER(F490)=TRUE,"✔",tulkojums!A$43))</f>
        <v/>
      </c>
      <c r="O490" s="2" t="str">
        <f>IF(ISBLANK(C490),"",IF(G490="Y","✔",IF(G490="X","✔",IF(G490="N","✔",tulkojums!A$44))))</f>
        <v/>
      </c>
      <c r="P490" s="2" t="str">
        <f>IF(ISBLANK(H490),"",IF(INDEX(DB_materiali!$E$2:$E$5000,MATCH($C490,DB_materiali!$A$2:$A$5000,0))&gt;=INDEX(DB_malas!$C$2:$C$5000,MATCH(H490,DB_malas!$A$2:$A$5000,0)),IF(INDEX(DB_materiali!$E$2:$E$5000,MATCH($C490,DB_materiali!$A$2:$A$5000,0))&lt;=INDEX(DB_malas!$D$2:$D$5000,MATCH(H490,DB_malas!$A$2:$A$5000,0)),IF(OR(INDEX(DB_materiali!$B$2:$B$5000,MATCH($C490,DB_materiali!$A$2:$A$5000,0))=INDEX(DB_malas!$B$2:$B$5000,MATCH(H490,DB_malas!$A$2:$A$5000,0)),$H490="ORG"),"✔",tulkojums!$A$38),tulkojums!$A$39),tulkojums!$A$39))</f>
        <v/>
      </c>
      <c r="Q490" s="2" t="str">
        <f>IF(ISBLANK(I490),"",IF(INDEX(DB_materiali!$E$2:$E$5000,MATCH($C490,DB_materiali!$A$2:$A$5000,0))&gt;=INDEX(DB_malas!$C$2:$C$5000,MATCH(I490,DB_malas!$A$2:$A$5000,0)),IF(INDEX(DB_materiali!$E$2:$E$5000,MATCH($C490,DB_materiali!$A$2:$A$5000,0))&lt;=INDEX(DB_malas!$D$2:$D$5000,MATCH(I490,DB_malas!$A$2:$A$5000,0)),IF(OR(INDEX(DB_materiali!$B$2:$B$5000,MATCH($C490,DB_materiali!$A$2:$A$5000,0))=INDEX(DB_malas!$B$2:$B$5000,MATCH(I490,DB_malas!$A$2:$A$5000,0)),$H490="ORG"),"✔",tulkojums!$A$38),tulkojums!$A$39),tulkojums!$A$39))</f>
        <v/>
      </c>
      <c r="R490" s="2" t="str">
        <f>IF(ISBLANK(J490),"",IF(INDEX(DB_materiali!$E$2:$E$5000,MATCH($C490,DB_materiali!$A$2:$A$5000,0))&gt;=INDEX(DB_malas!$C$2:$C$5000,MATCH(J490,DB_malas!$A$2:$A$5000,0)),IF(INDEX(DB_materiali!$E$2:$E$5000,MATCH($C490,DB_materiali!$A$2:$A$5000,0))&lt;=INDEX(DB_malas!$D$2:$D$5000,MATCH(J490,DB_malas!$A$2:$A$5000,0)),IF(INDEX(DB_materiali!$B$2:$B$5000,MATCH($C490,DB_materiali!$A$2:$A$5000,0))=INDEX(DB_malas!$B$2:$B$5000,MATCH(J490,DB_malas!$A$2:$A$5000,0)),"✔",tulkojums!$A$38),tulkojums!$A$39),tulkojums!$A$39))</f>
        <v/>
      </c>
      <c r="S490" s="2" t="str">
        <f>IF(ISBLANK(K490),"",IF(INDEX(DB_materiali!$E$2:$E$5000,MATCH($C490,DB_materiali!$A$2:$A$5000,0))&gt;=INDEX(DB_malas!$C$2:$C$5000,MATCH(K490,DB_malas!$A$2:$A$5000,0)),IF(INDEX(DB_materiali!$E$2:$E$5000,MATCH($C490,DB_materiali!$A$2:$A$5000,0))&lt;=INDEX(DB_malas!$D$2:$D$5000,MATCH(K490,DB_malas!$A$2:$A$5000,0)),IF(INDEX(DB_materiali!$B$2:$B$5000,MATCH($C490,DB_materiali!$A$2:$A$5000,0))=INDEX(DB_malas!$B$2:$B$5000,MATCH(K490,DB_malas!$A$2:$A$5000,0)),"✔",tulkojums!$A$38),tulkojums!$A$39),tulkojums!$A$39))</f>
        <v/>
      </c>
      <c r="T490" s="2"/>
      <c r="U490" s="2"/>
      <c r="V490" s="2"/>
      <c r="W490" s="2"/>
      <c r="X490" s="2"/>
      <c r="Y490" s="2"/>
      <c r="Z490" s="2"/>
    </row>
    <row r="491" spans="1:26" ht="15.75" customHeight="1">
      <c r="A491" s="17"/>
      <c r="B491" s="18"/>
      <c r="C491" s="19"/>
      <c r="D491" s="55"/>
      <c r="E491" s="55"/>
      <c r="F491" s="56"/>
      <c r="G491" s="57" t="str">
        <f>IF(ISBLANK(C491),"",
   IFERROR(
      IF(
         INDEX(DB_materiali!C$2:C$5000,
               MATCH(C491, DB_materiali!A$2:A$5000, 0)
         )="FALSE",
         "N",
         "Y"
      ),
   "")
)</f>
        <v/>
      </c>
      <c r="H491" s="20"/>
      <c r="I491" s="20"/>
      <c r="J491" s="20"/>
      <c r="K491" s="20"/>
      <c r="M491" s="2" t="str">
        <f>IF(ISBLANK(C491),"",IF(IFERROR(VLOOKUP(C491,DB_materiali!$A$2:$A$5000,1,FALSE),"Kļūda artikulā")=C491,"✔",tulkojums!A$42))</f>
        <v/>
      </c>
      <c r="N491" s="2" t="str">
        <f>IF(ISBLANK(C491),"",IF(ISNUMBER(F491)=TRUE,"✔",tulkojums!A$43))</f>
        <v/>
      </c>
      <c r="O491" s="2" t="str">
        <f>IF(ISBLANK(C491),"",IF(G491="Y","✔",IF(G491="X","✔",IF(G491="N","✔",tulkojums!A$44))))</f>
        <v/>
      </c>
      <c r="P491" s="2" t="str">
        <f>IF(ISBLANK(H491),"",IF(INDEX(DB_materiali!$E$2:$E$5000,MATCH($C491,DB_materiali!$A$2:$A$5000,0))&gt;=INDEX(DB_malas!$C$2:$C$5000,MATCH(H491,DB_malas!$A$2:$A$5000,0)),IF(INDEX(DB_materiali!$E$2:$E$5000,MATCH($C491,DB_materiali!$A$2:$A$5000,0))&lt;=INDEX(DB_malas!$D$2:$D$5000,MATCH(H491,DB_malas!$A$2:$A$5000,0)),IF(OR(INDEX(DB_materiali!$B$2:$B$5000,MATCH($C491,DB_materiali!$A$2:$A$5000,0))=INDEX(DB_malas!$B$2:$B$5000,MATCH(H491,DB_malas!$A$2:$A$5000,0)),$H491="ORG"),"✔",tulkojums!$A$38),tulkojums!$A$39),tulkojums!$A$39))</f>
        <v/>
      </c>
      <c r="Q491" s="2" t="str">
        <f>IF(ISBLANK(I491),"",IF(INDEX(DB_materiali!$E$2:$E$5000,MATCH($C491,DB_materiali!$A$2:$A$5000,0))&gt;=INDEX(DB_malas!$C$2:$C$5000,MATCH(I491,DB_malas!$A$2:$A$5000,0)),IF(INDEX(DB_materiali!$E$2:$E$5000,MATCH($C491,DB_materiali!$A$2:$A$5000,0))&lt;=INDEX(DB_malas!$D$2:$D$5000,MATCH(I491,DB_malas!$A$2:$A$5000,0)),IF(OR(INDEX(DB_materiali!$B$2:$B$5000,MATCH($C491,DB_materiali!$A$2:$A$5000,0))=INDEX(DB_malas!$B$2:$B$5000,MATCH(I491,DB_malas!$A$2:$A$5000,0)),$H491="ORG"),"✔",tulkojums!$A$38),tulkojums!$A$39),tulkojums!$A$39))</f>
        <v/>
      </c>
      <c r="R491" s="2" t="str">
        <f>IF(ISBLANK(J491),"",IF(INDEX(DB_materiali!$E$2:$E$5000,MATCH($C491,DB_materiali!$A$2:$A$5000,0))&gt;=INDEX(DB_malas!$C$2:$C$5000,MATCH(J491,DB_malas!$A$2:$A$5000,0)),IF(INDEX(DB_materiali!$E$2:$E$5000,MATCH($C491,DB_materiali!$A$2:$A$5000,0))&lt;=INDEX(DB_malas!$D$2:$D$5000,MATCH(J491,DB_malas!$A$2:$A$5000,0)),IF(INDEX(DB_materiali!$B$2:$B$5000,MATCH($C491,DB_materiali!$A$2:$A$5000,0))=INDEX(DB_malas!$B$2:$B$5000,MATCH(J491,DB_malas!$A$2:$A$5000,0)),"✔",tulkojums!$A$38),tulkojums!$A$39),tulkojums!$A$39))</f>
        <v/>
      </c>
      <c r="S491" s="2" t="str">
        <f>IF(ISBLANK(K491),"",IF(INDEX(DB_materiali!$E$2:$E$5000,MATCH($C491,DB_materiali!$A$2:$A$5000,0))&gt;=INDEX(DB_malas!$C$2:$C$5000,MATCH(K491,DB_malas!$A$2:$A$5000,0)),IF(INDEX(DB_materiali!$E$2:$E$5000,MATCH($C491,DB_materiali!$A$2:$A$5000,0))&lt;=INDEX(DB_malas!$D$2:$D$5000,MATCH(K491,DB_malas!$A$2:$A$5000,0)),IF(INDEX(DB_materiali!$B$2:$B$5000,MATCH($C491,DB_materiali!$A$2:$A$5000,0))=INDEX(DB_malas!$B$2:$B$5000,MATCH(K491,DB_malas!$A$2:$A$5000,0)),"✔",tulkojums!$A$38),tulkojums!$A$39),tulkojums!$A$39))</f>
        <v/>
      </c>
      <c r="T491" s="2"/>
      <c r="U491" s="2"/>
      <c r="V491" s="2"/>
      <c r="W491" s="2"/>
      <c r="X491" s="2"/>
      <c r="Y491" s="2"/>
      <c r="Z491" s="2"/>
    </row>
    <row r="492" spans="1:26" ht="15.75" customHeight="1">
      <c r="A492" s="17"/>
      <c r="B492" s="18"/>
      <c r="C492" s="19"/>
      <c r="D492" s="55"/>
      <c r="E492" s="55"/>
      <c r="F492" s="56"/>
      <c r="G492" s="57" t="str">
        <f>IF(ISBLANK(C492),"",
   IFERROR(
      IF(
         INDEX(DB_materiali!C$2:C$5000,
               MATCH(C492, DB_materiali!A$2:A$5000, 0)
         )="FALSE",
         "N",
         "Y"
      ),
   "")
)</f>
        <v/>
      </c>
      <c r="H492" s="20"/>
      <c r="I492" s="20"/>
      <c r="J492" s="20"/>
      <c r="K492" s="20"/>
      <c r="M492" s="2" t="str">
        <f>IF(ISBLANK(C492),"",IF(IFERROR(VLOOKUP(C492,DB_materiali!$A$2:$A$5000,1,FALSE),"Kļūda artikulā")=C492,"✔",tulkojums!A$42))</f>
        <v/>
      </c>
      <c r="N492" s="2" t="str">
        <f>IF(ISBLANK(C492),"",IF(ISNUMBER(F492)=TRUE,"✔",tulkojums!A$43))</f>
        <v/>
      </c>
      <c r="O492" s="2" t="str">
        <f>IF(ISBLANK(C492),"",IF(G492="Y","✔",IF(G492="X","✔",IF(G492="N","✔",tulkojums!A$44))))</f>
        <v/>
      </c>
      <c r="P492" s="2" t="str">
        <f>IF(ISBLANK(H492),"",IF(INDEX(DB_materiali!$E$2:$E$5000,MATCH($C492,DB_materiali!$A$2:$A$5000,0))&gt;=INDEX(DB_malas!$C$2:$C$5000,MATCH(H492,DB_malas!$A$2:$A$5000,0)),IF(INDEX(DB_materiali!$E$2:$E$5000,MATCH($C492,DB_materiali!$A$2:$A$5000,0))&lt;=INDEX(DB_malas!$D$2:$D$5000,MATCH(H492,DB_malas!$A$2:$A$5000,0)),IF(OR(INDEX(DB_materiali!$B$2:$B$5000,MATCH($C492,DB_materiali!$A$2:$A$5000,0))=INDEX(DB_malas!$B$2:$B$5000,MATCH(H492,DB_malas!$A$2:$A$5000,0)),$H492="ORG"),"✔",tulkojums!$A$38),tulkojums!$A$39),tulkojums!$A$39))</f>
        <v/>
      </c>
      <c r="Q492" s="2" t="str">
        <f>IF(ISBLANK(I492),"",IF(INDEX(DB_materiali!$E$2:$E$5000,MATCH($C492,DB_materiali!$A$2:$A$5000,0))&gt;=INDEX(DB_malas!$C$2:$C$5000,MATCH(I492,DB_malas!$A$2:$A$5000,0)),IF(INDEX(DB_materiali!$E$2:$E$5000,MATCH($C492,DB_materiali!$A$2:$A$5000,0))&lt;=INDEX(DB_malas!$D$2:$D$5000,MATCH(I492,DB_malas!$A$2:$A$5000,0)),IF(OR(INDEX(DB_materiali!$B$2:$B$5000,MATCH($C492,DB_materiali!$A$2:$A$5000,0))=INDEX(DB_malas!$B$2:$B$5000,MATCH(I492,DB_malas!$A$2:$A$5000,0)),$H492="ORG"),"✔",tulkojums!$A$38),tulkojums!$A$39),tulkojums!$A$39))</f>
        <v/>
      </c>
      <c r="R492" s="2" t="str">
        <f>IF(ISBLANK(J492),"",IF(INDEX(DB_materiali!$E$2:$E$5000,MATCH($C492,DB_materiali!$A$2:$A$5000,0))&gt;=INDEX(DB_malas!$C$2:$C$5000,MATCH(J492,DB_malas!$A$2:$A$5000,0)),IF(INDEX(DB_materiali!$E$2:$E$5000,MATCH($C492,DB_materiali!$A$2:$A$5000,0))&lt;=INDEX(DB_malas!$D$2:$D$5000,MATCH(J492,DB_malas!$A$2:$A$5000,0)),IF(INDEX(DB_materiali!$B$2:$B$5000,MATCH($C492,DB_materiali!$A$2:$A$5000,0))=INDEX(DB_malas!$B$2:$B$5000,MATCH(J492,DB_malas!$A$2:$A$5000,0)),"✔",tulkojums!$A$38),tulkojums!$A$39),tulkojums!$A$39))</f>
        <v/>
      </c>
      <c r="S492" s="2" t="str">
        <f>IF(ISBLANK(K492),"",IF(INDEX(DB_materiali!$E$2:$E$5000,MATCH($C492,DB_materiali!$A$2:$A$5000,0))&gt;=INDEX(DB_malas!$C$2:$C$5000,MATCH(K492,DB_malas!$A$2:$A$5000,0)),IF(INDEX(DB_materiali!$E$2:$E$5000,MATCH($C492,DB_materiali!$A$2:$A$5000,0))&lt;=INDEX(DB_malas!$D$2:$D$5000,MATCH(K492,DB_malas!$A$2:$A$5000,0)),IF(INDEX(DB_materiali!$B$2:$B$5000,MATCH($C492,DB_materiali!$A$2:$A$5000,0))=INDEX(DB_malas!$B$2:$B$5000,MATCH(K492,DB_malas!$A$2:$A$5000,0)),"✔",tulkojums!$A$38),tulkojums!$A$39),tulkojums!$A$39))</f>
        <v/>
      </c>
      <c r="T492" s="2"/>
      <c r="U492" s="2"/>
      <c r="V492" s="2"/>
      <c r="W492" s="2"/>
      <c r="X492" s="2"/>
      <c r="Y492" s="2"/>
      <c r="Z492" s="2"/>
    </row>
    <row r="493" spans="1:26" ht="15.75" customHeight="1">
      <c r="A493" s="17"/>
      <c r="B493" s="18"/>
      <c r="C493" s="19"/>
      <c r="D493" s="55"/>
      <c r="E493" s="55"/>
      <c r="F493" s="56"/>
      <c r="G493" s="57" t="str">
        <f>IF(ISBLANK(C493),"",
   IFERROR(
      IF(
         INDEX(DB_materiali!C$2:C$5000,
               MATCH(C493, DB_materiali!A$2:A$5000, 0)
         )="FALSE",
         "N",
         "Y"
      ),
   "")
)</f>
        <v/>
      </c>
      <c r="H493" s="20"/>
      <c r="I493" s="20"/>
      <c r="J493" s="20"/>
      <c r="K493" s="20"/>
      <c r="M493" s="2" t="str">
        <f>IF(ISBLANK(C493),"",IF(IFERROR(VLOOKUP(C493,DB_materiali!$A$2:$A$5000,1,FALSE),"Kļūda artikulā")=C493,"✔",tulkojums!A$42))</f>
        <v/>
      </c>
      <c r="N493" s="2" t="str">
        <f>IF(ISBLANK(C493),"",IF(ISNUMBER(F493)=TRUE,"✔",tulkojums!A$43))</f>
        <v/>
      </c>
      <c r="O493" s="2" t="str">
        <f>IF(ISBLANK(C493),"",IF(G493="Y","✔",IF(G493="X","✔",IF(G493="N","✔",tulkojums!A$44))))</f>
        <v/>
      </c>
      <c r="P493" s="2" t="str">
        <f>IF(ISBLANK(H493),"",IF(INDEX(DB_materiali!$E$2:$E$5000,MATCH($C493,DB_materiali!$A$2:$A$5000,0))&gt;=INDEX(DB_malas!$C$2:$C$5000,MATCH(H493,DB_malas!$A$2:$A$5000,0)),IF(INDEX(DB_materiali!$E$2:$E$5000,MATCH($C493,DB_materiali!$A$2:$A$5000,0))&lt;=INDEX(DB_malas!$D$2:$D$5000,MATCH(H493,DB_malas!$A$2:$A$5000,0)),IF(OR(INDEX(DB_materiali!$B$2:$B$5000,MATCH($C493,DB_materiali!$A$2:$A$5000,0))=INDEX(DB_malas!$B$2:$B$5000,MATCH(H493,DB_malas!$A$2:$A$5000,0)),$H493="ORG"),"✔",tulkojums!$A$38),tulkojums!$A$39),tulkojums!$A$39))</f>
        <v/>
      </c>
      <c r="Q493" s="2" t="str">
        <f>IF(ISBLANK(I493),"",IF(INDEX(DB_materiali!$E$2:$E$5000,MATCH($C493,DB_materiali!$A$2:$A$5000,0))&gt;=INDEX(DB_malas!$C$2:$C$5000,MATCH(I493,DB_malas!$A$2:$A$5000,0)),IF(INDEX(DB_materiali!$E$2:$E$5000,MATCH($C493,DB_materiali!$A$2:$A$5000,0))&lt;=INDEX(DB_malas!$D$2:$D$5000,MATCH(I493,DB_malas!$A$2:$A$5000,0)),IF(OR(INDEX(DB_materiali!$B$2:$B$5000,MATCH($C493,DB_materiali!$A$2:$A$5000,0))=INDEX(DB_malas!$B$2:$B$5000,MATCH(I493,DB_malas!$A$2:$A$5000,0)),$H493="ORG"),"✔",tulkojums!$A$38),tulkojums!$A$39),tulkojums!$A$39))</f>
        <v/>
      </c>
      <c r="R493" s="2" t="str">
        <f>IF(ISBLANK(J493),"",IF(INDEX(DB_materiali!$E$2:$E$5000,MATCH($C493,DB_materiali!$A$2:$A$5000,0))&gt;=INDEX(DB_malas!$C$2:$C$5000,MATCH(J493,DB_malas!$A$2:$A$5000,0)),IF(INDEX(DB_materiali!$E$2:$E$5000,MATCH($C493,DB_materiali!$A$2:$A$5000,0))&lt;=INDEX(DB_malas!$D$2:$D$5000,MATCH(J493,DB_malas!$A$2:$A$5000,0)),IF(INDEX(DB_materiali!$B$2:$B$5000,MATCH($C493,DB_materiali!$A$2:$A$5000,0))=INDEX(DB_malas!$B$2:$B$5000,MATCH(J493,DB_malas!$A$2:$A$5000,0)),"✔",tulkojums!$A$38),tulkojums!$A$39),tulkojums!$A$39))</f>
        <v/>
      </c>
      <c r="S493" s="2" t="str">
        <f>IF(ISBLANK(K493),"",IF(INDEX(DB_materiali!$E$2:$E$5000,MATCH($C493,DB_materiali!$A$2:$A$5000,0))&gt;=INDEX(DB_malas!$C$2:$C$5000,MATCH(K493,DB_malas!$A$2:$A$5000,0)),IF(INDEX(DB_materiali!$E$2:$E$5000,MATCH($C493,DB_materiali!$A$2:$A$5000,0))&lt;=INDEX(DB_malas!$D$2:$D$5000,MATCH(K493,DB_malas!$A$2:$A$5000,0)),IF(INDEX(DB_materiali!$B$2:$B$5000,MATCH($C493,DB_materiali!$A$2:$A$5000,0))=INDEX(DB_malas!$B$2:$B$5000,MATCH(K493,DB_malas!$A$2:$A$5000,0)),"✔",tulkojums!$A$38),tulkojums!$A$39),tulkojums!$A$39))</f>
        <v/>
      </c>
      <c r="T493" s="2"/>
      <c r="U493" s="2"/>
      <c r="V493" s="2"/>
      <c r="W493" s="2"/>
      <c r="X493" s="2"/>
      <c r="Y493" s="2"/>
      <c r="Z493" s="2"/>
    </row>
    <row r="494" spans="1:26" ht="15.75" customHeight="1">
      <c r="A494" s="17"/>
      <c r="B494" s="18"/>
      <c r="C494" s="19"/>
      <c r="D494" s="55"/>
      <c r="E494" s="55"/>
      <c r="F494" s="56"/>
      <c r="G494" s="57" t="str">
        <f>IF(ISBLANK(C494),"",
   IFERROR(
      IF(
         INDEX(DB_materiali!C$2:C$5000,
               MATCH(C494, DB_materiali!A$2:A$5000, 0)
         )="FALSE",
         "N",
         "Y"
      ),
   "")
)</f>
        <v/>
      </c>
      <c r="H494" s="20"/>
      <c r="I494" s="20"/>
      <c r="J494" s="20"/>
      <c r="K494" s="20"/>
      <c r="M494" s="2" t="str">
        <f>IF(ISBLANK(C494),"",IF(IFERROR(VLOOKUP(C494,DB_materiali!$A$2:$A$5000,1,FALSE),"Kļūda artikulā")=C494,"✔",tulkojums!A$42))</f>
        <v/>
      </c>
      <c r="N494" s="2" t="str">
        <f>IF(ISBLANK(C494),"",IF(ISNUMBER(F494)=TRUE,"✔",tulkojums!A$43))</f>
        <v/>
      </c>
      <c r="O494" s="2" t="str">
        <f>IF(ISBLANK(C494),"",IF(G494="Y","✔",IF(G494="X","✔",IF(G494="N","✔",tulkojums!A$44))))</f>
        <v/>
      </c>
      <c r="P494" s="2" t="str">
        <f>IF(ISBLANK(H494),"",IF(INDEX(DB_materiali!$E$2:$E$5000,MATCH($C494,DB_materiali!$A$2:$A$5000,0))&gt;=INDEX(DB_malas!$C$2:$C$5000,MATCH(H494,DB_malas!$A$2:$A$5000,0)),IF(INDEX(DB_materiali!$E$2:$E$5000,MATCH($C494,DB_materiali!$A$2:$A$5000,0))&lt;=INDEX(DB_malas!$D$2:$D$5000,MATCH(H494,DB_malas!$A$2:$A$5000,0)),IF(OR(INDEX(DB_materiali!$B$2:$B$5000,MATCH($C494,DB_materiali!$A$2:$A$5000,0))=INDEX(DB_malas!$B$2:$B$5000,MATCH(H494,DB_malas!$A$2:$A$5000,0)),$H494="ORG"),"✔",tulkojums!$A$38),tulkojums!$A$39),tulkojums!$A$39))</f>
        <v/>
      </c>
      <c r="Q494" s="2" t="str">
        <f>IF(ISBLANK(I494),"",IF(INDEX(DB_materiali!$E$2:$E$5000,MATCH($C494,DB_materiali!$A$2:$A$5000,0))&gt;=INDEX(DB_malas!$C$2:$C$5000,MATCH(I494,DB_malas!$A$2:$A$5000,0)),IF(INDEX(DB_materiali!$E$2:$E$5000,MATCH($C494,DB_materiali!$A$2:$A$5000,0))&lt;=INDEX(DB_malas!$D$2:$D$5000,MATCH(I494,DB_malas!$A$2:$A$5000,0)),IF(OR(INDEX(DB_materiali!$B$2:$B$5000,MATCH($C494,DB_materiali!$A$2:$A$5000,0))=INDEX(DB_malas!$B$2:$B$5000,MATCH(I494,DB_malas!$A$2:$A$5000,0)),$H494="ORG"),"✔",tulkojums!$A$38),tulkojums!$A$39),tulkojums!$A$39))</f>
        <v/>
      </c>
      <c r="R494" s="2" t="str">
        <f>IF(ISBLANK(J494),"",IF(INDEX(DB_materiali!$E$2:$E$5000,MATCH($C494,DB_materiali!$A$2:$A$5000,0))&gt;=INDEX(DB_malas!$C$2:$C$5000,MATCH(J494,DB_malas!$A$2:$A$5000,0)),IF(INDEX(DB_materiali!$E$2:$E$5000,MATCH($C494,DB_materiali!$A$2:$A$5000,0))&lt;=INDEX(DB_malas!$D$2:$D$5000,MATCH(J494,DB_malas!$A$2:$A$5000,0)),IF(INDEX(DB_materiali!$B$2:$B$5000,MATCH($C494,DB_materiali!$A$2:$A$5000,0))=INDEX(DB_malas!$B$2:$B$5000,MATCH(J494,DB_malas!$A$2:$A$5000,0)),"✔",tulkojums!$A$38),tulkojums!$A$39),tulkojums!$A$39))</f>
        <v/>
      </c>
      <c r="S494" s="2" t="str">
        <f>IF(ISBLANK(K494),"",IF(INDEX(DB_materiali!$E$2:$E$5000,MATCH($C494,DB_materiali!$A$2:$A$5000,0))&gt;=INDEX(DB_malas!$C$2:$C$5000,MATCH(K494,DB_malas!$A$2:$A$5000,0)),IF(INDEX(DB_materiali!$E$2:$E$5000,MATCH($C494,DB_materiali!$A$2:$A$5000,0))&lt;=INDEX(DB_malas!$D$2:$D$5000,MATCH(K494,DB_malas!$A$2:$A$5000,0)),IF(INDEX(DB_materiali!$B$2:$B$5000,MATCH($C494,DB_materiali!$A$2:$A$5000,0))=INDEX(DB_malas!$B$2:$B$5000,MATCH(K494,DB_malas!$A$2:$A$5000,0)),"✔",tulkojums!$A$38),tulkojums!$A$39),tulkojums!$A$39))</f>
        <v/>
      </c>
      <c r="T494" s="2"/>
      <c r="U494" s="2"/>
      <c r="V494" s="2"/>
      <c r="W494" s="2"/>
      <c r="X494" s="2"/>
      <c r="Y494" s="2"/>
      <c r="Z494" s="2"/>
    </row>
    <row r="495" spans="1:26" ht="15.75" customHeight="1">
      <c r="A495" s="17"/>
      <c r="B495" s="18"/>
      <c r="C495" s="19"/>
      <c r="D495" s="55"/>
      <c r="E495" s="55"/>
      <c r="F495" s="56"/>
      <c r="G495" s="57" t="str">
        <f>IF(ISBLANK(C495),"",
   IFERROR(
      IF(
         INDEX(DB_materiali!C$2:C$5000,
               MATCH(C495, DB_materiali!A$2:A$5000, 0)
         )="FALSE",
         "N",
         "Y"
      ),
   "")
)</f>
        <v/>
      </c>
      <c r="H495" s="20"/>
      <c r="I495" s="20"/>
      <c r="J495" s="20"/>
      <c r="K495" s="20"/>
      <c r="M495" s="2" t="str">
        <f>IF(ISBLANK(C495),"",IF(IFERROR(VLOOKUP(C495,DB_materiali!$A$2:$A$5000,1,FALSE),"Kļūda artikulā")=C495,"✔",tulkojums!A$42))</f>
        <v/>
      </c>
      <c r="N495" s="2" t="str">
        <f>IF(ISBLANK(C495),"",IF(ISNUMBER(F495)=TRUE,"✔",tulkojums!A$43))</f>
        <v/>
      </c>
      <c r="O495" s="2" t="str">
        <f>IF(ISBLANK(C495),"",IF(G495="Y","✔",IF(G495="X","✔",IF(G495="N","✔",tulkojums!A$44))))</f>
        <v/>
      </c>
      <c r="P495" s="2" t="str">
        <f>IF(ISBLANK(H495),"",IF(INDEX(DB_materiali!$E$2:$E$5000,MATCH($C495,DB_materiali!$A$2:$A$5000,0))&gt;=INDEX(DB_malas!$C$2:$C$5000,MATCH(H495,DB_malas!$A$2:$A$5000,0)),IF(INDEX(DB_materiali!$E$2:$E$5000,MATCH($C495,DB_materiali!$A$2:$A$5000,0))&lt;=INDEX(DB_malas!$D$2:$D$5000,MATCH(H495,DB_malas!$A$2:$A$5000,0)),IF(OR(INDEX(DB_materiali!$B$2:$B$5000,MATCH($C495,DB_materiali!$A$2:$A$5000,0))=INDEX(DB_malas!$B$2:$B$5000,MATCH(H495,DB_malas!$A$2:$A$5000,0)),$H495="ORG"),"✔",tulkojums!$A$38),tulkojums!$A$39),tulkojums!$A$39))</f>
        <v/>
      </c>
      <c r="Q495" s="2" t="str">
        <f>IF(ISBLANK(I495),"",IF(INDEX(DB_materiali!$E$2:$E$5000,MATCH($C495,DB_materiali!$A$2:$A$5000,0))&gt;=INDEX(DB_malas!$C$2:$C$5000,MATCH(I495,DB_malas!$A$2:$A$5000,0)),IF(INDEX(DB_materiali!$E$2:$E$5000,MATCH($C495,DB_materiali!$A$2:$A$5000,0))&lt;=INDEX(DB_malas!$D$2:$D$5000,MATCH(I495,DB_malas!$A$2:$A$5000,0)),IF(OR(INDEX(DB_materiali!$B$2:$B$5000,MATCH($C495,DB_materiali!$A$2:$A$5000,0))=INDEX(DB_malas!$B$2:$B$5000,MATCH(I495,DB_malas!$A$2:$A$5000,0)),$H495="ORG"),"✔",tulkojums!$A$38),tulkojums!$A$39),tulkojums!$A$39))</f>
        <v/>
      </c>
      <c r="R495" s="2" t="str">
        <f>IF(ISBLANK(J495),"",IF(INDEX(DB_materiali!$E$2:$E$5000,MATCH($C495,DB_materiali!$A$2:$A$5000,0))&gt;=INDEX(DB_malas!$C$2:$C$5000,MATCH(J495,DB_malas!$A$2:$A$5000,0)),IF(INDEX(DB_materiali!$E$2:$E$5000,MATCH($C495,DB_materiali!$A$2:$A$5000,0))&lt;=INDEX(DB_malas!$D$2:$D$5000,MATCH(J495,DB_malas!$A$2:$A$5000,0)),IF(INDEX(DB_materiali!$B$2:$B$5000,MATCH($C495,DB_materiali!$A$2:$A$5000,0))=INDEX(DB_malas!$B$2:$B$5000,MATCH(J495,DB_malas!$A$2:$A$5000,0)),"✔",tulkojums!$A$38),tulkojums!$A$39),tulkojums!$A$39))</f>
        <v/>
      </c>
      <c r="S495" s="2" t="str">
        <f>IF(ISBLANK(K495),"",IF(INDEX(DB_materiali!$E$2:$E$5000,MATCH($C495,DB_materiali!$A$2:$A$5000,0))&gt;=INDEX(DB_malas!$C$2:$C$5000,MATCH(K495,DB_malas!$A$2:$A$5000,0)),IF(INDEX(DB_materiali!$E$2:$E$5000,MATCH($C495,DB_materiali!$A$2:$A$5000,0))&lt;=INDEX(DB_malas!$D$2:$D$5000,MATCH(K495,DB_malas!$A$2:$A$5000,0)),IF(INDEX(DB_materiali!$B$2:$B$5000,MATCH($C495,DB_materiali!$A$2:$A$5000,0))=INDEX(DB_malas!$B$2:$B$5000,MATCH(K495,DB_malas!$A$2:$A$5000,0)),"✔",tulkojums!$A$38),tulkojums!$A$39),tulkojums!$A$39))</f>
        <v/>
      </c>
      <c r="T495" s="2"/>
      <c r="U495" s="2"/>
      <c r="V495" s="2"/>
      <c r="W495" s="2"/>
      <c r="X495" s="2"/>
      <c r="Y495" s="2"/>
      <c r="Z495" s="2"/>
    </row>
    <row r="496" spans="1:26" ht="15.75" customHeight="1">
      <c r="A496" s="17"/>
      <c r="B496" s="18"/>
      <c r="C496" s="19"/>
      <c r="D496" s="55"/>
      <c r="E496" s="55"/>
      <c r="F496" s="56"/>
      <c r="G496" s="57" t="str">
        <f>IF(ISBLANK(C496),"",
   IFERROR(
      IF(
         INDEX(DB_materiali!C$2:C$5000,
               MATCH(C496, DB_materiali!A$2:A$5000, 0)
         )="FALSE",
         "N",
         "Y"
      ),
   "")
)</f>
        <v/>
      </c>
      <c r="H496" s="20"/>
      <c r="I496" s="20"/>
      <c r="J496" s="20"/>
      <c r="K496" s="20"/>
      <c r="M496" s="2" t="str">
        <f>IF(ISBLANK(C496),"",IF(IFERROR(VLOOKUP(C496,DB_materiali!$A$2:$A$5000,1,FALSE),"Kļūda artikulā")=C496,"✔",tulkojums!A$42))</f>
        <v/>
      </c>
      <c r="N496" s="2" t="str">
        <f>IF(ISBLANK(C496),"",IF(ISNUMBER(F496)=TRUE,"✔",tulkojums!A$43))</f>
        <v/>
      </c>
      <c r="O496" s="2" t="str">
        <f>IF(ISBLANK(C496),"",IF(G496="Y","✔",IF(G496="X","✔",IF(G496="N","✔",tulkojums!A$44))))</f>
        <v/>
      </c>
      <c r="P496" s="2" t="str">
        <f>IF(ISBLANK(H496),"",IF(INDEX(DB_materiali!$E$2:$E$5000,MATCH($C496,DB_materiali!$A$2:$A$5000,0))&gt;=INDEX(DB_malas!$C$2:$C$5000,MATCH(H496,DB_malas!$A$2:$A$5000,0)),IF(INDEX(DB_materiali!$E$2:$E$5000,MATCH($C496,DB_materiali!$A$2:$A$5000,0))&lt;=INDEX(DB_malas!$D$2:$D$5000,MATCH(H496,DB_malas!$A$2:$A$5000,0)),IF(OR(INDEX(DB_materiali!$B$2:$B$5000,MATCH($C496,DB_materiali!$A$2:$A$5000,0))=INDEX(DB_malas!$B$2:$B$5000,MATCH(H496,DB_malas!$A$2:$A$5000,0)),$H496="ORG"),"✔",tulkojums!$A$38),tulkojums!$A$39),tulkojums!$A$39))</f>
        <v/>
      </c>
      <c r="Q496" s="2" t="str">
        <f>IF(ISBLANK(I496),"",IF(INDEX(DB_materiali!$E$2:$E$5000,MATCH($C496,DB_materiali!$A$2:$A$5000,0))&gt;=INDEX(DB_malas!$C$2:$C$5000,MATCH(I496,DB_malas!$A$2:$A$5000,0)),IF(INDEX(DB_materiali!$E$2:$E$5000,MATCH($C496,DB_materiali!$A$2:$A$5000,0))&lt;=INDEX(DB_malas!$D$2:$D$5000,MATCH(I496,DB_malas!$A$2:$A$5000,0)),IF(OR(INDEX(DB_materiali!$B$2:$B$5000,MATCH($C496,DB_materiali!$A$2:$A$5000,0))=INDEX(DB_malas!$B$2:$B$5000,MATCH(I496,DB_malas!$A$2:$A$5000,0)),$H496="ORG"),"✔",tulkojums!$A$38),tulkojums!$A$39),tulkojums!$A$39))</f>
        <v/>
      </c>
      <c r="R496" s="2" t="str">
        <f>IF(ISBLANK(J496),"",IF(INDEX(DB_materiali!$E$2:$E$5000,MATCH($C496,DB_materiali!$A$2:$A$5000,0))&gt;=INDEX(DB_malas!$C$2:$C$5000,MATCH(J496,DB_malas!$A$2:$A$5000,0)),IF(INDEX(DB_materiali!$E$2:$E$5000,MATCH($C496,DB_materiali!$A$2:$A$5000,0))&lt;=INDEX(DB_malas!$D$2:$D$5000,MATCH(J496,DB_malas!$A$2:$A$5000,0)),IF(INDEX(DB_materiali!$B$2:$B$5000,MATCH($C496,DB_materiali!$A$2:$A$5000,0))=INDEX(DB_malas!$B$2:$B$5000,MATCH(J496,DB_malas!$A$2:$A$5000,0)),"✔",tulkojums!$A$38),tulkojums!$A$39),tulkojums!$A$39))</f>
        <v/>
      </c>
      <c r="S496" s="2" t="str">
        <f>IF(ISBLANK(K496),"",IF(INDEX(DB_materiali!$E$2:$E$5000,MATCH($C496,DB_materiali!$A$2:$A$5000,0))&gt;=INDEX(DB_malas!$C$2:$C$5000,MATCH(K496,DB_malas!$A$2:$A$5000,0)),IF(INDEX(DB_materiali!$E$2:$E$5000,MATCH($C496,DB_materiali!$A$2:$A$5000,0))&lt;=INDEX(DB_malas!$D$2:$D$5000,MATCH(K496,DB_malas!$A$2:$A$5000,0)),IF(INDEX(DB_materiali!$B$2:$B$5000,MATCH($C496,DB_materiali!$A$2:$A$5000,0))=INDEX(DB_malas!$B$2:$B$5000,MATCH(K496,DB_malas!$A$2:$A$5000,0)),"✔",tulkojums!$A$38),tulkojums!$A$39),tulkojums!$A$39))</f>
        <v/>
      </c>
      <c r="T496" s="2"/>
      <c r="U496" s="2"/>
      <c r="V496" s="2"/>
      <c r="W496" s="2"/>
      <c r="X496" s="2"/>
      <c r="Y496" s="2"/>
      <c r="Z496" s="2"/>
    </row>
    <row r="497" spans="1:26" ht="15.75" customHeight="1">
      <c r="A497" s="17"/>
      <c r="B497" s="18"/>
      <c r="C497" s="19"/>
      <c r="D497" s="55"/>
      <c r="E497" s="55"/>
      <c r="F497" s="56"/>
      <c r="G497" s="57" t="str">
        <f>IF(ISBLANK(C497),"",
   IFERROR(
      IF(
         INDEX(DB_materiali!C$2:C$5000,
               MATCH(C497, DB_materiali!A$2:A$5000, 0)
         )="FALSE",
         "N",
         "Y"
      ),
   "")
)</f>
        <v/>
      </c>
      <c r="H497" s="20"/>
      <c r="I497" s="20"/>
      <c r="J497" s="20"/>
      <c r="K497" s="20"/>
      <c r="M497" s="2" t="str">
        <f>IF(ISBLANK(C497),"",IF(IFERROR(VLOOKUP(C497,DB_materiali!$A$2:$A$5000,1,FALSE),"Kļūda artikulā")=C497,"✔",tulkojums!A$42))</f>
        <v/>
      </c>
      <c r="N497" s="2" t="str">
        <f>IF(ISBLANK(C497),"",IF(ISNUMBER(F497)=TRUE,"✔",tulkojums!A$43))</f>
        <v/>
      </c>
      <c r="O497" s="2" t="str">
        <f>IF(ISBLANK(C497),"",IF(G497="Y","✔",IF(G497="X","✔",IF(G497="N","✔",tulkojums!A$44))))</f>
        <v/>
      </c>
      <c r="P497" s="2" t="str">
        <f>IF(ISBLANK(H497),"",IF(INDEX(DB_materiali!$E$2:$E$5000,MATCH($C497,DB_materiali!$A$2:$A$5000,0))&gt;=INDEX(DB_malas!$C$2:$C$5000,MATCH(H497,DB_malas!$A$2:$A$5000,0)),IF(INDEX(DB_materiali!$E$2:$E$5000,MATCH($C497,DB_materiali!$A$2:$A$5000,0))&lt;=INDEX(DB_malas!$D$2:$D$5000,MATCH(H497,DB_malas!$A$2:$A$5000,0)),IF(OR(INDEX(DB_materiali!$B$2:$B$5000,MATCH($C497,DB_materiali!$A$2:$A$5000,0))=INDEX(DB_malas!$B$2:$B$5000,MATCH(H497,DB_malas!$A$2:$A$5000,0)),$H497="ORG"),"✔",tulkojums!$A$38),tulkojums!$A$39),tulkojums!$A$39))</f>
        <v/>
      </c>
      <c r="Q497" s="2" t="str">
        <f>IF(ISBLANK(I497),"",IF(INDEX(DB_materiali!$E$2:$E$5000,MATCH($C497,DB_materiali!$A$2:$A$5000,0))&gt;=INDEX(DB_malas!$C$2:$C$5000,MATCH(I497,DB_malas!$A$2:$A$5000,0)),IF(INDEX(DB_materiali!$E$2:$E$5000,MATCH($C497,DB_materiali!$A$2:$A$5000,0))&lt;=INDEX(DB_malas!$D$2:$D$5000,MATCH(I497,DB_malas!$A$2:$A$5000,0)),IF(OR(INDEX(DB_materiali!$B$2:$B$5000,MATCH($C497,DB_materiali!$A$2:$A$5000,0))=INDEX(DB_malas!$B$2:$B$5000,MATCH(I497,DB_malas!$A$2:$A$5000,0)),$H497="ORG"),"✔",tulkojums!$A$38),tulkojums!$A$39),tulkojums!$A$39))</f>
        <v/>
      </c>
      <c r="R497" s="2" t="str">
        <f>IF(ISBLANK(J497),"",IF(INDEX(DB_materiali!$E$2:$E$5000,MATCH($C497,DB_materiali!$A$2:$A$5000,0))&gt;=INDEX(DB_malas!$C$2:$C$5000,MATCH(J497,DB_malas!$A$2:$A$5000,0)),IF(INDEX(DB_materiali!$E$2:$E$5000,MATCH($C497,DB_materiali!$A$2:$A$5000,0))&lt;=INDEX(DB_malas!$D$2:$D$5000,MATCH(J497,DB_malas!$A$2:$A$5000,0)),IF(INDEX(DB_materiali!$B$2:$B$5000,MATCH($C497,DB_materiali!$A$2:$A$5000,0))=INDEX(DB_malas!$B$2:$B$5000,MATCH(J497,DB_malas!$A$2:$A$5000,0)),"✔",tulkojums!$A$38),tulkojums!$A$39),tulkojums!$A$39))</f>
        <v/>
      </c>
      <c r="S497" s="2" t="str">
        <f>IF(ISBLANK(K497),"",IF(INDEX(DB_materiali!$E$2:$E$5000,MATCH($C497,DB_materiali!$A$2:$A$5000,0))&gt;=INDEX(DB_malas!$C$2:$C$5000,MATCH(K497,DB_malas!$A$2:$A$5000,0)),IF(INDEX(DB_materiali!$E$2:$E$5000,MATCH($C497,DB_materiali!$A$2:$A$5000,0))&lt;=INDEX(DB_malas!$D$2:$D$5000,MATCH(K497,DB_malas!$A$2:$A$5000,0)),IF(INDEX(DB_materiali!$B$2:$B$5000,MATCH($C497,DB_materiali!$A$2:$A$5000,0))=INDEX(DB_malas!$B$2:$B$5000,MATCH(K497,DB_malas!$A$2:$A$5000,0)),"✔",tulkojums!$A$38),tulkojums!$A$39),tulkojums!$A$39))</f>
        <v/>
      </c>
      <c r="T497" s="2"/>
      <c r="U497" s="2"/>
      <c r="V497" s="2"/>
      <c r="W497" s="2"/>
      <c r="X497" s="2"/>
      <c r="Y497" s="2"/>
      <c r="Z497" s="2"/>
    </row>
    <row r="498" spans="1:26" ht="15.75" customHeight="1">
      <c r="A498" s="17"/>
      <c r="B498" s="18"/>
      <c r="C498" s="19"/>
      <c r="D498" s="55"/>
      <c r="E498" s="55"/>
      <c r="F498" s="56"/>
      <c r="G498" s="57" t="str">
        <f>IF(ISBLANK(C498),"",
   IFERROR(
      IF(
         INDEX(DB_materiali!C$2:C$5000,
               MATCH(C498, DB_materiali!A$2:A$5000, 0)
         )="FALSE",
         "N",
         "Y"
      ),
   "")
)</f>
        <v/>
      </c>
      <c r="H498" s="20"/>
      <c r="I498" s="20"/>
      <c r="J498" s="20"/>
      <c r="K498" s="20"/>
      <c r="M498" s="2" t="str">
        <f>IF(ISBLANK(C498),"",IF(IFERROR(VLOOKUP(C498,DB_materiali!$A$2:$A$5000,1,FALSE),"Kļūda artikulā")=C498,"✔",tulkojums!A$42))</f>
        <v/>
      </c>
      <c r="N498" s="2" t="str">
        <f>IF(ISBLANK(C498),"",IF(ISNUMBER(F498)=TRUE,"✔",tulkojums!A$43))</f>
        <v/>
      </c>
      <c r="O498" s="2" t="str">
        <f>IF(ISBLANK(C498),"",IF(G498="Y","✔",IF(G498="X","✔",IF(G498="N","✔",tulkojums!A$44))))</f>
        <v/>
      </c>
      <c r="P498" s="2" t="str">
        <f>IF(ISBLANK(H498),"",IF(INDEX(DB_materiali!$E$2:$E$5000,MATCH($C498,DB_materiali!$A$2:$A$5000,0))&gt;=INDEX(DB_malas!$C$2:$C$5000,MATCH(H498,DB_malas!$A$2:$A$5000,0)),IF(INDEX(DB_materiali!$E$2:$E$5000,MATCH($C498,DB_materiali!$A$2:$A$5000,0))&lt;=INDEX(DB_malas!$D$2:$D$5000,MATCH(H498,DB_malas!$A$2:$A$5000,0)),IF(OR(INDEX(DB_materiali!$B$2:$B$5000,MATCH($C498,DB_materiali!$A$2:$A$5000,0))=INDEX(DB_malas!$B$2:$B$5000,MATCH(H498,DB_malas!$A$2:$A$5000,0)),$H498="ORG"),"✔",tulkojums!$A$38),tulkojums!$A$39),tulkojums!$A$39))</f>
        <v/>
      </c>
      <c r="Q498" s="2" t="str">
        <f>IF(ISBLANK(I498),"",IF(INDEX(DB_materiali!$E$2:$E$5000,MATCH($C498,DB_materiali!$A$2:$A$5000,0))&gt;=INDEX(DB_malas!$C$2:$C$5000,MATCH(I498,DB_malas!$A$2:$A$5000,0)),IF(INDEX(DB_materiali!$E$2:$E$5000,MATCH($C498,DB_materiali!$A$2:$A$5000,0))&lt;=INDEX(DB_malas!$D$2:$D$5000,MATCH(I498,DB_malas!$A$2:$A$5000,0)),IF(OR(INDEX(DB_materiali!$B$2:$B$5000,MATCH($C498,DB_materiali!$A$2:$A$5000,0))=INDEX(DB_malas!$B$2:$B$5000,MATCH(I498,DB_malas!$A$2:$A$5000,0)),$H498="ORG"),"✔",tulkojums!$A$38),tulkojums!$A$39),tulkojums!$A$39))</f>
        <v/>
      </c>
      <c r="R498" s="2" t="str">
        <f>IF(ISBLANK(J498),"",IF(INDEX(DB_materiali!$E$2:$E$5000,MATCH($C498,DB_materiali!$A$2:$A$5000,0))&gt;=INDEX(DB_malas!$C$2:$C$5000,MATCH(J498,DB_malas!$A$2:$A$5000,0)),IF(INDEX(DB_materiali!$E$2:$E$5000,MATCH($C498,DB_materiali!$A$2:$A$5000,0))&lt;=INDEX(DB_malas!$D$2:$D$5000,MATCH(J498,DB_malas!$A$2:$A$5000,0)),IF(INDEX(DB_materiali!$B$2:$B$5000,MATCH($C498,DB_materiali!$A$2:$A$5000,0))=INDEX(DB_malas!$B$2:$B$5000,MATCH(J498,DB_malas!$A$2:$A$5000,0)),"✔",tulkojums!$A$38),tulkojums!$A$39),tulkojums!$A$39))</f>
        <v/>
      </c>
      <c r="S498" s="2" t="str">
        <f>IF(ISBLANK(K498),"",IF(INDEX(DB_materiali!$E$2:$E$5000,MATCH($C498,DB_materiali!$A$2:$A$5000,0))&gt;=INDEX(DB_malas!$C$2:$C$5000,MATCH(K498,DB_malas!$A$2:$A$5000,0)),IF(INDEX(DB_materiali!$E$2:$E$5000,MATCH($C498,DB_materiali!$A$2:$A$5000,0))&lt;=INDEX(DB_malas!$D$2:$D$5000,MATCH(K498,DB_malas!$A$2:$A$5000,0)),IF(INDEX(DB_materiali!$B$2:$B$5000,MATCH($C498,DB_materiali!$A$2:$A$5000,0))=INDEX(DB_malas!$B$2:$B$5000,MATCH(K498,DB_malas!$A$2:$A$5000,0)),"✔",tulkojums!$A$38),tulkojums!$A$39),tulkojums!$A$39))</f>
        <v/>
      </c>
      <c r="T498" s="2"/>
      <c r="U498" s="2"/>
      <c r="V498" s="2"/>
      <c r="W498" s="2"/>
      <c r="X498" s="2"/>
      <c r="Y498" s="2"/>
      <c r="Z498" s="2"/>
    </row>
    <row r="499" spans="1:26" ht="15.75" customHeight="1">
      <c r="A499" s="17"/>
      <c r="B499" s="18"/>
      <c r="C499" s="19"/>
      <c r="D499" s="55"/>
      <c r="E499" s="55"/>
      <c r="F499" s="56"/>
      <c r="G499" s="57" t="str">
        <f>IF(ISBLANK(C499),"",
   IFERROR(
      IF(
         INDEX(DB_materiali!C$2:C$5000,
               MATCH(C499, DB_materiali!A$2:A$5000, 0)
         )="FALSE",
         "N",
         "Y"
      ),
   "")
)</f>
        <v/>
      </c>
      <c r="H499" s="20"/>
      <c r="I499" s="20"/>
      <c r="J499" s="20"/>
      <c r="K499" s="20"/>
      <c r="M499" s="2" t="str">
        <f>IF(ISBLANK(C499),"",IF(IFERROR(VLOOKUP(C499,DB_materiali!$A$2:$A$5000,1,FALSE),"Kļūda artikulā")=C499,"✔",tulkojums!A$42))</f>
        <v/>
      </c>
      <c r="N499" s="2" t="str">
        <f>IF(ISBLANK(C499),"",IF(ISNUMBER(F499)=TRUE,"✔",tulkojums!A$43))</f>
        <v/>
      </c>
      <c r="O499" s="2" t="str">
        <f>IF(ISBLANK(C499),"",IF(G499="Y","✔",IF(G499="X","✔",IF(G499="N","✔",tulkojums!A$44))))</f>
        <v/>
      </c>
      <c r="P499" s="2" t="str">
        <f>IF(ISBLANK(H499),"",IF(INDEX(DB_materiali!$E$2:$E$5000,MATCH($C499,DB_materiali!$A$2:$A$5000,0))&gt;=INDEX(DB_malas!$C$2:$C$5000,MATCH(H499,DB_malas!$A$2:$A$5000,0)),IF(INDEX(DB_materiali!$E$2:$E$5000,MATCH($C499,DB_materiali!$A$2:$A$5000,0))&lt;=INDEX(DB_malas!$D$2:$D$5000,MATCH(H499,DB_malas!$A$2:$A$5000,0)),IF(OR(INDEX(DB_materiali!$B$2:$B$5000,MATCH($C499,DB_materiali!$A$2:$A$5000,0))=INDEX(DB_malas!$B$2:$B$5000,MATCH(H499,DB_malas!$A$2:$A$5000,0)),$H499="ORG"),"✔",tulkojums!$A$38),tulkojums!$A$39),tulkojums!$A$39))</f>
        <v/>
      </c>
      <c r="Q499" s="2" t="str">
        <f>IF(ISBLANK(I499),"",IF(INDEX(DB_materiali!$E$2:$E$5000,MATCH($C499,DB_materiali!$A$2:$A$5000,0))&gt;=INDEX(DB_malas!$C$2:$C$5000,MATCH(I499,DB_malas!$A$2:$A$5000,0)),IF(INDEX(DB_materiali!$E$2:$E$5000,MATCH($C499,DB_materiali!$A$2:$A$5000,0))&lt;=INDEX(DB_malas!$D$2:$D$5000,MATCH(I499,DB_malas!$A$2:$A$5000,0)),IF(OR(INDEX(DB_materiali!$B$2:$B$5000,MATCH($C499,DB_materiali!$A$2:$A$5000,0))=INDEX(DB_malas!$B$2:$B$5000,MATCH(I499,DB_malas!$A$2:$A$5000,0)),$H499="ORG"),"✔",tulkojums!$A$38),tulkojums!$A$39),tulkojums!$A$39))</f>
        <v/>
      </c>
      <c r="R499" s="2" t="str">
        <f>IF(ISBLANK(J499),"",IF(INDEX(DB_materiali!$E$2:$E$5000,MATCH($C499,DB_materiali!$A$2:$A$5000,0))&gt;=INDEX(DB_malas!$C$2:$C$5000,MATCH(J499,DB_malas!$A$2:$A$5000,0)),IF(INDEX(DB_materiali!$E$2:$E$5000,MATCH($C499,DB_materiali!$A$2:$A$5000,0))&lt;=INDEX(DB_malas!$D$2:$D$5000,MATCH(J499,DB_malas!$A$2:$A$5000,0)),IF(INDEX(DB_materiali!$B$2:$B$5000,MATCH($C499,DB_materiali!$A$2:$A$5000,0))=INDEX(DB_malas!$B$2:$B$5000,MATCH(J499,DB_malas!$A$2:$A$5000,0)),"✔",tulkojums!$A$38),tulkojums!$A$39),tulkojums!$A$39))</f>
        <v/>
      </c>
      <c r="S499" s="2" t="str">
        <f>IF(ISBLANK(K499),"",IF(INDEX(DB_materiali!$E$2:$E$5000,MATCH($C499,DB_materiali!$A$2:$A$5000,0))&gt;=INDEX(DB_malas!$C$2:$C$5000,MATCH(K499,DB_malas!$A$2:$A$5000,0)),IF(INDEX(DB_materiali!$E$2:$E$5000,MATCH($C499,DB_materiali!$A$2:$A$5000,0))&lt;=INDEX(DB_malas!$D$2:$D$5000,MATCH(K499,DB_malas!$A$2:$A$5000,0)),IF(INDEX(DB_materiali!$B$2:$B$5000,MATCH($C499,DB_materiali!$A$2:$A$5000,0))=INDEX(DB_malas!$B$2:$B$5000,MATCH(K499,DB_malas!$A$2:$A$5000,0)),"✔",tulkojums!$A$38),tulkojums!$A$39),tulkojums!$A$39))</f>
        <v/>
      </c>
      <c r="T499" s="2"/>
      <c r="U499" s="2"/>
      <c r="V499" s="2"/>
      <c r="W499" s="2"/>
      <c r="X499" s="2"/>
      <c r="Y499" s="2"/>
      <c r="Z499" s="2"/>
    </row>
    <row r="500" spans="1:26" ht="15.75" customHeight="1">
      <c r="A500" s="17"/>
      <c r="B500" s="18"/>
      <c r="C500" s="19"/>
      <c r="D500" s="55"/>
      <c r="E500" s="55"/>
      <c r="F500" s="56"/>
      <c r="G500" s="57" t="str">
        <f>IF(ISBLANK(C500),"",
   IFERROR(
      IF(
         INDEX(DB_materiali!C$2:C$5000,
               MATCH(C500, DB_materiali!A$2:A$5000, 0)
         )="FALSE",
         "N",
         "Y"
      ),
   "")
)</f>
        <v/>
      </c>
      <c r="H500" s="20"/>
      <c r="I500" s="20"/>
      <c r="J500" s="20"/>
      <c r="K500" s="20"/>
      <c r="M500" s="2" t="str">
        <f>IF(ISBLANK(C500),"",IF(IFERROR(VLOOKUP(C500,DB_materiali!$A$2:$A$5000,1,FALSE),"Kļūda artikulā")=C500,"✔",tulkojums!A$42))</f>
        <v/>
      </c>
      <c r="N500" s="2" t="str">
        <f>IF(ISBLANK(C500),"",IF(ISNUMBER(F500)=TRUE,"✔",tulkojums!A$43))</f>
        <v/>
      </c>
      <c r="O500" s="2" t="str">
        <f>IF(ISBLANK(C500),"",IF(G500="Y","✔",IF(G500="X","✔",IF(G500="N","✔",tulkojums!A$44))))</f>
        <v/>
      </c>
      <c r="P500" s="2" t="str">
        <f>IF(ISBLANK(H500),"",IF(INDEX(DB_materiali!$E$2:$E$5000,MATCH($C500,DB_materiali!$A$2:$A$5000,0))&gt;=INDEX(DB_malas!$C$2:$C$5000,MATCH(H500,DB_malas!$A$2:$A$5000,0)),IF(INDEX(DB_materiali!$E$2:$E$5000,MATCH($C500,DB_materiali!$A$2:$A$5000,0))&lt;=INDEX(DB_malas!$D$2:$D$5000,MATCH(H500,DB_malas!$A$2:$A$5000,0)),IF(OR(INDEX(DB_materiali!$B$2:$B$5000,MATCH($C500,DB_materiali!$A$2:$A$5000,0))=INDEX(DB_malas!$B$2:$B$5000,MATCH(H500,DB_malas!$A$2:$A$5000,0)),$H500="ORG"),"✔",tulkojums!$A$38),tulkojums!$A$39),tulkojums!$A$39))</f>
        <v/>
      </c>
      <c r="Q500" s="2" t="str">
        <f>IF(ISBLANK(I500),"",IF(INDEX(DB_materiali!$E$2:$E$5000,MATCH($C500,DB_materiali!$A$2:$A$5000,0))&gt;=INDEX(DB_malas!$C$2:$C$5000,MATCH(I500,DB_malas!$A$2:$A$5000,0)),IF(INDEX(DB_materiali!$E$2:$E$5000,MATCH($C500,DB_materiali!$A$2:$A$5000,0))&lt;=INDEX(DB_malas!$D$2:$D$5000,MATCH(I500,DB_malas!$A$2:$A$5000,0)),IF(OR(INDEX(DB_materiali!$B$2:$B$5000,MATCH($C500,DB_materiali!$A$2:$A$5000,0))=INDEX(DB_malas!$B$2:$B$5000,MATCH(I500,DB_malas!$A$2:$A$5000,0)),$H500="ORG"),"✔",tulkojums!$A$38),tulkojums!$A$39),tulkojums!$A$39))</f>
        <v/>
      </c>
      <c r="R500" s="2" t="str">
        <f>IF(ISBLANK(J500),"",IF(INDEX(DB_materiali!$E$2:$E$5000,MATCH($C500,DB_materiali!$A$2:$A$5000,0))&gt;=INDEX(DB_malas!$C$2:$C$5000,MATCH(J500,DB_malas!$A$2:$A$5000,0)),IF(INDEX(DB_materiali!$E$2:$E$5000,MATCH($C500,DB_materiali!$A$2:$A$5000,0))&lt;=INDEX(DB_malas!$D$2:$D$5000,MATCH(J500,DB_malas!$A$2:$A$5000,0)),IF(INDEX(DB_materiali!$B$2:$B$5000,MATCH($C500,DB_materiali!$A$2:$A$5000,0))=INDEX(DB_malas!$B$2:$B$5000,MATCH(J500,DB_malas!$A$2:$A$5000,0)),"✔",tulkojums!$A$38),tulkojums!$A$39),tulkojums!$A$39))</f>
        <v/>
      </c>
      <c r="S500" s="2" t="str">
        <f>IF(ISBLANK(K500),"",IF(INDEX(DB_materiali!$E$2:$E$5000,MATCH($C500,DB_materiali!$A$2:$A$5000,0))&gt;=INDEX(DB_malas!$C$2:$C$5000,MATCH(K500,DB_malas!$A$2:$A$5000,0)),IF(INDEX(DB_materiali!$E$2:$E$5000,MATCH($C500,DB_materiali!$A$2:$A$5000,0))&lt;=INDEX(DB_malas!$D$2:$D$5000,MATCH(K500,DB_malas!$A$2:$A$5000,0)),IF(INDEX(DB_materiali!$B$2:$B$5000,MATCH($C500,DB_materiali!$A$2:$A$5000,0))=INDEX(DB_malas!$B$2:$B$5000,MATCH(K500,DB_malas!$A$2:$A$5000,0)),"✔",tulkojums!$A$38),tulkojums!$A$39),tulkojums!$A$39))</f>
        <v/>
      </c>
      <c r="T500" s="2"/>
      <c r="U500" s="2"/>
      <c r="V500" s="2"/>
      <c r="W500" s="2"/>
      <c r="X500" s="2"/>
      <c r="Y500" s="2"/>
      <c r="Z500" s="2"/>
    </row>
    <row r="501" spans="1:26" ht="15.75" customHeight="1">
      <c r="A501" s="17"/>
      <c r="B501" s="18"/>
      <c r="C501" s="19"/>
      <c r="D501" s="55"/>
      <c r="E501" s="55"/>
      <c r="F501" s="56"/>
      <c r="G501" s="57" t="str">
        <f>IF(ISBLANK(C501),"",
   IFERROR(
      IF(
         INDEX(DB_materiali!C$2:C$5000,
               MATCH(C501, DB_materiali!A$2:A$5000, 0)
         )="FALSE",
         "N",
         "Y"
      ),
   "")
)</f>
        <v/>
      </c>
      <c r="H501" s="20"/>
      <c r="I501" s="20"/>
      <c r="J501" s="20"/>
      <c r="K501" s="20"/>
      <c r="M501" s="2" t="str">
        <f>IF(ISBLANK(C501),"",IF(IFERROR(VLOOKUP(C501,DB_materiali!$A$2:$A$5000,1,FALSE),"Kļūda artikulā")=C501,"✔",tulkojums!A$42))</f>
        <v/>
      </c>
      <c r="N501" s="2" t="str">
        <f>IF(ISBLANK(C501),"",IF(ISNUMBER(F501)=TRUE,"✔",tulkojums!A$43))</f>
        <v/>
      </c>
      <c r="O501" s="2" t="str">
        <f>IF(ISBLANK(C501),"",IF(G501="Y","✔",IF(G501="X","✔",IF(G501="N","✔",tulkojums!A$44))))</f>
        <v/>
      </c>
      <c r="P501" s="2" t="str">
        <f>IF(ISBLANK(H501),"",IF(INDEX(DB_materiali!$E$2:$E$5000,MATCH($C501,DB_materiali!$A$2:$A$5000,0))&gt;=INDEX(DB_malas!$C$2:$C$5000,MATCH(H501,DB_malas!$A$2:$A$5000,0)),IF(INDEX(DB_materiali!$E$2:$E$5000,MATCH($C501,DB_materiali!$A$2:$A$5000,0))&lt;=INDEX(DB_malas!$D$2:$D$5000,MATCH(H501,DB_malas!$A$2:$A$5000,0)),IF(OR(INDEX(DB_materiali!$B$2:$B$5000,MATCH($C501,DB_materiali!$A$2:$A$5000,0))=INDEX(DB_malas!$B$2:$B$5000,MATCH(H501,DB_malas!$A$2:$A$5000,0)),$H501="ORG"),"✔",tulkojums!$A$38),tulkojums!$A$39),tulkojums!$A$39))</f>
        <v/>
      </c>
      <c r="Q501" s="2" t="str">
        <f>IF(ISBLANK(I501),"",IF(INDEX(DB_materiali!$E$2:$E$5000,MATCH($C501,DB_materiali!$A$2:$A$5000,0))&gt;=INDEX(DB_malas!$C$2:$C$5000,MATCH(I501,DB_malas!$A$2:$A$5000,0)),IF(INDEX(DB_materiali!$E$2:$E$5000,MATCH($C501,DB_materiali!$A$2:$A$5000,0))&lt;=INDEX(DB_malas!$D$2:$D$5000,MATCH(I501,DB_malas!$A$2:$A$5000,0)),IF(OR(INDEX(DB_materiali!$B$2:$B$5000,MATCH($C501,DB_materiali!$A$2:$A$5000,0))=INDEX(DB_malas!$B$2:$B$5000,MATCH(I501,DB_malas!$A$2:$A$5000,0)),$H501="ORG"),"✔",tulkojums!$A$38),tulkojums!$A$39),tulkojums!$A$39))</f>
        <v/>
      </c>
      <c r="R501" s="2" t="str">
        <f>IF(ISBLANK(J501),"",IF(INDEX(DB_materiali!$E$2:$E$5000,MATCH($C501,DB_materiali!$A$2:$A$5000,0))&gt;=INDEX(DB_malas!$C$2:$C$5000,MATCH(J501,DB_malas!$A$2:$A$5000,0)),IF(INDEX(DB_materiali!$E$2:$E$5000,MATCH($C501,DB_materiali!$A$2:$A$5000,0))&lt;=INDEX(DB_malas!$D$2:$D$5000,MATCH(J501,DB_malas!$A$2:$A$5000,0)),IF(INDEX(DB_materiali!$B$2:$B$5000,MATCH($C501,DB_materiali!$A$2:$A$5000,0))=INDEX(DB_malas!$B$2:$B$5000,MATCH(J501,DB_malas!$A$2:$A$5000,0)),"✔",tulkojums!$A$38),tulkojums!$A$39),tulkojums!$A$39))</f>
        <v/>
      </c>
      <c r="S501" s="2" t="str">
        <f>IF(ISBLANK(K501),"",IF(INDEX(DB_materiali!$E$2:$E$5000,MATCH($C501,DB_materiali!$A$2:$A$5000,0))&gt;=INDEX(DB_malas!$C$2:$C$5000,MATCH(K501,DB_malas!$A$2:$A$5000,0)),IF(INDEX(DB_materiali!$E$2:$E$5000,MATCH($C501,DB_materiali!$A$2:$A$5000,0))&lt;=INDEX(DB_malas!$D$2:$D$5000,MATCH(K501,DB_malas!$A$2:$A$5000,0)),IF(INDEX(DB_materiali!$B$2:$B$5000,MATCH($C501,DB_materiali!$A$2:$A$5000,0))=INDEX(DB_malas!$B$2:$B$5000,MATCH(K501,DB_malas!$A$2:$A$5000,0)),"✔",tulkojums!$A$38),tulkojums!$A$39),tulkojums!$A$39))</f>
        <v/>
      </c>
      <c r="T501" s="2"/>
      <c r="U501" s="2"/>
      <c r="V501" s="2"/>
      <c r="W501" s="2"/>
      <c r="X501" s="2"/>
      <c r="Y501" s="2"/>
      <c r="Z501" s="2"/>
    </row>
    <row r="502" spans="1:26" ht="15.75" customHeight="1">
      <c r="A502" s="17"/>
      <c r="B502" s="18"/>
      <c r="C502" s="19"/>
      <c r="D502" s="55"/>
      <c r="E502" s="55"/>
      <c r="F502" s="56"/>
      <c r="G502" s="57" t="str">
        <f>IF(ISBLANK(C502),"",
   IFERROR(
      IF(
         INDEX(DB_materiali!C$2:C$5000,
               MATCH(C502, DB_materiali!A$2:A$5000, 0)
         )="FALSE",
         "N",
         "Y"
      ),
   "")
)</f>
        <v/>
      </c>
      <c r="H502" s="20"/>
      <c r="I502" s="20"/>
      <c r="J502" s="20"/>
      <c r="K502" s="20"/>
      <c r="M502" s="2" t="str">
        <f>IF(ISBLANK(C502),"",IF(IFERROR(VLOOKUP(C502,DB_materiali!$A$2:$A$5000,1,FALSE),"Kļūda artikulā")=C502,"✔",tulkojums!A$42))</f>
        <v/>
      </c>
      <c r="N502" s="2" t="str">
        <f>IF(ISBLANK(C502),"",IF(ISNUMBER(F502)=TRUE,"✔",tulkojums!A$43))</f>
        <v/>
      </c>
      <c r="O502" s="2" t="str">
        <f>IF(ISBLANK(C502),"",IF(G502="Y","✔",IF(G502="X","✔",IF(G502="N","✔",tulkojums!A$44))))</f>
        <v/>
      </c>
      <c r="P502" s="2" t="str">
        <f>IF(ISBLANK(H502),"",IF(INDEX(DB_materiali!$E$2:$E$5000,MATCH($C502,DB_materiali!$A$2:$A$5000,0))&gt;=INDEX(DB_malas!$C$2:$C$5000,MATCH(H502,DB_malas!$A$2:$A$5000,0)),IF(INDEX(DB_materiali!$E$2:$E$5000,MATCH($C502,DB_materiali!$A$2:$A$5000,0))&lt;=INDEX(DB_malas!$D$2:$D$5000,MATCH(H502,DB_malas!$A$2:$A$5000,0)),IF(OR(INDEX(DB_materiali!$B$2:$B$5000,MATCH($C502,DB_materiali!$A$2:$A$5000,0))=INDEX(DB_malas!$B$2:$B$5000,MATCH(H502,DB_malas!$A$2:$A$5000,0)),$H502="ORG"),"✔",tulkojums!$A$38),tulkojums!$A$39),tulkojums!$A$39))</f>
        <v/>
      </c>
      <c r="Q502" s="2" t="str">
        <f>IF(ISBLANK(I502),"",IF(INDEX(DB_materiali!$E$2:$E$5000,MATCH($C502,DB_materiali!$A$2:$A$5000,0))&gt;=INDEX(DB_malas!$C$2:$C$5000,MATCH(I502,DB_malas!$A$2:$A$5000,0)),IF(INDEX(DB_materiali!$E$2:$E$5000,MATCH($C502,DB_materiali!$A$2:$A$5000,0))&lt;=INDEX(DB_malas!$D$2:$D$5000,MATCH(I502,DB_malas!$A$2:$A$5000,0)),IF(OR(INDEX(DB_materiali!$B$2:$B$5000,MATCH($C502,DB_materiali!$A$2:$A$5000,0))=INDEX(DB_malas!$B$2:$B$5000,MATCH(I502,DB_malas!$A$2:$A$5000,0)),$H502="ORG"),"✔",tulkojums!$A$38),tulkojums!$A$39),tulkojums!$A$39))</f>
        <v/>
      </c>
      <c r="R502" s="2" t="str">
        <f>IF(ISBLANK(J502),"",IF(INDEX(DB_materiali!$E$2:$E$5000,MATCH($C502,DB_materiali!$A$2:$A$5000,0))&gt;=INDEX(DB_malas!$C$2:$C$5000,MATCH(J502,DB_malas!$A$2:$A$5000,0)),IF(INDEX(DB_materiali!$E$2:$E$5000,MATCH($C502,DB_materiali!$A$2:$A$5000,0))&lt;=INDEX(DB_malas!$D$2:$D$5000,MATCH(J502,DB_malas!$A$2:$A$5000,0)),IF(INDEX(DB_materiali!$B$2:$B$5000,MATCH($C502,DB_materiali!$A$2:$A$5000,0))=INDEX(DB_malas!$B$2:$B$5000,MATCH(J502,DB_malas!$A$2:$A$5000,0)),"✔",tulkojums!$A$38),tulkojums!$A$39),tulkojums!$A$39))</f>
        <v/>
      </c>
      <c r="S502" s="2" t="str">
        <f>IF(ISBLANK(K502),"",IF(INDEX(DB_materiali!$E$2:$E$5000,MATCH($C502,DB_materiali!$A$2:$A$5000,0))&gt;=INDEX(DB_malas!$C$2:$C$5000,MATCH(K502,DB_malas!$A$2:$A$5000,0)),IF(INDEX(DB_materiali!$E$2:$E$5000,MATCH($C502,DB_materiali!$A$2:$A$5000,0))&lt;=INDEX(DB_malas!$D$2:$D$5000,MATCH(K502,DB_malas!$A$2:$A$5000,0)),IF(INDEX(DB_materiali!$B$2:$B$5000,MATCH($C502,DB_materiali!$A$2:$A$5000,0))=INDEX(DB_malas!$B$2:$B$5000,MATCH(K502,DB_malas!$A$2:$A$5000,0)),"✔",tulkojums!$A$38),tulkojums!$A$39),tulkojums!$A$39))</f>
        <v/>
      </c>
      <c r="T502" s="2"/>
      <c r="U502" s="2"/>
      <c r="V502" s="2"/>
      <c r="W502" s="2"/>
      <c r="X502" s="2"/>
      <c r="Y502" s="2"/>
      <c r="Z502" s="2"/>
    </row>
    <row r="503" spans="1:26" ht="15.75" customHeight="1">
      <c r="A503" s="17"/>
      <c r="B503" s="18"/>
      <c r="C503" s="19"/>
      <c r="D503" s="55"/>
      <c r="E503" s="55"/>
      <c r="F503" s="56"/>
      <c r="G503" s="57" t="str">
        <f>IF(ISBLANK(C503),"",
   IFERROR(
      IF(
         INDEX(DB_materiali!C$2:C$5000,
               MATCH(C503, DB_materiali!A$2:A$5000, 0)
         )="FALSE",
         "N",
         "Y"
      ),
   "")
)</f>
        <v/>
      </c>
      <c r="H503" s="20"/>
      <c r="I503" s="20"/>
      <c r="J503" s="20"/>
      <c r="K503" s="20"/>
      <c r="M503" s="2" t="str">
        <f>IF(ISBLANK(C503),"",IF(IFERROR(VLOOKUP(C503,DB_materiali!$A$2:$A$5000,1,FALSE),"Kļūda artikulā")=C503,"✔",tulkojums!A$42))</f>
        <v/>
      </c>
      <c r="N503" s="2" t="str">
        <f>IF(ISBLANK(C503),"",IF(ISNUMBER(F503)=TRUE,"✔",tulkojums!A$43))</f>
        <v/>
      </c>
      <c r="O503" s="2" t="str">
        <f>IF(ISBLANK(C503),"",IF(G503="Y","✔",IF(G503="X","✔",IF(G503="N","✔",tulkojums!A$44))))</f>
        <v/>
      </c>
      <c r="P503" s="2" t="str">
        <f>IF(ISBLANK(H503),"",IF(INDEX(DB_materiali!$E$2:$E$5000,MATCH($C503,DB_materiali!$A$2:$A$5000,0))&gt;=INDEX(DB_malas!$C$2:$C$5000,MATCH(H503,DB_malas!$A$2:$A$5000,0)),IF(INDEX(DB_materiali!$E$2:$E$5000,MATCH($C503,DB_materiali!$A$2:$A$5000,0))&lt;=INDEX(DB_malas!$D$2:$D$5000,MATCH(H503,DB_malas!$A$2:$A$5000,0)),IF(OR(INDEX(DB_materiali!$B$2:$B$5000,MATCH($C503,DB_materiali!$A$2:$A$5000,0))=INDEX(DB_malas!$B$2:$B$5000,MATCH(H503,DB_malas!$A$2:$A$5000,0)),$H503="ORG"),"✔",tulkojums!$A$38),tulkojums!$A$39),tulkojums!$A$39))</f>
        <v/>
      </c>
      <c r="Q503" s="2" t="str">
        <f>IF(ISBLANK(I503),"",IF(INDEX(DB_materiali!$E$2:$E$5000,MATCH($C503,DB_materiali!$A$2:$A$5000,0))&gt;=INDEX(DB_malas!$C$2:$C$5000,MATCH(I503,DB_malas!$A$2:$A$5000,0)),IF(INDEX(DB_materiali!$E$2:$E$5000,MATCH($C503,DB_materiali!$A$2:$A$5000,0))&lt;=INDEX(DB_malas!$D$2:$D$5000,MATCH(I503,DB_malas!$A$2:$A$5000,0)),IF(OR(INDEX(DB_materiali!$B$2:$B$5000,MATCH($C503,DB_materiali!$A$2:$A$5000,0))=INDEX(DB_malas!$B$2:$B$5000,MATCH(I503,DB_malas!$A$2:$A$5000,0)),$H503="ORG"),"✔",tulkojums!$A$38),tulkojums!$A$39),tulkojums!$A$39))</f>
        <v/>
      </c>
      <c r="R503" s="2" t="str">
        <f>IF(ISBLANK(J503),"",IF(INDEX(DB_materiali!$E$2:$E$5000,MATCH($C503,DB_materiali!$A$2:$A$5000,0))&gt;=INDEX(DB_malas!$C$2:$C$5000,MATCH(J503,DB_malas!$A$2:$A$5000,0)),IF(INDEX(DB_materiali!$E$2:$E$5000,MATCH($C503,DB_materiali!$A$2:$A$5000,0))&lt;=INDEX(DB_malas!$D$2:$D$5000,MATCH(J503,DB_malas!$A$2:$A$5000,0)),IF(INDEX(DB_materiali!$B$2:$B$5000,MATCH($C503,DB_materiali!$A$2:$A$5000,0))=INDEX(DB_malas!$B$2:$B$5000,MATCH(J503,DB_malas!$A$2:$A$5000,0)),"✔",tulkojums!$A$38),tulkojums!$A$39),tulkojums!$A$39))</f>
        <v/>
      </c>
      <c r="S503" s="2" t="str">
        <f>IF(ISBLANK(K503),"",IF(INDEX(DB_materiali!$E$2:$E$5000,MATCH($C503,DB_materiali!$A$2:$A$5000,0))&gt;=INDEX(DB_malas!$C$2:$C$5000,MATCH(K503,DB_malas!$A$2:$A$5000,0)),IF(INDEX(DB_materiali!$E$2:$E$5000,MATCH($C503,DB_materiali!$A$2:$A$5000,0))&lt;=INDEX(DB_malas!$D$2:$D$5000,MATCH(K503,DB_malas!$A$2:$A$5000,0)),IF(INDEX(DB_materiali!$B$2:$B$5000,MATCH($C503,DB_materiali!$A$2:$A$5000,0))=INDEX(DB_malas!$B$2:$B$5000,MATCH(K503,DB_malas!$A$2:$A$5000,0)),"✔",tulkojums!$A$38),tulkojums!$A$39),tulkojums!$A$39))</f>
        <v/>
      </c>
      <c r="T503" s="2"/>
      <c r="U503" s="2"/>
      <c r="V503" s="2"/>
      <c r="W503" s="2"/>
      <c r="X503" s="2"/>
      <c r="Y503" s="2"/>
      <c r="Z503" s="2"/>
    </row>
    <row r="504" spans="1:26" ht="15.75" customHeight="1">
      <c r="A504" s="17"/>
      <c r="B504" s="18"/>
      <c r="C504" s="19"/>
      <c r="D504" s="55"/>
      <c r="E504" s="55"/>
      <c r="F504" s="56"/>
      <c r="G504" s="57" t="str">
        <f>IF(ISBLANK(C504),"",
   IFERROR(
      IF(
         INDEX(DB_materiali!C$2:C$5000,
               MATCH(C504, DB_materiali!A$2:A$5000, 0)
         )="FALSE",
         "N",
         "Y"
      ),
   "")
)</f>
        <v/>
      </c>
      <c r="H504" s="20"/>
      <c r="I504" s="20"/>
      <c r="J504" s="20"/>
      <c r="K504" s="20"/>
      <c r="M504" s="2" t="str">
        <f>IF(ISBLANK(C504),"",IF(IFERROR(VLOOKUP(C504,DB_materiali!$A$2:$A$5000,1,FALSE),"Kļūda artikulā")=C504,"✔",tulkojums!A$42))</f>
        <v/>
      </c>
      <c r="N504" s="2" t="str">
        <f>IF(ISBLANK(C504),"",IF(ISNUMBER(F504)=TRUE,"✔",tulkojums!A$43))</f>
        <v/>
      </c>
      <c r="O504" s="2" t="str">
        <f>IF(ISBLANK(C504),"",IF(G504="Y","✔",IF(G504="X","✔",IF(G504="N","✔",tulkojums!A$44))))</f>
        <v/>
      </c>
      <c r="P504" s="2" t="str">
        <f>IF(ISBLANK(H504),"",IF(INDEX(DB_materiali!$E$2:$E$5000,MATCH($C504,DB_materiali!$A$2:$A$5000,0))&gt;=INDEX(DB_malas!$C$2:$C$5000,MATCH(H504,DB_malas!$A$2:$A$5000,0)),IF(INDEX(DB_materiali!$E$2:$E$5000,MATCH($C504,DB_materiali!$A$2:$A$5000,0))&lt;=INDEX(DB_malas!$D$2:$D$5000,MATCH(H504,DB_malas!$A$2:$A$5000,0)),IF(OR(INDEX(DB_materiali!$B$2:$B$5000,MATCH($C504,DB_materiali!$A$2:$A$5000,0))=INDEX(DB_malas!$B$2:$B$5000,MATCH(H504,DB_malas!$A$2:$A$5000,0)),$H504="ORG"),"✔",tulkojums!$A$38),tulkojums!$A$39),tulkojums!$A$39))</f>
        <v/>
      </c>
      <c r="Q504" s="2" t="str">
        <f>IF(ISBLANK(I504),"",IF(INDEX(DB_materiali!$E$2:$E$5000,MATCH($C504,DB_materiali!$A$2:$A$5000,0))&gt;=INDEX(DB_malas!$C$2:$C$5000,MATCH(I504,DB_malas!$A$2:$A$5000,0)),IF(INDEX(DB_materiali!$E$2:$E$5000,MATCH($C504,DB_materiali!$A$2:$A$5000,0))&lt;=INDEX(DB_malas!$D$2:$D$5000,MATCH(I504,DB_malas!$A$2:$A$5000,0)),IF(OR(INDEX(DB_materiali!$B$2:$B$5000,MATCH($C504,DB_materiali!$A$2:$A$5000,0))=INDEX(DB_malas!$B$2:$B$5000,MATCH(I504,DB_malas!$A$2:$A$5000,0)),$H504="ORG"),"✔",tulkojums!$A$38),tulkojums!$A$39),tulkojums!$A$39))</f>
        <v/>
      </c>
      <c r="R504" s="2" t="str">
        <f>IF(ISBLANK(J504),"",IF(INDEX(DB_materiali!$E$2:$E$5000,MATCH($C504,DB_materiali!$A$2:$A$5000,0))&gt;=INDEX(DB_malas!$C$2:$C$5000,MATCH(J504,DB_malas!$A$2:$A$5000,0)),IF(INDEX(DB_materiali!$E$2:$E$5000,MATCH($C504,DB_materiali!$A$2:$A$5000,0))&lt;=INDEX(DB_malas!$D$2:$D$5000,MATCH(J504,DB_malas!$A$2:$A$5000,0)),IF(INDEX(DB_materiali!$B$2:$B$5000,MATCH($C504,DB_materiali!$A$2:$A$5000,0))=INDEX(DB_malas!$B$2:$B$5000,MATCH(J504,DB_malas!$A$2:$A$5000,0)),"✔",tulkojums!$A$38),tulkojums!$A$39),tulkojums!$A$39))</f>
        <v/>
      </c>
      <c r="S504" s="2" t="str">
        <f>IF(ISBLANK(K504),"",IF(INDEX(DB_materiali!$E$2:$E$5000,MATCH($C504,DB_materiali!$A$2:$A$5000,0))&gt;=INDEX(DB_malas!$C$2:$C$5000,MATCH(K504,DB_malas!$A$2:$A$5000,0)),IF(INDEX(DB_materiali!$E$2:$E$5000,MATCH($C504,DB_materiali!$A$2:$A$5000,0))&lt;=INDEX(DB_malas!$D$2:$D$5000,MATCH(K504,DB_malas!$A$2:$A$5000,0)),IF(INDEX(DB_materiali!$B$2:$B$5000,MATCH($C504,DB_materiali!$A$2:$A$5000,0))=INDEX(DB_malas!$B$2:$B$5000,MATCH(K504,DB_malas!$A$2:$A$5000,0)),"✔",tulkojums!$A$38),tulkojums!$A$39),tulkojums!$A$39))</f>
        <v/>
      </c>
      <c r="T504" s="2"/>
      <c r="U504" s="2"/>
      <c r="V504" s="2"/>
      <c r="W504" s="2"/>
      <c r="X504" s="2"/>
      <c r="Y504" s="2"/>
      <c r="Z504" s="2"/>
    </row>
    <row r="505" spans="1:26" ht="15.75" customHeight="1">
      <c r="A505" s="17"/>
      <c r="B505" s="18"/>
      <c r="C505" s="19"/>
      <c r="D505" s="55"/>
      <c r="E505" s="55"/>
      <c r="F505" s="56"/>
      <c r="G505" s="57" t="str">
        <f>IF(ISBLANK(C505),"",
   IFERROR(
      IF(
         INDEX(DB_materiali!C$2:C$5000,
               MATCH(C505, DB_materiali!A$2:A$5000, 0)
         )="FALSE",
         "N",
         "Y"
      ),
   "")
)</f>
        <v/>
      </c>
      <c r="H505" s="20"/>
      <c r="I505" s="20"/>
      <c r="J505" s="20"/>
      <c r="K505" s="20"/>
      <c r="M505" s="2" t="str">
        <f>IF(ISBLANK(C505),"",IF(IFERROR(VLOOKUP(C505,DB_materiali!$A$2:$A$5000,1,FALSE),"Kļūda artikulā")=C505,"✔",tulkojums!A$42))</f>
        <v/>
      </c>
      <c r="N505" s="2" t="str">
        <f>IF(ISBLANK(C505),"",IF(ISNUMBER(F505)=TRUE,"✔",tulkojums!A$43))</f>
        <v/>
      </c>
      <c r="O505" s="2" t="str">
        <f>IF(ISBLANK(C505),"",IF(G505="Y","✔",IF(G505="X","✔",IF(G505="N","✔",tulkojums!A$44))))</f>
        <v/>
      </c>
      <c r="P505" s="2" t="str">
        <f>IF(ISBLANK(H505),"",IF(INDEX(DB_materiali!$E$2:$E$5000,MATCH($C505,DB_materiali!$A$2:$A$5000,0))&gt;=INDEX(DB_malas!$C$2:$C$5000,MATCH(H505,DB_malas!$A$2:$A$5000,0)),IF(INDEX(DB_materiali!$E$2:$E$5000,MATCH($C505,DB_materiali!$A$2:$A$5000,0))&lt;=INDEX(DB_malas!$D$2:$D$5000,MATCH(H505,DB_malas!$A$2:$A$5000,0)),IF(OR(INDEX(DB_materiali!$B$2:$B$5000,MATCH($C505,DB_materiali!$A$2:$A$5000,0))=INDEX(DB_malas!$B$2:$B$5000,MATCH(H505,DB_malas!$A$2:$A$5000,0)),$H505="ORG"),"✔",tulkojums!$A$38),tulkojums!$A$39),tulkojums!$A$39))</f>
        <v/>
      </c>
      <c r="Q505" s="2" t="str">
        <f>IF(ISBLANK(I505),"",IF(INDEX(DB_materiali!$E$2:$E$5000,MATCH($C505,DB_materiali!$A$2:$A$5000,0))&gt;=INDEX(DB_malas!$C$2:$C$5000,MATCH(I505,DB_malas!$A$2:$A$5000,0)),IF(INDEX(DB_materiali!$E$2:$E$5000,MATCH($C505,DB_materiali!$A$2:$A$5000,0))&lt;=INDEX(DB_malas!$D$2:$D$5000,MATCH(I505,DB_malas!$A$2:$A$5000,0)),IF(OR(INDEX(DB_materiali!$B$2:$B$5000,MATCH($C505,DB_materiali!$A$2:$A$5000,0))=INDEX(DB_malas!$B$2:$B$5000,MATCH(I505,DB_malas!$A$2:$A$5000,0)),$H505="ORG"),"✔",tulkojums!$A$38),tulkojums!$A$39),tulkojums!$A$39))</f>
        <v/>
      </c>
      <c r="R505" s="2" t="str">
        <f>IF(ISBLANK(J505),"",IF(INDEX(DB_materiali!$E$2:$E$5000,MATCH($C505,DB_materiali!$A$2:$A$5000,0))&gt;=INDEX(DB_malas!$C$2:$C$5000,MATCH(J505,DB_malas!$A$2:$A$5000,0)),IF(INDEX(DB_materiali!$E$2:$E$5000,MATCH($C505,DB_materiali!$A$2:$A$5000,0))&lt;=INDEX(DB_malas!$D$2:$D$5000,MATCH(J505,DB_malas!$A$2:$A$5000,0)),IF(INDEX(DB_materiali!$B$2:$B$5000,MATCH($C505,DB_materiali!$A$2:$A$5000,0))=INDEX(DB_malas!$B$2:$B$5000,MATCH(J505,DB_malas!$A$2:$A$5000,0)),"✔",tulkojums!$A$38),tulkojums!$A$39),tulkojums!$A$39))</f>
        <v/>
      </c>
      <c r="S505" s="2" t="str">
        <f>IF(ISBLANK(K505),"",IF(INDEX(DB_materiali!$E$2:$E$5000,MATCH($C505,DB_materiali!$A$2:$A$5000,0))&gt;=INDEX(DB_malas!$C$2:$C$5000,MATCH(K505,DB_malas!$A$2:$A$5000,0)),IF(INDEX(DB_materiali!$E$2:$E$5000,MATCH($C505,DB_materiali!$A$2:$A$5000,0))&lt;=INDEX(DB_malas!$D$2:$D$5000,MATCH(K505,DB_malas!$A$2:$A$5000,0)),IF(INDEX(DB_materiali!$B$2:$B$5000,MATCH($C505,DB_materiali!$A$2:$A$5000,0))=INDEX(DB_malas!$B$2:$B$5000,MATCH(K505,DB_malas!$A$2:$A$5000,0)),"✔",tulkojums!$A$38),tulkojums!$A$39),tulkojums!$A$39))</f>
        <v/>
      </c>
      <c r="T505" s="2"/>
      <c r="U505" s="2"/>
      <c r="V505" s="2"/>
      <c r="W505" s="2"/>
      <c r="X505" s="2"/>
      <c r="Y505" s="2"/>
      <c r="Z505" s="2"/>
    </row>
    <row r="506" spans="1:26" ht="15.75" customHeight="1">
      <c r="A506" s="17"/>
      <c r="B506" s="18"/>
      <c r="C506" s="19"/>
      <c r="D506" s="55"/>
      <c r="E506" s="55"/>
      <c r="F506" s="56"/>
      <c r="G506" s="57" t="str">
        <f>IF(ISBLANK(C506),"",
   IFERROR(
      IF(
         INDEX(DB_materiali!C$2:C$5000,
               MATCH(C506, DB_materiali!A$2:A$5000, 0)
         )="FALSE",
         "N",
         "Y"
      ),
   "")
)</f>
        <v/>
      </c>
      <c r="H506" s="20"/>
      <c r="I506" s="20"/>
      <c r="J506" s="20"/>
      <c r="K506" s="20"/>
      <c r="M506" s="2" t="str">
        <f>IF(ISBLANK(C506),"",IF(IFERROR(VLOOKUP(C506,DB_materiali!$A$2:$A$5000,1,FALSE),"Kļūda artikulā")=C506,"✔",tulkojums!A$42))</f>
        <v/>
      </c>
      <c r="N506" s="2" t="str">
        <f>IF(ISBLANK(C506),"",IF(ISNUMBER(F506)=TRUE,"✔",tulkojums!A$43))</f>
        <v/>
      </c>
      <c r="O506" s="2" t="str">
        <f>IF(ISBLANK(C506),"",IF(G506="Y","✔",IF(G506="X","✔",IF(G506="N","✔",tulkojums!A$44))))</f>
        <v/>
      </c>
      <c r="P506" s="2" t="str">
        <f>IF(ISBLANK(H506),"",IF(INDEX(DB_materiali!$E$2:$E$5000,MATCH($C506,DB_materiali!$A$2:$A$5000,0))&gt;=INDEX(DB_malas!$C$2:$C$5000,MATCH(H506,DB_malas!$A$2:$A$5000,0)),IF(INDEX(DB_materiali!$E$2:$E$5000,MATCH($C506,DB_materiali!$A$2:$A$5000,0))&lt;=INDEX(DB_malas!$D$2:$D$5000,MATCH(H506,DB_malas!$A$2:$A$5000,0)),IF(OR(INDEX(DB_materiali!$B$2:$B$5000,MATCH($C506,DB_materiali!$A$2:$A$5000,0))=INDEX(DB_malas!$B$2:$B$5000,MATCH(H506,DB_malas!$A$2:$A$5000,0)),$H506="ORG"),"✔",tulkojums!$A$38),tulkojums!$A$39),tulkojums!$A$39))</f>
        <v/>
      </c>
      <c r="Q506" s="2" t="str">
        <f>IF(ISBLANK(I506),"",IF(INDEX(DB_materiali!$E$2:$E$5000,MATCH($C506,DB_materiali!$A$2:$A$5000,0))&gt;=INDEX(DB_malas!$C$2:$C$5000,MATCH(I506,DB_malas!$A$2:$A$5000,0)),IF(INDEX(DB_materiali!$E$2:$E$5000,MATCH($C506,DB_materiali!$A$2:$A$5000,0))&lt;=INDEX(DB_malas!$D$2:$D$5000,MATCH(I506,DB_malas!$A$2:$A$5000,0)),IF(OR(INDEX(DB_materiali!$B$2:$B$5000,MATCH($C506,DB_materiali!$A$2:$A$5000,0))=INDEX(DB_malas!$B$2:$B$5000,MATCH(I506,DB_malas!$A$2:$A$5000,0)),$H506="ORG"),"✔",tulkojums!$A$38),tulkojums!$A$39),tulkojums!$A$39))</f>
        <v/>
      </c>
      <c r="R506" s="2" t="str">
        <f>IF(ISBLANK(J506),"",IF(INDEX(DB_materiali!$E$2:$E$5000,MATCH($C506,DB_materiali!$A$2:$A$5000,0))&gt;=INDEX(DB_malas!$C$2:$C$5000,MATCH(J506,DB_malas!$A$2:$A$5000,0)),IF(INDEX(DB_materiali!$E$2:$E$5000,MATCH($C506,DB_materiali!$A$2:$A$5000,0))&lt;=INDEX(DB_malas!$D$2:$D$5000,MATCH(J506,DB_malas!$A$2:$A$5000,0)),IF(INDEX(DB_materiali!$B$2:$B$5000,MATCH($C506,DB_materiali!$A$2:$A$5000,0))=INDEX(DB_malas!$B$2:$B$5000,MATCH(J506,DB_malas!$A$2:$A$5000,0)),"✔",tulkojums!$A$38),tulkojums!$A$39),tulkojums!$A$39))</f>
        <v/>
      </c>
      <c r="S506" s="2" t="str">
        <f>IF(ISBLANK(K506),"",IF(INDEX(DB_materiali!$E$2:$E$5000,MATCH($C506,DB_materiali!$A$2:$A$5000,0))&gt;=INDEX(DB_malas!$C$2:$C$5000,MATCH(K506,DB_malas!$A$2:$A$5000,0)),IF(INDEX(DB_materiali!$E$2:$E$5000,MATCH($C506,DB_materiali!$A$2:$A$5000,0))&lt;=INDEX(DB_malas!$D$2:$D$5000,MATCH(K506,DB_malas!$A$2:$A$5000,0)),IF(INDEX(DB_materiali!$B$2:$B$5000,MATCH($C506,DB_materiali!$A$2:$A$5000,0))=INDEX(DB_malas!$B$2:$B$5000,MATCH(K506,DB_malas!$A$2:$A$5000,0)),"✔",tulkojums!$A$38),tulkojums!$A$39),tulkojums!$A$39))</f>
        <v/>
      </c>
      <c r="T506" s="2"/>
      <c r="U506" s="2"/>
      <c r="V506" s="2"/>
      <c r="W506" s="2"/>
      <c r="X506" s="2"/>
      <c r="Y506" s="2"/>
      <c r="Z506" s="2"/>
    </row>
    <row r="507" spans="1:26" ht="15.75" customHeight="1">
      <c r="A507" s="17"/>
      <c r="B507" s="18"/>
      <c r="C507" s="19"/>
      <c r="D507" s="55"/>
      <c r="E507" s="55"/>
      <c r="F507" s="56"/>
      <c r="G507" s="57" t="str">
        <f>IF(ISBLANK(C507),"",
   IFERROR(
      IF(
         INDEX(DB_materiali!C$2:C$5000,
               MATCH(C507, DB_materiali!A$2:A$5000, 0)
         )="FALSE",
         "N",
         "Y"
      ),
   "")
)</f>
        <v/>
      </c>
      <c r="H507" s="20"/>
      <c r="I507" s="20"/>
      <c r="J507" s="20"/>
      <c r="K507" s="20"/>
      <c r="M507" s="2" t="str">
        <f>IF(ISBLANK(C507),"",IF(IFERROR(VLOOKUP(C507,DB_materiali!$A$2:$A$5000,1,FALSE),"Kļūda artikulā")=C507,"✔",tulkojums!A$42))</f>
        <v/>
      </c>
      <c r="N507" s="2" t="str">
        <f>IF(ISBLANK(C507),"",IF(ISNUMBER(F507)=TRUE,"✔",tulkojums!A$43))</f>
        <v/>
      </c>
      <c r="O507" s="2" t="str">
        <f>IF(ISBLANK(C507),"",IF(G507="Y","✔",IF(G507="X","✔",IF(G507="N","✔",tulkojums!A$44))))</f>
        <v/>
      </c>
      <c r="P507" s="2" t="str">
        <f>IF(ISBLANK(H507),"",IF(INDEX(DB_materiali!$E$2:$E$5000,MATCH($C507,DB_materiali!$A$2:$A$5000,0))&gt;=INDEX(DB_malas!$C$2:$C$5000,MATCH(H507,DB_malas!$A$2:$A$5000,0)),IF(INDEX(DB_materiali!$E$2:$E$5000,MATCH($C507,DB_materiali!$A$2:$A$5000,0))&lt;=INDEX(DB_malas!$D$2:$D$5000,MATCH(H507,DB_malas!$A$2:$A$5000,0)),IF(OR(INDEX(DB_materiali!$B$2:$B$5000,MATCH($C507,DB_materiali!$A$2:$A$5000,0))=INDEX(DB_malas!$B$2:$B$5000,MATCH(H507,DB_malas!$A$2:$A$5000,0)),$H507="ORG"),"✔",tulkojums!$A$38),tulkojums!$A$39),tulkojums!$A$39))</f>
        <v/>
      </c>
      <c r="Q507" s="2" t="str">
        <f>IF(ISBLANK(I507),"",IF(INDEX(DB_materiali!$E$2:$E$5000,MATCH($C507,DB_materiali!$A$2:$A$5000,0))&gt;=INDEX(DB_malas!$C$2:$C$5000,MATCH(I507,DB_malas!$A$2:$A$5000,0)),IF(INDEX(DB_materiali!$E$2:$E$5000,MATCH($C507,DB_materiali!$A$2:$A$5000,0))&lt;=INDEX(DB_malas!$D$2:$D$5000,MATCH(I507,DB_malas!$A$2:$A$5000,0)),IF(OR(INDEX(DB_materiali!$B$2:$B$5000,MATCH($C507,DB_materiali!$A$2:$A$5000,0))=INDEX(DB_malas!$B$2:$B$5000,MATCH(I507,DB_malas!$A$2:$A$5000,0)),$H507="ORG"),"✔",tulkojums!$A$38),tulkojums!$A$39),tulkojums!$A$39))</f>
        <v/>
      </c>
      <c r="R507" s="2" t="str">
        <f>IF(ISBLANK(J507),"",IF(INDEX(DB_materiali!$E$2:$E$5000,MATCH($C507,DB_materiali!$A$2:$A$5000,0))&gt;=INDEX(DB_malas!$C$2:$C$5000,MATCH(J507,DB_malas!$A$2:$A$5000,0)),IF(INDEX(DB_materiali!$E$2:$E$5000,MATCH($C507,DB_materiali!$A$2:$A$5000,0))&lt;=INDEX(DB_malas!$D$2:$D$5000,MATCH(J507,DB_malas!$A$2:$A$5000,0)),IF(INDEX(DB_materiali!$B$2:$B$5000,MATCH($C507,DB_materiali!$A$2:$A$5000,0))=INDEX(DB_malas!$B$2:$B$5000,MATCH(J507,DB_malas!$A$2:$A$5000,0)),"✔",tulkojums!$A$38),tulkojums!$A$39),tulkojums!$A$39))</f>
        <v/>
      </c>
      <c r="S507" s="2" t="str">
        <f>IF(ISBLANK(K507),"",IF(INDEX(DB_materiali!$E$2:$E$5000,MATCH($C507,DB_materiali!$A$2:$A$5000,0))&gt;=INDEX(DB_malas!$C$2:$C$5000,MATCH(K507,DB_malas!$A$2:$A$5000,0)),IF(INDEX(DB_materiali!$E$2:$E$5000,MATCH($C507,DB_materiali!$A$2:$A$5000,0))&lt;=INDEX(DB_malas!$D$2:$D$5000,MATCH(K507,DB_malas!$A$2:$A$5000,0)),IF(INDEX(DB_materiali!$B$2:$B$5000,MATCH($C507,DB_materiali!$A$2:$A$5000,0))=INDEX(DB_malas!$B$2:$B$5000,MATCH(K507,DB_malas!$A$2:$A$5000,0)),"✔",tulkojums!$A$38),tulkojums!$A$39),tulkojums!$A$39))</f>
        <v/>
      </c>
      <c r="T507" s="2"/>
      <c r="U507" s="2"/>
      <c r="V507" s="2"/>
      <c r="W507" s="2"/>
      <c r="X507" s="2"/>
      <c r="Y507" s="2"/>
      <c r="Z507" s="2"/>
    </row>
    <row r="508" spans="1:26" ht="15.75" customHeight="1">
      <c r="A508" s="17"/>
      <c r="B508" s="18"/>
      <c r="C508" s="19"/>
      <c r="D508" s="55"/>
      <c r="E508" s="55"/>
      <c r="F508" s="56"/>
      <c r="G508" s="57" t="str">
        <f>IF(ISBLANK(C508),"",
   IFERROR(
      IF(
         INDEX(DB_materiali!C$2:C$5000,
               MATCH(C508, DB_materiali!A$2:A$5000, 0)
         )="FALSE",
         "N",
         "Y"
      ),
   "")
)</f>
        <v/>
      </c>
      <c r="H508" s="20"/>
      <c r="I508" s="20"/>
      <c r="J508" s="20"/>
      <c r="K508" s="20"/>
      <c r="M508" s="2" t="str">
        <f>IF(ISBLANK(C508),"",IF(IFERROR(VLOOKUP(C508,DB_materiali!$A$2:$A$5000,1,FALSE),"Kļūda artikulā")=C508,"✔",tulkojums!A$42))</f>
        <v/>
      </c>
      <c r="N508" s="2" t="str">
        <f>IF(ISBLANK(C508),"",IF(ISNUMBER(F508)=TRUE,"✔",tulkojums!A$43))</f>
        <v/>
      </c>
      <c r="O508" s="2" t="str">
        <f>IF(ISBLANK(C508),"",IF(G508="Y","✔",IF(G508="X","✔",IF(G508="N","✔",tulkojums!A$44))))</f>
        <v/>
      </c>
      <c r="P508" s="2" t="str">
        <f>IF(ISBLANK(H508),"",IF(INDEX(DB_materiali!$E$2:$E$5000,MATCH($C508,DB_materiali!$A$2:$A$5000,0))&gt;=INDEX(DB_malas!$C$2:$C$5000,MATCH(H508,DB_malas!$A$2:$A$5000,0)),IF(INDEX(DB_materiali!$E$2:$E$5000,MATCH($C508,DB_materiali!$A$2:$A$5000,0))&lt;=INDEX(DB_malas!$D$2:$D$5000,MATCH(H508,DB_malas!$A$2:$A$5000,0)),IF(OR(INDEX(DB_materiali!$B$2:$B$5000,MATCH($C508,DB_materiali!$A$2:$A$5000,0))=INDEX(DB_malas!$B$2:$B$5000,MATCH(H508,DB_malas!$A$2:$A$5000,0)),$H508="ORG"),"✔",tulkojums!$A$38),tulkojums!$A$39),tulkojums!$A$39))</f>
        <v/>
      </c>
      <c r="Q508" s="2" t="str">
        <f>IF(ISBLANK(I508),"",IF(INDEX(DB_materiali!$E$2:$E$5000,MATCH($C508,DB_materiali!$A$2:$A$5000,0))&gt;=INDEX(DB_malas!$C$2:$C$5000,MATCH(I508,DB_malas!$A$2:$A$5000,0)),IF(INDEX(DB_materiali!$E$2:$E$5000,MATCH($C508,DB_materiali!$A$2:$A$5000,0))&lt;=INDEX(DB_malas!$D$2:$D$5000,MATCH(I508,DB_malas!$A$2:$A$5000,0)),IF(OR(INDEX(DB_materiali!$B$2:$B$5000,MATCH($C508,DB_materiali!$A$2:$A$5000,0))=INDEX(DB_malas!$B$2:$B$5000,MATCH(I508,DB_malas!$A$2:$A$5000,0)),$H508="ORG"),"✔",tulkojums!$A$38),tulkojums!$A$39),tulkojums!$A$39))</f>
        <v/>
      </c>
      <c r="R508" s="2" t="str">
        <f>IF(ISBLANK(J508),"",IF(INDEX(DB_materiali!$E$2:$E$5000,MATCH($C508,DB_materiali!$A$2:$A$5000,0))&gt;=INDEX(DB_malas!$C$2:$C$5000,MATCH(J508,DB_malas!$A$2:$A$5000,0)),IF(INDEX(DB_materiali!$E$2:$E$5000,MATCH($C508,DB_materiali!$A$2:$A$5000,0))&lt;=INDEX(DB_malas!$D$2:$D$5000,MATCH(J508,DB_malas!$A$2:$A$5000,0)),IF(INDEX(DB_materiali!$B$2:$B$5000,MATCH($C508,DB_materiali!$A$2:$A$5000,0))=INDEX(DB_malas!$B$2:$B$5000,MATCH(J508,DB_malas!$A$2:$A$5000,0)),"✔",tulkojums!$A$38),tulkojums!$A$39),tulkojums!$A$39))</f>
        <v/>
      </c>
      <c r="S508" s="2" t="str">
        <f>IF(ISBLANK(K508),"",IF(INDEX(DB_materiali!$E$2:$E$5000,MATCH($C508,DB_materiali!$A$2:$A$5000,0))&gt;=INDEX(DB_malas!$C$2:$C$5000,MATCH(K508,DB_malas!$A$2:$A$5000,0)),IF(INDEX(DB_materiali!$E$2:$E$5000,MATCH($C508,DB_materiali!$A$2:$A$5000,0))&lt;=INDEX(DB_malas!$D$2:$D$5000,MATCH(K508,DB_malas!$A$2:$A$5000,0)),IF(INDEX(DB_materiali!$B$2:$B$5000,MATCH($C508,DB_materiali!$A$2:$A$5000,0))=INDEX(DB_malas!$B$2:$B$5000,MATCH(K508,DB_malas!$A$2:$A$5000,0)),"✔",tulkojums!$A$38),tulkojums!$A$39),tulkojums!$A$39))</f>
        <v/>
      </c>
      <c r="T508" s="2"/>
      <c r="U508" s="2"/>
      <c r="V508" s="2"/>
      <c r="W508" s="2"/>
      <c r="X508" s="2"/>
      <c r="Y508" s="2"/>
      <c r="Z508" s="2"/>
    </row>
    <row r="509" spans="1:26" ht="15.75" customHeight="1">
      <c r="A509" s="17"/>
      <c r="B509" s="18"/>
      <c r="C509" s="19"/>
      <c r="D509" s="55"/>
      <c r="E509" s="55"/>
      <c r="F509" s="56"/>
      <c r="G509" s="57" t="str">
        <f>IF(ISBLANK(C509),"",
   IFERROR(
      IF(
         INDEX(DB_materiali!C$2:C$5000,
               MATCH(C509, DB_materiali!A$2:A$5000, 0)
         )="FALSE",
         "N",
         "Y"
      ),
   "")
)</f>
        <v/>
      </c>
      <c r="H509" s="20"/>
      <c r="I509" s="20"/>
      <c r="J509" s="20"/>
      <c r="K509" s="20"/>
      <c r="M509" s="2" t="str">
        <f>IF(ISBLANK(C509),"",IF(IFERROR(VLOOKUP(C509,DB_materiali!$A$2:$A$5000,1,FALSE),"Kļūda artikulā")=C509,"✔",tulkojums!A$42))</f>
        <v/>
      </c>
      <c r="N509" s="2" t="str">
        <f>IF(ISBLANK(C509),"",IF(ISNUMBER(F509)=TRUE,"✔",tulkojums!A$43))</f>
        <v/>
      </c>
      <c r="O509" s="2" t="str">
        <f>IF(ISBLANK(C509),"",IF(G509="Y","✔",IF(G509="X","✔",IF(G509="N","✔",tulkojums!A$44))))</f>
        <v/>
      </c>
      <c r="P509" s="2" t="str">
        <f>IF(ISBLANK(H509),"",IF(INDEX(DB_materiali!$E$2:$E$5000,MATCH($C509,DB_materiali!$A$2:$A$5000,0))&gt;=INDEX(DB_malas!$C$2:$C$5000,MATCH(H509,DB_malas!$A$2:$A$5000,0)),IF(INDEX(DB_materiali!$E$2:$E$5000,MATCH($C509,DB_materiali!$A$2:$A$5000,0))&lt;=INDEX(DB_malas!$D$2:$D$5000,MATCH(H509,DB_malas!$A$2:$A$5000,0)),IF(OR(INDEX(DB_materiali!$B$2:$B$5000,MATCH($C509,DB_materiali!$A$2:$A$5000,0))=INDEX(DB_malas!$B$2:$B$5000,MATCH(H509,DB_malas!$A$2:$A$5000,0)),$H509="ORG"),"✔",tulkojums!$A$38),tulkojums!$A$39),tulkojums!$A$39))</f>
        <v/>
      </c>
      <c r="Q509" s="2" t="str">
        <f>IF(ISBLANK(I509),"",IF(INDEX(DB_materiali!$E$2:$E$5000,MATCH($C509,DB_materiali!$A$2:$A$5000,0))&gt;=INDEX(DB_malas!$C$2:$C$5000,MATCH(I509,DB_malas!$A$2:$A$5000,0)),IF(INDEX(DB_materiali!$E$2:$E$5000,MATCH($C509,DB_materiali!$A$2:$A$5000,0))&lt;=INDEX(DB_malas!$D$2:$D$5000,MATCH(I509,DB_malas!$A$2:$A$5000,0)),IF(OR(INDEX(DB_materiali!$B$2:$B$5000,MATCH($C509,DB_materiali!$A$2:$A$5000,0))=INDEX(DB_malas!$B$2:$B$5000,MATCH(I509,DB_malas!$A$2:$A$5000,0)),$H509="ORG"),"✔",tulkojums!$A$38),tulkojums!$A$39),tulkojums!$A$39))</f>
        <v/>
      </c>
      <c r="R509" s="2" t="str">
        <f>IF(ISBLANK(J509),"",IF(INDEX(DB_materiali!$E$2:$E$5000,MATCH($C509,DB_materiali!$A$2:$A$5000,0))&gt;=INDEX(DB_malas!$C$2:$C$5000,MATCH(J509,DB_malas!$A$2:$A$5000,0)),IF(INDEX(DB_materiali!$E$2:$E$5000,MATCH($C509,DB_materiali!$A$2:$A$5000,0))&lt;=INDEX(DB_malas!$D$2:$D$5000,MATCH(J509,DB_malas!$A$2:$A$5000,0)),IF(INDEX(DB_materiali!$B$2:$B$5000,MATCH($C509,DB_materiali!$A$2:$A$5000,0))=INDEX(DB_malas!$B$2:$B$5000,MATCH(J509,DB_malas!$A$2:$A$5000,0)),"✔",tulkojums!$A$38),tulkojums!$A$39),tulkojums!$A$39))</f>
        <v/>
      </c>
      <c r="S509" s="2" t="str">
        <f>IF(ISBLANK(K509),"",IF(INDEX(DB_materiali!$E$2:$E$5000,MATCH($C509,DB_materiali!$A$2:$A$5000,0))&gt;=INDEX(DB_malas!$C$2:$C$5000,MATCH(K509,DB_malas!$A$2:$A$5000,0)),IF(INDEX(DB_materiali!$E$2:$E$5000,MATCH($C509,DB_materiali!$A$2:$A$5000,0))&lt;=INDEX(DB_malas!$D$2:$D$5000,MATCH(K509,DB_malas!$A$2:$A$5000,0)),IF(INDEX(DB_materiali!$B$2:$B$5000,MATCH($C509,DB_materiali!$A$2:$A$5000,0))=INDEX(DB_malas!$B$2:$B$5000,MATCH(K509,DB_malas!$A$2:$A$5000,0)),"✔",tulkojums!$A$38),tulkojums!$A$39),tulkojums!$A$39))</f>
        <v/>
      </c>
      <c r="T509" s="2"/>
      <c r="U509" s="2"/>
      <c r="V509" s="2"/>
      <c r="W509" s="2"/>
      <c r="X509" s="2"/>
      <c r="Y509" s="2"/>
      <c r="Z509" s="2"/>
    </row>
    <row r="510" spans="1:26" ht="15.75" customHeight="1">
      <c r="A510" s="17"/>
      <c r="B510" s="18"/>
      <c r="C510" s="19"/>
      <c r="D510" s="55"/>
      <c r="E510" s="55"/>
      <c r="F510" s="56"/>
      <c r="G510" s="57" t="str">
        <f>IF(ISBLANK(C510),"",
   IFERROR(
      IF(
         INDEX(DB_materiali!C$2:C$5000,
               MATCH(C510, DB_materiali!A$2:A$5000, 0)
         )="FALSE",
         "N",
         "Y"
      ),
   "")
)</f>
        <v/>
      </c>
      <c r="H510" s="20"/>
      <c r="I510" s="20"/>
      <c r="J510" s="20"/>
      <c r="K510" s="20"/>
      <c r="M510" s="2" t="str">
        <f>IF(ISBLANK(C510),"",IF(IFERROR(VLOOKUP(C510,DB_materiali!$A$2:$A$5000,1,FALSE),"Kļūda artikulā")=C510,"✔",tulkojums!A$42))</f>
        <v/>
      </c>
      <c r="N510" s="2" t="str">
        <f>IF(ISBLANK(C510),"",IF(ISNUMBER(F510)=TRUE,"✔",tulkojums!A$43))</f>
        <v/>
      </c>
      <c r="O510" s="2" t="str">
        <f>IF(ISBLANK(C510),"",IF(G510="Y","✔",IF(G510="X","✔",IF(G510="N","✔",tulkojums!A$44))))</f>
        <v/>
      </c>
      <c r="P510" s="2" t="str">
        <f>IF(ISBLANK(H510),"",IF(INDEX(DB_materiali!$E$2:$E$5000,MATCH($C510,DB_materiali!$A$2:$A$5000,0))&gt;=INDEX(DB_malas!$C$2:$C$5000,MATCH(H510,DB_malas!$A$2:$A$5000,0)),IF(INDEX(DB_materiali!$E$2:$E$5000,MATCH($C510,DB_materiali!$A$2:$A$5000,0))&lt;=INDEX(DB_malas!$D$2:$D$5000,MATCH(H510,DB_malas!$A$2:$A$5000,0)),IF(OR(INDEX(DB_materiali!$B$2:$B$5000,MATCH($C510,DB_materiali!$A$2:$A$5000,0))=INDEX(DB_malas!$B$2:$B$5000,MATCH(H510,DB_malas!$A$2:$A$5000,0)),$H510="ORG"),"✔",tulkojums!$A$38),tulkojums!$A$39),tulkojums!$A$39))</f>
        <v/>
      </c>
      <c r="Q510" s="2" t="str">
        <f>IF(ISBLANK(I510),"",IF(INDEX(DB_materiali!$E$2:$E$5000,MATCH($C510,DB_materiali!$A$2:$A$5000,0))&gt;=INDEX(DB_malas!$C$2:$C$5000,MATCH(I510,DB_malas!$A$2:$A$5000,0)),IF(INDEX(DB_materiali!$E$2:$E$5000,MATCH($C510,DB_materiali!$A$2:$A$5000,0))&lt;=INDEX(DB_malas!$D$2:$D$5000,MATCH(I510,DB_malas!$A$2:$A$5000,0)),IF(OR(INDEX(DB_materiali!$B$2:$B$5000,MATCH($C510,DB_materiali!$A$2:$A$5000,0))=INDEX(DB_malas!$B$2:$B$5000,MATCH(I510,DB_malas!$A$2:$A$5000,0)),$H510="ORG"),"✔",tulkojums!$A$38),tulkojums!$A$39),tulkojums!$A$39))</f>
        <v/>
      </c>
      <c r="R510" s="2" t="str">
        <f>IF(ISBLANK(J510),"",IF(INDEX(DB_materiali!$E$2:$E$5000,MATCH($C510,DB_materiali!$A$2:$A$5000,0))&gt;=INDEX(DB_malas!$C$2:$C$5000,MATCH(J510,DB_malas!$A$2:$A$5000,0)),IF(INDEX(DB_materiali!$E$2:$E$5000,MATCH($C510,DB_materiali!$A$2:$A$5000,0))&lt;=INDEX(DB_malas!$D$2:$D$5000,MATCH(J510,DB_malas!$A$2:$A$5000,0)),IF(INDEX(DB_materiali!$B$2:$B$5000,MATCH($C510,DB_materiali!$A$2:$A$5000,0))=INDEX(DB_malas!$B$2:$B$5000,MATCH(J510,DB_malas!$A$2:$A$5000,0)),"✔",tulkojums!$A$38),tulkojums!$A$39),tulkojums!$A$39))</f>
        <v/>
      </c>
      <c r="S510" s="2" t="str">
        <f>IF(ISBLANK(K510),"",IF(INDEX(DB_materiali!$E$2:$E$5000,MATCH($C510,DB_materiali!$A$2:$A$5000,0))&gt;=INDEX(DB_malas!$C$2:$C$5000,MATCH(K510,DB_malas!$A$2:$A$5000,0)),IF(INDEX(DB_materiali!$E$2:$E$5000,MATCH($C510,DB_materiali!$A$2:$A$5000,0))&lt;=INDEX(DB_malas!$D$2:$D$5000,MATCH(K510,DB_malas!$A$2:$A$5000,0)),IF(INDEX(DB_materiali!$B$2:$B$5000,MATCH($C510,DB_materiali!$A$2:$A$5000,0))=INDEX(DB_malas!$B$2:$B$5000,MATCH(K510,DB_malas!$A$2:$A$5000,0)),"✔",tulkojums!$A$38),tulkojums!$A$39),tulkojums!$A$39))</f>
        <v/>
      </c>
      <c r="T510" s="2"/>
      <c r="U510" s="2"/>
      <c r="V510" s="2"/>
      <c r="W510" s="2"/>
      <c r="X510" s="2"/>
      <c r="Y510" s="2"/>
      <c r="Z510" s="2"/>
    </row>
    <row r="511" spans="1:26" ht="15.75" customHeight="1">
      <c r="A511" s="17"/>
      <c r="B511" s="18"/>
      <c r="C511" s="19"/>
      <c r="D511" s="55"/>
      <c r="E511" s="55"/>
      <c r="F511" s="56"/>
      <c r="G511" s="57" t="str">
        <f>IF(ISBLANK(C511),"",
   IFERROR(
      IF(
         INDEX(DB_materiali!C$2:C$5000,
               MATCH(C511, DB_materiali!A$2:A$5000, 0)
         )="FALSE",
         "N",
         "Y"
      ),
   "")
)</f>
        <v/>
      </c>
      <c r="H511" s="20"/>
      <c r="I511" s="20"/>
      <c r="J511" s="20"/>
      <c r="K511" s="20"/>
      <c r="M511" s="2" t="str">
        <f>IF(ISBLANK(C511),"",IF(IFERROR(VLOOKUP(C511,DB_materiali!$A$2:$A$5000,1,FALSE),"Kļūda artikulā")=C511,"✔",tulkojums!A$42))</f>
        <v/>
      </c>
      <c r="N511" s="2" t="str">
        <f>IF(ISBLANK(C511),"",IF(ISNUMBER(F511)=TRUE,"✔",tulkojums!A$43))</f>
        <v/>
      </c>
      <c r="O511" s="2" t="str">
        <f>IF(ISBLANK(C511),"",IF(G511="Y","✔",IF(G511="X","✔",IF(G511="N","✔",tulkojums!A$44))))</f>
        <v/>
      </c>
      <c r="P511" s="2" t="str">
        <f>IF(ISBLANK(H511),"",IF(INDEX(DB_materiali!$E$2:$E$5000,MATCH($C511,DB_materiali!$A$2:$A$5000,0))&gt;=INDEX(DB_malas!$C$2:$C$5000,MATCH(H511,DB_malas!$A$2:$A$5000,0)),IF(INDEX(DB_materiali!$E$2:$E$5000,MATCH($C511,DB_materiali!$A$2:$A$5000,0))&lt;=INDEX(DB_malas!$D$2:$D$5000,MATCH(H511,DB_malas!$A$2:$A$5000,0)),IF(OR(INDEX(DB_materiali!$B$2:$B$5000,MATCH($C511,DB_materiali!$A$2:$A$5000,0))=INDEX(DB_malas!$B$2:$B$5000,MATCH(H511,DB_malas!$A$2:$A$5000,0)),$H511="ORG"),"✔",tulkojums!$A$38),tulkojums!$A$39),tulkojums!$A$39))</f>
        <v/>
      </c>
      <c r="Q511" s="2" t="str">
        <f>IF(ISBLANK(I511),"",IF(INDEX(DB_materiali!$E$2:$E$5000,MATCH($C511,DB_materiali!$A$2:$A$5000,0))&gt;=INDEX(DB_malas!$C$2:$C$5000,MATCH(I511,DB_malas!$A$2:$A$5000,0)),IF(INDEX(DB_materiali!$E$2:$E$5000,MATCH($C511,DB_materiali!$A$2:$A$5000,0))&lt;=INDEX(DB_malas!$D$2:$D$5000,MATCH(I511,DB_malas!$A$2:$A$5000,0)),IF(OR(INDEX(DB_materiali!$B$2:$B$5000,MATCH($C511,DB_materiali!$A$2:$A$5000,0))=INDEX(DB_malas!$B$2:$B$5000,MATCH(I511,DB_malas!$A$2:$A$5000,0)),$H511="ORG"),"✔",tulkojums!$A$38),tulkojums!$A$39),tulkojums!$A$39))</f>
        <v/>
      </c>
      <c r="R511" s="2" t="str">
        <f>IF(ISBLANK(J511),"",IF(INDEX(DB_materiali!$E$2:$E$5000,MATCH($C511,DB_materiali!$A$2:$A$5000,0))&gt;=INDEX(DB_malas!$C$2:$C$5000,MATCH(J511,DB_malas!$A$2:$A$5000,0)),IF(INDEX(DB_materiali!$E$2:$E$5000,MATCH($C511,DB_materiali!$A$2:$A$5000,0))&lt;=INDEX(DB_malas!$D$2:$D$5000,MATCH(J511,DB_malas!$A$2:$A$5000,0)),IF(INDEX(DB_materiali!$B$2:$B$5000,MATCH($C511,DB_materiali!$A$2:$A$5000,0))=INDEX(DB_malas!$B$2:$B$5000,MATCH(J511,DB_malas!$A$2:$A$5000,0)),"✔",tulkojums!$A$38),tulkojums!$A$39),tulkojums!$A$39))</f>
        <v/>
      </c>
      <c r="S511" s="2" t="str">
        <f>IF(ISBLANK(K511),"",IF(INDEX(DB_materiali!$E$2:$E$5000,MATCH($C511,DB_materiali!$A$2:$A$5000,0))&gt;=INDEX(DB_malas!$C$2:$C$5000,MATCH(K511,DB_malas!$A$2:$A$5000,0)),IF(INDEX(DB_materiali!$E$2:$E$5000,MATCH($C511,DB_materiali!$A$2:$A$5000,0))&lt;=INDEX(DB_malas!$D$2:$D$5000,MATCH(K511,DB_malas!$A$2:$A$5000,0)),IF(INDEX(DB_materiali!$B$2:$B$5000,MATCH($C511,DB_materiali!$A$2:$A$5000,0))=INDEX(DB_malas!$B$2:$B$5000,MATCH(K511,DB_malas!$A$2:$A$5000,0)),"✔",tulkojums!$A$38),tulkojums!$A$39),tulkojums!$A$39))</f>
        <v/>
      </c>
      <c r="T511" s="2"/>
      <c r="U511" s="2"/>
      <c r="V511" s="2"/>
      <c r="W511" s="2"/>
      <c r="X511" s="2"/>
      <c r="Y511" s="2"/>
      <c r="Z511" s="2"/>
    </row>
    <row r="512" spans="1:26" ht="15.75" customHeight="1">
      <c r="A512" s="17"/>
      <c r="B512" s="18"/>
      <c r="C512" s="19"/>
      <c r="D512" s="55"/>
      <c r="E512" s="55"/>
      <c r="F512" s="56"/>
      <c r="G512" s="57" t="str">
        <f>IF(ISBLANK(C512),"",
   IFERROR(
      IF(
         INDEX(DB_materiali!C$2:C$5000,
               MATCH(C512, DB_materiali!A$2:A$5000, 0)
         )="FALSE",
         "N",
         "Y"
      ),
   "")
)</f>
        <v/>
      </c>
      <c r="H512" s="20"/>
      <c r="I512" s="20"/>
      <c r="J512" s="20"/>
      <c r="K512" s="20"/>
      <c r="M512" s="2" t="str">
        <f>IF(ISBLANK(C512),"",IF(IFERROR(VLOOKUP(C512,DB_materiali!$A$2:$A$5000,1,FALSE),"Kļūda artikulā")=C512,"✔",tulkojums!A$42))</f>
        <v/>
      </c>
      <c r="N512" s="2" t="str">
        <f>IF(ISBLANK(C512),"",IF(ISNUMBER(F512)=TRUE,"✔",tulkojums!A$43))</f>
        <v/>
      </c>
      <c r="O512" s="2" t="str">
        <f>IF(ISBLANK(C512),"",IF(G512="Y","✔",IF(G512="X","✔",IF(G512="N","✔",tulkojums!A$44))))</f>
        <v/>
      </c>
      <c r="P512" s="2" t="str">
        <f>IF(ISBLANK(H512),"",IF(INDEX(DB_materiali!$E$2:$E$5000,MATCH($C512,DB_materiali!$A$2:$A$5000,0))&gt;=INDEX(DB_malas!$C$2:$C$5000,MATCH(H512,DB_malas!$A$2:$A$5000,0)),IF(INDEX(DB_materiali!$E$2:$E$5000,MATCH($C512,DB_materiali!$A$2:$A$5000,0))&lt;=INDEX(DB_malas!$D$2:$D$5000,MATCH(H512,DB_malas!$A$2:$A$5000,0)),IF(OR(INDEX(DB_materiali!$B$2:$B$5000,MATCH($C512,DB_materiali!$A$2:$A$5000,0))=INDEX(DB_malas!$B$2:$B$5000,MATCH(H512,DB_malas!$A$2:$A$5000,0)),$H512="ORG"),"✔",tulkojums!$A$38),tulkojums!$A$39),tulkojums!$A$39))</f>
        <v/>
      </c>
      <c r="Q512" s="2" t="str">
        <f>IF(ISBLANK(I512),"",IF(INDEX(DB_materiali!$E$2:$E$5000,MATCH($C512,DB_materiali!$A$2:$A$5000,0))&gt;=INDEX(DB_malas!$C$2:$C$5000,MATCH(I512,DB_malas!$A$2:$A$5000,0)),IF(INDEX(DB_materiali!$E$2:$E$5000,MATCH($C512,DB_materiali!$A$2:$A$5000,0))&lt;=INDEX(DB_malas!$D$2:$D$5000,MATCH(I512,DB_malas!$A$2:$A$5000,0)),IF(OR(INDEX(DB_materiali!$B$2:$B$5000,MATCH($C512,DB_materiali!$A$2:$A$5000,0))=INDEX(DB_malas!$B$2:$B$5000,MATCH(I512,DB_malas!$A$2:$A$5000,0)),$H512="ORG"),"✔",tulkojums!$A$38),tulkojums!$A$39),tulkojums!$A$39))</f>
        <v/>
      </c>
      <c r="R512" s="2" t="str">
        <f>IF(ISBLANK(J512),"",IF(INDEX(DB_materiali!$E$2:$E$5000,MATCH($C512,DB_materiali!$A$2:$A$5000,0))&gt;=INDEX(DB_malas!$C$2:$C$5000,MATCH(J512,DB_malas!$A$2:$A$5000,0)),IF(INDEX(DB_materiali!$E$2:$E$5000,MATCH($C512,DB_materiali!$A$2:$A$5000,0))&lt;=INDEX(DB_malas!$D$2:$D$5000,MATCH(J512,DB_malas!$A$2:$A$5000,0)),IF(INDEX(DB_materiali!$B$2:$B$5000,MATCH($C512,DB_materiali!$A$2:$A$5000,0))=INDEX(DB_malas!$B$2:$B$5000,MATCH(J512,DB_malas!$A$2:$A$5000,0)),"✔",tulkojums!$A$38),tulkojums!$A$39),tulkojums!$A$39))</f>
        <v/>
      </c>
      <c r="S512" s="2" t="str">
        <f>IF(ISBLANK(K512),"",IF(INDEX(DB_materiali!$E$2:$E$5000,MATCH($C512,DB_materiali!$A$2:$A$5000,0))&gt;=INDEX(DB_malas!$C$2:$C$5000,MATCH(K512,DB_malas!$A$2:$A$5000,0)),IF(INDEX(DB_materiali!$E$2:$E$5000,MATCH($C512,DB_materiali!$A$2:$A$5000,0))&lt;=INDEX(DB_malas!$D$2:$D$5000,MATCH(K512,DB_malas!$A$2:$A$5000,0)),IF(INDEX(DB_materiali!$B$2:$B$5000,MATCH($C512,DB_materiali!$A$2:$A$5000,0))=INDEX(DB_malas!$B$2:$B$5000,MATCH(K512,DB_malas!$A$2:$A$5000,0)),"✔",tulkojums!$A$38),tulkojums!$A$39),tulkojums!$A$39))</f>
        <v/>
      </c>
      <c r="T512" s="2"/>
      <c r="U512" s="2"/>
      <c r="V512" s="2"/>
      <c r="W512" s="2"/>
      <c r="X512" s="2"/>
      <c r="Y512" s="2"/>
      <c r="Z512" s="2"/>
    </row>
    <row r="513" spans="1:26" ht="15.75" customHeight="1">
      <c r="A513" s="17"/>
      <c r="B513" s="18"/>
      <c r="C513" s="19"/>
      <c r="D513" s="55"/>
      <c r="E513" s="55"/>
      <c r="F513" s="56"/>
      <c r="G513" s="57" t="str">
        <f>IF(ISBLANK(C513),"",
   IFERROR(
      IF(
         INDEX(DB_materiali!C$2:C$5000,
               MATCH(C513, DB_materiali!A$2:A$5000, 0)
         )="FALSE",
         "N",
         "Y"
      ),
   "")
)</f>
        <v/>
      </c>
      <c r="H513" s="20"/>
      <c r="I513" s="20"/>
      <c r="J513" s="20"/>
      <c r="K513" s="20"/>
      <c r="M513" s="2" t="str">
        <f>IF(ISBLANK(C513),"",IF(IFERROR(VLOOKUP(C513,DB_materiali!$A$2:$A$5000,1,FALSE),"Kļūda artikulā")=C513,"✔",tulkojums!A$42))</f>
        <v/>
      </c>
      <c r="N513" s="2" t="str">
        <f>IF(ISBLANK(C513),"",IF(ISNUMBER(F513)=TRUE,"✔",tulkojums!A$43))</f>
        <v/>
      </c>
      <c r="O513" s="2" t="str">
        <f>IF(ISBLANK(C513),"",IF(G513="Y","✔",IF(G513="X","✔",IF(G513="N","✔",tulkojums!A$44))))</f>
        <v/>
      </c>
      <c r="P513" s="2" t="str">
        <f>IF(ISBLANK(H513),"",IF(INDEX(DB_materiali!$E$2:$E$5000,MATCH($C513,DB_materiali!$A$2:$A$5000,0))&gt;=INDEX(DB_malas!$C$2:$C$5000,MATCH(H513,DB_malas!$A$2:$A$5000,0)),IF(INDEX(DB_materiali!$E$2:$E$5000,MATCH($C513,DB_materiali!$A$2:$A$5000,0))&lt;=INDEX(DB_malas!$D$2:$D$5000,MATCH(H513,DB_malas!$A$2:$A$5000,0)),IF(OR(INDEX(DB_materiali!$B$2:$B$5000,MATCH($C513,DB_materiali!$A$2:$A$5000,0))=INDEX(DB_malas!$B$2:$B$5000,MATCH(H513,DB_malas!$A$2:$A$5000,0)),$H513="ORG"),"✔",tulkojums!$A$38),tulkojums!$A$39),tulkojums!$A$39))</f>
        <v/>
      </c>
      <c r="Q513" s="2" t="str">
        <f>IF(ISBLANK(I513),"",IF(INDEX(DB_materiali!$E$2:$E$5000,MATCH($C513,DB_materiali!$A$2:$A$5000,0))&gt;=INDEX(DB_malas!$C$2:$C$5000,MATCH(I513,DB_malas!$A$2:$A$5000,0)),IF(INDEX(DB_materiali!$E$2:$E$5000,MATCH($C513,DB_materiali!$A$2:$A$5000,0))&lt;=INDEX(DB_malas!$D$2:$D$5000,MATCH(I513,DB_malas!$A$2:$A$5000,0)),IF(OR(INDEX(DB_materiali!$B$2:$B$5000,MATCH($C513,DB_materiali!$A$2:$A$5000,0))=INDEX(DB_malas!$B$2:$B$5000,MATCH(I513,DB_malas!$A$2:$A$5000,0)),$H513="ORG"),"✔",tulkojums!$A$38),tulkojums!$A$39),tulkojums!$A$39))</f>
        <v/>
      </c>
      <c r="R513" s="2" t="str">
        <f>IF(ISBLANK(J513),"",IF(INDEX(DB_materiali!$E$2:$E$5000,MATCH($C513,DB_materiali!$A$2:$A$5000,0))&gt;=INDEX(DB_malas!$C$2:$C$5000,MATCH(J513,DB_malas!$A$2:$A$5000,0)),IF(INDEX(DB_materiali!$E$2:$E$5000,MATCH($C513,DB_materiali!$A$2:$A$5000,0))&lt;=INDEX(DB_malas!$D$2:$D$5000,MATCH(J513,DB_malas!$A$2:$A$5000,0)),IF(INDEX(DB_materiali!$B$2:$B$5000,MATCH($C513,DB_materiali!$A$2:$A$5000,0))=INDEX(DB_malas!$B$2:$B$5000,MATCH(J513,DB_malas!$A$2:$A$5000,0)),"✔",tulkojums!$A$38),tulkojums!$A$39),tulkojums!$A$39))</f>
        <v/>
      </c>
      <c r="S513" s="2" t="str">
        <f>IF(ISBLANK(K513),"",IF(INDEX(DB_materiali!$E$2:$E$5000,MATCH($C513,DB_materiali!$A$2:$A$5000,0))&gt;=INDEX(DB_malas!$C$2:$C$5000,MATCH(K513,DB_malas!$A$2:$A$5000,0)),IF(INDEX(DB_materiali!$E$2:$E$5000,MATCH($C513,DB_materiali!$A$2:$A$5000,0))&lt;=INDEX(DB_malas!$D$2:$D$5000,MATCH(K513,DB_malas!$A$2:$A$5000,0)),IF(INDEX(DB_materiali!$B$2:$B$5000,MATCH($C513,DB_materiali!$A$2:$A$5000,0))=INDEX(DB_malas!$B$2:$B$5000,MATCH(K513,DB_malas!$A$2:$A$5000,0)),"✔",tulkojums!$A$38),tulkojums!$A$39),tulkojums!$A$39))</f>
        <v/>
      </c>
      <c r="T513" s="2"/>
      <c r="U513" s="2"/>
      <c r="V513" s="2"/>
      <c r="W513" s="2"/>
      <c r="X513" s="2"/>
      <c r="Y513" s="2"/>
      <c r="Z513" s="2"/>
    </row>
    <row r="514" spans="1:26" ht="15.75" customHeight="1">
      <c r="A514" s="17"/>
      <c r="B514" s="18"/>
      <c r="C514" s="19"/>
      <c r="D514" s="55"/>
      <c r="E514" s="55"/>
      <c r="F514" s="56"/>
      <c r="G514" s="57" t="str">
        <f>IF(ISBLANK(C514),"",
   IFERROR(
      IF(
         INDEX(DB_materiali!C$2:C$5000,
               MATCH(C514, DB_materiali!A$2:A$5000, 0)
         )="FALSE",
         "N",
         "Y"
      ),
   "")
)</f>
        <v/>
      </c>
      <c r="H514" s="20"/>
      <c r="I514" s="20"/>
      <c r="J514" s="20"/>
      <c r="K514" s="20"/>
      <c r="M514" s="2" t="str">
        <f>IF(ISBLANK(C514),"",IF(IFERROR(VLOOKUP(C514,DB_materiali!$A$2:$A$5000,1,FALSE),"Kļūda artikulā")=C514,"✔",tulkojums!A$42))</f>
        <v/>
      </c>
      <c r="N514" s="2" t="str">
        <f>IF(ISBLANK(C514),"",IF(ISNUMBER(F514)=TRUE,"✔",tulkojums!A$43))</f>
        <v/>
      </c>
      <c r="O514" s="2" t="str">
        <f>IF(ISBLANK(C514),"",IF(G514="Y","✔",IF(G514="X","✔",IF(G514="N","✔",tulkojums!A$44))))</f>
        <v/>
      </c>
      <c r="P514" s="2" t="str">
        <f>IF(ISBLANK(H514),"",IF(INDEX(DB_materiali!$E$2:$E$5000,MATCH($C514,DB_materiali!$A$2:$A$5000,0))&gt;=INDEX(DB_malas!$C$2:$C$5000,MATCH(H514,DB_malas!$A$2:$A$5000,0)),IF(INDEX(DB_materiali!$E$2:$E$5000,MATCH($C514,DB_materiali!$A$2:$A$5000,0))&lt;=INDEX(DB_malas!$D$2:$D$5000,MATCH(H514,DB_malas!$A$2:$A$5000,0)),IF(OR(INDEX(DB_materiali!$B$2:$B$5000,MATCH($C514,DB_materiali!$A$2:$A$5000,0))=INDEX(DB_malas!$B$2:$B$5000,MATCH(H514,DB_malas!$A$2:$A$5000,0)),$H514="ORG"),"✔",tulkojums!$A$38),tulkojums!$A$39),tulkojums!$A$39))</f>
        <v/>
      </c>
      <c r="Q514" s="2" t="str">
        <f>IF(ISBLANK(I514),"",IF(INDEX(DB_materiali!$E$2:$E$5000,MATCH($C514,DB_materiali!$A$2:$A$5000,0))&gt;=INDEX(DB_malas!$C$2:$C$5000,MATCH(I514,DB_malas!$A$2:$A$5000,0)),IF(INDEX(DB_materiali!$E$2:$E$5000,MATCH($C514,DB_materiali!$A$2:$A$5000,0))&lt;=INDEX(DB_malas!$D$2:$D$5000,MATCH(I514,DB_malas!$A$2:$A$5000,0)),IF(OR(INDEX(DB_materiali!$B$2:$B$5000,MATCH($C514,DB_materiali!$A$2:$A$5000,0))=INDEX(DB_malas!$B$2:$B$5000,MATCH(I514,DB_malas!$A$2:$A$5000,0)),$H514="ORG"),"✔",tulkojums!$A$38),tulkojums!$A$39),tulkojums!$A$39))</f>
        <v/>
      </c>
      <c r="R514" s="2" t="str">
        <f>IF(ISBLANK(J514),"",IF(INDEX(DB_materiali!$E$2:$E$5000,MATCH($C514,DB_materiali!$A$2:$A$5000,0))&gt;=INDEX(DB_malas!$C$2:$C$5000,MATCH(J514,DB_malas!$A$2:$A$5000,0)),IF(INDEX(DB_materiali!$E$2:$E$5000,MATCH($C514,DB_materiali!$A$2:$A$5000,0))&lt;=INDEX(DB_malas!$D$2:$D$5000,MATCH(J514,DB_malas!$A$2:$A$5000,0)),IF(INDEX(DB_materiali!$B$2:$B$5000,MATCH($C514,DB_materiali!$A$2:$A$5000,0))=INDEX(DB_malas!$B$2:$B$5000,MATCH(J514,DB_malas!$A$2:$A$5000,0)),"✔",tulkojums!$A$38),tulkojums!$A$39),tulkojums!$A$39))</f>
        <v/>
      </c>
      <c r="S514" s="2" t="str">
        <f>IF(ISBLANK(K514),"",IF(INDEX(DB_materiali!$E$2:$E$5000,MATCH($C514,DB_materiali!$A$2:$A$5000,0))&gt;=INDEX(DB_malas!$C$2:$C$5000,MATCH(K514,DB_malas!$A$2:$A$5000,0)),IF(INDEX(DB_materiali!$E$2:$E$5000,MATCH($C514,DB_materiali!$A$2:$A$5000,0))&lt;=INDEX(DB_malas!$D$2:$D$5000,MATCH(K514,DB_malas!$A$2:$A$5000,0)),IF(INDEX(DB_materiali!$B$2:$B$5000,MATCH($C514,DB_materiali!$A$2:$A$5000,0))=INDEX(DB_malas!$B$2:$B$5000,MATCH(K514,DB_malas!$A$2:$A$5000,0)),"✔",tulkojums!$A$38),tulkojums!$A$39),tulkojums!$A$39))</f>
        <v/>
      </c>
      <c r="T514" s="2"/>
      <c r="U514" s="2"/>
      <c r="V514" s="2"/>
      <c r="W514" s="2"/>
      <c r="X514" s="2"/>
      <c r="Y514" s="2"/>
      <c r="Z514" s="2"/>
    </row>
    <row r="515" spans="1:26" ht="15.75" customHeight="1">
      <c r="A515" s="17"/>
      <c r="B515" s="18"/>
      <c r="C515" s="19"/>
      <c r="D515" s="55"/>
      <c r="E515" s="55"/>
      <c r="F515" s="56"/>
      <c r="G515" s="57" t="str">
        <f>IF(ISBLANK(C515),"",
   IFERROR(
      IF(
         INDEX(DB_materiali!C$2:C$5000,
               MATCH(C515, DB_materiali!A$2:A$5000, 0)
         )="FALSE",
         "N",
         "Y"
      ),
   "")
)</f>
        <v/>
      </c>
      <c r="H515" s="20"/>
      <c r="I515" s="20"/>
      <c r="J515" s="20"/>
      <c r="K515" s="20"/>
      <c r="M515" s="2" t="str">
        <f>IF(ISBLANK(C515),"",IF(IFERROR(VLOOKUP(C515,DB_materiali!$A$2:$A$5000,1,FALSE),"Kļūda artikulā")=C515,"✔",tulkojums!A$42))</f>
        <v/>
      </c>
      <c r="N515" s="2" t="str">
        <f>IF(ISBLANK(C515),"",IF(ISNUMBER(F515)=TRUE,"✔",tulkojums!A$43))</f>
        <v/>
      </c>
      <c r="O515" s="2" t="str">
        <f>IF(ISBLANK(C515),"",IF(G515="Y","✔",IF(G515="X","✔",IF(G515="N","✔",tulkojums!A$44))))</f>
        <v/>
      </c>
      <c r="P515" s="2" t="str">
        <f>IF(ISBLANK(H515),"",IF(INDEX(DB_materiali!$E$2:$E$5000,MATCH($C515,DB_materiali!$A$2:$A$5000,0))&gt;=INDEX(DB_malas!$C$2:$C$5000,MATCH(H515,DB_malas!$A$2:$A$5000,0)),IF(INDEX(DB_materiali!$E$2:$E$5000,MATCH($C515,DB_materiali!$A$2:$A$5000,0))&lt;=INDEX(DB_malas!$D$2:$D$5000,MATCH(H515,DB_malas!$A$2:$A$5000,0)),IF(OR(INDEX(DB_materiali!$B$2:$B$5000,MATCH($C515,DB_materiali!$A$2:$A$5000,0))=INDEX(DB_malas!$B$2:$B$5000,MATCH(H515,DB_malas!$A$2:$A$5000,0)),$H515="ORG"),"✔",tulkojums!$A$38),tulkojums!$A$39),tulkojums!$A$39))</f>
        <v/>
      </c>
      <c r="Q515" s="2" t="str">
        <f>IF(ISBLANK(I515),"",IF(INDEX(DB_materiali!$E$2:$E$5000,MATCH($C515,DB_materiali!$A$2:$A$5000,0))&gt;=INDEX(DB_malas!$C$2:$C$5000,MATCH(I515,DB_malas!$A$2:$A$5000,0)),IF(INDEX(DB_materiali!$E$2:$E$5000,MATCH($C515,DB_materiali!$A$2:$A$5000,0))&lt;=INDEX(DB_malas!$D$2:$D$5000,MATCH(I515,DB_malas!$A$2:$A$5000,0)),IF(OR(INDEX(DB_materiali!$B$2:$B$5000,MATCH($C515,DB_materiali!$A$2:$A$5000,0))=INDEX(DB_malas!$B$2:$B$5000,MATCH(I515,DB_malas!$A$2:$A$5000,0)),$H515="ORG"),"✔",tulkojums!$A$38),tulkojums!$A$39),tulkojums!$A$39))</f>
        <v/>
      </c>
      <c r="R515" s="2" t="str">
        <f>IF(ISBLANK(J515),"",IF(INDEX(DB_materiali!$E$2:$E$5000,MATCH($C515,DB_materiali!$A$2:$A$5000,0))&gt;=INDEX(DB_malas!$C$2:$C$5000,MATCH(J515,DB_malas!$A$2:$A$5000,0)),IF(INDEX(DB_materiali!$E$2:$E$5000,MATCH($C515,DB_materiali!$A$2:$A$5000,0))&lt;=INDEX(DB_malas!$D$2:$D$5000,MATCH(J515,DB_malas!$A$2:$A$5000,0)),IF(INDEX(DB_materiali!$B$2:$B$5000,MATCH($C515,DB_materiali!$A$2:$A$5000,0))=INDEX(DB_malas!$B$2:$B$5000,MATCH(J515,DB_malas!$A$2:$A$5000,0)),"✔",tulkojums!$A$38),tulkojums!$A$39),tulkojums!$A$39))</f>
        <v/>
      </c>
      <c r="S515" s="2" t="str">
        <f>IF(ISBLANK(K515),"",IF(INDEX(DB_materiali!$E$2:$E$5000,MATCH($C515,DB_materiali!$A$2:$A$5000,0))&gt;=INDEX(DB_malas!$C$2:$C$5000,MATCH(K515,DB_malas!$A$2:$A$5000,0)),IF(INDEX(DB_materiali!$E$2:$E$5000,MATCH($C515,DB_materiali!$A$2:$A$5000,0))&lt;=INDEX(DB_malas!$D$2:$D$5000,MATCH(K515,DB_malas!$A$2:$A$5000,0)),IF(INDEX(DB_materiali!$B$2:$B$5000,MATCH($C515,DB_materiali!$A$2:$A$5000,0))=INDEX(DB_malas!$B$2:$B$5000,MATCH(K515,DB_malas!$A$2:$A$5000,0)),"✔",tulkojums!$A$38),tulkojums!$A$39),tulkojums!$A$39))</f>
        <v/>
      </c>
      <c r="T515" s="2"/>
      <c r="U515" s="2"/>
      <c r="V515" s="2"/>
      <c r="W515" s="2"/>
      <c r="X515" s="2"/>
      <c r="Y515" s="2"/>
      <c r="Z515" s="2"/>
    </row>
    <row r="516" spans="1:26" ht="15.75" customHeight="1">
      <c r="A516" s="17"/>
      <c r="B516" s="18"/>
      <c r="C516" s="19"/>
      <c r="D516" s="55"/>
      <c r="E516" s="55"/>
      <c r="F516" s="56"/>
      <c r="G516" s="57" t="str">
        <f>IF(ISBLANK(C516),"",
   IFERROR(
      IF(
         INDEX(DB_materiali!C$2:C$5000,
               MATCH(C516, DB_materiali!A$2:A$5000, 0)
         )="FALSE",
         "N",
         "Y"
      ),
   "")
)</f>
        <v/>
      </c>
      <c r="H516" s="20"/>
      <c r="I516" s="20"/>
      <c r="J516" s="20"/>
      <c r="K516" s="20"/>
      <c r="M516" s="2" t="str">
        <f>IF(ISBLANK(C516),"",IF(IFERROR(VLOOKUP(C516,DB_materiali!$A$2:$A$5000,1,FALSE),"Kļūda artikulā")=C516,"✔",tulkojums!A$42))</f>
        <v/>
      </c>
      <c r="N516" s="2" t="str">
        <f>IF(ISBLANK(C516),"",IF(ISNUMBER(F516)=TRUE,"✔",tulkojums!A$43))</f>
        <v/>
      </c>
      <c r="O516" s="2" t="str">
        <f>IF(ISBLANK(C516),"",IF(G516="Y","✔",IF(G516="X","✔",IF(G516="N","✔",tulkojums!A$44))))</f>
        <v/>
      </c>
      <c r="P516" s="2" t="str">
        <f>IF(ISBLANK(H516),"",IF(INDEX(DB_materiali!$E$2:$E$5000,MATCH($C516,DB_materiali!$A$2:$A$5000,0))&gt;=INDEX(DB_malas!$C$2:$C$5000,MATCH(H516,DB_malas!$A$2:$A$5000,0)),IF(INDEX(DB_materiali!$E$2:$E$5000,MATCH($C516,DB_materiali!$A$2:$A$5000,0))&lt;=INDEX(DB_malas!$D$2:$D$5000,MATCH(H516,DB_malas!$A$2:$A$5000,0)),IF(OR(INDEX(DB_materiali!$B$2:$B$5000,MATCH($C516,DB_materiali!$A$2:$A$5000,0))=INDEX(DB_malas!$B$2:$B$5000,MATCH(H516,DB_malas!$A$2:$A$5000,0)),$H516="ORG"),"✔",tulkojums!$A$38),tulkojums!$A$39),tulkojums!$A$39))</f>
        <v/>
      </c>
      <c r="Q516" s="2" t="str">
        <f>IF(ISBLANK(I516),"",IF(INDEX(DB_materiali!$E$2:$E$5000,MATCH($C516,DB_materiali!$A$2:$A$5000,0))&gt;=INDEX(DB_malas!$C$2:$C$5000,MATCH(I516,DB_malas!$A$2:$A$5000,0)),IF(INDEX(DB_materiali!$E$2:$E$5000,MATCH($C516,DB_materiali!$A$2:$A$5000,0))&lt;=INDEX(DB_malas!$D$2:$D$5000,MATCH(I516,DB_malas!$A$2:$A$5000,0)),IF(OR(INDEX(DB_materiali!$B$2:$B$5000,MATCH($C516,DB_materiali!$A$2:$A$5000,0))=INDEX(DB_malas!$B$2:$B$5000,MATCH(I516,DB_malas!$A$2:$A$5000,0)),$H516="ORG"),"✔",tulkojums!$A$38),tulkojums!$A$39),tulkojums!$A$39))</f>
        <v/>
      </c>
      <c r="R516" s="2" t="str">
        <f>IF(ISBLANK(J516),"",IF(INDEX(DB_materiali!$E$2:$E$5000,MATCH($C516,DB_materiali!$A$2:$A$5000,0))&gt;=INDEX(DB_malas!$C$2:$C$5000,MATCH(J516,DB_malas!$A$2:$A$5000,0)),IF(INDEX(DB_materiali!$E$2:$E$5000,MATCH($C516,DB_materiali!$A$2:$A$5000,0))&lt;=INDEX(DB_malas!$D$2:$D$5000,MATCH(J516,DB_malas!$A$2:$A$5000,0)),IF(INDEX(DB_materiali!$B$2:$B$5000,MATCH($C516,DB_materiali!$A$2:$A$5000,0))=INDEX(DB_malas!$B$2:$B$5000,MATCH(J516,DB_malas!$A$2:$A$5000,0)),"✔",tulkojums!$A$38),tulkojums!$A$39),tulkojums!$A$39))</f>
        <v/>
      </c>
      <c r="S516" s="2" t="str">
        <f>IF(ISBLANK(K516),"",IF(INDEX(DB_materiali!$E$2:$E$5000,MATCH($C516,DB_materiali!$A$2:$A$5000,0))&gt;=INDEX(DB_malas!$C$2:$C$5000,MATCH(K516,DB_malas!$A$2:$A$5000,0)),IF(INDEX(DB_materiali!$E$2:$E$5000,MATCH($C516,DB_materiali!$A$2:$A$5000,0))&lt;=INDEX(DB_malas!$D$2:$D$5000,MATCH(K516,DB_malas!$A$2:$A$5000,0)),IF(INDEX(DB_materiali!$B$2:$B$5000,MATCH($C516,DB_materiali!$A$2:$A$5000,0))=INDEX(DB_malas!$B$2:$B$5000,MATCH(K516,DB_malas!$A$2:$A$5000,0)),"✔",tulkojums!$A$38),tulkojums!$A$39),tulkojums!$A$39))</f>
        <v/>
      </c>
      <c r="T516" s="2"/>
      <c r="U516" s="2"/>
      <c r="V516" s="2"/>
      <c r="W516" s="2"/>
      <c r="X516" s="2"/>
      <c r="Y516" s="2"/>
      <c r="Z516" s="2"/>
    </row>
    <row r="517" spans="1:26" ht="15.75" customHeight="1">
      <c r="A517" s="17"/>
      <c r="B517" s="18"/>
      <c r="C517" s="19"/>
      <c r="D517" s="55"/>
      <c r="E517" s="55"/>
      <c r="F517" s="56"/>
      <c r="G517" s="57" t="str">
        <f>IF(ISBLANK(C517),"",
   IFERROR(
      IF(
         INDEX(DB_materiali!C$2:C$5000,
               MATCH(C517, DB_materiali!A$2:A$5000, 0)
         )="FALSE",
         "N",
         "Y"
      ),
   "")
)</f>
        <v/>
      </c>
      <c r="H517" s="20"/>
      <c r="I517" s="20"/>
      <c r="J517" s="20"/>
      <c r="K517" s="20"/>
      <c r="M517" s="2" t="str">
        <f>IF(ISBLANK(C517),"",IF(IFERROR(VLOOKUP(C517,DB_materiali!$A$2:$A$5000,1,FALSE),"Kļūda artikulā")=C517,"✔",tulkojums!A$42))</f>
        <v/>
      </c>
      <c r="N517" s="2" t="str">
        <f>IF(ISBLANK(C517),"",IF(ISNUMBER(F517)=TRUE,"✔",tulkojums!A$43))</f>
        <v/>
      </c>
      <c r="O517" s="2" t="str">
        <f>IF(ISBLANK(C517),"",IF(G517="Y","✔",IF(G517="X","✔",IF(G517="N","✔",tulkojums!A$44))))</f>
        <v/>
      </c>
      <c r="P517" s="2" t="str">
        <f>IF(ISBLANK(H517),"",IF(INDEX(DB_materiali!$E$2:$E$5000,MATCH($C517,DB_materiali!$A$2:$A$5000,0))&gt;=INDEX(DB_malas!$C$2:$C$5000,MATCH(H517,DB_malas!$A$2:$A$5000,0)),IF(INDEX(DB_materiali!$E$2:$E$5000,MATCH($C517,DB_materiali!$A$2:$A$5000,0))&lt;=INDEX(DB_malas!$D$2:$D$5000,MATCH(H517,DB_malas!$A$2:$A$5000,0)),IF(OR(INDEX(DB_materiali!$B$2:$B$5000,MATCH($C517,DB_materiali!$A$2:$A$5000,0))=INDEX(DB_malas!$B$2:$B$5000,MATCH(H517,DB_malas!$A$2:$A$5000,0)),$H517="ORG"),"✔",tulkojums!$A$38),tulkojums!$A$39),tulkojums!$A$39))</f>
        <v/>
      </c>
      <c r="Q517" s="2" t="str">
        <f>IF(ISBLANK(I517),"",IF(INDEX(DB_materiali!$E$2:$E$5000,MATCH($C517,DB_materiali!$A$2:$A$5000,0))&gt;=INDEX(DB_malas!$C$2:$C$5000,MATCH(I517,DB_malas!$A$2:$A$5000,0)),IF(INDEX(DB_materiali!$E$2:$E$5000,MATCH($C517,DB_materiali!$A$2:$A$5000,0))&lt;=INDEX(DB_malas!$D$2:$D$5000,MATCH(I517,DB_malas!$A$2:$A$5000,0)),IF(OR(INDEX(DB_materiali!$B$2:$B$5000,MATCH($C517,DB_materiali!$A$2:$A$5000,0))=INDEX(DB_malas!$B$2:$B$5000,MATCH(I517,DB_malas!$A$2:$A$5000,0)),$H517="ORG"),"✔",tulkojums!$A$38),tulkojums!$A$39),tulkojums!$A$39))</f>
        <v/>
      </c>
      <c r="R517" s="2" t="str">
        <f>IF(ISBLANK(J517),"",IF(INDEX(DB_materiali!$E$2:$E$5000,MATCH($C517,DB_materiali!$A$2:$A$5000,0))&gt;=INDEX(DB_malas!$C$2:$C$5000,MATCH(J517,DB_malas!$A$2:$A$5000,0)),IF(INDEX(DB_materiali!$E$2:$E$5000,MATCH($C517,DB_materiali!$A$2:$A$5000,0))&lt;=INDEX(DB_malas!$D$2:$D$5000,MATCH(J517,DB_malas!$A$2:$A$5000,0)),IF(INDEX(DB_materiali!$B$2:$B$5000,MATCH($C517,DB_materiali!$A$2:$A$5000,0))=INDEX(DB_malas!$B$2:$B$5000,MATCH(J517,DB_malas!$A$2:$A$5000,0)),"✔",tulkojums!$A$38),tulkojums!$A$39),tulkojums!$A$39))</f>
        <v/>
      </c>
      <c r="S517" s="2" t="str">
        <f>IF(ISBLANK(K517),"",IF(INDEX(DB_materiali!$E$2:$E$5000,MATCH($C517,DB_materiali!$A$2:$A$5000,0))&gt;=INDEX(DB_malas!$C$2:$C$5000,MATCH(K517,DB_malas!$A$2:$A$5000,0)),IF(INDEX(DB_materiali!$E$2:$E$5000,MATCH($C517,DB_materiali!$A$2:$A$5000,0))&lt;=INDEX(DB_malas!$D$2:$D$5000,MATCH(K517,DB_malas!$A$2:$A$5000,0)),IF(INDEX(DB_materiali!$B$2:$B$5000,MATCH($C517,DB_materiali!$A$2:$A$5000,0))=INDEX(DB_malas!$B$2:$B$5000,MATCH(K517,DB_malas!$A$2:$A$5000,0)),"✔",tulkojums!$A$38),tulkojums!$A$39),tulkojums!$A$39))</f>
        <v/>
      </c>
      <c r="T517" s="2"/>
      <c r="U517" s="2"/>
      <c r="V517" s="2"/>
      <c r="W517" s="2"/>
      <c r="X517" s="2"/>
      <c r="Y517" s="2"/>
      <c r="Z517" s="2"/>
    </row>
    <row r="518" spans="1:26" ht="15.75" customHeight="1">
      <c r="A518" s="17"/>
      <c r="B518" s="18"/>
      <c r="C518" s="19"/>
      <c r="D518" s="55"/>
      <c r="E518" s="55"/>
      <c r="F518" s="56"/>
      <c r="G518" s="57" t="str">
        <f>IF(ISBLANK(C518),"",
   IFERROR(
      IF(
         INDEX(DB_materiali!C$2:C$5000,
               MATCH(C518, DB_materiali!A$2:A$5000, 0)
         )="FALSE",
         "N",
         "Y"
      ),
   "")
)</f>
        <v/>
      </c>
      <c r="H518" s="20"/>
      <c r="I518" s="20"/>
      <c r="J518" s="20"/>
      <c r="K518" s="20"/>
      <c r="M518" s="2" t="str">
        <f>IF(ISBLANK(C518),"",IF(IFERROR(VLOOKUP(C518,DB_materiali!$A$2:$A$5000,1,FALSE),"Kļūda artikulā")=C518,"✔",tulkojums!A$42))</f>
        <v/>
      </c>
      <c r="N518" s="2" t="str">
        <f>IF(ISBLANK(C518),"",IF(ISNUMBER(F518)=TRUE,"✔",tulkojums!A$43))</f>
        <v/>
      </c>
      <c r="O518" s="2" t="str">
        <f>IF(ISBLANK(C518),"",IF(G518="Y","✔",IF(G518="X","✔",IF(G518="N","✔",tulkojums!A$44))))</f>
        <v/>
      </c>
      <c r="P518" s="2" t="str">
        <f>IF(ISBLANK(H518),"",IF(INDEX(DB_materiali!$E$2:$E$5000,MATCH($C518,DB_materiali!$A$2:$A$5000,0))&gt;=INDEX(DB_malas!$C$2:$C$5000,MATCH(H518,DB_malas!$A$2:$A$5000,0)),IF(INDEX(DB_materiali!$E$2:$E$5000,MATCH($C518,DB_materiali!$A$2:$A$5000,0))&lt;=INDEX(DB_malas!$D$2:$D$5000,MATCH(H518,DB_malas!$A$2:$A$5000,0)),IF(OR(INDEX(DB_materiali!$B$2:$B$5000,MATCH($C518,DB_materiali!$A$2:$A$5000,0))=INDEX(DB_malas!$B$2:$B$5000,MATCH(H518,DB_malas!$A$2:$A$5000,0)),$H518="ORG"),"✔",tulkojums!$A$38),tulkojums!$A$39),tulkojums!$A$39))</f>
        <v/>
      </c>
      <c r="Q518" s="2" t="str">
        <f>IF(ISBLANK(I518),"",IF(INDEX(DB_materiali!$E$2:$E$5000,MATCH($C518,DB_materiali!$A$2:$A$5000,0))&gt;=INDEX(DB_malas!$C$2:$C$5000,MATCH(I518,DB_malas!$A$2:$A$5000,0)),IF(INDEX(DB_materiali!$E$2:$E$5000,MATCH($C518,DB_materiali!$A$2:$A$5000,0))&lt;=INDEX(DB_malas!$D$2:$D$5000,MATCH(I518,DB_malas!$A$2:$A$5000,0)),IF(OR(INDEX(DB_materiali!$B$2:$B$5000,MATCH($C518,DB_materiali!$A$2:$A$5000,0))=INDEX(DB_malas!$B$2:$B$5000,MATCH(I518,DB_malas!$A$2:$A$5000,0)),$H518="ORG"),"✔",tulkojums!$A$38),tulkojums!$A$39),tulkojums!$A$39))</f>
        <v/>
      </c>
      <c r="R518" s="2" t="str">
        <f>IF(ISBLANK(J518),"",IF(INDEX(DB_materiali!$E$2:$E$5000,MATCH($C518,DB_materiali!$A$2:$A$5000,0))&gt;=INDEX(DB_malas!$C$2:$C$5000,MATCH(J518,DB_malas!$A$2:$A$5000,0)),IF(INDEX(DB_materiali!$E$2:$E$5000,MATCH($C518,DB_materiali!$A$2:$A$5000,0))&lt;=INDEX(DB_malas!$D$2:$D$5000,MATCH(J518,DB_malas!$A$2:$A$5000,0)),IF(INDEX(DB_materiali!$B$2:$B$5000,MATCH($C518,DB_materiali!$A$2:$A$5000,0))=INDEX(DB_malas!$B$2:$B$5000,MATCH(J518,DB_malas!$A$2:$A$5000,0)),"✔",tulkojums!$A$38),tulkojums!$A$39),tulkojums!$A$39))</f>
        <v/>
      </c>
      <c r="S518" s="2" t="str">
        <f>IF(ISBLANK(K518),"",IF(INDEX(DB_materiali!$E$2:$E$5000,MATCH($C518,DB_materiali!$A$2:$A$5000,0))&gt;=INDEX(DB_malas!$C$2:$C$5000,MATCH(K518,DB_malas!$A$2:$A$5000,0)),IF(INDEX(DB_materiali!$E$2:$E$5000,MATCH($C518,DB_materiali!$A$2:$A$5000,0))&lt;=INDEX(DB_malas!$D$2:$D$5000,MATCH(K518,DB_malas!$A$2:$A$5000,0)),IF(INDEX(DB_materiali!$B$2:$B$5000,MATCH($C518,DB_materiali!$A$2:$A$5000,0))=INDEX(DB_malas!$B$2:$B$5000,MATCH(K518,DB_malas!$A$2:$A$5000,0)),"✔",tulkojums!$A$38),tulkojums!$A$39),tulkojums!$A$39))</f>
        <v/>
      </c>
      <c r="T518" s="2"/>
      <c r="U518" s="2"/>
      <c r="V518" s="2"/>
      <c r="W518" s="2"/>
      <c r="X518" s="2"/>
      <c r="Y518" s="2"/>
      <c r="Z518" s="2"/>
    </row>
    <row r="519" spans="1:26" ht="15.75" customHeight="1">
      <c r="A519" s="17"/>
      <c r="B519" s="18"/>
      <c r="C519" s="19"/>
      <c r="D519" s="55"/>
      <c r="E519" s="55"/>
      <c r="F519" s="56"/>
      <c r="G519" s="57" t="str">
        <f>IF(ISBLANK(C519),"",
   IFERROR(
      IF(
         INDEX(DB_materiali!C$2:C$5000,
               MATCH(C519, DB_materiali!A$2:A$5000, 0)
         )="FALSE",
         "N",
         "Y"
      ),
   "")
)</f>
        <v/>
      </c>
      <c r="H519" s="20"/>
      <c r="I519" s="20"/>
      <c r="J519" s="20"/>
      <c r="K519" s="20"/>
      <c r="M519" s="2" t="str">
        <f>IF(ISBLANK(C519),"",IF(IFERROR(VLOOKUP(C519,DB_materiali!$A$2:$A$5000,1,FALSE),"Kļūda artikulā")=C519,"✔",tulkojums!A$42))</f>
        <v/>
      </c>
      <c r="N519" s="2" t="str">
        <f>IF(ISBLANK(C519),"",IF(ISNUMBER(F519)=TRUE,"✔",tulkojums!A$43))</f>
        <v/>
      </c>
      <c r="O519" s="2" t="str">
        <f>IF(ISBLANK(C519),"",IF(G519="Y","✔",IF(G519="X","✔",IF(G519="N","✔",tulkojums!A$44))))</f>
        <v/>
      </c>
      <c r="P519" s="2" t="str">
        <f>IF(ISBLANK(H519),"",IF(INDEX(DB_materiali!$E$2:$E$5000,MATCH($C519,DB_materiali!$A$2:$A$5000,0))&gt;=INDEX(DB_malas!$C$2:$C$5000,MATCH(H519,DB_malas!$A$2:$A$5000,0)),IF(INDEX(DB_materiali!$E$2:$E$5000,MATCH($C519,DB_materiali!$A$2:$A$5000,0))&lt;=INDEX(DB_malas!$D$2:$D$5000,MATCH(H519,DB_malas!$A$2:$A$5000,0)),IF(OR(INDEX(DB_materiali!$B$2:$B$5000,MATCH($C519,DB_materiali!$A$2:$A$5000,0))=INDEX(DB_malas!$B$2:$B$5000,MATCH(H519,DB_malas!$A$2:$A$5000,0)),$H519="ORG"),"✔",tulkojums!$A$38),tulkojums!$A$39),tulkojums!$A$39))</f>
        <v/>
      </c>
      <c r="Q519" s="2" t="str">
        <f>IF(ISBLANK(I519),"",IF(INDEX(DB_materiali!$E$2:$E$5000,MATCH($C519,DB_materiali!$A$2:$A$5000,0))&gt;=INDEX(DB_malas!$C$2:$C$5000,MATCH(I519,DB_malas!$A$2:$A$5000,0)),IF(INDEX(DB_materiali!$E$2:$E$5000,MATCH($C519,DB_materiali!$A$2:$A$5000,0))&lt;=INDEX(DB_malas!$D$2:$D$5000,MATCH(I519,DB_malas!$A$2:$A$5000,0)),IF(OR(INDEX(DB_materiali!$B$2:$B$5000,MATCH($C519,DB_materiali!$A$2:$A$5000,0))=INDEX(DB_malas!$B$2:$B$5000,MATCH(I519,DB_malas!$A$2:$A$5000,0)),$H519="ORG"),"✔",tulkojums!$A$38),tulkojums!$A$39),tulkojums!$A$39))</f>
        <v/>
      </c>
      <c r="R519" s="2" t="str">
        <f>IF(ISBLANK(J519),"",IF(INDEX(DB_materiali!$E$2:$E$5000,MATCH($C519,DB_materiali!$A$2:$A$5000,0))&gt;=INDEX(DB_malas!$C$2:$C$5000,MATCH(J519,DB_malas!$A$2:$A$5000,0)),IF(INDEX(DB_materiali!$E$2:$E$5000,MATCH($C519,DB_materiali!$A$2:$A$5000,0))&lt;=INDEX(DB_malas!$D$2:$D$5000,MATCH(J519,DB_malas!$A$2:$A$5000,0)),IF(INDEX(DB_materiali!$B$2:$B$5000,MATCH($C519,DB_materiali!$A$2:$A$5000,0))=INDEX(DB_malas!$B$2:$B$5000,MATCH(J519,DB_malas!$A$2:$A$5000,0)),"✔",tulkojums!$A$38),tulkojums!$A$39),tulkojums!$A$39))</f>
        <v/>
      </c>
      <c r="S519" s="2" t="str">
        <f>IF(ISBLANK(K519),"",IF(INDEX(DB_materiali!$E$2:$E$5000,MATCH($C519,DB_materiali!$A$2:$A$5000,0))&gt;=INDEX(DB_malas!$C$2:$C$5000,MATCH(K519,DB_malas!$A$2:$A$5000,0)),IF(INDEX(DB_materiali!$E$2:$E$5000,MATCH($C519,DB_materiali!$A$2:$A$5000,0))&lt;=INDEX(DB_malas!$D$2:$D$5000,MATCH(K519,DB_malas!$A$2:$A$5000,0)),IF(INDEX(DB_materiali!$B$2:$B$5000,MATCH($C519,DB_materiali!$A$2:$A$5000,0))=INDEX(DB_malas!$B$2:$B$5000,MATCH(K519,DB_malas!$A$2:$A$5000,0)),"✔",tulkojums!$A$38),tulkojums!$A$39),tulkojums!$A$39))</f>
        <v/>
      </c>
      <c r="T519" s="2"/>
      <c r="U519" s="2"/>
      <c r="V519" s="2"/>
      <c r="W519" s="2"/>
      <c r="X519" s="2"/>
      <c r="Y519" s="2"/>
      <c r="Z519" s="2"/>
    </row>
    <row r="520" spans="1:26" ht="15.75" customHeight="1">
      <c r="A520" s="17"/>
      <c r="B520" s="18"/>
      <c r="C520" s="19"/>
      <c r="D520" s="55"/>
      <c r="E520" s="55"/>
      <c r="F520" s="56"/>
      <c r="G520" s="57" t="str">
        <f>IF(ISBLANK(C520),"",
   IFERROR(
      IF(
         INDEX(DB_materiali!C$2:C$5000,
               MATCH(C520, DB_materiali!A$2:A$5000, 0)
         )="FALSE",
         "N",
         "Y"
      ),
   "")
)</f>
        <v/>
      </c>
      <c r="H520" s="20"/>
      <c r="I520" s="20"/>
      <c r="J520" s="20"/>
      <c r="K520" s="20"/>
      <c r="M520" s="2" t="str">
        <f>IF(ISBLANK(C520),"",IF(IFERROR(VLOOKUP(C520,DB_materiali!$A$2:$A$5000,1,FALSE),"Kļūda artikulā")=C520,"✔",tulkojums!A$42))</f>
        <v/>
      </c>
      <c r="N520" s="2" t="str">
        <f>IF(ISBLANK(C520),"",IF(ISNUMBER(F520)=TRUE,"✔",tulkojums!A$43))</f>
        <v/>
      </c>
      <c r="O520" s="2" t="str">
        <f>IF(ISBLANK(C520),"",IF(G520="Y","✔",IF(G520="X","✔",IF(G520="N","✔",tulkojums!A$44))))</f>
        <v/>
      </c>
      <c r="P520" s="2" t="str">
        <f>IF(ISBLANK(H520),"",IF(INDEX(DB_materiali!$E$2:$E$5000,MATCH($C520,DB_materiali!$A$2:$A$5000,0))&gt;=INDEX(DB_malas!$C$2:$C$5000,MATCH(H520,DB_malas!$A$2:$A$5000,0)),IF(INDEX(DB_materiali!$E$2:$E$5000,MATCH($C520,DB_materiali!$A$2:$A$5000,0))&lt;=INDEX(DB_malas!$D$2:$D$5000,MATCH(H520,DB_malas!$A$2:$A$5000,0)),IF(OR(INDEX(DB_materiali!$B$2:$B$5000,MATCH($C520,DB_materiali!$A$2:$A$5000,0))=INDEX(DB_malas!$B$2:$B$5000,MATCH(H520,DB_malas!$A$2:$A$5000,0)),$H520="ORG"),"✔",tulkojums!$A$38),tulkojums!$A$39),tulkojums!$A$39))</f>
        <v/>
      </c>
      <c r="Q520" s="2" t="str">
        <f>IF(ISBLANK(I520),"",IF(INDEX(DB_materiali!$E$2:$E$5000,MATCH($C520,DB_materiali!$A$2:$A$5000,0))&gt;=INDEX(DB_malas!$C$2:$C$5000,MATCH(I520,DB_malas!$A$2:$A$5000,0)),IF(INDEX(DB_materiali!$E$2:$E$5000,MATCH($C520,DB_materiali!$A$2:$A$5000,0))&lt;=INDEX(DB_malas!$D$2:$D$5000,MATCH(I520,DB_malas!$A$2:$A$5000,0)),IF(OR(INDEX(DB_materiali!$B$2:$B$5000,MATCH($C520,DB_materiali!$A$2:$A$5000,0))=INDEX(DB_malas!$B$2:$B$5000,MATCH(I520,DB_malas!$A$2:$A$5000,0)),$H520="ORG"),"✔",tulkojums!$A$38),tulkojums!$A$39),tulkojums!$A$39))</f>
        <v/>
      </c>
      <c r="R520" s="2" t="str">
        <f>IF(ISBLANK(J520),"",IF(INDEX(DB_materiali!$E$2:$E$5000,MATCH($C520,DB_materiali!$A$2:$A$5000,0))&gt;=INDEX(DB_malas!$C$2:$C$5000,MATCH(J520,DB_malas!$A$2:$A$5000,0)),IF(INDEX(DB_materiali!$E$2:$E$5000,MATCH($C520,DB_materiali!$A$2:$A$5000,0))&lt;=INDEX(DB_malas!$D$2:$D$5000,MATCH(J520,DB_malas!$A$2:$A$5000,0)),IF(INDEX(DB_materiali!$B$2:$B$5000,MATCH($C520,DB_materiali!$A$2:$A$5000,0))=INDEX(DB_malas!$B$2:$B$5000,MATCH(J520,DB_malas!$A$2:$A$5000,0)),"✔",tulkojums!$A$38),tulkojums!$A$39),tulkojums!$A$39))</f>
        <v/>
      </c>
      <c r="S520" s="2" t="str">
        <f>IF(ISBLANK(K520),"",IF(INDEX(DB_materiali!$E$2:$E$5000,MATCH($C520,DB_materiali!$A$2:$A$5000,0))&gt;=INDEX(DB_malas!$C$2:$C$5000,MATCH(K520,DB_malas!$A$2:$A$5000,0)),IF(INDEX(DB_materiali!$E$2:$E$5000,MATCH($C520,DB_materiali!$A$2:$A$5000,0))&lt;=INDEX(DB_malas!$D$2:$D$5000,MATCH(K520,DB_malas!$A$2:$A$5000,0)),IF(INDEX(DB_materiali!$B$2:$B$5000,MATCH($C520,DB_materiali!$A$2:$A$5000,0))=INDEX(DB_malas!$B$2:$B$5000,MATCH(K520,DB_malas!$A$2:$A$5000,0)),"✔",tulkojums!$A$38),tulkojums!$A$39),tulkojums!$A$39))</f>
        <v/>
      </c>
      <c r="T520" s="2"/>
      <c r="U520" s="2"/>
      <c r="V520" s="2"/>
      <c r="W520" s="2"/>
      <c r="X520" s="2"/>
      <c r="Y520" s="2"/>
      <c r="Z520" s="2"/>
    </row>
    <row r="521" spans="1:26" ht="15.75" customHeight="1">
      <c r="A521" s="17"/>
      <c r="B521" s="18"/>
      <c r="C521" s="19"/>
      <c r="D521" s="55"/>
      <c r="E521" s="55"/>
      <c r="F521" s="56"/>
      <c r="G521" s="57" t="str">
        <f>IF(ISBLANK(C521),"",
   IFERROR(
      IF(
         INDEX(DB_materiali!C$2:C$5000,
               MATCH(C521, DB_materiali!A$2:A$5000, 0)
         )="FALSE",
         "N",
         "Y"
      ),
   "")
)</f>
        <v/>
      </c>
      <c r="H521" s="20"/>
      <c r="I521" s="20"/>
      <c r="J521" s="20"/>
      <c r="K521" s="20"/>
      <c r="M521" s="2" t="str">
        <f>IF(ISBLANK(C521),"",IF(IFERROR(VLOOKUP(C521,DB_materiali!$A$2:$A$5000,1,FALSE),"Kļūda artikulā")=C521,"✔",tulkojums!A$42))</f>
        <v/>
      </c>
      <c r="N521" s="2" t="str">
        <f>IF(ISBLANK(C521),"",IF(ISNUMBER(F521)=TRUE,"✔",tulkojums!A$43))</f>
        <v/>
      </c>
      <c r="O521" s="2" t="str">
        <f>IF(ISBLANK(C521),"",IF(G521="Y","✔",IF(G521="X","✔",IF(G521="N","✔",tulkojums!A$44))))</f>
        <v/>
      </c>
      <c r="P521" s="2" t="str">
        <f>IF(ISBLANK(H521),"",IF(INDEX(DB_materiali!$E$2:$E$5000,MATCH($C521,DB_materiali!$A$2:$A$5000,0))&gt;=INDEX(DB_malas!$C$2:$C$5000,MATCH(H521,DB_malas!$A$2:$A$5000,0)),IF(INDEX(DB_materiali!$E$2:$E$5000,MATCH($C521,DB_materiali!$A$2:$A$5000,0))&lt;=INDEX(DB_malas!$D$2:$D$5000,MATCH(H521,DB_malas!$A$2:$A$5000,0)),IF(OR(INDEX(DB_materiali!$B$2:$B$5000,MATCH($C521,DB_materiali!$A$2:$A$5000,0))=INDEX(DB_malas!$B$2:$B$5000,MATCH(H521,DB_malas!$A$2:$A$5000,0)),$H521="ORG"),"✔",tulkojums!$A$38),tulkojums!$A$39),tulkojums!$A$39))</f>
        <v/>
      </c>
      <c r="Q521" s="2" t="str">
        <f>IF(ISBLANK(I521),"",IF(INDEX(DB_materiali!$E$2:$E$5000,MATCH($C521,DB_materiali!$A$2:$A$5000,0))&gt;=INDEX(DB_malas!$C$2:$C$5000,MATCH(I521,DB_malas!$A$2:$A$5000,0)),IF(INDEX(DB_materiali!$E$2:$E$5000,MATCH($C521,DB_materiali!$A$2:$A$5000,0))&lt;=INDEX(DB_malas!$D$2:$D$5000,MATCH(I521,DB_malas!$A$2:$A$5000,0)),IF(OR(INDEX(DB_materiali!$B$2:$B$5000,MATCH($C521,DB_materiali!$A$2:$A$5000,0))=INDEX(DB_malas!$B$2:$B$5000,MATCH(I521,DB_malas!$A$2:$A$5000,0)),$H521="ORG"),"✔",tulkojums!$A$38),tulkojums!$A$39),tulkojums!$A$39))</f>
        <v/>
      </c>
      <c r="R521" s="2" t="str">
        <f>IF(ISBLANK(J521),"",IF(INDEX(DB_materiali!$E$2:$E$5000,MATCH($C521,DB_materiali!$A$2:$A$5000,0))&gt;=INDEX(DB_malas!$C$2:$C$5000,MATCH(J521,DB_malas!$A$2:$A$5000,0)),IF(INDEX(DB_materiali!$E$2:$E$5000,MATCH($C521,DB_materiali!$A$2:$A$5000,0))&lt;=INDEX(DB_malas!$D$2:$D$5000,MATCH(J521,DB_malas!$A$2:$A$5000,0)),IF(INDEX(DB_materiali!$B$2:$B$5000,MATCH($C521,DB_materiali!$A$2:$A$5000,0))=INDEX(DB_malas!$B$2:$B$5000,MATCH(J521,DB_malas!$A$2:$A$5000,0)),"✔",tulkojums!$A$38),tulkojums!$A$39),tulkojums!$A$39))</f>
        <v/>
      </c>
      <c r="S521" s="2" t="str">
        <f>IF(ISBLANK(K521),"",IF(INDEX(DB_materiali!$E$2:$E$5000,MATCH($C521,DB_materiali!$A$2:$A$5000,0))&gt;=INDEX(DB_malas!$C$2:$C$5000,MATCH(K521,DB_malas!$A$2:$A$5000,0)),IF(INDEX(DB_materiali!$E$2:$E$5000,MATCH($C521,DB_materiali!$A$2:$A$5000,0))&lt;=INDEX(DB_malas!$D$2:$D$5000,MATCH(K521,DB_malas!$A$2:$A$5000,0)),IF(INDEX(DB_materiali!$B$2:$B$5000,MATCH($C521,DB_materiali!$A$2:$A$5000,0))=INDEX(DB_malas!$B$2:$B$5000,MATCH(K521,DB_malas!$A$2:$A$5000,0)),"✔",tulkojums!$A$38),tulkojums!$A$39),tulkojums!$A$39))</f>
        <v/>
      </c>
      <c r="T521" s="2"/>
      <c r="U521" s="2"/>
      <c r="V521" s="2"/>
      <c r="W521" s="2"/>
      <c r="X521" s="2"/>
      <c r="Y521" s="2"/>
      <c r="Z521" s="2"/>
    </row>
    <row r="522" spans="1:26" ht="15.75" customHeight="1">
      <c r="A522" s="17"/>
      <c r="B522" s="18"/>
      <c r="C522" s="19"/>
      <c r="D522" s="55"/>
      <c r="E522" s="55"/>
      <c r="F522" s="56"/>
      <c r="G522" s="57" t="str">
        <f>IF(ISBLANK(C522),"",
   IFERROR(
      IF(
         INDEX(DB_materiali!C$2:C$5000,
               MATCH(C522, DB_materiali!A$2:A$5000, 0)
         )="FALSE",
         "N",
         "Y"
      ),
   "")
)</f>
        <v/>
      </c>
      <c r="H522" s="20"/>
      <c r="I522" s="20"/>
      <c r="J522" s="20"/>
      <c r="K522" s="20"/>
      <c r="M522" s="2" t="str">
        <f>IF(ISBLANK(C522),"",IF(IFERROR(VLOOKUP(C522,DB_materiali!$A$2:$A$5000,1,FALSE),"Kļūda artikulā")=C522,"✔",tulkojums!A$42))</f>
        <v/>
      </c>
      <c r="N522" s="2" t="str">
        <f>IF(ISBLANK(C522),"",IF(ISNUMBER(F522)=TRUE,"✔",tulkojums!A$43))</f>
        <v/>
      </c>
      <c r="O522" s="2" t="str">
        <f>IF(ISBLANK(C522),"",IF(G522="Y","✔",IF(G522="X","✔",IF(G522="N","✔",tulkojums!A$44))))</f>
        <v/>
      </c>
      <c r="P522" s="2" t="str">
        <f>IF(ISBLANK(H522),"",IF(INDEX(DB_materiali!$E$2:$E$5000,MATCH($C522,DB_materiali!$A$2:$A$5000,0))&gt;=INDEX(DB_malas!$C$2:$C$5000,MATCH(H522,DB_malas!$A$2:$A$5000,0)),IF(INDEX(DB_materiali!$E$2:$E$5000,MATCH($C522,DB_materiali!$A$2:$A$5000,0))&lt;=INDEX(DB_malas!$D$2:$D$5000,MATCH(H522,DB_malas!$A$2:$A$5000,0)),IF(OR(INDEX(DB_materiali!$B$2:$B$5000,MATCH($C522,DB_materiali!$A$2:$A$5000,0))=INDEX(DB_malas!$B$2:$B$5000,MATCH(H522,DB_malas!$A$2:$A$5000,0)),$H522="ORG"),"✔",tulkojums!$A$38),tulkojums!$A$39),tulkojums!$A$39))</f>
        <v/>
      </c>
      <c r="Q522" s="2" t="str">
        <f>IF(ISBLANK(I522),"",IF(INDEX(DB_materiali!$E$2:$E$5000,MATCH($C522,DB_materiali!$A$2:$A$5000,0))&gt;=INDEX(DB_malas!$C$2:$C$5000,MATCH(I522,DB_malas!$A$2:$A$5000,0)),IF(INDEX(DB_materiali!$E$2:$E$5000,MATCH($C522,DB_materiali!$A$2:$A$5000,0))&lt;=INDEX(DB_malas!$D$2:$D$5000,MATCH(I522,DB_malas!$A$2:$A$5000,0)),IF(OR(INDEX(DB_materiali!$B$2:$B$5000,MATCH($C522,DB_materiali!$A$2:$A$5000,0))=INDEX(DB_malas!$B$2:$B$5000,MATCH(I522,DB_malas!$A$2:$A$5000,0)),$H522="ORG"),"✔",tulkojums!$A$38),tulkojums!$A$39),tulkojums!$A$39))</f>
        <v/>
      </c>
      <c r="R522" s="2" t="str">
        <f>IF(ISBLANK(J522),"",IF(INDEX(DB_materiali!$E$2:$E$5000,MATCH($C522,DB_materiali!$A$2:$A$5000,0))&gt;=INDEX(DB_malas!$C$2:$C$5000,MATCH(J522,DB_malas!$A$2:$A$5000,0)),IF(INDEX(DB_materiali!$E$2:$E$5000,MATCH($C522,DB_materiali!$A$2:$A$5000,0))&lt;=INDEX(DB_malas!$D$2:$D$5000,MATCH(J522,DB_malas!$A$2:$A$5000,0)),IF(INDEX(DB_materiali!$B$2:$B$5000,MATCH($C522,DB_materiali!$A$2:$A$5000,0))=INDEX(DB_malas!$B$2:$B$5000,MATCH(J522,DB_malas!$A$2:$A$5000,0)),"✔",tulkojums!$A$38),tulkojums!$A$39),tulkojums!$A$39))</f>
        <v/>
      </c>
      <c r="S522" s="2" t="str">
        <f>IF(ISBLANK(K522),"",IF(INDEX(DB_materiali!$E$2:$E$5000,MATCH($C522,DB_materiali!$A$2:$A$5000,0))&gt;=INDEX(DB_malas!$C$2:$C$5000,MATCH(K522,DB_malas!$A$2:$A$5000,0)),IF(INDEX(DB_materiali!$E$2:$E$5000,MATCH($C522,DB_materiali!$A$2:$A$5000,0))&lt;=INDEX(DB_malas!$D$2:$D$5000,MATCH(K522,DB_malas!$A$2:$A$5000,0)),IF(INDEX(DB_materiali!$B$2:$B$5000,MATCH($C522,DB_materiali!$A$2:$A$5000,0))=INDEX(DB_malas!$B$2:$B$5000,MATCH(K522,DB_malas!$A$2:$A$5000,0)),"✔",tulkojums!$A$38),tulkojums!$A$39),tulkojums!$A$39))</f>
        <v/>
      </c>
      <c r="T522" s="2"/>
      <c r="U522" s="2"/>
      <c r="V522" s="2"/>
      <c r="W522" s="2"/>
      <c r="X522" s="2"/>
      <c r="Y522" s="2"/>
      <c r="Z522" s="2"/>
    </row>
    <row r="523" spans="1:26" ht="15.75" customHeight="1">
      <c r="A523" s="17"/>
      <c r="B523" s="18"/>
      <c r="C523" s="19"/>
      <c r="D523" s="55"/>
      <c r="E523" s="55"/>
      <c r="F523" s="56"/>
      <c r="G523" s="57" t="str">
        <f>IF(ISBLANK(C523),"",
   IFERROR(
      IF(
         INDEX(DB_materiali!C$2:C$5000,
               MATCH(C523, DB_materiali!A$2:A$5000, 0)
         )="FALSE",
         "N",
         "Y"
      ),
   "")
)</f>
        <v/>
      </c>
      <c r="H523" s="20"/>
      <c r="I523" s="20"/>
      <c r="J523" s="20"/>
      <c r="K523" s="20"/>
      <c r="M523" s="2" t="str">
        <f>IF(ISBLANK(C523),"",IF(IFERROR(VLOOKUP(C523,DB_materiali!$A$2:$A$5000,1,FALSE),"Kļūda artikulā")=C523,"✔",tulkojums!A$42))</f>
        <v/>
      </c>
      <c r="N523" s="2" t="str">
        <f>IF(ISBLANK(C523),"",IF(ISNUMBER(F523)=TRUE,"✔",tulkojums!A$43))</f>
        <v/>
      </c>
      <c r="O523" s="2" t="str">
        <f>IF(ISBLANK(C523),"",IF(G523="Y","✔",IF(G523="X","✔",IF(G523="N","✔",tulkojums!A$44))))</f>
        <v/>
      </c>
      <c r="P523" s="2" t="str">
        <f>IF(ISBLANK(H523),"",IF(INDEX(DB_materiali!$E$2:$E$5000,MATCH($C523,DB_materiali!$A$2:$A$5000,0))&gt;=INDEX(DB_malas!$C$2:$C$5000,MATCH(H523,DB_malas!$A$2:$A$5000,0)),IF(INDEX(DB_materiali!$E$2:$E$5000,MATCH($C523,DB_materiali!$A$2:$A$5000,0))&lt;=INDEX(DB_malas!$D$2:$D$5000,MATCH(H523,DB_malas!$A$2:$A$5000,0)),IF(OR(INDEX(DB_materiali!$B$2:$B$5000,MATCH($C523,DB_materiali!$A$2:$A$5000,0))=INDEX(DB_malas!$B$2:$B$5000,MATCH(H523,DB_malas!$A$2:$A$5000,0)),$H523="ORG"),"✔",tulkojums!$A$38),tulkojums!$A$39),tulkojums!$A$39))</f>
        <v/>
      </c>
      <c r="Q523" s="2" t="str">
        <f>IF(ISBLANK(I523),"",IF(INDEX(DB_materiali!$E$2:$E$5000,MATCH($C523,DB_materiali!$A$2:$A$5000,0))&gt;=INDEX(DB_malas!$C$2:$C$5000,MATCH(I523,DB_malas!$A$2:$A$5000,0)),IF(INDEX(DB_materiali!$E$2:$E$5000,MATCH($C523,DB_materiali!$A$2:$A$5000,0))&lt;=INDEX(DB_malas!$D$2:$D$5000,MATCH(I523,DB_malas!$A$2:$A$5000,0)),IF(OR(INDEX(DB_materiali!$B$2:$B$5000,MATCH($C523,DB_materiali!$A$2:$A$5000,0))=INDEX(DB_malas!$B$2:$B$5000,MATCH(I523,DB_malas!$A$2:$A$5000,0)),$H523="ORG"),"✔",tulkojums!$A$38),tulkojums!$A$39),tulkojums!$A$39))</f>
        <v/>
      </c>
      <c r="R523" s="2" t="str">
        <f>IF(ISBLANK(J523),"",IF(INDEX(DB_materiali!$E$2:$E$5000,MATCH($C523,DB_materiali!$A$2:$A$5000,0))&gt;=INDEX(DB_malas!$C$2:$C$5000,MATCH(J523,DB_malas!$A$2:$A$5000,0)),IF(INDEX(DB_materiali!$E$2:$E$5000,MATCH($C523,DB_materiali!$A$2:$A$5000,0))&lt;=INDEX(DB_malas!$D$2:$D$5000,MATCH(J523,DB_malas!$A$2:$A$5000,0)),IF(INDEX(DB_materiali!$B$2:$B$5000,MATCH($C523,DB_materiali!$A$2:$A$5000,0))=INDEX(DB_malas!$B$2:$B$5000,MATCH(J523,DB_malas!$A$2:$A$5000,0)),"✔",tulkojums!$A$38),tulkojums!$A$39),tulkojums!$A$39))</f>
        <v/>
      </c>
      <c r="S523" s="2" t="str">
        <f>IF(ISBLANK(K523),"",IF(INDEX(DB_materiali!$E$2:$E$5000,MATCH($C523,DB_materiali!$A$2:$A$5000,0))&gt;=INDEX(DB_malas!$C$2:$C$5000,MATCH(K523,DB_malas!$A$2:$A$5000,0)),IF(INDEX(DB_materiali!$E$2:$E$5000,MATCH($C523,DB_materiali!$A$2:$A$5000,0))&lt;=INDEX(DB_malas!$D$2:$D$5000,MATCH(K523,DB_malas!$A$2:$A$5000,0)),IF(INDEX(DB_materiali!$B$2:$B$5000,MATCH($C523,DB_materiali!$A$2:$A$5000,0))=INDEX(DB_malas!$B$2:$B$5000,MATCH(K523,DB_malas!$A$2:$A$5000,0)),"✔",tulkojums!$A$38),tulkojums!$A$39),tulkojums!$A$39))</f>
        <v/>
      </c>
      <c r="T523" s="2"/>
      <c r="U523" s="2"/>
      <c r="V523" s="2"/>
      <c r="W523" s="2"/>
      <c r="X523" s="2"/>
      <c r="Y523" s="2"/>
      <c r="Z523" s="2"/>
    </row>
    <row r="524" spans="1:26" ht="15.75" customHeight="1">
      <c r="A524" s="17"/>
      <c r="B524" s="18"/>
      <c r="C524" s="19"/>
      <c r="D524" s="55"/>
      <c r="E524" s="55"/>
      <c r="F524" s="56"/>
      <c r="G524" s="57" t="str">
        <f>IF(ISBLANK(C524),"",
   IFERROR(
      IF(
         INDEX(DB_materiali!C$2:C$5000,
               MATCH(C524, DB_materiali!A$2:A$5000, 0)
         )="FALSE",
         "N",
         "Y"
      ),
   "")
)</f>
        <v/>
      </c>
      <c r="H524" s="20"/>
      <c r="I524" s="20"/>
      <c r="J524" s="20"/>
      <c r="K524" s="20"/>
      <c r="M524" s="2" t="str">
        <f>IF(ISBLANK(C524),"",IF(IFERROR(VLOOKUP(C524,DB_materiali!$A$2:$A$5000,1,FALSE),"Kļūda artikulā")=C524,"✔",tulkojums!A$42))</f>
        <v/>
      </c>
      <c r="N524" s="2" t="str">
        <f>IF(ISBLANK(C524),"",IF(ISNUMBER(F524)=TRUE,"✔",tulkojums!A$43))</f>
        <v/>
      </c>
      <c r="O524" s="2" t="str">
        <f>IF(ISBLANK(C524),"",IF(G524="Y","✔",IF(G524="X","✔",IF(G524="N","✔",tulkojums!A$44))))</f>
        <v/>
      </c>
      <c r="P524" s="2" t="str">
        <f>IF(ISBLANK(H524),"",IF(INDEX(DB_materiali!$E$2:$E$5000,MATCH($C524,DB_materiali!$A$2:$A$5000,0))&gt;=INDEX(DB_malas!$C$2:$C$5000,MATCH(H524,DB_malas!$A$2:$A$5000,0)),IF(INDEX(DB_materiali!$E$2:$E$5000,MATCH($C524,DB_materiali!$A$2:$A$5000,0))&lt;=INDEX(DB_malas!$D$2:$D$5000,MATCH(H524,DB_malas!$A$2:$A$5000,0)),IF(OR(INDEX(DB_materiali!$B$2:$B$5000,MATCH($C524,DB_materiali!$A$2:$A$5000,0))=INDEX(DB_malas!$B$2:$B$5000,MATCH(H524,DB_malas!$A$2:$A$5000,0)),$H524="ORG"),"✔",tulkojums!$A$38),tulkojums!$A$39),tulkojums!$A$39))</f>
        <v/>
      </c>
      <c r="Q524" s="2" t="str">
        <f>IF(ISBLANK(I524),"",IF(INDEX(DB_materiali!$E$2:$E$5000,MATCH($C524,DB_materiali!$A$2:$A$5000,0))&gt;=INDEX(DB_malas!$C$2:$C$5000,MATCH(I524,DB_malas!$A$2:$A$5000,0)),IF(INDEX(DB_materiali!$E$2:$E$5000,MATCH($C524,DB_materiali!$A$2:$A$5000,0))&lt;=INDEX(DB_malas!$D$2:$D$5000,MATCH(I524,DB_malas!$A$2:$A$5000,0)),IF(OR(INDEX(DB_materiali!$B$2:$B$5000,MATCH($C524,DB_materiali!$A$2:$A$5000,0))=INDEX(DB_malas!$B$2:$B$5000,MATCH(I524,DB_malas!$A$2:$A$5000,0)),$H524="ORG"),"✔",tulkojums!$A$38),tulkojums!$A$39),tulkojums!$A$39))</f>
        <v/>
      </c>
      <c r="R524" s="2" t="str">
        <f>IF(ISBLANK(J524),"",IF(INDEX(DB_materiali!$E$2:$E$5000,MATCH($C524,DB_materiali!$A$2:$A$5000,0))&gt;=INDEX(DB_malas!$C$2:$C$5000,MATCH(J524,DB_malas!$A$2:$A$5000,0)),IF(INDEX(DB_materiali!$E$2:$E$5000,MATCH($C524,DB_materiali!$A$2:$A$5000,0))&lt;=INDEX(DB_malas!$D$2:$D$5000,MATCH(J524,DB_malas!$A$2:$A$5000,0)),IF(INDEX(DB_materiali!$B$2:$B$5000,MATCH($C524,DB_materiali!$A$2:$A$5000,0))=INDEX(DB_malas!$B$2:$B$5000,MATCH(J524,DB_malas!$A$2:$A$5000,0)),"✔",tulkojums!$A$38),tulkojums!$A$39),tulkojums!$A$39))</f>
        <v/>
      </c>
      <c r="S524" s="2" t="str">
        <f>IF(ISBLANK(K524),"",IF(INDEX(DB_materiali!$E$2:$E$5000,MATCH($C524,DB_materiali!$A$2:$A$5000,0))&gt;=INDEX(DB_malas!$C$2:$C$5000,MATCH(K524,DB_malas!$A$2:$A$5000,0)),IF(INDEX(DB_materiali!$E$2:$E$5000,MATCH($C524,DB_materiali!$A$2:$A$5000,0))&lt;=INDEX(DB_malas!$D$2:$D$5000,MATCH(K524,DB_malas!$A$2:$A$5000,0)),IF(INDEX(DB_materiali!$B$2:$B$5000,MATCH($C524,DB_materiali!$A$2:$A$5000,0))=INDEX(DB_malas!$B$2:$B$5000,MATCH(K524,DB_malas!$A$2:$A$5000,0)),"✔",tulkojums!$A$38),tulkojums!$A$39),tulkojums!$A$39))</f>
        <v/>
      </c>
      <c r="T524" s="2"/>
      <c r="U524" s="2"/>
      <c r="V524" s="2"/>
      <c r="W524" s="2"/>
      <c r="X524" s="2"/>
      <c r="Y524" s="2"/>
      <c r="Z524" s="2"/>
    </row>
    <row r="525" spans="1:26" ht="15.75" customHeight="1">
      <c r="A525" s="17"/>
      <c r="B525" s="18"/>
      <c r="C525" s="19"/>
      <c r="D525" s="55"/>
      <c r="E525" s="55"/>
      <c r="F525" s="56"/>
      <c r="G525" s="57" t="str">
        <f>IF(ISBLANK(C525),"",
   IFERROR(
      IF(
         INDEX(DB_materiali!C$2:C$5000,
               MATCH(C525, DB_materiali!A$2:A$5000, 0)
         )="FALSE",
         "N",
         "Y"
      ),
   "")
)</f>
        <v/>
      </c>
      <c r="H525" s="20"/>
      <c r="I525" s="20"/>
      <c r="J525" s="20"/>
      <c r="K525" s="20"/>
      <c r="M525" s="2" t="str">
        <f>IF(ISBLANK(C525),"",IF(IFERROR(VLOOKUP(C525,DB_materiali!$A$2:$A$5000,1,FALSE),"Kļūda artikulā")=C525,"✔",tulkojums!A$42))</f>
        <v/>
      </c>
      <c r="N525" s="2" t="str">
        <f>IF(ISBLANK(C525),"",IF(ISNUMBER(F525)=TRUE,"✔",tulkojums!A$43))</f>
        <v/>
      </c>
      <c r="O525" s="2" t="str">
        <f>IF(ISBLANK(C525),"",IF(G525="Y","✔",IF(G525="X","✔",IF(G525="N","✔",tulkojums!A$44))))</f>
        <v/>
      </c>
      <c r="P525" s="2" t="str">
        <f>IF(ISBLANK(H525),"",IF(INDEX(DB_materiali!$E$2:$E$5000,MATCH($C525,DB_materiali!$A$2:$A$5000,0))&gt;=INDEX(DB_malas!$C$2:$C$5000,MATCH(H525,DB_malas!$A$2:$A$5000,0)),IF(INDEX(DB_materiali!$E$2:$E$5000,MATCH($C525,DB_materiali!$A$2:$A$5000,0))&lt;=INDEX(DB_malas!$D$2:$D$5000,MATCH(H525,DB_malas!$A$2:$A$5000,0)),IF(OR(INDEX(DB_materiali!$B$2:$B$5000,MATCH($C525,DB_materiali!$A$2:$A$5000,0))=INDEX(DB_malas!$B$2:$B$5000,MATCH(H525,DB_malas!$A$2:$A$5000,0)),$H525="ORG"),"✔",tulkojums!$A$38),tulkojums!$A$39),tulkojums!$A$39))</f>
        <v/>
      </c>
      <c r="Q525" s="2" t="str">
        <f>IF(ISBLANK(I525),"",IF(INDEX(DB_materiali!$E$2:$E$5000,MATCH($C525,DB_materiali!$A$2:$A$5000,0))&gt;=INDEX(DB_malas!$C$2:$C$5000,MATCH(I525,DB_malas!$A$2:$A$5000,0)),IF(INDEX(DB_materiali!$E$2:$E$5000,MATCH($C525,DB_materiali!$A$2:$A$5000,0))&lt;=INDEX(DB_malas!$D$2:$D$5000,MATCH(I525,DB_malas!$A$2:$A$5000,0)),IF(OR(INDEX(DB_materiali!$B$2:$B$5000,MATCH($C525,DB_materiali!$A$2:$A$5000,0))=INDEX(DB_malas!$B$2:$B$5000,MATCH(I525,DB_malas!$A$2:$A$5000,0)),$H525="ORG"),"✔",tulkojums!$A$38),tulkojums!$A$39),tulkojums!$A$39))</f>
        <v/>
      </c>
      <c r="R525" s="2" t="str">
        <f>IF(ISBLANK(J525),"",IF(INDEX(DB_materiali!$E$2:$E$5000,MATCH($C525,DB_materiali!$A$2:$A$5000,0))&gt;=INDEX(DB_malas!$C$2:$C$5000,MATCH(J525,DB_malas!$A$2:$A$5000,0)),IF(INDEX(DB_materiali!$E$2:$E$5000,MATCH($C525,DB_materiali!$A$2:$A$5000,0))&lt;=INDEX(DB_malas!$D$2:$D$5000,MATCH(J525,DB_malas!$A$2:$A$5000,0)),IF(INDEX(DB_materiali!$B$2:$B$5000,MATCH($C525,DB_materiali!$A$2:$A$5000,0))=INDEX(DB_malas!$B$2:$B$5000,MATCH(J525,DB_malas!$A$2:$A$5000,0)),"✔",tulkojums!$A$38),tulkojums!$A$39),tulkojums!$A$39))</f>
        <v/>
      </c>
      <c r="S525" s="2" t="str">
        <f>IF(ISBLANK(K525),"",IF(INDEX(DB_materiali!$E$2:$E$5000,MATCH($C525,DB_materiali!$A$2:$A$5000,0))&gt;=INDEX(DB_malas!$C$2:$C$5000,MATCH(K525,DB_malas!$A$2:$A$5000,0)),IF(INDEX(DB_materiali!$E$2:$E$5000,MATCH($C525,DB_materiali!$A$2:$A$5000,0))&lt;=INDEX(DB_malas!$D$2:$D$5000,MATCH(K525,DB_malas!$A$2:$A$5000,0)),IF(INDEX(DB_materiali!$B$2:$B$5000,MATCH($C525,DB_materiali!$A$2:$A$5000,0))=INDEX(DB_malas!$B$2:$B$5000,MATCH(K525,DB_malas!$A$2:$A$5000,0)),"✔",tulkojums!$A$38),tulkojums!$A$39),tulkojums!$A$39))</f>
        <v/>
      </c>
      <c r="T525" s="2"/>
      <c r="U525" s="2"/>
      <c r="V525" s="2"/>
      <c r="W525" s="2"/>
      <c r="X525" s="2"/>
      <c r="Y525" s="2"/>
      <c r="Z525" s="2"/>
    </row>
    <row r="526" spans="1:26" ht="15.75" customHeight="1">
      <c r="A526" s="17"/>
      <c r="B526" s="18"/>
      <c r="C526" s="19"/>
      <c r="D526" s="55"/>
      <c r="E526" s="55"/>
      <c r="F526" s="56"/>
      <c r="G526" s="57" t="str">
        <f>IF(ISBLANK(C526),"",
   IFERROR(
      IF(
         INDEX(DB_materiali!C$2:C$5000,
               MATCH(C526, DB_materiali!A$2:A$5000, 0)
         )="FALSE",
         "N",
         "Y"
      ),
   "")
)</f>
        <v/>
      </c>
      <c r="H526" s="20"/>
      <c r="I526" s="20"/>
      <c r="J526" s="20"/>
      <c r="K526" s="20"/>
      <c r="M526" s="2" t="str">
        <f>IF(ISBLANK(C526),"",IF(IFERROR(VLOOKUP(C526,DB_materiali!$A$2:$A$5000,1,FALSE),"Kļūda artikulā")=C526,"✔",tulkojums!A$42))</f>
        <v/>
      </c>
      <c r="N526" s="2" t="str">
        <f>IF(ISBLANK(C526),"",IF(ISNUMBER(F526)=TRUE,"✔",tulkojums!A$43))</f>
        <v/>
      </c>
      <c r="O526" s="2" t="str">
        <f>IF(ISBLANK(C526),"",IF(G526="Y","✔",IF(G526="X","✔",IF(G526="N","✔",tulkojums!A$44))))</f>
        <v/>
      </c>
      <c r="P526" s="2" t="str">
        <f>IF(ISBLANK(H526),"",IF(INDEX(DB_materiali!$E$2:$E$5000,MATCH($C526,DB_materiali!$A$2:$A$5000,0))&gt;=INDEX(DB_malas!$C$2:$C$5000,MATCH(H526,DB_malas!$A$2:$A$5000,0)),IF(INDEX(DB_materiali!$E$2:$E$5000,MATCH($C526,DB_materiali!$A$2:$A$5000,0))&lt;=INDEX(DB_malas!$D$2:$D$5000,MATCH(H526,DB_malas!$A$2:$A$5000,0)),IF(OR(INDEX(DB_materiali!$B$2:$B$5000,MATCH($C526,DB_materiali!$A$2:$A$5000,0))=INDEX(DB_malas!$B$2:$B$5000,MATCH(H526,DB_malas!$A$2:$A$5000,0)),$H526="ORG"),"✔",tulkojums!$A$38),tulkojums!$A$39),tulkojums!$A$39))</f>
        <v/>
      </c>
      <c r="Q526" s="2" t="str">
        <f>IF(ISBLANK(I526),"",IF(INDEX(DB_materiali!$E$2:$E$5000,MATCH($C526,DB_materiali!$A$2:$A$5000,0))&gt;=INDEX(DB_malas!$C$2:$C$5000,MATCH(I526,DB_malas!$A$2:$A$5000,0)),IF(INDEX(DB_materiali!$E$2:$E$5000,MATCH($C526,DB_materiali!$A$2:$A$5000,0))&lt;=INDEX(DB_malas!$D$2:$D$5000,MATCH(I526,DB_malas!$A$2:$A$5000,0)),IF(OR(INDEX(DB_materiali!$B$2:$B$5000,MATCH($C526,DB_materiali!$A$2:$A$5000,0))=INDEX(DB_malas!$B$2:$B$5000,MATCH(I526,DB_malas!$A$2:$A$5000,0)),$H526="ORG"),"✔",tulkojums!$A$38),tulkojums!$A$39),tulkojums!$A$39))</f>
        <v/>
      </c>
      <c r="R526" s="2" t="str">
        <f>IF(ISBLANK(J526),"",IF(INDEX(DB_materiali!$E$2:$E$5000,MATCH($C526,DB_materiali!$A$2:$A$5000,0))&gt;=INDEX(DB_malas!$C$2:$C$5000,MATCH(J526,DB_malas!$A$2:$A$5000,0)),IF(INDEX(DB_materiali!$E$2:$E$5000,MATCH($C526,DB_materiali!$A$2:$A$5000,0))&lt;=INDEX(DB_malas!$D$2:$D$5000,MATCH(J526,DB_malas!$A$2:$A$5000,0)),IF(INDEX(DB_materiali!$B$2:$B$5000,MATCH($C526,DB_materiali!$A$2:$A$5000,0))=INDEX(DB_malas!$B$2:$B$5000,MATCH(J526,DB_malas!$A$2:$A$5000,0)),"✔",tulkojums!$A$38),tulkojums!$A$39),tulkojums!$A$39))</f>
        <v/>
      </c>
      <c r="S526" s="2" t="str">
        <f>IF(ISBLANK(K526),"",IF(INDEX(DB_materiali!$E$2:$E$5000,MATCH($C526,DB_materiali!$A$2:$A$5000,0))&gt;=INDEX(DB_malas!$C$2:$C$5000,MATCH(K526,DB_malas!$A$2:$A$5000,0)),IF(INDEX(DB_materiali!$E$2:$E$5000,MATCH($C526,DB_materiali!$A$2:$A$5000,0))&lt;=INDEX(DB_malas!$D$2:$D$5000,MATCH(K526,DB_malas!$A$2:$A$5000,0)),IF(INDEX(DB_materiali!$B$2:$B$5000,MATCH($C526,DB_materiali!$A$2:$A$5000,0))=INDEX(DB_malas!$B$2:$B$5000,MATCH(K526,DB_malas!$A$2:$A$5000,0)),"✔",tulkojums!$A$38),tulkojums!$A$39),tulkojums!$A$39))</f>
        <v/>
      </c>
      <c r="T526" s="2"/>
      <c r="U526" s="2"/>
      <c r="V526" s="2"/>
      <c r="W526" s="2"/>
      <c r="X526" s="2"/>
      <c r="Y526" s="2"/>
      <c r="Z526" s="2"/>
    </row>
    <row r="527" spans="1:26" ht="15.75" customHeight="1">
      <c r="A527" s="17"/>
      <c r="B527" s="18"/>
      <c r="C527" s="19"/>
      <c r="D527" s="55"/>
      <c r="E527" s="55"/>
      <c r="F527" s="56"/>
      <c r="G527" s="57" t="str">
        <f>IF(ISBLANK(C527),"",
   IFERROR(
      IF(
         INDEX(DB_materiali!C$2:C$5000,
               MATCH(C527, DB_materiali!A$2:A$5000, 0)
         )="FALSE",
         "N",
         "Y"
      ),
   "")
)</f>
        <v/>
      </c>
      <c r="H527" s="20"/>
      <c r="I527" s="20"/>
      <c r="J527" s="20"/>
      <c r="K527" s="20"/>
      <c r="M527" s="2" t="str">
        <f>IF(ISBLANK(C527),"",IF(IFERROR(VLOOKUP(C527,DB_materiali!$A$2:$A$5000,1,FALSE),"Kļūda artikulā")=C527,"✔",tulkojums!A$42))</f>
        <v/>
      </c>
      <c r="N527" s="2" t="str">
        <f>IF(ISBLANK(C527),"",IF(ISNUMBER(F527)=TRUE,"✔",tulkojums!A$43))</f>
        <v/>
      </c>
      <c r="O527" s="2" t="str">
        <f>IF(ISBLANK(C527),"",IF(G527="Y","✔",IF(G527="X","✔",IF(G527="N","✔",tulkojums!A$44))))</f>
        <v/>
      </c>
      <c r="P527" s="2" t="str">
        <f>IF(ISBLANK(H527),"",IF(INDEX(DB_materiali!$E$2:$E$5000,MATCH($C527,DB_materiali!$A$2:$A$5000,0))&gt;=INDEX(DB_malas!$C$2:$C$5000,MATCH(H527,DB_malas!$A$2:$A$5000,0)),IF(INDEX(DB_materiali!$E$2:$E$5000,MATCH($C527,DB_materiali!$A$2:$A$5000,0))&lt;=INDEX(DB_malas!$D$2:$D$5000,MATCH(H527,DB_malas!$A$2:$A$5000,0)),IF(OR(INDEX(DB_materiali!$B$2:$B$5000,MATCH($C527,DB_materiali!$A$2:$A$5000,0))=INDEX(DB_malas!$B$2:$B$5000,MATCH(H527,DB_malas!$A$2:$A$5000,0)),$H527="ORG"),"✔",tulkojums!$A$38),tulkojums!$A$39),tulkojums!$A$39))</f>
        <v/>
      </c>
      <c r="Q527" s="2" t="str">
        <f>IF(ISBLANK(I527),"",IF(INDEX(DB_materiali!$E$2:$E$5000,MATCH($C527,DB_materiali!$A$2:$A$5000,0))&gt;=INDEX(DB_malas!$C$2:$C$5000,MATCH(I527,DB_malas!$A$2:$A$5000,0)),IF(INDEX(DB_materiali!$E$2:$E$5000,MATCH($C527,DB_materiali!$A$2:$A$5000,0))&lt;=INDEX(DB_malas!$D$2:$D$5000,MATCH(I527,DB_malas!$A$2:$A$5000,0)),IF(OR(INDEX(DB_materiali!$B$2:$B$5000,MATCH($C527,DB_materiali!$A$2:$A$5000,0))=INDEX(DB_malas!$B$2:$B$5000,MATCH(I527,DB_malas!$A$2:$A$5000,0)),$H527="ORG"),"✔",tulkojums!$A$38),tulkojums!$A$39),tulkojums!$A$39))</f>
        <v/>
      </c>
      <c r="R527" s="2" t="str">
        <f>IF(ISBLANK(J527),"",IF(INDEX(DB_materiali!$E$2:$E$5000,MATCH($C527,DB_materiali!$A$2:$A$5000,0))&gt;=INDEX(DB_malas!$C$2:$C$5000,MATCH(J527,DB_malas!$A$2:$A$5000,0)),IF(INDEX(DB_materiali!$E$2:$E$5000,MATCH($C527,DB_materiali!$A$2:$A$5000,0))&lt;=INDEX(DB_malas!$D$2:$D$5000,MATCH(J527,DB_malas!$A$2:$A$5000,0)),IF(INDEX(DB_materiali!$B$2:$B$5000,MATCH($C527,DB_materiali!$A$2:$A$5000,0))=INDEX(DB_malas!$B$2:$B$5000,MATCH(J527,DB_malas!$A$2:$A$5000,0)),"✔",tulkojums!$A$38),tulkojums!$A$39),tulkojums!$A$39))</f>
        <v/>
      </c>
      <c r="S527" s="2" t="str">
        <f>IF(ISBLANK(K527),"",IF(INDEX(DB_materiali!$E$2:$E$5000,MATCH($C527,DB_materiali!$A$2:$A$5000,0))&gt;=INDEX(DB_malas!$C$2:$C$5000,MATCH(K527,DB_malas!$A$2:$A$5000,0)),IF(INDEX(DB_materiali!$E$2:$E$5000,MATCH($C527,DB_materiali!$A$2:$A$5000,0))&lt;=INDEX(DB_malas!$D$2:$D$5000,MATCH(K527,DB_malas!$A$2:$A$5000,0)),IF(INDEX(DB_materiali!$B$2:$B$5000,MATCH($C527,DB_materiali!$A$2:$A$5000,0))=INDEX(DB_malas!$B$2:$B$5000,MATCH(K527,DB_malas!$A$2:$A$5000,0)),"✔",tulkojums!$A$38),tulkojums!$A$39),tulkojums!$A$39))</f>
        <v/>
      </c>
      <c r="T527" s="2"/>
      <c r="U527" s="2"/>
      <c r="V527" s="2"/>
      <c r="W527" s="2"/>
      <c r="X527" s="2"/>
      <c r="Y527" s="2"/>
      <c r="Z527" s="2"/>
    </row>
    <row r="528" spans="1:26" ht="15.75" customHeight="1">
      <c r="A528" s="17"/>
      <c r="B528" s="18"/>
      <c r="C528" s="19"/>
      <c r="D528" s="55"/>
      <c r="E528" s="55"/>
      <c r="F528" s="56"/>
      <c r="G528" s="57" t="str">
        <f>IF(ISBLANK(C528),"",
   IFERROR(
      IF(
         INDEX(DB_materiali!C$2:C$5000,
               MATCH(C528, DB_materiali!A$2:A$5000, 0)
         )="FALSE",
         "N",
         "Y"
      ),
   "")
)</f>
        <v/>
      </c>
      <c r="H528" s="20"/>
      <c r="I528" s="20"/>
      <c r="J528" s="20"/>
      <c r="K528" s="20"/>
      <c r="M528" s="2" t="str">
        <f>IF(ISBLANK(C528),"",IF(IFERROR(VLOOKUP(C528,DB_materiali!$A$2:$A$5000,1,FALSE),"Kļūda artikulā")=C528,"✔",tulkojums!A$42))</f>
        <v/>
      </c>
      <c r="N528" s="2" t="str">
        <f>IF(ISBLANK(C528),"",IF(ISNUMBER(F528)=TRUE,"✔",tulkojums!A$43))</f>
        <v/>
      </c>
      <c r="O528" s="2" t="str">
        <f>IF(ISBLANK(C528),"",IF(G528="Y","✔",IF(G528="X","✔",IF(G528="N","✔",tulkojums!A$44))))</f>
        <v/>
      </c>
      <c r="P528" s="2" t="str">
        <f>IF(ISBLANK(H528),"",IF(INDEX(DB_materiali!$E$2:$E$5000,MATCH($C528,DB_materiali!$A$2:$A$5000,0))&gt;=INDEX(DB_malas!$C$2:$C$5000,MATCH(H528,DB_malas!$A$2:$A$5000,0)),IF(INDEX(DB_materiali!$E$2:$E$5000,MATCH($C528,DB_materiali!$A$2:$A$5000,0))&lt;=INDEX(DB_malas!$D$2:$D$5000,MATCH(H528,DB_malas!$A$2:$A$5000,0)),IF(OR(INDEX(DB_materiali!$B$2:$B$5000,MATCH($C528,DB_materiali!$A$2:$A$5000,0))=INDEX(DB_malas!$B$2:$B$5000,MATCH(H528,DB_malas!$A$2:$A$5000,0)),$H528="ORG"),"✔",tulkojums!$A$38),tulkojums!$A$39),tulkojums!$A$39))</f>
        <v/>
      </c>
      <c r="Q528" s="2" t="str">
        <f>IF(ISBLANK(I528),"",IF(INDEX(DB_materiali!$E$2:$E$5000,MATCH($C528,DB_materiali!$A$2:$A$5000,0))&gt;=INDEX(DB_malas!$C$2:$C$5000,MATCH(I528,DB_malas!$A$2:$A$5000,0)),IF(INDEX(DB_materiali!$E$2:$E$5000,MATCH($C528,DB_materiali!$A$2:$A$5000,0))&lt;=INDEX(DB_malas!$D$2:$D$5000,MATCH(I528,DB_malas!$A$2:$A$5000,0)),IF(OR(INDEX(DB_materiali!$B$2:$B$5000,MATCH($C528,DB_materiali!$A$2:$A$5000,0))=INDEX(DB_malas!$B$2:$B$5000,MATCH(I528,DB_malas!$A$2:$A$5000,0)),$H528="ORG"),"✔",tulkojums!$A$38),tulkojums!$A$39),tulkojums!$A$39))</f>
        <v/>
      </c>
      <c r="R528" s="2" t="str">
        <f>IF(ISBLANK(J528),"",IF(INDEX(DB_materiali!$E$2:$E$5000,MATCH($C528,DB_materiali!$A$2:$A$5000,0))&gt;=INDEX(DB_malas!$C$2:$C$5000,MATCH(J528,DB_malas!$A$2:$A$5000,0)),IF(INDEX(DB_materiali!$E$2:$E$5000,MATCH($C528,DB_materiali!$A$2:$A$5000,0))&lt;=INDEX(DB_malas!$D$2:$D$5000,MATCH(J528,DB_malas!$A$2:$A$5000,0)),IF(INDEX(DB_materiali!$B$2:$B$5000,MATCH($C528,DB_materiali!$A$2:$A$5000,0))=INDEX(DB_malas!$B$2:$B$5000,MATCH(J528,DB_malas!$A$2:$A$5000,0)),"✔",tulkojums!$A$38),tulkojums!$A$39),tulkojums!$A$39))</f>
        <v/>
      </c>
      <c r="S528" s="2" t="str">
        <f>IF(ISBLANK(K528),"",IF(INDEX(DB_materiali!$E$2:$E$5000,MATCH($C528,DB_materiali!$A$2:$A$5000,0))&gt;=INDEX(DB_malas!$C$2:$C$5000,MATCH(K528,DB_malas!$A$2:$A$5000,0)),IF(INDEX(DB_materiali!$E$2:$E$5000,MATCH($C528,DB_materiali!$A$2:$A$5000,0))&lt;=INDEX(DB_malas!$D$2:$D$5000,MATCH(K528,DB_malas!$A$2:$A$5000,0)),IF(INDEX(DB_materiali!$B$2:$B$5000,MATCH($C528,DB_materiali!$A$2:$A$5000,0))=INDEX(DB_malas!$B$2:$B$5000,MATCH(K528,DB_malas!$A$2:$A$5000,0)),"✔",tulkojums!$A$38),tulkojums!$A$39),tulkojums!$A$39))</f>
        <v/>
      </c>
      <c r="T528" s="2"/>
      <c r="U528" s="2"/>
      <c r="V528" s="2"/>
      <c r="W528" s="2"/>
      <c r="X528" s="2"/>
      <c r="Y528" s="2"/>
      <c r="Z528" s="2"/>
    </row>
    <row r="529" spans="1:26" ht="15.75" customHeight="1">
      <c r="A529" s="17"/>
      <c r="B529" s="18"/>
      <c r="C529" s="19"/>
      <c r="D529" s="55"/>
      <c r="E529" s="55"/>
      <c r="F529" s="56"/>
      <c r="G529" s="57" t="str">
        <f>IF(ISBLANK(C529),"",
   IFERROR(
      IF(
         INDEX(DB_materiali!C$2:C$5000,
               MATCH(C529, DB_materiali!A$2:A$5000, 0)
         )="FALSE",
         "N",
         "Y"
      ),
   "")
)</f>
        <v/>
      </c>
      <c r="H529" s="20"/>
      <c r="I529" s="20"/>
      <c r="J529" s="20"/>
      <c r="K529" s="20"/>
      <c r="M529" s="2" t="str">
        <f>IF(ISBLANK(C529),"",IF(IFERROR(VLOOKUP(C529,DB_materiali!$A$2:$A$5000,1,FALSE),"Kļūda artikulā")=C529,"✔",tulkojums!A$42))</f>
        <v/>
      </c>
      <c r="N529" s="2" t="str">
        <f>IF(ISBLANK(C529),"",IF(ISNUMBER(F529)=TRUE,"✔",tulkojums!A$43))</f>
        <v/>
      </c>
      <c r="O529" s="2" t="str">
        <f>IF(ISBLANK(C529),"",IF(G529="Y","✔",IF(G529="X","✔",IF(G529="N","✔",tulkojums!A$44))))</f>
        <v/>
      </c>
      <c r="P529" s="2" t="str">
        <f>IF(ISBLANK(H529),"",IF(INDEX(DB_materiali!$E$2:$E$5000,MATCH($C529,DB_materiali!$A$2:$A$5000,0))&gt;=INDEX(DB_malas!$C$2:$C$5000,MATCH(H529,DB_malas!$A$2:$A$5000,0)),IF(INDEX(DB_materiali!$E$2:$E$5000,MATCH($C529,DB_materiali!$A$2:$A$5000,0))&lt;=INDEX(DB_malas!$D$2:$D$5000,MATCH(H529,DB_malas!$A$2:$A$5000,0)),IF(OR(INDEX(DB_materiali!$B$2:$B$5000,MATCH($C529,DB_materiali!$A$2:$A$5000,0))=INDEX(DB_malas!$B$2:$B$5000,MATCH(H529,DB_malas!$A$2:$A$5000,0)),$H529="ORG"),"✔",tulkojums!$A$38),tulkojums!$A$39),tulkojums!$A$39))</f>
        <v/>
      </c>
      <c r="Q529" s="2" t="str">
        <f>IF(ISBLANK(I529),"",IF(INDEX(DB_materiali!$E$2:$E$5000,MATCH($C529,DB_materiali!$A$2:$A$5000,0))&gt;=INDEX(DB_malas!$C$2:$C$5000,MATCH(I529,DB_malas!$A$2:$A$5000,0)),IF(INDEX(DB_materiali!$E$2:$E$5000,MATCH($C529,DB_materiali!$A$2:$A$5000,0))&lt;=INDEX(DB_malas!$D$2:$D$5000,MATCH(I529,DB_malas!$A$2:$A$5000,0)),IF(OR(INDEX(DB_materiali!$B$2:$B$5000,MATCH($C529,DB_materiali!$A$2:$A$5000,0))=INDEX(DB_malas!$B$2:$B$5000,MATCH(I529,DB_malas!$A$2:$A$5000,0)),$H529="ORG"),"✔",tulkojums!$A$38),tulkojums!$A$39),tulkojums!$A$39))</f>
        <v/>
      </c>
      <c r="R529" s="2" t="str">
        <f>IF(ISBLANK(J529),"",IF(INDEX(DB_materiali!$E$2:$E$5000,MATCH($C529,DB_materiali!$A$2:$A$5000,0))&gt;=INDEX(DB_malas!$C$2:$C$5000,MATCH(J529,DB_malas!$A$2:$A$5000,0)),IF(INDEX(DB_materiali!$E$2:$E$5000,MATCH($C529,DB_materiali!$A$2:$A$5000,0))&lt;=INDEX(DB_malas!$D$2:$D$5000,MATCH(J529,DB_malas!$A$2:$A$5000,0)),IF(INDEX(DB_materiali!$B$2:$B$5000,MATCH($C529,DB_materiali!$A$2:$A$5000,0))=INDEX(DB_malas!$B$2:$B$5000,MATCH(J529,DB_malas!$A$2:$A$5000,0)),"✔",tulkojums!$A$38),tulkojums!$A$39),tulkojums!$A$39))</f>
        <v/>
      </c>
      <c r="S529" s="2" t="str">
        <f>IF(ISBLANK(K529),"",IF(INDEX(DB_materiali!$E$2:$E$5000,MATCH($C529,DB_materiali!$A$2:$A$5000,0))&gt;=INDEX(DB_malas!$C$2:$C$5000,MATCH(K529,DB_malas!$A$2:$A$5000,0)),IF(INDEX(DB_materiali!$E$2:$E$5000,MATCH($C529,DB_materiali!$A$2:$A$5000,0))&lt;=INDEX(DB_malas!$D$2:$D$5000,MATCH(K529,DB_malas!$A$2:$A$5000,0)),IF(INDEX(DB_materiali!$B$2:$B$5000,MATCH($C529,DB_materiali!$A$2:$A$5000,0))=INDEX(DB_malas!$B$2:$B$5000,MATCH(K529,DB_malas!$A$2:$A$5000,0)),"✔",tulkojums!$A$38),tulkojums!$A$39),tulkojums!$A$39))</f>
        <v/>
      </c>
      <c r="T529" s="2"/>
      <c r="U529" s="2"/>
      <c r="V529" s="2"/>
      <c r="W529" s="2"/>
      <c r="X529" s="2"/>
      <c r="Y529" s="2"/>
      <c r="Z529" s="2"/>
    </row>
    <row r="530" spans="1:26" ht="15.75" customHeight="1">
      <c r="A530" s="17"/>
      <c r="B530" s="18"/>
      <c r="C530" s="19"/>
      <c r="D530" s="55"/>
      <c r="E530" s="55"/>
      <c r="F530" s="56"/>
      <c r="G530" s="57" t="str">
        <f>IF(ISBLANK(C530),"",
   IFERROR(
      IF(
         INDEX(DB_materiali!C$2:C$5000,
               MATCH(C530, DB_materiali!A$2:A$5000, 0)
         )="FALSE",
         "N",
         "Y"
      ),
   "")
)</f>
        <v/>
      </c>
      <c r="H530" s="20"/>
      <c r="I530" s="20"/>
      <c r="J530" s="20"/>
      <c r="K530" s="20"/>
      <c r="M530" s="2" t="str">
        <f>IF(ISBLANK(C530),"",IF(IFERROR(VLOOKUP(C530,DB_materiali!$A$2:$A$5000,1,FALSE),"Kļūda artikulā")=C530,"✔",tulkojums!A$42))</f>
        <v/>
      </c>
      <c r="N530" s="2" t="str">
        <f>IF(ISBLANK(C530),"",IF(ISNUMBER(F530)=TRUE,"✔",tulkojums!A$43))</f>
        <v/>
      </c>
      <c r="O530" s="2" t="str">
        <f>IF(ISBLANK(C530),"",IF(G530="Y","✔",IF(G530="X","✔",IF(G530="N","✔",tulkojums!A$44))))</f>
        <v/>
      </c>
      <c r="P530" s="2" t="str">
        <f>IF(ISBLANK(H530),"",IF(INDEX(DB_materiali!$E$2:$E$5000,MATCH($C530,DB_materiali!$A$2:$A$5000,0))&gt;=INDEX(DB_malas!$C$2:$C$5000,MATCH(H530,DB_malas!$A$2:$A$5000,0)),IF(INDEX(DB_materiali!$E$2:$E$5000,MATCH($C530,DB_materiali!$A$2:$A$5000,0))&lt;=INDEX(DB_malas!$D$2:$D$5000,MATCH(H530,DB_malas!$A$2:$A$5000,0)),IF(OR(INDEX(DB_materiali!$B$2:$B$5000,MATCH($C530,DB_materiali!$A$2:$A$5000,0))=INDEX(DB_malas!$B$2:$B$5000,MATCH(H530,DB_malas!$A$2:$A$5000,0)),$H530="ORG"),"✔",tulkojums!$A$38),tulkojums!$A$39),tulkojums!$A$39))</f>
        <v/>
      </c>
      <c r="Q530" s="2" t="str">
        <f>IF(ISBLANK(I530),"",IF(INDEX(DB_materiali!$E$2:$E$5000,MATCH($C530,DB_materiali!$A$2:$A$5000,0))&gt;=INDEX(DB_malas!$C$2:$C$5000,MATCH(I530,DB_malas!$A$2:$A$5000,0)),IF(INDEX(DB_materiali!$E$2:$E$5000,MATCH($C530,DB_materiali!$A$2:$A$5000,0))&lt;=INDEX(DB_malas!$D$2:$D$5000,MATCH(I530,DB_malas!$A$2:$A$5000,0)),IF(OR(INDEX(DB_materiali!$B$2:$B$5000,MATCH($C530,DB_materiali!$A$2:$A$5000,0))=INDEX(DB_malas!$B$2:$B$5000,MATCH(I530,DB_malas!$A$2:$A$5000,0)),$H530="ORG"),"✔",tulkojums!$A$38),tulkojums!$A$39),tulkojums!$A$39))</f>
        <v/>
      </c>
      <c r="R530" s="2" t="str">
        <f>IF(ISBLANK(J530),"",IF(INDEX(DB_materiali!$E$2:$E$5000,MATCH($C530,DB_materiali!$A$2:$A$5000,0))&gt;=INDEX(DB_malas!$C$2:$C$5000,MATCH(J530,DB_malas!$A$2:$A$5000,0)),IF(INDEX(DB_materiali!$E$2:$E$5000,MATCH($C530,DB_materiali!$A$2:$A$5000,0))&lt;=INDEX(DB_malas!$D$2:$D$5000,MATCH(J530,DB_malas!$A$2:$A$5000,0)),IF(INDEX(DB_materiali!$B$2:$B$5000,MATCH($C530,DB_materiali!$A$2:$A$5000,0))=INDEX(DB_malas!$B$2:$B$5000,MATCH(J530,DB_malas!$A$2:$A$5000,0)),"✔",tulkojums!$A$38),tulkojums!$A$39),tulkojums!$A$39))</f>
        <v/>
      </c>
      <c r="S530" s="2" t="str">
        <f>IF(ISBLANK(K530),"",IF(INDEX(DB_materiali!$E$2:$E$5000,MATCH($C530,DB_materiali!$A$2:$A$5000,0))&gt;=INDEX(DB_malas!$C$2:$C$5000,MATCH(K530,DB_malas!$A$2:$A$5000,0)),IF(INDEX(DB_materiali!$E$2:$E$5000,MATCH($C530,DB_materiali!$A$2:$A$5000,0))&lt;=INDEX(DB_malas!$D$2:$D$5000,MATCH(K530,DB_malas!$A$2:$A$5000,0)),IF(INDEX(DB_materiali!$B$2:$B$5000,MATCH($C530,DB_materiali!$A$2:$A$5000,0))=INDEX(DB_malas!$B$2:$B$5000,MATCH(K530,DB_malas!$A$2:$A$5000,0)),"✔",tulkojums!$A$38),tulkojums!$A$39),tulkojums!$A$39))</f>
        <v/>
      </c>
      <c r="T530" s="2"/>
      <c r="U530" s="2"/>
      <c r="V530" s="2"/>
      <c r="W530" s="2"/>
      <c r="X530" s="2"/>
      <c r="Y530" s="2"/>
      <c r="Z530" s="2"/>
    </row>
    <row r="531" spans="1:26" ht="15.75" customHeight="1">
      <c r="A531" s="17"/>
      <c r="B531" s="18"/>
      <c r="C531" s="19"/>
      <c r="D531" s="55"/>
      <c r="E531" s="55"/>
      <c r="F531" s="56"/>
      <c r="G531" s="57" t="str">
        <f>IF(ISBLANK(C531),"",
   IFERROR(
      IF(
         INDEX(DB_materiali!C$2:C$5000,
               MATCH(C531, DB_materiali!A$2:A$5000, 0)
         )="FALSE",
         "N",
         "Y"
      ),
   "")
)</f>
        <v/>
      </c>
      <c r="H531" s="20"/>
      <c r="I531" s="20"/>
      <c r="J531" s="20"/>
      <c r="K531" s="20"/>
      <c r="M531" s="2" t="str">
        <f>IF(ISBLANK(C531),"",IF(IFERROR(VLOOKUP(C531,DB_materiali!$A$2:$A$5000,1,FALSE),"Kļūda artikulā")=C531,"✔",tulkojums!A$42))</f>
        <v/>
      </c>
      <c r="N531" s="2" t="str">
        <f>IF(ISBLANK(C531),"",IF(ISNUMBER(F531)=TRUE,"✔",tulkojums!A$43))</f>
        <v/>
      </c>
      <c r="O531" s="2" t="str">
        <f>IF(ISBLANK(C531),"",IF(G531="Y","✔",IF(G531="X","✔",IF(G531="N","✔",tulkojums!A$44))))</f>
        <v/>
      </c>
      <c r="P531" s="2" t="str">
        <f>IF(ISBLANK(H531),"",IF(INDEX(DB_materiali!$E$2:$E$5000,MATCH($C531,DB_materiali!$A$2:$A$5000,0))&gt;=INDEX(DB_malas!$C$2:$C$5000,MATCH(H531,DB_malas!$A$2:$A$5000,0)),IF(INDEX(DB_materiali!$E$2:$E$5000,MATCH($C531,DB_materiali!$A$2:$A$5000,0))&lt;=INDEX(DB_malas!$D$2:$D$5000,MATCH(H531,DB_malas!$A$2:$A$5000,0)),IF(OR(INDEX(DB_materiali!$B$2:$B$5000,MATCH($C531,DB_materiali!$A$2:$A$5000,0))=INDEX(DB_malas!$B$2:$B$5000,MATCH(H531,DB_malas!$A$2:$A$5000,0)),$H531="ORG"),"✔",tulkojums!$A$38),tulkojums!$A$39),tulkojums!$A$39))</f>
        <v/>
      </c>
      <c r="Q531" s="2" t="str">
        <f>IF(ISBLANK(I531),"",IF(INDEX(DB_materiali!$E$2:$E$5000,MATCH($C531,DB_materiali!$A$2:$A$5000,0))&gt;=INDEX(DB_malas!$C$2:$C$5000,MATCH(I531,DB_malas!$A$2:$A$5000,0)),IF(INDEX(DB_materiali!$E$2:$E$5000,MATCH($C531,DB_materiali!$A$2:$A$5000,0))&lt;=INDEX(DB_malas!$D$2:$D$5000,MATCH(I531,DB_malas!$A$2:$A$5000,0)),IF(OR(INDEX(DB_materiali!$B$2:$B$5000,MATCH($C531,DB_materiali!$A$2:$A$5000,0))=INDEX(DB_malas!$B$2:$B$5000,MATCH(I531,DB_malas!$A$2:$A$5000,0)),$H531="ORG"),"✔",tulkojums!$A$38),tulkojums!$A$39),tulkojums!$A$39))</f>
        <v/>
      </c>
      <c r="R531" s="2" t="str">
        <f>IF(ISBLANK(J531),"",IF(INDEX(DB_materiali!$E$2:$E$5000,MATCH($C531,DB_materiali!$A$2:$A$5000,0))&gt;=INDEX(DB_malas!$C$2:$C$5000,MATCH(J531,DB_malas!$A$2:$A$5000,0)),IF(INDEX(DB_materiali!$E$2:$E$5000,MATCH($C531,DB_materiali!$A$2:$A$5000,0))&lt;=INDEX(DB_malas!$D$2:$D$5000,MATCH(J531,DB_malas!$A$2:$A$5000,0)),IF(INDEX(DB_materiali!$B$2:$B$5000,MATCH($C531,DB_materiali!$A$2:$A$5000,0))=INDEX(DB_malas!$B$2:$B$5000,MATCH(J531,DB_malas!$A$2:$A$5000,0)),"✔",tulkojums!$A$38),tulkojums!$A$39),tulkojums!$A$39))</f>
        <v/>
      </c>
      <c r="S531" s="2" t="str">
        <f>IF(ISBLANK(K531),"",IF(INDEX(DB_materiali!$E$2:$E$5000,MATCH($C531,DB_materiali!$A$2:$A$5000,0))&gt;=INDEX(DB_malas!$C$2:$C$5000,MATCH(K531,DB_malas!$A$2:$A$5000,0)),IF(INDEX(DB_materiali!$E$2:$E$5000,MATCH($C531,DB_materiali!$A$2:$A$5000,0))&lt;=INDEX(DB_malas!$D$2:$D$5000,MATCH(K531,DB_malas!$A$2:$A$5000,0)),IF(INDEX(DB_materiali!$B$2:$B$5000,MATCH($C531,DB_materiali!$A$2:$A$5000,0))=INDEX(DB_malas!$B$2:$B$5000,MATCH(K531,DB_malas!$A$2:$A$5000,0)),"✔",tulkojums!$A$38),tulkojums!$A$39),tulkojums!$A$39))</f>
        <v/>
      </c>
      <c r="T531" s="2"/>
      <c r="U531" s="2"/>
      <c r="V531" s="2"/>
      <c r="W531" s="2"/>
      <c r="X531" s="2"/>
      <c r="Y531" s="2"/>
      <c r="Z531" s="2"/>
    </row>
    <row r="532" spans="1:26" ht="15.75" customHeight="1">
      <c r="A532" s="17"/>
      <c r="B532" s="18"/>
      <c r="C532" s="19"/>
      <c r="D532" s="55"/>
      <c r="E532" s="55"/>
      <c r="F532" s="56"/>
      <c r="G532" s="57" t="str">
        <f>IF(ISBLANK(C532),"",
   IFERROR(
      IF(
         INDEX(DB_materiali!C$2:C$5000,
               MATCH(C532, DB_materiali!A$2:A$5000, 0)
         )="FALSE",
         "N",
         "Y"
      ),
   "")
)</f>
        <v/>
      </c>
      <c r="H532" s="20"/>
      <c r="I532" s="20"/>
      <c r="J532" s="20"/>
      <c r="K532" s="20"/>
      <c r="M532" s="2" t="str">
        <f>IF(ISBLANK(C532),"",IF(IFERROR(VLOOKUP(C532,DB_materiali!$A$2:$A$5000,1,FALSE),"Kļūda artikulā")=C532,"✔",tulkojums!A$42))</f>
        <v/>
      </c>
      <c r="N532" s="2" t="str">
        <f>IF(ISBLANK(C532),"",IF(ISNUMBER(F532)=TRUE,"✔",tulkojums!A$43))</f>
        <v/>
      </c>
      <c r="O532" s="2" t="str">
        <f>IF(ISBLANK(C532),"",IF(G532="Y","✔",IF(G532="X","✔",IF(G532="N","✔",tulkojums!A$44))))</f>
        <v/>
      </c>
      <c r="P532" s="2" t="str">
        <f>IF(ISBLANK(H532),"",IF(INDEX(DB_materiali!$E$2:$E$5000,MATCH($C532,DB_materiali!$A$2:$A$5000,0))&gt;=INDEX(DB_malas!$C$2:$C$5000,MATCH(H532,DB_malas!$A$2:$A$5000,0)),IF(INDEX(DB_materiali!$E$2:$E$5000,MATCH($C532,DB_materiali!$A$2:$A$5000,0))&lt;=INDEX(DB_malas!$D$2:$D$5000,MATCH(H532,DB_malas!$A$2:$A$5000,0)),IF(OR(INDEX(DB_materiali!$B$2:$B$5000,MATCH($C532,DB_materiali!$A$2:$A$5000,0))=INDEX(DB_malas!$B$2:$B$5000,MATCH(H532,DB_malas!$A$2:$A$5000,0)),$H532="ORG"),"✔",tulkojums!$A$38),tulkojums!$A$39),tulkojums!$A$39))</f>
        <v/>
      </c>
      <c r="Q532" s="2" t="str">
        <f>IF(ISBLANK(I532),"",IF(INDEX(DB_materiali!$E$2:$E$5000,MATCH($C532,DB_materiali!$A$2:$A$5000,0))&gt;=INDEX(DB_malas!$C$2:$C$5000,MATCH(I532,DB_malas!$A$2:$A$5000,0)),IF(INDEX(DB_materiali!$E$2:$E$5000,MATCH($C532,DB_materiali!$A$2:$A$5000,0))&lt;=INDEX(DB_malas!$D$2:$D$5000,MATCH(I532,DB_malas!$A$2:$A$5000,0)),IF(OR(INDEX(DB_materiali!$B$2:$B$5000,MATCH($C532,DB_materiali!$A$2:$A$5000,0))=INDEX(DB_malas!$B$2:$B$5000,MATCH(I532,DB_malas!$A$2:$A$5000,0)),$H532="ORG"),"✔",tulkojums!$A$38),tulkojums!$A$39),tulkojums!$A$39))</f>
        <v/>
      </c>
      <c r="R532" s="2" t="str">
        <f>IF(ISBLANK(J532),"",IF(INDEX(DB_materiali!$E$2:$E$5000,MATCH($C532,DB_materiali!$A$2:$A$5000,0))&gt;=INDEX(DB_malas!$C$2:$C$5000,MATCH(J532,DB_malas!$A$2:$A$5000,0)),IF(INDEX(DB_materiali!$E$2:$E$5000,MATCH($C532,DB_materiali!$A$2:$A$5000,0))&lt;=INDEX(DB_malas!$D$2:$D$5000,MATCH(J532,DB_malas!$A$2:$A$5000,0)),IF(INDEX(DB_materiali!$B$2:$B$5000,MATCH($C532,DB_materiali!$A$2:$A$5000,0))=INDEX(DB_malas!$B$2:$B$5000,MATCH(J532,DB_malas!$A$2:$A$5000,0)),"✔",tulkojums!$A$38),tulkojums!$A$39),tulkojums!$A$39))</f>
        <v/>
      </c>
      <c r="S532" s="2" t="str">
        <f>IF(ISBLANK(K532),"",IF(INDEX(DB_materiali!$E$2:$E$5000,MATCH($C532,DB_materiali!$A$2:$A$5000,0))&gt;=INDEX(DB_malas!$C$2:$C$5000,MATCH(K532,DB_malas!$A$2:$A$5000,0)),IF(INDEX(DB_materiali!$E$2:$E$5000,MATCH($C532,DB_materiali!$A$2:$A$5000,0))&lt;=INDEX(DB_malas!$D$2:$D$5000,MATCH(K532,DB_malas!$A$2:$A$5000,0)),IF(INDEX(DB_materiali!$B$2:$B$5000,MATCH($C532,DB_materiali!$A$2:$A$5000,0))=INDEX(DB_malas!$B$2:$B$5000,MATCH(K532,DB_malas!$A$2:$A$5000,0)),"✔",tulkojums!$A$38),tulkojums!$A$39),tulkojums!$A$39))</f>
        <v/>
      </c>
      <c r="T532" s="2"/>
      <c r="U532" s="2"/>
      <c r="V532" s="2"/>
      <c r="W532" s="2"/>
      <c r="X532" s="2"/>
      <c r="Y532" s="2"/>
      <c r="Z532" s="2"/>
    </row>
    <row r="533" spans="1:26" ht="15.75" customHeight="1">
      <c r="A533" s="17"/>
      <c r="B533" s="18"/>
      <c r="C533" s="19"/>
      <c r="D533" s="55"/>
      <c r="E533" s="55"/>
      <c r="F533" s="56"/>
      <c r="G533" s="57" t="str">
        <f>IF(ISBLANK(C533),"",
   IFERROR(
      IF(
         INDEX(DB_materiali!C$2:C$5000,
               MATCH(C533, DB_materiali!A$2:A$5000, 0)
         )="FALSE",
         "N",
         "Y"
      ),
   "")
)</f>
        <v/>
      </c>
      <c r="H533" s="20"/>
      <c r="I533" s="20"/>
      <c r="J533" s="20"/>
      <c r="K533" s="20"/>
      <c r="M533" s="2" t="str">
        <f>IF(ISBLANK(C533),"",IF(IFERROR(VLOOKUP(C533,DB_materiali!$A$2:$A$5000,1,FALSE),"Kļūda artikulā")=C533,"✔",tulkojums!A$42))</f>
        <v/>
      </c>
      <c r="N533" s="2" t="str">
        <f>IF(ISBLANK(C533),"",IF(ISNUMBER(F533)=TRUE,"✔",tulkojums!A$43))</f>
        <v/>
      </c>
      <c r="O533" s="2" t="str">
        <f>IF(ISBLANK(C533),"",IF(G533="Y","✔",IF(G533="X","✔",IF(G533="N","✔",tulkojums!A$44))))</f>
        <v/>
      </c>
      <c r="P533" s="2" t="str">
        <f>IF(ISBLANK(H533),"",IF(INDEX(DB_materiali!$E$2:$E$5000,MATCH($C533,DB_materiali!$A$2:$A$5000,0))&gt;=INDEX(DB_malas!$C$2:$C$5000,MATCH(H533,DB_malas!$A$2:$A$5000,0)),IF(INDEX(DB_materiali!$E$2:$E$5000,MATCH($C533,DB_materiali!$A$2:$A$5000,0))&lt;=INDEX(DB_malas!$D$2:$D$5000,MATCH(H533,DB_malas!$A$2:$A$5000,0)),IF(OR(INDEX(DB_materiali!$B$2:$B$5000,MATCH($C533,DB_materiali!$A$2:$A$5000,0))=INDEX(DB_malas!$B$2:$B$5000,MATCH(H533,DB_malas!$A$2:$A$5000,0)),$H533="ORG"),"✔",tulkojums!$A$38),tulkojums!$A$39),tulkojums!$A$39))</f>
        <v/>
      </c>
      <c r="Q533" s="2" t="str">
        <f>IF(ISBLANK(I533),"",IF(INDEX(DB_materiali!$E$2:$E$5000,MATCH($C533,DB_materiali!$A$2:$A$5000,0))&gt;=INDEX(DB_malas!$C$2:$C$5000,MATCH(I533,DB_malas!$A$2:$A$5000,0)),IF(INDEX(DB_materiali!$E$2:$E$5000,MATCH($C533,DB_materiali!$A$2:$A$5000,0))&lt;=INDEX(DB_malas!$D$2:$D$5000,MATCH(I533,DB_malas!$A$2:$A$5000,0)),IF(OR(INDEX(DB_materiali!$B$2:$B$5000,MATCH($C533,DB_materiali!$A$2:$A$5000,0))=INDEX(DB_malas!$B$2:$B$5000,MATCH(I533,DB_malas!$A$2:$A$5000,0)),$H533="ORG"),"✔",tulkojums!$A$38),tulkojums!$A$39),tulkojums!$A$39))</f>
        <v/>
      </c>
      <c r="R533" s="2" t="str">
        <f>IF(ISBLANK(J533),"",IF(INDEX(DB_materiali!$E$2:$E$5000,MATCH($C533,DB_materiali!$A$2:$A$5000,0))&gt;=INDEX(DB_malas!$C$2:$C$5000,MATCH(J533,DB_malas!$A$2:$A$5000,0)),IF(INDEX(DB_materiali!$E$2:$E$5000,MATCH($C533,DB_materiali!$A$2:$A$5000,0))&lt;=INDEX(DB_malas!$D$2:$D$5000,MATCH(J533,DB_malas!$A$2:$A$5000,0)),IF(INDEX(DB_materiali!$B$2:$B$5000,MATCH($C533,DB_materiali!$A$2:$A$5000,0))=INDEX(DB_malas!$B$2:$B$5000,MATCH(J533,DB_malas!$A$2:$A$5000,0)),"✔",tulkojums!$A$38),tulkojums!$A$39),tulkojums!$A$39))</f>
        <v/>
      </c>
      <c r="S533" s="2" t="str">
        <f>IF(ISBLANK(K533),"",IF(INDEX(DB_materiali!$E$2:$E$5000,MATCH($C533,DB_materiali!$A$2:$A$5000,0))&gt;=INDEX(DB_malas!$C$2:$C$5000,MATCH(K533,DB_malas!$A$2:$A$5000,0)),IF(INDEX(DB_materiali!$E$2:$E$5000,MATCH($C533,DB_materiali!$A$2:$A$5000,0))&lt;=INDEX(DB_malas!$D$2:$D$5000,MATCH(K533,DB_malas!$A$2:$A$5000,0)),IF(INDEX(DB_materiali!$B$2:$B$5000,MATCH($C533,DB_materiali!$A$2:$A$5000,0))=INDEX(DB_malas!$B$2:$B$5000,MATCH(K533,DB_malas!$A$2:$A$5000,0)),"✔",tulkojums!$A$38),tulkojums!$A$39),tulkojums!$A$39))</f>
        <v/>
      </c>
      <c r="T533" s="2"/>
      <c r="U533" s="2"/>
      <c r="V533" s="2"/>
      <c r="W533" s="2"/>
      <c r="X533" s="2"/>
      <c r="Y533" s="2"/>
      <c r="Z533" s="2"/>
    </row>
    <row r="534" spans="1:26" ht="15.75" customHeight="1">
      <c r="A534" s="17"/>
      <c r="B534" s="18"/>
      <c r="C534" s="19"/>
      <c r="D534" s="55"/>
      <c r="E534" s="55"/>
      <c r="F534" s="56"/>
      <c r="G534" s="57" t="str">
        <f>IF(ISBLANK(C534),"",
   IFERROR(
      IF(
         INDEX(DB_materiali!C$2:C$5000,
               MATCH(C534, DB_materiali!A$2:A$5000, 0)
         )="FALSE",
         "N",
         "Y"
      ),
   "")
)</f>
        <v/>
      </c>
      <c r="H534" s="20"/>
      <c r="I534" s="20"/>
      <c r="J534" s="20"/>
      <c r="K534" s="20"/>
      <c r="M534" s="2" t="str">
        <f>IF(ISBLANK(C534),"",IF(IFERROR(VLOOKUP(C534,DB_materiali!$A$2:$A$5000,1,FALSE),"Kļūda artikulā")=C534,"✔",tulkojums!A$42))</f>
        <v/>
      </c>
      <c r="N534" s="2" t="str">
        <f>IF(ISBLANK(C534),"",IF(ISNUMBER(F534)=TRUE,"✔",tulkojums!A$43))</f>
        <v/>
      </c>
      <c r="O534" s="2" t="str">
        <f>IF(ISBLANK(C534),"",IF(G534="Y","✔",IF(G534="X","✔",IF(G534="N","✔",tulkojums!A$44))))</f>
        <v/>
      </c>
      <c r="P534" s="2" t="str">
        <f>IF(ISBLANK(H534),"",IF(INDEX(DB_materiali!$E$2:$E$5000,MATCH($C534,DB_materiali!$A$2:$A$5000,0))&gt;=INDEX(DB_malas!$C$2:$C$5000,MATCH(H534,DB_malas!$A$2:$A$5000,0)),IF(INDEX(DB_materiali!$E$2:$E$5000,MATCH($C534,DB_materiali!$A$2:$A$5000,0))&lt;=INDEX(DB_malas!$D$2:$D$5000,MATCH(H534,DB_malas!$A$2:$A$5000,0)),IF(OR(INDEX(DB_materiali!$B$2:$B$5000,MATCH($C534,DB_materiali!$A$2:$A$5000,0))=INDEX(DB_malas!$B$2:$B$5000,MATCH(H534,DB_malas!$A$2:$A$5000,0)),$H534="ORG"),"✔",tulkojums!$A$38),tulkojums!$A$39),tulkojums!$A$39))</f>
        <v/>
      </c>
      <c r="Q534" s="2" t="str">
        <f>IF(ISBLANK(I534),"",IF(INDEX(DB_materiali!$E$2:$E$5000,MATCH($C534,DB_materiali!$A$2:$A$5000,0))&gt;=INDEX(DB_malas!$C$2:$C$5000,MATCH(I534,DB_malas!$A$2:$A$5000,0)),IF(INDEX(DB_materiali!$E$2:$E$5000,MATCH($C534,DB_materiali!$A$2:$A$5000,0))&lt;=INDEX(DB_malas!$D$2:$D$5000,MATCH(I534,DB_malas!$A$2:$A$5000,0)),IF(OR(INDEX(DB_materiali!$B$2:$B$5000,MATCH($C534,DB_materiali!$A$2:$A$5000,0))=INDEX(DB_malas!$B$2:$B$5000,MATCH(I534,DB_malas!$A$2:$A$5000,0)),$H534="ORG"),"✔",tulkojums!$A$38),tulkojums!$A$39),tulkojums!$A$39))</f>
        <v/>
      </c>
      <c r="R534" s="2" t="str">
        <f>IF(ISBLANK(J534),"",IF(INDEX(DB_materiali!$E$2:$E$5000,MATCH($C534,DB_materiali!$A$2:$A$5000,0))&gt;=INDEX(DB_malas!$C$2:$C$5000,MATCH(J534,DB_malas!$A$2:$A$5000,0)),IF(INDEX(DB_materiali!$E$2:$E$5000,MATCH($C534,DB_materiali!$A$2:$A$5000,0))&lt;=INDEX(DB_malas!$D$2:$D$5000,MATCH(J534,DB_malas!$A$2:$A$5000,0)),IF(INDEX(DB_materiali!$B$2:$B$5000,MATCH($C534,DB_materiali!$A$2:$A$5000,0))=INDEX(DB_malas!$B$2:$B$5000,MATCH(J534,DB_malas!$A$2:$A$5000,0)),"✔",tulkojums!$A$38),tulkojums!$A$39),tulkojums!$A$39))</f>
        <v/>
      </c>
      <c r="S534" s="2" t="str">
        <f>IF(ISBLANK(K534),"",IF(INDEX(DB_materiali!$E$2:$E$5000,MATCH($C534,DB_materiali!$A$2:$A$5000,0))&gt;=INDEX(DB_malas!$C$2:$C$5000,MATCH(K534,DB_malas!$A$2:$A$5000,0)),IF(INDEX(DB_materiali!$E$2:$E$5000,MATCH($C534,DB_materiali!$A$2:$A$5000,0))&lt;=INDEX(DB_malas!$D$2:$D$5000,MATCH(K534,DB_malas!$A$2:$A$5000,0)),IF(INDEX(DB_materiali!$B$2:$B$5000,MATCH($C534,DB_materiali!$A$2:$A$5000,0))=INDEX(DB_malas!$B$2:$B$5000,MATCH(K534,DB_malas!$A$2:$A$5000,0)),"✔",tulkojums!$A$38),tulkojums!$A$39),tulkojums!$A$39))</f>
        <v/>
      </c>
      <c r="T534" s="2"/>
      <c r="U534" s="2"/>
      <c r="V534" s="2"/>
      <c r="W534" s="2"/>
      <c r="X534" s="2"/>
      <c r="Y534" s="2"/>
      <c r="Z534" s="2"/>
    </row>
    <row r="535" spans="1:26" ht="15.75" customHeight="1">
      <c r="A535" s="17"/>
      <c r="B535" s="18"/>
      <c r="C535" s="19"/>
      <c r="D535" s="55"/>
      <c r="E535" s="55"/>
      <c r="F535" s="56"/>
      <c r="G535" s="57" t="str">
        <f>IF(ISBLANK(C535),"",
   IFERROR(
      IF(
         INDEX(DB_materiali!C$2:C$5000,
               MATCH(C535, DB_materiali!A$2:A$5000, 0)
         )="FALSE",
         "N",
         "Y"
      ),
   "")
)</f>
        <v/>
      </c>
      <c r="H535" s="20"/>
      <c r="I535" s="20"/>
      <c r="J535" s="20"/>
      <c r="K535" s="20"/>
      <c r="M535" s="2" t="str">
        <f>IF(ISBLANK(C535),"",IF(IFERROR(VLOOKUP(C535,DB_materiali!$A$2:$A$5000,1,FALSE),"Kļūda artikulā")=C535,"✔",tulkojums!A$42))</f>
        <v/>
      </c>
      <c r="N535" s="2" t="str">
        <f>IF(ISBLANK(C535),"",IF(ISNUMBER(F535)=TRUE,"✔",tulkojums!A$43))</f>
        <v/>
      </c>
      <c r="O535" s="2" t="str">
        <f>IF(ISBLANK(C535),"",IF(G535="Y","✔",IF(G535="X","✔",IF(G535="N","✔",tulkojums!A$44))))</f>
        <v/>
      </c>
      <c r="P535" s="2" t="str">
        <f>IF(ISBLANK(H535),"",IF(INDEX(DB_materiali!$E$2:$E$5000,MATCH($C535,DB_materiali!$A$2:$A$5000,0))&gt;=INDEX(DB_malas!$C$2:$C$5000,MATCH(H535,DB_malas!$A$2:$A$5000,0)),IF(INDEX(DB_materiali!$E$2:$E$5000,MATCH($C535,DB_materiali!$A$2:$A$5000,0))&lt;=INDEX(DB_malas!$D$2:$D$5000,MATCH(H535,DB_malas!$A$2:$A$5000,0)),IF(OR(INDEX(DB_materiali!$B$2:$B$5000,MATCH($C535,DB_materiali!$A$2:$A$5000,0))=INDEX(DB_malas!$B$2:$B$5000,MATCH(H535,DB_malas!$A$2:$A$5000,0)),$H535="ORG"),"✔",tulkojums!$A$38),tulkojums!$A$39),tulkojums!$A$39))</f>
        <v/>
      </c>
      <c r="Q535" s="2" t="str">
        <f>IF(ISBLANK(I535),"",IF(INDEX(DB_materiali!$E$2:$E$5000,MATCH($C535,DB_materiali!$A$2:$A$5000,0))&gt;=INDEX(DB_malas!$C$2:$C$5000,MATCH(I535,DB_malas!$A$2:$A$5000,0)),IF(INDEX(DB_materiali!$E$2:$E$5000,MATCH($C535,DB_materiali!$A$2:$A$5000,0))&lt;=INDEX(DB_malas!$D$2:$D$5000,MATCH(I535,DB_malas!$A$2:$A$5000,0)),IF(OR(INDEX(DB_materiali!$B$2:$B$5000,MATCH($C535,DB_materiali!$A$2:$A$5000,0))=INDEX(DB_malas!$B$2:$B$5000,MATCH(I535,DB_malas!$A$2:$A$5000,0)),$H535="ORG"),"✔",tulkojums!$A$38),tulkojums!$A$39),tulkojums!$A$39))</f>
        <v/>
      </c>
      <c r="R535" s="2" t="str">
        <f>IF(ISBLANK(J535),"",IF(INDEX(DB_materiali!$E$2:$E$5000,MATCH($C535,DB_materiali!$A$2:$A$5000,0))&gt;=INDEX(DB_malas!$C$2:$C$5000,MATCH(J535,DB_malas!$A$2:$A$5000,0)),IF(INDEX(DB_materiali!$E$2:$E$5000,MATCH($C535,DB_materiali!$A$2:$A$5000,0))&lt;=INDEX(DB_malas!$D$2:$D$5000,MATCH(J535,DB_malas!$A$2:$A$5000,0)),IF(INDEX(DB_materiali!$B$2:$B$5000,MATCH($C535,DB_materiali!$A$2:$A$5000,0))=INDEX(DB_malas!$B$2:$B$5000,MATCH(J535,DB_malas!$A$2:$A$5000,0)),"✔",tulkojums!$A$38),tulkojums!$A$39),tulkojums!$A$39))</f>
        <v/>
      </c>
      <c r="S535" s="2" t="str">
        <f>IF(ISBLANK(K535),"",IF(INDEX(DB_materiali!$E$2:$E$5000,MATCH($C535,DB_materiali!$A$2:$A$5000,0))&gt;=INDEX(DB_malas!$C$2:$C$5000,MATCH(K535,DB_malas!$A$2:$A$5000,0)),IF(INDEX(DB_materiali!$E$2:$E$5000,MATCH($C535,DB_materiali!$A$2:$A$5000,0))&lt;=INDEX(DB_malas!$D$2:$D$5000,MATCH(K535,DB_malas!$A$2:$A$5000,0)),IF(INDEX(DB_materiali!$B$2:$B$5000,MATCH($C535,DB_materiali!$A$2:$A$5000,0))=INDEX(DB_malas!$B$2:$B$5000,MATCH(K535,DB_malas!$A$2:$A$5000,0)),"✔",tulkojums!$A$38),tulkojums!$A$39),tulkojums!$A$39))</f>
        <v/>
      </c>
      <c r="T535" s="2"/>
      <c r="U535" s="2"/>
      <c r="V535" s="2"/>
      <c r="W535" s="2"/>
      <c r="X535" s="2"/>
      <c r="Y535" s="2"/>
      <c r="Z535" s="2"/>
    </row>
    <row r="536" spans="1:26" ht="15.75" customHeight="1">
      <c r="A536" s="17"/>
      <c r="B536" s="18"/>
      <c r="C536" s="19"/>
      <c r="D536" s="55"/>
      <c r="E536" s="55"/>
      <c r="F536" s="56"/>
      <c r="G536" s="57" t="str">
        <f>IF(ISBLANK(C536),"",
   IFERROR(
      IF(
         INDEX(DB_materiali!C$2:C$5000,
               MATCH(C536, DB_materiali!A$2:A$5000, 0)
         )="FALSE",
         "N",
         "Y"
      ),
   "")
)</f>
        <v/>
      </c>
      <c r="H536" s="20"/>
      <c r="I536" s="20"/>
      <c r="J536" s="20"/>
      <c r="K536" s="20"/>
      <c r="M536" s="2" t="str">
        <f>IF(ISBLANK(C536),"",IF(IFERROR(VLOOKUP(C536,DB_materiali!$A$2:$A$5000,1,FALSE),"Kļūda artikulā")=C536,"✔",tulkojums!A$42))</f>
        <v/>
      </c>
      <c r="N536" s="2" t="str">
        <f>IF(ISBLANK(C536),"",IF(ISNUMBER(F536)=TRUE,"✔",tulkojums!A$43))</f>
        <v/>
      </c>
      <c r="O536" s="2" t="str">
        <f>IF(ISBLANK(C536),"",IF(G536="Y","✔",IF(G536="X","✔",IF(G536="N","✔",tulkojums!A$44))))</f>
        <v/>
      </c>
      <c r="P536" s="2" t="str">
        <f>IF(ISBLANK(H536),"",IF(INDEX(DB_materiali!$E$2:$E$5000,MATCH($C536,DB_materiali!$A$2:$A$5000,0))&gt;=INDEX(DB_malas!$C$2:$C$5000,MATCH(H536,DB_malas!$A$2:$A$5000,0)),IF(INDEX(DB_materiali!$E$2:$E$5000,MATCH($C536,DB_materiali!$A$2:$A$5000,0))&lt;=INDEX(DB_malas!$D$2:$D$5000,MATCH(H536,DB_malas!$A$2:$A$5000,0)),IF(OR(INDEX(DB_materiali!$B$2:$B$5000,MATCH($C536,DB_materiali!$A$2:$A$5000,0))=INDEX(DB_malas!$B$2:$B$5000,MATCH(H536,DB_malas!$A$2:$A$5000,0)),$H536="ORG"),"✔",tulkojums!$A$38),tulkojums!$A$39),tulkojums!$A$39))</f>
        <v/>
      </c>
      <c r="Q536" s="2" t="str">
        <f>IF(ISBLANK(I536),"",IF(INDEX(DB_materiali!$E$2:$E$5000,MATCH($C536,DB_materiali!$A$2:$A$5000,0))&gt;=INDEX(DB_malas!$C$2:$C$5000,MATCH(I536,DB_malas!$A$2:$A$5000,0)),IF(INDEX(DB_materiali!$E$2:$E$5000,MATCH($C536,DB_materiali!$A$2:$A$5000,0))&lt;=INDEX(DB_malas!$D$2:$D$5000,MATCH(I536,DB_malas!$A$2:$A$5000,0)),IF(OR(INDEX(DB_materiali!$B$2:$B$5000,MATCH($C536,DB_materiali!$A$2:$A$5000,0))=INDEX(DB_malas!$B$2:$B$5000,MATCH(I536,DB_malas!$A$2:$A$5000,0)),$H536="ORG"),"✔",tulkojums!$A$38),tulkojums!$A$39),tulkojums!$A$39))</f>
        <v/>
      </c>
      <c r="R536" s="2" t="str">
        <f>IF(ISBLANK(J536),"",IF(INDEX(DB_materiali!$E$2:$E$5000,MATCH($C536,DB_materiali!$A$2:$A$5000,0))&gt;=INDEX(DB_malas!$C$2:$C$5000,MATCH(J536,DB_malas!$A$2:$A$5000,0)),IF(INDEX(DB_materiali!$E$2:$E$5000,MATCH($C536,DB_materiali!$A$2:$A$5000,0))&lt;=INDEX(DB_malas!$D$2:$D$5000,MATCH(J536,DB_malas!$A$2:$A$5000,0)),IF(INDEX(DB_materiali!$B$2:$B$5000,MATCH($C536,DB_materiali!$A$2:$A$5000,0))=INDEX(DB_malas!$B$2:$B$5000,MATCH(J536,DB_malas!$A$2:$A$5000,0)),"✔",tulkojums!$A$38),tulkojums!$A$39),tulkojums!$A$39))</f>
        <v/>
      </c>
      <c r="S536" s="2" t="str">
        <f>IF(ISBLANK(K536),"",IF(INDEX(DB_materiali!$E$2:$E$5000,MATCH($C536,DB_materiali!$A$2:$A$5000,0))&gt;=INDEX(DB_malas!$C$2:$C$5000,MATCH(K536,DB_malas!$A$2:$A$5000,0)),IF(INDEX(DB_materiali!$E$2:$E$5000,MATCH($C536,DB_materiali!$A$2:$A$5000,0))&lt;=INDEX(DB_malas!$D$2:$D$5000,MATCH(K536,DB_malas!$A$2:$A$5000,0)),IF(INDEX(DB_materiali!$B$2:$B$5000,MATCH($C536,DB_materiali!$A$2:$A$5000,0))=INDEX(DB_malas!$B$2:$B$5000,MATCH(K536,DB_malas!$A$2:$A$5000,0)),"✔",tulkojums!$A$38),tulkojums!$A$39),tulkojums!$A$39))</f>
        <v/>
      </c>
      <c r="T536" s="2"/>
      <c r="U536" s="2"/>
      <c r="V536" s="2"/>
      <c r="W536" s="2"/>
      <c r="X536" s="2"/>
      <c r="Y536" s="2"/>
      <c r="Z536" s="2"/>
    </row>
    <row r="537" spans="1:26" ht="15.75" customHeight="1">
      <c r="A537" s="17"/>
      <c r="B537" s="18"/>
      <c r="C537" s="19"/>
      <c r="D537" s="55"/>
      <c r="E537" s="55"/>
      <c r="F537" s="56"/>
      <c r="G537" s="57" t="str">
        <f>IF(ISBLANK(C537),"",
   IFERROR(
      IF(
         INDEX(DB_materiali!C$2:C$5000,
               MATCH(C537, DB_materiali!A$2:A$5000, 0)
         )="FALSE",
         "N",
         "Y"
      ),
   "")
)</f>
        <v/>
      </c>
      <c r="H537" s="20"/>
      <c r="I537" s="20"/>
      <c r="J537" s="20"/>
      <c r="K537" s="20"/>
      <c r="M537" s="2" t="str">
        <f>IF(ISBLANK(C537),"",IF(IFERROR(VLOOKUP(C537,DB_materiali!$A$2:$A$5000,1,FALSE),"Kļūda artikulā")=C537,"✔",tulkojums!A$42))</f>
        <v/>
      </c>
      <c r="N537" s="2" t="str">
        <f>IF(ISBLANK(C537),"",IF(ISNUMBER(F537)=TRUE,"✔",tulkojums!A$43))</f>
        <v/>
      </c>
      <c r="O537" s="2" t="str">
        <f>IF(ISBLANK(C537),"",IF(G537="Y","✔",IF(G537="X","✔",IF(G537="N","✔",tulkojums!A$44))))</f>
        <v/>
      </c>
      <c r="P537" s="2" t="str">
        <f>IF(ISBLANK(H537),"",IF(INDEX(DB_materiali!$E$2:$E$5000,MATCH($C537,DB_materiali!$A$2:$A$5000,0))&gt;=INDEX(DB_malas!$C$2:$C$5000,MATCH(H537,DB_malas!$A$2:$A$5000,0)),IF(INDEX(DB_materiali!$E$2:$E$5000,MATCH($C537,DB_materiali!$A$2:$A$5000,0))&lt;=INDEX(DB_malas!$D$2:$D$5000,MATCH(H537,DB_malas!$A$2:$A$5000,0)),IF(OR(INDEX(DB_materiali!$B$2:$B$5000,MATCH($C537,DB_materiali!$A$2:$A$5000,0))=INDEX(DB_malas!$B$2:$B$5000,MATCH(H537,DB_malas!$A$2:$A$5000,0)),$H537="ORG"),"✔",tulkojums!$A$38),tulkojums!$A$39),tulkojums!$A$39))</f>
        <v/>
      </c>
      <c r="Q537" s="2" t="str">
        <f>IF(ISBLANK(I537),"",IF(INDEX(DB_materiali!$E$2:$E$5000,MATCH($C537,DB_materiali!$A$2:$A$5000,0))&gt;=INDEX(DB_malas!$C$2:$C$5000,MATCH(I537,DB_malas!$A$2:$A$5000,0)),IF(INDEX(DB_materiali!$E$2:$E$5000,MATCH($C537,DB_materiali!$A$2:$A$5000,0))&lt;=INDEX(DB_malas!$D$2:$D$5000,MATCH(I537,DB_malas!$A$2:$A$5000,0)),IF(OR(INDEX(DB_materiali!$B$2:$B$5000,MATCH($C537,DB_materiali!$A$2:$A$5000,0))=INDEX(DB_malas!$B$2:$B$5000,MATCH(I537,DB_malas!$A$2:$A$5000,0)),$H537="ORG"),"✔",tulkojums!$A$38),tulkojums!$A$39),tulkojums!$A$39))</f>
        <v/>
      </c>
      <c r="R537" s="2" t="str">
        <f>IF(ISBLANK(J537),"",IF(INDEX(DB_materiali!$E$2:$E$5000,MATCH($C537,DB_materiali!$A$2:$A$5000,0))&gt;=INDEX(DB_malas!$C$2:$C$5000,MATCH(J537,DB_malas!$A$2:$A$5000,0)),IF(INDEX(DB_materiali!$E$2:$E$5000,MATCH($C537,DB_materiali!$A$2:$A$5000,0))&lt;=INDEX(DB_malas!$D$2:$D$5000,MATCH(J537,DB_malas!$A$2:$A$5000,0)),IF(INDEX(DB_materiali!$B$2:$B$5000,MATCH($C537,DB_materiali!$A$2:$A$5000,0))=INDEX(DB_malas!$B$2:$B$5000,MATCH(J537,DB_malas!$A$2:$A$5000,0)),"✔",tulkojums!$A$38),tulkojums!$A$39),tulkojums!$A$39))</f>
        <v/>
      </c>
      <c r="S537" s="2" t="str">
        <f>IF(ISBLANK(K537),"",IF(INDEX(DB_materiali!$E$2:$E$5000,MATCH($C537,DB_materiali!$A$2:$A$5000,0))&gt;=INDEX(DB_malas!$C$2:$C$5000,MATCH(K537,DB_malas!$A$2:$A$5000,0)),IF(INDEX(DB_materiali!$E$2:$E$5000,MATCH($C537,DB_materiali!$A$2:$A$5000,0))&lt;=INDEX(DB_malas!$D$2:$D$5000,MATCH(K537,DB_malas!$A$2:$A$5000,0)),IF(INDEX(DB_materiali!$B$2:$B$5000,MATCH($C537,DB_materiali!$A$2:$A$5000,0))=INDEX(DB_malas!$B$2:$B$5000,MATCH(K537,DB_malas!$A$2:$A$5000,0)),"✔",tulkojums!$A$38),tulkojums!$A$39),tulkojums!$A$39))</f>
        <v/>
      </c>
      <c r="T537" s="2"/>
      <c r="U537" s="2"/>
      <c r="V537" s="2"/>
      <c r="W537" s="2"/>
      <c r="X537" s="2"/>
      <c r="Y537" s="2"/>
      <c r="Z537" s="2"/>
    </row>
    <row r="538" spans="1:26" ht="15.75" customHeight="1">
      <c r="A538" s="17"/>
      <c r="B538" s="18"/>
      <c r="C538" s="19"/>
      <c r="D538" s="55"/>
      <c r="E538" s="55"/>
      <c r="F538" s="56"/>
      <c r="G538" s="57" t="str">
        <f>IF(ISBLANK(C538),"",
   IFERROR(
      IF(
         INDEX(DB_materiali!C$2:C$5000,
               MATCH(C538, DB_materiali!A$2:A$5000, 0)
         )="FALSE",
         "N",
         "Y"
      ),
   "")
)</f>
        <v/>
      </c>
      <c r="H538" s="20"/>
      <c r="I538" s="20"/>
      <c r="J538" s="20"/>
      <c r="K538" s="20"/>
      <c r="M538" s="2" t="str">
        <f>IF(ISBLANK(C538),"",IF(IFERROR(VLOOKUP(C538,DB_materiali!$A$2:$A$5000,1,FALSE),"Kļūda artikulā")=C538,"✔",tulkojums!A$42))</f>
        <v/>
      </c>
      <c r="N538" s="2" t="str">
        <f>IF(ISBLANK(C538),"",IF(ISNUMBER(F538)=TRUE,"✔",tulkojums!A$43))</f>
        <v/>
      </c>
      <c r="O538" s="2" t="str">
        <f>IF(ISBLANK(C538),"",IF(G538="Y","✔",IF(G538="X","✔",IF(G538="N","✔",tulkojums!A$44))))</f>
        <v/>
      </c>
      <c r="P538" s="2" t="str">
        <f>IF(ISBLANK(H538),"",IF(INDEX(DB_materiali!$E$2:$E$5000,MATCH($C538,DB_materiali!$A$2:$A$5000,0))&gt;=INDEX(DB_malas!$C$2:$C$5000,MATCH(H538,DB_malas!$A$2:$A$5000,0)),IF(INDEX(DB_materiali!$E$2:$E$5000,MATCH($C538,DB_materiali!$A$2:$A$5000,0))&lt;=INDEX(DB_malas!$D$2:$D$5000,MATCH(H538,DB_malas!$A$2:$A$5000,0)),IF(OR(INDEX(DB_materiali!$B$2:$B$5000,MATCH($C538,DB_materiali!$A$2:$A$5000,0))=INDEX(DB_malas!$B$2:$B$5000,MATCH(H538,DB_malas!$A$2:$A$5000,0)),$H538="ORG"),"✔",tulkojums!$A$38),tulkojums!$A$39),tulkojums!$A$39))</f>
        <v/>
      </c>
      <c r="Q538" s="2" t="str">
        <f>IF(ISBLANK(I538),"",IF(INDEX(DB_materiali!$E$2:$E$5000,MATCH($C538,DB_materiali!$A$2:$A$5000,0))&gt;=INDEX(DB_malas!$C$2:$C$5000,MATCH(I538,DB_malas!$A$2:$A$5000,0)),IF(INDEX(DB_materiali!$E$2:$E$5000,MATCH($C538,DB_materiali!$A$2:$A$5000,0))&lt;=INDEX(DB_malas!$D$2:$D$5000,MATCH(I538,DB_malas!$A$2:$A$5000,0)),IF(OR(INDEX(DB_materiali!$B$2:$B$5000,MATCH($C538,DB_materiali!$A$2:$A$5000,0))=INDEX(DB_malas!$B$2:$B$5000,MATCH(I538,DB_malas!$A$2:$A$5000,0)),$H538="ORG"),"✔",tulkojums!$A$38),tulkojums!$A$39),tulkojums!$A$39))</f>
        <v/>
      </c>
      <c r="R538" s="2" t="str">
        <f>IF(ISBLANK(J538),"",IF(INDEX(DB_materiali!$E$2:$E$5000,MATCH($C538,DB_materiali!$A$2:$A$5000,0))&gt;=INDEX(DB_malas!$C$2:$C$5000,MATCH(J538,DB_malas!$A$2:$A$5000,0)),IF(INDEX(DB_materiali!$E$2:$E$5000,MATCH($C538,DB_materiali!$A$2:$A$5000,0))&lt;=INDEX(DB_malas!$D$2:$D$5000,MATCH(J538,DB_malas!$A$2:$A$5000,0)),IF(INDEX(DB_materiali!$B$2:$B$5000,MATCH($C538,DB_materiali!$A$2:$A$5000,0))=INDEX(DB_malas!$B$2:$B$5000,MATCH(J538,DB_malas!$A$2:$A$5000,0)),"✔",tulkojums!$A$38),tulkojums!$A$39),tulkojums!$A$39))</f>
        <v/>
      </c>
      <c r="S538" s="2" t="str">
        <f>IF(ISBLANK(K538),"",IF(INDEX(DB_materiali!$E$2:$E$5000,MATCH($C538,DB_materiali!$A$2:$A$5000,0))&gt;=INDEX(DB_malas!$C$2:$C$5000,MATCH(K538,DB_malas!$A$2:$A$5000,0)),IF(INDEX(DB_materiali!$E$2:$E$5000,MATCH($C538,DB_materiali!$A$2:$A$5000,0))&lt;=INDEX(DB_malas!$D$2:$D$5000,MATCH(K538,DB_malas!$A$2:$A$5000,0)),IF(INDEX(DB_materiali!$B$2:$B$5000,MATCH($C538,DB_materiali!$A$2:$A$5000,0))=INDEX(DB_malas!$B$2:$B$5000,MATCH(K538,DB_malas!$A$2:$A$5000,0)),"✔",tulkojums!$A$38),tulkojums!$A$39),tulkojums!$A$39))</f>
        <v/>
      </c>
      <c r="T538" s="2"/>
      <c r="U538" s="2"/>
      <c r="V538" s="2"/>
      <c r="W538" s="2"/>
      <c r="X538" s="2"/>
      <c r="Y538" s="2"/>
      <c r="Z538" s="2"/>
    </row>
    <row r="539" spans="1:26" ht="15.75" customHeight="1">
      <c r="A539" s="17"/>
      <c r="B539" s="18"/>
      <c r="C539" s="19"/>
      <c r="D539" s="55"/>
      <c r="E539" s="55"/>
      <c r="F539" s="56"/>
      <c r="G539" s="57" t="str">
        <f>IF(ISBLANK(C539),"",
   IFERROR(
      IF(
         INDEX(DB_materiali!C$2:C$5000,
               MATCH(C539, DB_materiali!A$2:A$5000, 0)
         )="FALSE",
         "N",
         "Y"
      ),
   "")
)</f>
        <v/>
      </c>
      <c r="H539" s="20"/>
      <c r="I539" s="20"/>
      <c r="J539" s="20"/>
      <c r="K539" s="20"/>
      <c r="M539" s="2" t="str">
        <f>IF(ISBLANK(C539),"",IF(IFERROR(VLOOKUP(C539,DB_materiali!$A$2:$A$5000,1,FALSE),"Kļūda artikulā")=C539,"✔",tulkojums!A$42))</f>
        <v/>
      </c>
      <c r="N539" s="2" t="str">
        <f>IF(ISBLANK(C539),"",IF(ISNUMBER(F539)=TRUE,"✔",tulkojums!A$43))</f>
        <v/>
      </c>
      <c r="O539" s="2" t="str">
        <f>IF(ISBLANK(C539),"",IF(G539="Y","✔",IF(G539="X","✔",IF(G539="N","✔",tulkojums!A$44))))</f>
        <v/>
      </c>
      <c r="P539" s="2" t="str">
        <f>IF(ISBLANK(H539),"",IF(INDEX(DB_materiali!$E$2:$E$5000,MATCH($C539,DB_materiali!$A$2:$A$5000,0))&gt;=INDEX(DB_malas!$C$2:$C$5000,MATCH(H539,DB_malas!$A$2:$A$5000,0)),IF(INDEX(DB_materiali!$E$2:$E$5000,MATCH($C539,DB_materiali!$A$2:$A$5000,0))&lt;=INDEX(DB_malas!$D$2:$D$5000,MATCH(H539,DB_malas!$A$2:$A$5000,0)),IF(OR(INDEX(DB_materiali!$B$2:$B$5000,MATCH($C539,DB_materiali!$A$2:$A$5000,0))=INDEX(DB_malas!$B$2:$B$5000,MATCH(H539,DB_malas!$A$2:$A$5000,0)),$H539="ORG"),"✔",tulkojums!$A$38),tulkojums!$A$39),tulkojums!$A$39))</f>
        <v/>
      </c>
      <c r="Q539" s="2" t="str">
        <f>IF(ISBLANK(I539),"",IF(INDEX(DB_materiali!$E$2:$E$5000,MATCH($C539,DB_materiali!$A$2:$A$5000,0))&gt;=INDEX(DB_malas!$C$2:$C$5000,MATCH(I539,DB_malas!$A$2:$A$5000,0)),IF(INDEX(DB_materiali!$E$2:$E$5000,MATCH($C539,DB_materiali!$A$2:$A$5000,0))&lt;=INDEX(DB_malas!$D$2:$D$5000,MATCH(I539,DB_malas!$A$2:$A$5000,0)),IF(OR(INDEX(DB_materiali!$B$2:$B$5000,MATCH($C539,DB_materiali!$A$2:$A$5000,0))=INDEX(DB_malas!$B$2:$B$5000,MATCH(I539,DB_malas!$A$2:$A$5000,0)),$H539="ORG"),"✔",tulkojums!$A$38),tulkojums!$A$39),tulkojums!$A$39))</f>
        <v/>
      </c>
      <c r="R539" s="2" t="str">
        <f>IF(ISBLANK(J539),"",IF(INDEX(DB_materiali!$E$2:$E$5000,MATCH($C539,DB_materiali!$A$2:$A$5000,0))&gt;=INDEX(DB_malas!$C$2:$C$5000,MATCH(J539,DB_malas!$A$2:$A$5000,0)),IF(INDEX(DB_materiali!$E$2:$E$5000,MATCH($C539,DB_materiali!$A$2:$A$5000,0))&lt;=INDEX(DB_malas!$D$2:$D$5000,MATCH(J539,DB_malas!$A$2:$A$5000,0)),IF(INDEX(DB_materiali!$B$2:$B$5000,MATCH($C539,DB_materiali!$A$2:$A$5000,0))=INDEX(DB_malas!$B$2:$B$5000,MATCH(J539,DB_malas!$A$2:$A$5000,0)),"✔",tulkojums!$A$38),tulkojums!$A$39),tulkojums!$A$39))</f>
        <v/>
      </c>
      <c r="S539" s="2" t="str">
        <f>IF(ISBLANK(K539),"",IF(INDEX(DB_materiali!$E$2:$E$5000,MATCH($C539,DB_materiali!$A$2:$A$5000,0))&gt;=INDEX(DB_malas!$C$2:$C$5000,MATCH(K539,DB_malas!$A$2:$A$5000,0)),IF(INDEX(DB_materiali!$E$2:$E$5000,MATCH($C539,DB_materiali!$A$2:$A$5000,0))&lt;=INDEX(DB_malas!$D$2:$D$5000,MATCH(K539,DB_malas!$A$2:$A$5000,0)),IF(INDEX(DB_materiali!$B$2:$B$5000,MATCH($C539,DB_materiali!$A$2:$A$5000,0))=INDEX(DB_malas!$B$2:$B$5000,MATCH(K539,DB_malas!$A$2:$A$5000,0)),"✔",tulkojums!$A$38),tulkojums!$A$39),tulkojums!$A$39))</f>
        <v/>
      </c>
      <c r="T539" s="2"/>
      <c r="U539" s="2"/>
      <c r="V539" s="2"/>
      <c r="W539" s="2"/>
      <c r="X539" s="2"/>
      <c r="Y539" s="2"/>
      <c r="Z539" s="2"/>
    </row>
    <row r="540" spans="1:26" ht="15.75" customHeight="1">
      <c r="A540" s="17"/>
      <c r="B540" s="18"/>
      <c r="C540" s="19"/>
      <c r="D540" s="55"/>
      <c r="E540" s="55"/>
      <c r="F540" s="56"/>
      <c r="G540" s="57" t="str">
        <f>IF(ISBLANK(C540),"",
   IFERROR(
      IF(
         INDEX(DB_materiali!C$2:C$5000,
               MATCH(C540, DB_materiali!A$2:A$5000, 0)
         )="FALSE",
         "N",
         "Y"
      ),
   "")
)</f>
        <v/>
      </c>
      <c r="H540" s="20"/>
      <c r="I540" s="20"/>
      <c r="J540" s="20"/>
      <c r="K540" s="20"/>
      <c r="M540" s="2" t="str">
        <f>IF(ISBLANK(C540),"",IF(IFERROR(VLOOKUP(C540,DB_materiali!$A$2:$A$5000,1,FALSE),"Kļūda artikulā")=C540,"✔",tulkojums!A$42))</f>
        <v/>
      </c>
      <c r="N540" s="2" t="str">
        <f>IF(ISBLANK(C540),"",IF(ISNUMBER(F540)=TRUE,"✔",tulkojums!A$43))</f>
        <v/>
      </c>
      <c r="O540" s="2" t="str">
        <f>IF(ISBLANK(C540),"",IF(G540="Y","✔",IF(G540="X","✔",IF(G540="N","✔",tulkojums!A$44))))</f>
        <v/>
      </c>
      <c r="P540" s="2" t="str">
        <f>IF(ISBLANK(H540),"",IF(INDEX(DB_materiali!$E$2:$E$5000,MATCH($C540,DB_materiali!$A$2:$A$5000,0))&gt;=INDEX(DB_malas!$C$2:$C$5000,MATCH(H540,DB_malas!$A$2:$A$5000,0)),IF(INDEX(DB_materiali!$E$2:$E$5000,MATCH($C540,DB_materiali!$A$2:$A$5000,0))&lt;=INDEX(DB_malas!$D$2:$D$5000,MATCH(H540,DB_malas!$A$2:$A$5000,0)),IF(OR(INDEX(DB_materiali!$B$2:$B$5000,MATCH($C540,DB_materiali!$A$2:$A$5000,0))=INDEX(DB_malas!$B$2:$B$5000,MATCH(H540,DB_malas!$A$2:$A$5000,0)),$H540="ORG"),"✔",tulkojums!$A$38),tulkojums!$A$39),tulkojums!$A$39))</f>
        <v/>
      </c>
      <c r="Q540" s="2" t="str">
        <f>IF(ISBLANK(I540),"",IF(INDEX(DB_materiali!$E$2:$E$5000,MATCH($C540,DB_materiali!$A$2:$A$5000,0))&gt;=INDEX(DB_malas!$C$2:$C$5000,MATCH(I540,DB_malas!$A$2:$A$5000,0)),IF(INDEX(DB_materiali!$E$2:$E$5000,MATCH($C540,DB_materiali!$A$2:$A$5000,0))&lt;=INDEX(DB_malas!$D$2:$D$5000,MATCH(I540,DB_malas!$A$2:$A$5000,0)),IF(OR(INDEX(DB_materiali!$B$2:$B$5000,MATCH($C540,DB_materiali!$A$2:$A$5000,0))=INDEX(DB_malas!$B$2:$B$5000,MATCH(I540,DB_malas!$A$2:$A$5000,0)),$H540="ORG"),"✔",tulkojums!$A$38),tulkojums!$A$39),tulkojums!$A$39))</f>
        <v/>
      </c>
      <c r="R540" s="2" t="str">
        <f>IF(ISBLANK(J540),"",IF(INDEX(DB_materiali!$E$2:$E$5000,MATCH($C540,DB_materiali!$A$2:$A$5000,0))&gt;=INDEX(DB_malas!$C$2:$C$5000,MATCH(J540,DB_malas!$A$2:$A$5000,0)),IF(INDEX(DB_materiali!$E$2:$E$5000,MATCH($C540,DB_materiali!$A$2:$A$5000,0))&lt;=INDEX(DB_malas!$D$2:$D$5000,MATCH(J540,DB_malas!$A$2:$A$5000,0)),IF(INDEX(DB_materiali!$B$2:$B$5000,MATCH($C540,DB_materiali!$A$2:$A$5000,0))=INDEX(DB_malas!$B$2:$B$5000,MATCH(J540,DB_malas!$A$2:$A$5000,0)),"✔",tulkojums!$A$38),tulkojums!$A$39),tulkojums!$A$39))</f>
        <v/>
      </c>
      <c r="S540" s="2" t="str">
        <f>IF(ISBLANK(K540),"",IF(INDEX(DB_materiali!$E$2:$E$5000,MATCH($C540,DB_materiali!$A$2:$A$5000,0))&gt;=INDEX(DB_malas!$C$2:$C$5000,MATCH(K540,DB_malas!$A$2:$A$5000,0)),IF(INDEX(DB_materiali!$E$2:$E$5000,MATCH($C540,DB_materiali!$A$2:$A$5000,0))&lt;=INDEX(DB_malas!$D$2:$D$5000,MATCH(K540,DB_malas!$A$2:$A$5000,0)),IF(INDEX(DB_materiali!$B$2:$B$5000,MATCH($C540,DB_materiali!$A$2:$A$5000,0))=INDEX(DB_malas!$B$2:$B$5000,MATCH(K540,DB_malas!$A$2:$A$5000,0)),"✔",tulkojums!$A$38),tulkojums!$A$39),tulkojums!$A$39))</f>
        <v/>
      </c>
      <c r="T540" s="2"/>
      <c r="U540" s="2"/>
      <c r="V540" s="2"/>
      <c r="W540" s="2"/>
      <c r="X540" s="2"/>
      <c r="Y540" s="2"/>
      <c r="Z540" s="2"/>
    </row>
    <row r="541" spans="1:26" ht="15.75" customHeight="1">
      <c r="A541" s="17"/>
      <c r="B541" s="18"/>
      <c r="C541" s="19"/>
      <c r="D541" s="55"/>
      <c r="E541" s="55"/>
      <c r="F541" s="56"/>
      <c r="G541" s="57" t="str">
        <f>IF(ISBLANK(C541),"",
   IFERROR(
      IF(
         INDEX(DB_materiali!C$2:C$5000,
               MATCH(C541, DB_materiali!A$2:A$5000, 0)
         )="FALSE",
         "N",
         "Y"
      ),
   "")
)</f>
        <v/>
      </c>
      <c r="H541" s="20"/>
      <c r="I541" s="20"/>
      <c r="J541" s="20"/>
      <c r="K541" s="20"/>
      <c r="M541" s="2" t="str">
        <f>IF(ISBLANK(C541),"",IF(IFERROR(VLOOKUP(C541,DB_materiali!$A$2:$A$5000,1,FALSE),"Kļūda artikulā")=C541,"✔",tulkojums!A$42))</f>
        <v/>
      </c>
      <c r="N541" s="2" t="str">
        <f>IF(ISBLANK(C541),"",IF(ISNUMBER(F541)=TRUE,"✔",tulkojums!A$43))</f>
        <v/>
      </c>
      <c r="O541" s="2" t="str">
        <f>IF(ISBLANK(C541),"",IF(G541="Y","✔",IF(G541="X","✔",IF(G541="N","✔",tulkojums!A$44))))</f>
        <v/>
      </c>
      <c r="P541" s="2" t="str">
        <f>IF(ISBLANK(H541),"",IF(INDEX(DB_materiali!$E$2:$E$5000,MATCH($C541,DB_materiali!$A$2:$A$5000,0))&gt;=INDEX(DB_malas!$C$2:$C$5000,MATCH(H541,DB_malas!$A$2:$A$5000,0)),IF(INDEX(DB_materiali!$E$2:$E$5000,MATCH($C541,DB_materiali!$A$2:$A$5000,0))&lt;=INDEX(DB_malas!$D$2:$D$5000,MATCH(H541,DB_malas!$A$2:$A$5000,0)),IF(OR(INDEX(DB_materiali!$B$2:$B$5000,MATCH($C541,DB_materiali!$A$2:$A$5000,0))=INDEX(DB_malas!$B$2:$B$5000,MATCH(H541,DB_malas!$A$2:$A$5000,0)),$H541="ORG"),"✔",tulkojums!$A$38),tulkojums!$A$39),tulkojums!$A$39))</f>
        <v/>
      </c>
      <c r="Q541" s="2" t="str">
        <f>IF(ISBLANK(I541),"",IF(INDEX(DB_materiali!$E$2:$E$5000,MATCH($C541,DB_materiali!$A$2:$A$5000,0))&gt;=INDEX(DB_malas!$C$2:$C$5000,MATCH(I541,DB_malas!$A$2:$A$5000,0)),IF(INDEX(DB_materiali!$E$2:$E$5000,MATCH($C541,DB_materiali!$A$2:$A$5000,0))&lt;=INDEX(DB_malas!$D$2:$D$5000,MATCH(I541,DB_malas!$A$2:$A$5000,0)),IF(OR(INDEX(DB_materiali!$B$2:$B$5000,MATCH($C541,DB_materiali!$A$2:$A$5000,0))=INDEX(DB_malas!$B$2:$B$5000,MATCH(I541,DB_malas!$A$2:$A$5000,0)),$H541="ORG"),"✔",tulkojums!$A$38),tulkojums!$A$39),tulkojums!$A$39))</f>
        <v/>
      </c>
      <c r="R541" s="2" t="str">
        <f>IF(ISBLANK(J541),"",IF(INDEX(DB_materiali!$E$2:$E$5000,MATCH($C541,DB_materiali!$A$2:$A$5000,0))&gt;=INDEX(DB_malas!$C$2:$C$5000,MATCH(J541,DB_malas!$A$2:$A$5000,0)),IF(INDEX(DB_materiali!$E$2:$E$5000,MATCH($C541,DB_materiali!$A$2:$A$5000,0))&lt;=INDEX(DB_malas!$D$2:$D$5000,MATCH(J541,DB_malas!$A$2:$A$5000,0)),IF(INDEX(DB_materiali!$B$2:$B$5000,MATCH($C541,DB_materiali!$A$2:$A$5000,0))=INDEX(DB_malas!$B$2:$B$5000,MATCH(J541,DB_malas!$A$2:$A$5000,0)),"✔",tulkojums!$A$38),tulkojums!$A$39),tulkojums!$A$39))</f>
        <v/>
      </c>
      <c r="S541" s="2" t="str">
        <f>IF(ISBLANK(K541),"",IF(INDEX(DB_materiali!$E$2:$E$5000,MATCH($C541,DB_materiali!$A$2:$A$5000,0))&gt;=INDEX(DB_malas!$C$2:$C$5000,MATCH(K541,DB_malas!$A$2:$A$5000,0)),IF(INDEX(DB_materiali!$E$2:$E$5000,MATCH($C541,DB_materiali!$A$2:$A$5000,0))&lt;=INDEX(DB_malas!$D$2:$D$5000,MATCH(K541,DB_malas!$A$2:$A$5000,0)),IF(INDEX(DB_materiali!$B$2:$B$5000,MATCH($C541,DB_materiali!$A$2:$A$5000,0))=INDEX(DB_malas!$B$2:$B$5000,MATCH(K541,DB_malas!$A$2:$A$5000,0)),"✔",tulkojums!$A$38),tulkojums!$A$39),tulkojums!$A$39))</f>
        <v/>
      </c>
      <c r="T541" s="2"/>
      <c r="U541" s="2"/>
      <c r="V541" s="2"/>
      <c r="W541" s="2"/>
      <c r="X541" s="2"/>
      <c r="Y541" s="2"/>
      <c r="Z541" s="2"/>
    </row>
    <row r="542" spans="1:26" ht="15.75" customHeight="1">
      <c r="A542" s="17"/>
      <c r="B542" s="18"/>
      <c r="C542" s="19"/>
      <c r="D542" s="55"/>
      <c r="E542" s="55"/>
      <c r="F542" s="56"/>
      <c r="G542" s="57" t="str">
        <f>IF(ISBLANK(C542),"",
   IFERROR(
      IF(
         INDEX(DB_materiali!C$2:C$5000,
               MATCH(C542, DB_materiali!A$2:A$5000, 0)
         )="FALSE",
         "N",
         "Y"
      ),
   "")
)</f>
        <v/>
      </c>
      <c r="H542" s="20"/>
      <c r="I542" s="20"/>
      <c r="J542" s="20"/>
      <c r="K542" s="20"/>
      <c r="M542" s="2" t="str">
        <f>IF(ISBLANK(C542),"",IF(IFERROR(VLOOKUP(C542,DB_materiali!$A$2:$A$5000,1,FALSE),"Kļūda artikulā")=C542,"✔",tulkojums!A$42))</f>
        <v/>
      </c>
      <c r="N542" s="2" t="str">
        <f>IF(ISBLANK(C542),"",IF(ISNUMBER(F542)=TRUE,"✔",tulkojums!A$43))</f>
        <v/>
      </c>
      <c r="O542" s="2" t="str">
        <f>IF(ISBLANK(C542),"",IF(G542="Y","✔",IF(G542="X","✔",IF(G542="N","✔",tulkojums!A$44))))</f>
        <v/>
      </c>
      <c r="P542" s="2" t="str">
        <f>IF(ISBLANK(H542),"",IF(INDEX(DB_materiali!$E$2:$E$5000,MATCH($C542,DB_materiali!$A$2:$A$5000,0))&gt;=INDEX(DB_malas!$C$2:$C$5000,MATCH(H542,DB_malas!$A$2:$A$5000,0)),IF(INDEX(DB_materiali!$E$2:$E$5000,MATCH($C542,DB_materiali!$A$2:$A$5000,0))&lt;=INDEX(DB_malas!$D$2:$D$5000,MATCH(H542,DB_malas!$A$2:$A$5000,0)),IF(OR(INDEX(DB_materiali!$B$2:$B$5000,MATCH($C542,DB_materiali!$A$2:$A$5000,0))=INDEX(DB_malas!$B$2:$B$5000,MATCH(H542,DB_malas!$A$2:$A$5000,0)),$H542="ORG"),"✔",tulkojums!$A$38),tulkojums!$A$39),tulkojums!$A$39))</f>
        <v/>
      </c>
      <c r="Q542" s="2" t="str">
        <f>IF(ISBLANK(I542),"",IF(INDEX(DB_materiali!$E$2:$E$5000,MATCH($C542,DB_materiali!$A$2:$A$5000,0))&gt;=INDEX(DB_malas!$C$2:$C$5000,MATCH(I542,DB_malas!$A$2:$A$5000,0)),IF(INDEX(DB_materiali!$E$2:$E$5000,MATCH($C542,DB_materiali!$A$2:$A$5000,0))&lt;=INDEX(DB_malas!$D$2:$D$5000,MATCH(I542,DB_malas!$A$2:$A$5000,0)),IF(OR(INDEX(DB_materiali!$B$2:$B$5000,MATCH($C542,DB_materiali!$A$2:$A$5000,0))=INDEX(DB_malas!$B$2:$B$5000,MATCH(I542,DB_malas!$A$2:$A$5000,0)),$H542="ORG"),"✔",tulkojums!$A$38),tulkojums!$A$39),tulkojums!$A$39))</f>
        <v/>
      </c>
      <c r="R542" s="2" t="str">
        <f>IF(ISBLANK(J542),"",IF(INDEX(DB_materiali!$E$2:$E$5000,MATCH($C542,DB_materiali!$A$2:$A$5000,0))&gt;=INDEX(DB_malas!$C$2:$C$5000,MATCH(J542,DB_malas!$A$2:$A$5000,0)),IF(INDEX(DB_materiali!$E$2:$E$5000,MATCH($C542,DB_materiali!$A$2:$A$5000,0))&lt;=INDEX(DB_malas!$D$2:$D$5000,MATCH(J542,DB_malas!$A$2:$A$5000,0)),IF(INDEX(DB_materiali!$B$2:$B$5000,MATCH($C542,DB_materiali!$A$2:$A$5000,0))=INDEX(DB_malas!$B$2:$B$5000,MATCH(J542,DB_malas!$A$2:$A$5000,0)),"✔",tulkojums!$A$38),tulkojums!$A$39),tulkojums!$A$39))</f>
        <v/>
      </c>
      <c r="S542" s="2" t="str">
        <f>IF(ISBLANK(K542),"",IF(INDEX(DB_materiali!$E$2:$E$5000,MATCH($C542,DB_materiali!$A$2:$A$5000,0))&gt;=INDEX(DB_malas!$C$2:$C$5000,MATCH(K542,DB_malas!$A$2:$A$5000,0)),IF(INDEX(DB_materiali!$E$2:$E$5000,MATCH($C542,DB_materiali!$A$2:$A$5000,0))&lt;=INDEX(DB_malas!$D$2:$D$5000,MATCH(K542,DB_malas!$A$2:$A$5000,0)),IF(INDEX(DB_materiali!$B$2:$B$5000,MATCH($C542,DB_materiali!$A$2:$A$5000,0))=INDEX(DB_malas!$B$2:$B$5000,MATCH(K542,DB_malas!$A$2:$A$5000,0)),"✔",tulkojums!$A$38),tulkojums!$A$39),tulkojums!$A$39))</f>
        <v/>
      </c>
      <c r="T542" s="2"/>
      <c r="U542" s="2"/>
      <c r="V542" s="2"/>
      <c r="W542" s="2"/>
      <c r="X542" s="2"/>
      <c r="Y542" s="2"/>
      <c r="Z542" s="2"/>
    </row>
    <row r="543" spans="1:26" ht="15.75" customHeight="1">
      <c r="A543" s="17"/>
      <c r="B543" s="18"/>
      <c r="C543" s="19"/>
      <c r="D543" s="55"/>
      <c r="E543" s="55"/>
      <c r="F543" s="56"/>
      <c r="G543" s="57" t="str">
        <f>IF(ISBLANK(C543),"",
   IFERROR(
      IF(
         INDEX(DB_materiali!C$2:C$5000,
               MATCH(C543, DB_materiali!A$2:A$5000, 0)
         )="FALSE",
         "N",
         "Y"
      ),
   "")
)</f>
        <v/>
      </c>
      <c r="H543" s="20"/>
      <c r="I543" s="20"/>
      <c r="J543" s="20"/>
      <c r="K543" s="20"/>
      <c r="M543" s="2" t="str">
        <f>IF(ISBLANK(C543),"",IF(IFERROR(VLOOKUP(C543,DB_materiali!$A$2:$A$5000,1,FALSE),"Kļūda artikulā")=C543,"✔",tulkojums!A$42))</f>
        <v/>
      </c>
      <c r="N543" s="2" t="str">
        <f>IF(ISBLANK(C543),"",IF(ISNUMBER(F543)=TRUE,"✔",tulkojums!A$43))</f>
        <v/>
      </c>
      <c r="O543" s="2" t="str">
        <f>IF(ISBLANK(C543),"",IF(G543="Y","✔",IF(G543="X","✔",IF(G543="N","✔",tulkojums!A$44))))</f>
        <v/>
      </c>
      <c r="P543" s="2" t="str">
        <f>IF(ISBLANK(H543),"",IF(INDEX(DB_materiali!$E$2:$E$5000,MATCH($C543,DB_materiali!$A$2:$A$5000,0))&gt;=INDEX(DB_malas!$C$2:$C$5000,MATCH(H543,DB_malas!$A$2:$A$5000,0)),IF(INDEX(DB_materiali!$E$2:$E$5000,MATCH($C543,DB_materiali!$A$2:$A$5000,0))&lt;=INDEX(DB_malas!$D$2:$D$5000,MATCH(H543,DB_malas!$A$2:$A$5000,0)),IF(OR(INDEX(DB_materiali!$B$2:$B$5000,MATCH($C543,DB_materiali!$A$2:$A$5000,0))=INDEX(DB_malas!$B$2:$B$5000,MATCH(H543,DB_malas!$A$2:$A$5000,0)),$H543="ORG"),"✔",tulkojums!$A$38),tulkojums!$A$39),tulkojums!$A$39))</f>
        <v/>
      </c>
      <c r="Q543" s="2" t="str">
        <f>IF(ISBLANK(I543),"",IF(INDEX(DB_materiali!$E$2:$E$5000,MATCH($C543,DB_materiali!$A$2:$A$5000,0))&gt;=INDEX(DB_malas!$C$2:$C$5000,MATCH(I543,DB_malas!$A$2:$A$5000,0)),IF(INDEX(DB_materiali!$E$2:$E$5000,MATCH($C543,DB_materiali!$A$2:$A$5000,0))&lt;=INDEX(DB_malas!$D$2:$D$5000,MATCH(I543,DB_malas!$A$2:$A$5000,0)),IF(OR(INDEX(DB_materiali!$B$2:$B$5000,MATCH($C543,DB_materiali!$A$2:$A$5000,0))=INDEX(DB_malas!$B$2:$B$5000,MATCH(I543,DB_malas!$A$2:$A$5000,0)),$H543="ORG"),"✔",tulkojums!$A$38),tulkojums!$A$39),tulkojums!$A$39))</f>
        <v/>
      </c>
      <c r="R543" s="2" t="str">
        <f>IF(ISBLANK(J543),"",IF(INDEX(DB_materiali!$E$2:$E$5000,MATCH($C543,DB_materiali!$A$2:$A$5000,0))&gt;=INDEX(DB_malas!$C$2:$C$5000,MATCH(J543,DB_malas!$A$2:$A$5000,0)),IF(INDEX(DB_materiali!$E$2:$E$5000,MATCH($C543,DB_materiali!$A$2:$A$5000,0))&lt;=INDEX(DB_malas!$D$2:$D$5000,MATCH(J543,DB_malas!$A$2:$A$5000,0)),IF(INDEX(DB_materiali!$B$2:$B$5000,MATCH($C543,DB_materiali!$A$2:$A$5000,0))=INDEX(DB_malas!$B$2:$B$5000,MATCH(J543,DB_malas!$A$2:$A$5000,0)),"✔",tulkojums!$A$38),tulkojums!$A$39),tulkojums!$A$39))</f>
        <v/>
      </c>
      <c r="S543" s="2" t="str">
        <f>IF(ISBLANK(K543),"",IF(INDEX(DB_materiali!$E$2:$E$5000,MATCH($C543,DB_materiali!$A$2:$A$5000,0))&gt;=INDEX(DB_malas!$C$2:$C$5000,MATCH(K543,DB_malas!$A$2:$A$5000,0)),IF(INDEX(DB_materiali!$E$2:$E$5000,MATCH($C543,DB_materiali!$A$2:$A$5000,0))&lt;=INDEX(DB_malas!$D$2:$D$5000,MATCH(K543,DB_malas!$A$2:$A$5000,0)),IF(INDEX(DB_materiali!$B$2:$B$5000,MATCH($C543,DB_materiali!$A$2:$A$5000,0))=INDEX(DB_malas!$B$2:$B$5000,MATCH(K543,DB_malas!$A$2:$A$5000,0)),"✔",tulkojums!$A$38),tulkojums!$A$39),tulkojums!$A$39))</f>
        <v/>
      </c>
      <c r="T543" s="2"/>
      <c r="U543" s="2"/>
      <c r="V543" s="2"/>
      <c r="W543" s="2"/>
      <c r="X543" s="2"/>
      <c r="Y543" s="2"/>
      <c r="Z543" s="2"/>
    </row>
    <row r="544" spans="1:26" ht="15.75" customHeight="1">
      <c r="A544" s="17"/>
      <c r="B544" s="18"/>
      <c r="C544" s="19"/>
      <c r="D544" s="55"/>
      <c r="E544" s="55"/>
      <c r="F544" s="56"/>
      <c r="G544" s="57" t="str">
        <f>IF(ISBLANK(C544),"",
   IFERROR(
      IF(
         INDEX(DB_materiali!C$2:C$5000,
               MATCH(C544, DB_materiali!A$2:A$5000, 0)
         )="FALSE",
         "N",
         "Y"
      ),
   "")
)</f>
        <v/>
      </c>
      <c r="H544" s="20"/>
      <c r="I544" s="20"/>
      <c r="J544" s="20"/>
      <c r="K544" s="20"/>
      <c r="M544" s="2" t="str">
        <f>IF(ISBLANK(C544),"",IF(IFERROR(VLOOKUP(C544,DB_materiali!$A$2:$A$5000,1,FALSE),"Kļūda artikulā")=C544,"✔",tulkojums!A$42))</f>
        <v/>
      </c>
      <c r="N544" s="2" t="str">
        <f>IF(ISBLANK(C544),"",IF(ISNUMBER(F544)=TRUE,"✔",tulkojums!A$43))</f>
        <v/>
      </c>
      <c r="O544" s="2" t="str">
        <f>IF(ISBLANK(C544),"",IF(G544="Y","✔",IF(G544="X","✔",IF(G544="N","✔",tulkojums!A$44))))</f>
        <v/>
      </c>
      <c r="P544" s="2" t="str">
        <f>IF(ISBLANK(H544),"",IF(INDEX(DB_materiali!$E$2:$E$5000,MATCH($C544,DB_materiali!$A$2:$A$5000,0))&gt;=INDEX(DB_malas!$C$2:$C$5000,MATCH(H544,DB_malas!$A$2:$A$5000,0)),IF(INDEX(DB_materiali!$E$2:$E$5000,MATCH($C544,DB_materiali!$A$2:$A$5000,0))&lt;=INDEX(DB_malas!$D$2:$D$5000,MATCH(H544,DB_malas!$A$2:$A$5000,0)),IF(OR(INDEX(DB_materiali!$B$2:$B$5000,MATCH($C544,DB_materiali!$A$2:$A$5000,0))=INDEX(DB_malas!$B$2:$B$5000,MATCH(H544,DB_malas!$A$2:$A$5000,0)),$H544="ORG"),"✔",tulkojums!$A$38),tulkojums!$A$39),tulkojums!$A$39))</f>
        <v/>
      </c>
      <c r="Q544" s="2" t="str">
        <f>IF(ISBLANK(I544),"",IF(INDEX(DB_materiali!$E$2:$E$5000,MATCH($C544,DB_materiali!$A$2:$A$5000,0))&gt;=INDEX(DB_malas!$C$2:$C$5000,MATCH(I544,DB_malas!$A$2:$A$5000,0)),IF(INDEX(DB_materiali!$E$2:$E$5000,MATCH($C544,DB_materiali!$A$2:$A$5000,0))&lt;=INDEX(DB_malas!$D$2:$D$5000,MATCH(I544,DB_malas!$A$2:$A$5000,0)),IF(OR(INDEX(DB_materiali!$B$2:$B$5000,MATCH($C544,DB_materiali!$A$2:$A$5000,0))=INDEX(DB_malas!$B$2:$B$5000,MATCH(I544,DB_malas!$A$2:$A$5000,0)),$H544="ORG"),"✔",tulkojums!$A$38),tulkojums!$A$39),tulkojums!$A$39))</f>
        <v/>
      </c>
      <c r="R544" s="2" t="str">
        <f>IF(ISBLANK(J544),"",IF(INDEX(DB_materiali!$E$2:$E$5000,MATCH($C544,DB_materiali!$A$2:$A$5000,0))&gt;=INDEX(DB_malas!$C$2:$C$5000,MATCH(J544,DB_malas!$A$2:$A$5000,0)),IF(INDEX(DB_materiali!$E$2:$E$5000,MATCH($C544,DB_materiali!$A$2:$A$5000,0))&lt;=INDEX(DB_malas!$D$2:$D$5000,MATCH(J544,DB_malas!$A$2:$A$5000,0)),IF(INDEX(DB_materiali!$B$2:$B$5000,MATCH($C544,DB_materiali!$A$2:$A$5000,0))=INDEX(DB_malas!$B$2:$B$5000,MATCH(J544,DB_malas!$A$2:$A$5000,0)),"✔",tulkojums!$A$38),tulkojums!$A$39),tulkojums!$A$39))</f>
        <v/>
      </c>
      <c r="S544" s="2" t="str">
        <f>IF(ISBLANK(K544),"",IF(INDEX(DB_materiali!$E$2:$E$5000,MATCH($C544,DB_materiali!$A$2:$A$5000,0))&gt;=INDEX(DB_malas!$C$2:$C$5000,MATCH(K544,DB_malas!$A$2:$A$5000,0)),IF(INDEX(DB_materiali!$E$2:$E$5000,MATCH($C544,DB_materiali!$A$2:$A$5000,0))&lt;=INDEX(DB_malas!$D$2:$D$5000,MATCH(K544,DB_malas!$A$2:$A$5000,0)),IF(INDEX(DB_materiali!$B$2:$B$5000,MATCH($C544,DB_materiali!$A$2:$A$5000,0))=INDEX(DB_malas!$B$2:$B$5000,MATCH(K544,DB_malas!$A$2:$A$5000,0)),"✔",tulkojums!$A$38),tulkojums!$A$39),tulkojums!$A$39))</f>
        <v/>
      </c>
      <c r="T544" s="2"/>
      <c r="U544" s="2"/>
      <c r="V544" s="2"/>
      <c r="W544" s="2"/>
      <c r="X544" s="2"/>
      <c r="Y544" s="2"/>
      <c r="Z544" s="2"/>
    </row>
    <row r="545" spans="1:26" ht="15.75" customHeight="1">
      <c r="A545" s="17"/>
      <c r="B545" s="18"/>
      <c r="C545" s="19"/>
      <c r="D545" s="55"/>
      <c r="E545" s="55"/>
      <c r="F545" s="56"/>
      <c r="G545" s="57" t="str">
        <f>IF(ISBLANK(C545),"",
   IFERROR(
      IF(
         INDEX(DB_materiali!C$2:C$5000,
               MATCH(C545, DB_materiali!A$2:A$5000, 0)
         )="FALSE",
         "N",
         "Y"
      ),
   "")
)</f>
        <v/>
      </c>
      <c r="H545" s="20"/>
      <c r="I545" s="20"/>
      <c r="J545" s="20"/>
      <c r="K545" s="20"/>
      <c r="M545" s="2" t="str">
        <f>IF(ISBLANK(C545),"",IF(IFERROR(VLOOKUP(C545,DB_materiali!$A$2:$A$5000,1,FALSE),"Kļūda artikulā")=C545,"✔",tulkojums!A$42))</f>
        <v/>
      </c>
      <c r="N545" s="2" t="str">
        <f>IF(ISBLANK(C545),"",IF(ISNUMBER(F545)=TRUE,"✔",tulkojums!A$43))</f>
        <v/>
      </c>
      <c r="O545" s="2" t="str">
        <f>IF(ISBLANK(C545),"",IF(G545="Y","✔",IF(G545="X","✔",IF(G545="N","✔",tulkojums!A$44))))</f>
        <v/>
      </c>
      <c r="P545" s="2" t="str">
        <f>IF(ISBLANK(H545),"",IF(INDEX(DB_materiali!$E$2:$E$5000,MATCH($C545,DB_materiali!$A$2:$A$5000,0))&gt;=INDEX(DB_malas!$C$2:$C$5000,MATCH(H545,DB_malas!$A$2:$A$5000,0)),IF(INDEX(DB_materiali!$E$2:$E$5000,MATCH($C545,DB_materiali!$A$2:$A$5000,0))&lt;=INDEX(DB_malas!$D$2:$D$5000,MATCH(H545,DB_malas!$A$2:$A$5000,0)),IF(OR(INDEX(DB_materiali!$B$2:$B$5000,MATCH($C545,DB_materiali!$A$2:$A$5000,0))=INDEX(DB_malas!$B$2:$B$5000,MATCH(H545,DB_malas!$A$2:$A$5000,0)),$H545="ORG"),"✔",tulkojums!$A$38),tulkojums!$A$39),tulkojums!$A$39))</f>
        <v/>
      </c>
      <c r="Q545" s="2" t="str">
        <f>IF(ISBLANK(I545),"",IF(INDEX(DB_materiali!$E$2:$E$5000,MATCH($C545,DB_materiali!$A$2:$A$5000,0))&gt;=INDEX(DB_malas!$C$2:$C$5000,MATCH(I545,DB_malas!$A$2:$A$5000,0)),IF(INDEX(DB_materiali!$E$2:$E$5000,MATCH($C545,DB_materiali!$A$2:$A$5000,0))&lt;=INDEX(DB_malas!$D$2:$D$5000,MATCH(I545,DB_malas!$A$2:$A$5000,0)),IF(OR(INDEX(DB_materiali!$B$2:$B$5000,MATCH($C545,DB_materiali!$A$2:$A$5000,0))=INDEX(DB_malas!$B$2:$B$5000,MATCH(I545,DB_malas!$A$2:$A$5000,0)),$H545="ORG"),"✔",tulkojums!$A$38),tulkojums!$A$39),tulkojums!$A$39))</f>
        <v/>
      </c>
      <c r="R545" s="2" t="str">
        <f>IF(ISBLANK(J545),"",IF(INDEX(DB_materiali!$E$2:$E$5000,MATCH($C545,DB_materiali!$A$2:$A$5000,0))&gt;=INDEX(DB_malas!$C$2:$C$5000,MATCH(J545,DB_malas!$A$2:$A$5000,0)),IF(INDEX(DB_materiali!$E$2:$E$5000,MATCH($C545,DB_materiali!$A$2:$A$5000,0))&lt;=INDEX(DB_malas!$D$2:$D$5000,MATCH(J545,DB_malas!$A$2:$A$5000,0)),IF(INDEX(DB_materiali!$B$2:$B$5000,MATCH($C545,DB_materiali!$A$2:$A$5000,0))=INDEX(DB_malas!$B$2:$B$5000,MATCH(J545,DB_malas!$A$2:$A$5000,0)),"✔",tulkojums!$A$38),tulkojums!$A$39),tulkojums!$A$39))</f>
        <v/>
      </c>
      <c r="S545" s="2" t="str">
        <f>IF(ISBLANK(K545),"",IF(INDEX(DB_materiali!$E$2:$E$5000,MATCH($C545,DB_materiali!$A$2:$A$5000,0))&gt;=INDEX(DB_malas!$C$2:$C$5000,MATCH(K545,DB_malas!$A$2:$A$5000,0)),IF(INDEX(DB_materiali!$E$2:$E$5000,MATCH($C545,DB_materiali!$A$2:$A$5000,0))&lt;=INDEX(DB_malas!$D$2:$D$5000,MATCH(K545,DB_malas!$A$2:$A$5000,0)),IF(INDEX(DB_materiali!$B$2:$B$5000,MATCH($C545,DB_materiali!$A$2:$A$5000,0))=INDEX(DB_malas!$B$2:$B$5000,MATCH(K545,DB_malas!$A$2:$A$5000,0)),"✔",tulkojums!$A$38),tulkojums!$A$39),tulkojums!$A$39))</f>
        <v/>
      </c>
      <c r="T545" s="2"/>
      <c r="U545" s="2"/>
      <c r="V545" s="2"/>
      <c r="W545" s="2"/>
      <c r="X545" s="2"/>
      <c r="Y545" s="2"/>
      <c r="Z545" s="2"/>
    </row>
    <row r="546" spans="1:26" ht="15.75" customHeight="1">
      <c r="A546" s="17"/>
      <c r="B546" s="18"/>
      <c r="C546" s="19"/>
      <c r="D546" s="55"/>
      <c r="E546" s="55"/>
      <c r="F546" s="56"/>
      <c r="G546" s="57" t="str">
        <f>IF(ISBLANK(C546),"",
   IFERROR(
      IF(
         INDEX(DB_materiali!C$2:C$5000,
               MATCH(C546, DB_materiali!A$2:A$5000, 0)
         )="FALSE",
         "N",
         "Y"
      ),
   "")
)</f>
        <v/>
      </c>
      <c r="H546" s="20"/>
      <c r="I546" s="20"/>
      <c r="J546" s="20"/>
      <c r="K546" s="20"/>
      <c r="M546" s="2" t="str">
        <f>IF(ISBLANK(C546),"",IF(IFERROR(VLOOKUP(C546,DB_materiali!$A$2:$A$5000,1,FALSE),"Kļūda artikulā")=C546,"✔",tulkojums!A$42))</f>
        <v/>
      </c>
      <c r="N546" s="2" t="str">
        <f>IF(ISBLANK(C546),"",IF(ISNUMBER(F546)=TRUE,"✔",tulkojums!A$43))</f>
        <v/>
      </c>
      <c r="O546" s="2" t="str">
        <f>IF(ISBLANK(C546),"",IF(G546="Y","✔",IF(G546="X","✔",IF(G546="N","✔",tulkojums!A$44))))</f>
        <v/>
      </c>
      <c r="P546" s="2" t="str">
        <f>IF(ISBLANK(H546),"",IF(INDEX(DB_materiali!$E$2:$E$5000,MATCH($C546,DB_materiali!$A$2:$A$5000,0))&gt;=INDEX(DB_malas!$C$2:$C$5000,MATCH(H546,DB_malas!$A$2:$A$5000,0)),IF(INDEX(DB_materiali!$E$2:$E$5000,MATCH($C546,DB_materiali!$A$2:$A$5000,0))&lt;=INDEX(DB_malas!$D$2:$D$5000,MATCH(H546,DB_malas!$A$2:$A$5000,0)),IF(OR(INDEX(DB_materiali!$B$2:$B$5000,MATCH($C546,DB_materiali!$A$2:$A$5000,0))=INDEX(DB_malas!$B$2:$B$5000,MATCH(H546,DB_malas!$A$2:$A$5000,0)),$H546="ORG"),"✔",tulkojums!$A$38),tulkojums!$A$39),tulkojums!$A$39))</f>
        <v/>
      </c>
      <c r="Q546" s="2" t="str">
        <f>IF(ISBLANK(I546),"",IF(INDEX(DB_materiali!$E$2:$E$5000,MATCH($C546,DB_materiali!$A$2:$A$5000,0))&gt;=INDEX(DB_malas!$C$2:$C$5000,MATCH(I546,DB_malas!$A$2:$A$5000,0)),IF(INDEX(DB_materiali!$E$2:$E$5000,MATCH($C546,DB_materiali!$A$2:$A$5000,0))&lt;=INDEX(DB_malas!$D$2:$D$5000,MATCH(I546,DB_malas!$A$2:$A$5000,0)),IF(OR(INDEX(DB_materiali!$B$2:$B$5000,MATCH($C546,DB_materiali!$A$2:$A$5000,0))=INDEX(DB_malas!$B$2:$B$5000,MATCH(I546,DB_malas!$A$2:$A$5000,0)),$H546="ORG"),"✔",tulkojums!$A$38),tulkojums!$A$39),tulkojums!$A$39))</f>
        <v/>
      </c>
      <c r="R546" s="2" t="str">
        <f>IF(ISBLANK(J546),"",IF(INDEX(DB_materiali!$E$2:$E$5000,MATCH($C546,DB_materiali!$A$2:$A$5000,0))&gt;=INDEX(DB_malas!$C$2:$C$5000,MATCH(J546,DB_malas!$A$2:$A$5000,0)),IF(INDEX(DB_materiali!$E$2:$E$5000,MATCH($C546,DB_materiali!$A$2:$A$5000,0))&lt;=INDEX(DB_malas!$D$2:$D$5000,MATCH(J546,DB_malas!$A$2:$A$5000,0)),IF(INDEX(DB_materiali!$B$2:$B$5000,MATCH($C546,DB_materiali!$A$2:$A$5000,0))=INDEX(DB_malas!$B$2:$B$5000,MATCH(J546,DB_malas!$A$2:$A$5000,0)),"✔",tulkojums!$A$38),tulkojums!$A$39),tulkojums!$A$39))</f>
        <v/>
      </c>
      <c r="S546" s="2" t="str">
        <f>IF(ISBLANK(K546),"",IF(INDEX(DB_materiali!$E$2:$E$5000,MATCH($C546,DB_materiali!$A$2:$A$5000,0))&gt;=INDEX(DB_malas!$C$2:$C$5000,MATCH(K546,DB_malas!$A$2:$A$5000,0)),IF(INDEX(DB_materiali!$E$2:$E$5000,MATCH($C546,DB_materiali!$A$2:$A$5000,0))&lt;=INDEX(DB_malas!$D$2:$D$5000,MATCH(K546,DB_malas!$A$2:$A$5000,0)),IF(INDEX(DB_materiali!$B$2:$B$5000,MATCH($C546,DB_materiali!$A$2:$A$5000,0))=INDEX(DB_malas!$B$2:$B$5000,MATCH(K546,DB_malas!$A$2:$A$5000,0)),"✔",tulkojums!$A$38),tulkojums!$A$39),tulkojums!$A$39))</f>
        <v/>
      </c>
      <c r="T546" s="2"/>
      <c r="U546" s="2"/>
      <c r="V546" s="2"/>
      <c r="W546" s="2"/>
      <c r="X546" s="2"/>
      <c r="Y546" s="2"/>
      <c r="Z546" s="2"/>
    </row>
    <row r="547" spans="1:26" ht="15.75" customHeight="1">
      <c r="A547" s="17"/>
      <c r="B547" s="18"/>
      <c r="C547" s="19"/>
      <c r="D547" s="55"/>
      <c r="E547" s="55"/>
      <c r="F547" s="56"/>
      <c r="G547" s="57" t="str">
        <f>IF(ISBLANK(C547),"",
   IFERROR(
      IF(
         INDEX(DB_materiali!C$2:C$5000,
               MATCH(C547, DB_materiali!A$2:A$5000, 0)
         )="FALSE",
         "N",
         "Y"
      ),
   "")
)</f>
        <v/>
      </c>
      <c r="H547" s="20"/>
      <c r="I547" s="20"/>
      <c r="J547" s="20"/>
      <c r="K547" s="20"/>
      <c r="M547" s="2" t="str">
        <f>IF(ISBLANK(C547),"",IF(IFERROR(VLOOKUP(C547,DB_materiali!$A$2:$A$5000,1,FALSE),"Kļūda artikulā")=C547,"✔",tulkojums!A$42))</f>
        <v/>
      </c>
      <c r="N547" s="2" t="str">
        <f>IF(ISBLANK(C547),"",IF(ISNUMBER(F547)=TRUE,"✔",tulkojums!A$43))</f>
        <v/>
      </c>
      <c r="O547" s="2" t="str">
        <f>IF(ISBLANK(C547),"",IF(G547="Y","✔",IF(G547="X","✔",IF(G547="N","✔",tulkojums!A$44))))</f>
        <v/>
      </c>
      <c r="P547" s="2" t="str">
        <f>IF(ISBLANK(H547),"",IF(INDEX(DB_materiali!$E$2:$E$5000,MATCH($C547,DB_materiali!$A$2:$A$5000,0))&gt;=INDEX(DB_malas!$C$2:$C$5000,MATCH(H547,DB_malas!$A$2:$A$5000,0)),IF(INDEX(DB_materiali!$E$2:$E$5000,MATCH($C547,DB_materiali!$A$2:$A$5000,0))&lt;=INDEX(DB_malas!$D$2:$D$5000,MATCH(H547,DB_malas!$A$2:$A$5000,0)),IF(OR(INDEX(DB_materiali!$B$2:$B$5000,MATCH($C547,DB_materiali!$A$2:$A$5000,0))=INDEX(DB_malas!$B$2:$B$5000,MATCH(H547,DB_malas!$A$2:$A$5000,0)),$H547="ORG"),"✔",tulkojums!$A$38),tulkojums!$A$39),tulkojums!$A$39))</f>
        <v/>
      </c>
      <c r="Q547" s="2" t="str">
        <f>IF(ISBLANK(I547),"",IF(INDEX(DB_materiali!$E$2:$E$5000,MATCH($C547,DB_materiali!$A$2:$A$5000,0))&gt;=INDEX(DB_malas!$C$2:$C$5000,MATCH(I547,DB_malas!$A$2:$A$5000,0)),IF(INDEX(DB_materiali!$E$2:$E$5000,MATCH($C547,DB_materiali!$A$2:$A$5000,0))&lt;=INDEX(DB_malas!$D$2:$D$5000,MATCH(I547,DB_malas!$A$2:$A$5000,0)),IF(OR(INDEX(DB_materiali!$B$2:$B$5000,MATCH($C547,DB_materiali!$A$2:$A$5000,0))=INDEX(DB_malas!$B$2:$B$5000,MATCH(I547,DB_malas!$A$2:$A$5000,0)),$H547="ORG"),"✔",tulkojums!$A$38),tulkojums!$A$39),tulkojums!$A$39))</f>
        <v/>
      </c>
      <c r="R547" s="2" t="str">
        <f>IF(ISBLANK(J547),"",IF(INDEX(DB_materiali!$E$2:$E$5000,MATCH($C547,DB_materiali!$A$2:$A$5000,0))&gt;=INDEX(DB_malas!$C$2:$C$5000,MATCH(J547,DB_malas!$A$2:$A$5000,0)),IF(INDEX(DB_materiali!$E$2:$E$5000,MATCH($C547,DB_materiali!$A$2:$A$5000,0))&lt;=INDEX(DB_malas!$D$2:$D$5000,MATCH(J547,DB_malas!$A$2:$A$5000,0)),IF(INDEX(DB_materiali!$B$2:$B$5000,MATCH($C547,DB_materiali!$A$2:$A$5000,0))=INDEX(DB_malas!$B$2:$B$5000,MATCH(J547,DB_malas!$A$2:$A$5000,0)),"✔",tulkojums!$A$38),tulkojums!$A$39),tulkojums!$A$39))</f>
        <v/>
      </c>
      <c r="S547" s="2" t="str">
        <f>IF(ISBLANK(K547),"",IF(INDEX(DB_materiali!$E$2:$E$5000,MATCH($C547,DB_materiali!$A$2:$A$5000,0))&gt;=INDEX(DB_malas!$C$2:$C$5000,MATCH(K547,DB_malas!$A$2:$A$5000,0)),IF(INDEX(DB_materiali!$E$2:$E$5000,MATCH($C547,DB_materiali!$A$2:$A$5000,0))&lt;=INDEX(DB_malas!$D$2:$D$5000,MATCH(K547,DB_malas!$A$2:$A$5000,0)),IF(INDEX(DB_materiali!$B$2:$B$5000,MATCH($C547,DB_materiali!$A$2:$A$5000,0))=INDEX(DB_malas!$B$2:$B$5000,MATCH(K547,DB_malas!$A$2:$A$5000,0)),"✔",tulkojums!$A$38),tulkojums!$A$39),tulkojums!$A$39))</f>
        <v/>
      </c>
      <c r="T547" s="2"/>
      <c r="U547" s="2"/>
      <c r="V547" s="2"/>
      <c r="W547" s="2"/>
      <c r="X547" s="2"/>
      <c r="Y547" s="2"/>
      <c r="Z547" s="2"/>
    </row>
    <row r="548" spans="1:26" ht="15.75" customHeight="1">
      <c r="A548" s="17"/>
      <c r="B548" s="18"/>
      <c r="C548" s="19"/>
      <c r="D548" s="55"/>
      <c r="E548" s="55"/>
      <c r="F548" s="56"/>
      <c r="G548" s="57" t="str">
        <f>IF(ISBLANK(C548),"",
   IFERROR(
      IF(
         INDEX(DB_materiali!C$2:C$5000,
               MATCH(C548, DB_materiali!A$2:A$5000, 0)
         )="FALSE",
         "N",
         "Y"
      ),
   "")
)</f>
        <v/>
      </c>
      <c r="H548" s="20"/>
      <c r="I548" s="20"/>
      <c r="J548" s="20"/>
      <c r="K548" s="20"/>
      <c r="M548" s="2" t="str">
        <f>IF(ISBLANK(C548),"",IF(IFERROR(VLOOKUP(C548,DB_materiali!$A$2:$A$5000,1,FALSE),"Kļūda artikulā")=C548,"✔",tulkojums!A$42))</f>
        <v/>
      </c>
      <c r="N548" s="2" t="str">
        <f>IF(ISBLANK(C548),"",IF(ISNUMBER(F548)=TRUE,"✔",tulkojums!A$43))</f>
        <v/>
      </c>
      <c r="O548" s="2" t="str">
        <f>IF(ISBLANK(C548),"",IF(G548="Y","✔",IF(G548="X","✔",IF(G548="N","✔",tulkojums!A$44))))</f>
        <v/>
      </c>
      <c r="P548" s="2" t="str">
        <f>IF(ISBLANK(H548),"",IF(INDEX(DB_materiali!$E$2:$E$5000,MATCH($C548,DB_materiali!$A$2:$A$5000,0))&gt;=INDEX(DB_malas!$C$2:$C$5000,MATCH(H548,DB_malas!$A$2:$A$5000,0)),IF(INDEX(DB_materiali!$E$2:$E$5000,MATCH($C548,DB_materiali!$A$2:$A$5000,0))&lt;=INDEX(DB_malas!$D$2:$D$5000,MATCH(H548,DB_malas!$A$2:$A$5000,0)),IF(OR(INDEX(DB_materiali!$B$2:$B$5000,MATCH($C548,DB_materiali!$A$2:$A$5000,0))=INDEX(DB_malas!$B$2:$B$5000,MATCH(H548,DB_malas!$A$2:$A$5000,0)),$H548="ORG"),"✔",tulkojums!$A$38),tulkojums!$A$39),tulkojums!$A$39))</f>
        <v/>
      </c>
      <c r="Q548" s="2" t="str">
        <f>IF(ISBLANK(I548),"",IF(INDEX(DB_materiali!$E$2:$E$5000,MATCH($C548,DB_materiali!$A$2:$A$5000,0))&gt;=INDEX(DB_malas!$C$2:$C$5000,MATCH(I548,DB_malas!$A$2:$A$5000,0)),IF(INDEX(DB_materiali!$E$2:$E$5000,MATCH($C548,DB_materiali!$A$2:$A$5000,0))&lt;=INDEX(DB_malas!$D$2:$D$5000,MATCH(I548,DB_malas!$A$2:$A$5000,0)),IF(OR(INDEX(DB_materiali!$B$2:$B$5000,MATCH($C548,DB_materiali!$A$2:$A$5000,0))=INDEX(DB_malas!$B$2:$B$5000,MATCH(I548,DB_malas!$A$2:$A$5000,0)),$H548="ORG"),"✔",tulkojums!$A$38),tulkojums!$A$39),tulkojums!$A$39))</f>
        <v/>
      </c>
      <c r="R548" s="2" t="str">
        <f>IF(ISBLANK(J548),"",IF(INDEX(DB_materiali!$E$2:$E$5000,MATCH($C548,DB_materiali!$A$2:$A$5000,0))&gt;=INDEX(DB_malas!$C$2:$C$5000,MATCH(J548,DB_malas!$A$2:$A$5000,0)),IF(INDEX(DB_materiali!$E$2:$E$5000,MATCH($C548,DB_materiali!$A$2:$A$5000,0))&lt;=INDEX(DB_malas!$D$2:$D$5000,MATCH(J548,DB_malas!$A$2:$A$5000,0)),IF(INDEX(DB_materiali!$B$2:$B$5000,MATCH($C548,DB_materiali!$A$2:$A$5000,0))=INDEX(DB_malas!$B$2:$B$5000,MATCH(J548,DB_malas!$A$2:$A$5000,0)),"✔",tulkojums!$A$38),tulkojums!$A$39),tulkojums!$A$39))</f>
        <v/>
      </c>
      <c r="S548" s="2" t="str">
        <f>IF(ISBLANK(K548),"",IF(INDEX(DB_materiali!$E$2:$E$5000,MATCH($C548,DB_materiali!$A$2:$A$5000,0))&gt;=INDEX(DB_malas!$C$2:$C$5000,MATCH(K548,DB_malas!$A$2:$A$5000,0)),IF(INDEX(DB_materiali!$E$2:$E$5000,MATCH($C548,DB_materiali!$A$2:$A$5000,0))&lt;=INDEX(DB_malas!$D$2:$D$5000,MATCH(K548,DB_malas!$A$2:$A$5000,0)),IF(INDEX(DB_materiali!$B$2:$B$5000,MATCH($C548,DB_materiali!$A$2:$A$5000,0))=INDEX(DB_malas!$B$2:$B$5000,MATCH(K548,DB_malas!$A$2:$A$5000,0)),"✔",tulkojums!$A$38),tulkojums!$A$39),tulkojums!$A$39))</f>
        <v/>
      </c>
      <c r="T548" s="2"/>
      <c r="U548" s="2"/>
      <c r="V548" s="2"/>
      <c r="W548" s="2"/>
      <c r="X548" s="2"/>
      <c r="Y548" s="2"/>
      <c r="Z548" s="2"/>
    </row>
    <row r="549" spans="1:26" ht="15.75" customHeight="1">
      <c r="A549" s="17"/>
      <c r="B549" s="18"/>
      <c r="C549" s="19"/>
      <c r="D549" s="55"/>
      <c r="E549" s="55"/>
      <c r="F549" s="56"/>
      <c r="G549" s="57" t="str">
        <f>IF(ISBLANK(C549),"",
   IFERROR(
      IF(
         INDEX(DB_materiali!C$2:C$5000,
               MATCH(C549, DB_materiali!A$2:A$5000, 0)
         )="FALSE",
         "N",
         "Y"
      ),
   "")
)</f>
        <v/>
      </c>
      <c r="H549" s="20"/>
      <c r="I549" s="20"/>
      <c r="J549" s="20"/>
      <c r="K549" s="20"/>
      <c r="M549" s="2" t="str">
        <f>IF(ISBLANK(C549),"",IF(IFERROR(VLOOKUP(C549,DB_materiali!$A$2:$A$5000,1,FALSE),"Kļūda artikulā")=C549,"✔",tulkojums!A$42))</f>
        <v/>
      </c>
      <c r="N549" s="2" t="str">
        <f>IF(ISBLANK(C549),"",IF(ISNUMBER(F549)=TRUE,"✔",tulkojums!A$43))</f>
        <v/>
      </c>
      <c r="O549" s="2" t="str">
        <f>IF(ISBLANK(C549),"",IF(G549="Y","✔",IF(G549="X","✔",IF(G549="N","✔",tulkojums!A$44))))</f>
        <v/>
      </c>
      <c r="P549" s="2" t="str">
        <f>IF(ISBLANK(H549),"",IF(INDEX(DB_materiali!$E$2:$E$5000,MATCH($C549,DB_materiali!$A$2:$A$5000,0))&gt;=INDEX(DB_malas!$C$2:$C$5000,MATCH(H549,DB_malas!$A$2:$A$5000,0)),IF(INDEX(DB_materiali!$E$2:$E$5000,MATCH($C549,DB_materiali!$A$2:$A$5000,0))&lt;=INDEX(DB_malas!$D$2:$D$5000,MATCH(H549,DB_malas!$A$2:$A$5000,0)),IF(OR(INDEX(DB_materiali!$B$2:$B$5000,MATCH($C549,DB_materiali!$A$2:$A$5000,0))=INDEX(DB_malas!$B$2:$B$5000,MATCH(H549,DB_malas!$A$2:$A$5000,0)),$H549="ORG"),"✔",tulkojums!$A$38),tulkojums!$A$39),tulkojums!$A$39))</f>
        <v/>
      </c>
      <c r="Q549" s="2" t="str">
        <f>IF(ISBLANK(I549),"",IF(INDEX(DB_materiali!$E$2:$E$5000,MATCH($C549,DB_materiali!$A$2:$A$5000,0))&gt;=INDEX(DB_malas!$C$2:$C$5000,MATCH(I549,DB_malas!$A$2:$A$5000,0)),IF(INDEX(DB_materiali!$E$2:$E$5000,MATCH($C549,DB_materiali!$A$2:$A$5000,0))&lt;=INDEX(DB_malas!$D$2:$D$5000,MATCH(I549,DB_malas!$A$2:$A$5000,0)),IF(OR(INDEX(DB_materiali!$B$2:$B$5000,MATCH($C549,DB_materiali!$A$2:$A$5000,0))=INDEX(DB_malas!$B$2:$B$5000,MATCH(I549,DB_malas!$A$2:$A$5000,0)),$H549="ORG"),"✔",tulkojums!$A$38),tulkojums!$A$39),tulkojums!$A$39))</f>
        <v/>
      </c>
      <c r="R549" s="2" t="str">
        <f>IF(ISBLANK(J549),"",IF(INDEX(DB_materiali!$E$2:$E$5000,MATCH($C549,DB_materiali!$A$2:$A$5000,0))&gt;=INDEX(DB_malas!$C$2:$C$5000,MATCH(J549,DB_malas!$A$2:$A$5000,0)),IF(INDEX(DB_materiali!$E$2:$E$5000,MATCH($C549,DB_materiali!$A$2:$A$5000,0))&lt;=INDEX(DB_malas!$D$2:$D$5000,MATCH(J549,DB_malas!$A$2:$A$5000,0)),IF(INDEX(DB_materiali!$B$2:$B$5000,MATCH($C549,DB_materiali!$A$2:$A$5000,0))=INDEX(DB_malas!$B$2:$B$5000,MATCH(J549,DB_malas!$A$2:$A$5000,0)),"✔",tulkojums!$A$38),tulkojums!$A$39),tulkojums!$A$39))</f>
        <v/>
      </c>
      <c r="S549" s="2" t="str">
        <f>IF(ISBLANK(K549),"",IF(INDEX(DB_materiali!$E$2:$E$5000,MATCH($C549,DB_materiali!$A$2:$A$5000,0))&gt;=INDEX(DB_malas!$C$2:$C$5000,MATCH(K549,DB_malas!$A$2:$A$5000,0)),IF(INDEX(DB_materiali!$E$2:$E$5000,MATCH($C549,DB_materiali!$A$2:$A$5000,0))&lt;=INDEX(DB_malas!$D$2:$D$5000,MATCH(K549,DB_malas!$A$2:$A$5000,0)),IF(INDEX(DB_materiali!$B$2:$B$5000,MATCH($C549,DB_materiali!$A$2:$A$5000,0))=INDEX(DB_malas!$B$2:$B$5000,MATCH(K549,DB_malas!$A$2:$A$5000,0)),"✔",tulkojums!$A$38),tulkojums!$A$39),tulkojums!$A$39))</f>
        <v/>
      </c>
      <c r="T549" s="2"/>
      <c r="U549" s="2"/>
      <c r="V549" s="2"/>
      <c r="W549" s="2"/>
      <c r="X549" s="2"/>
      <c r="Y549" s="2"/>
      <c r="Z549" s="2"/>
    </row>
    <row r="550" spans="1:26" ht="15.75" customHeight="1">
      <c r="A550" s="17"/>
      <c r="B550" s="18"/>
      <c r="C550" s="19"/>
      <c r="D550" s="55"/>
      <c r="E550" s="55"/>
      <c r="F550" s="56"/>
      <c r="G550" s="57" t="str">
        <f>IF(ISBLANK(C550),"",
   IFERROR(
      IF(
         INDEX(DB_materiali!C$2:C$5000,
               MATCH(C550, DB_materiali!A$2:A$5000, 0)
         )="FALSE",
         "N",
         "Y"
      ),
   "")
)</f>
        <v/>
      </c>
      <c r="H550" s="20"/>
      <c r="I550" s="20"/>
      <c r="J550" s="20"/>
      <c r="K550" s="20"/>
      <c r="M550" s="2" t="str">
        <f>IF(ISBLANK(C550),"",IF(IFERROR(VLOOKUP(C550,DB_materiali!$A$2:$A$5000,1,FALSE),"Kļūda artikulā")=C550,"✔",tulkojums!A$42))</f>
        <v/>
      </c>
      <c r="N550" s="2" t="str">
        <f>IF(ISBLANK(C550),"",IF(ISNUMBER(F550)=TRUE,"✔",tulkojums!A$43))</f>
        <v/>
      </c>
      <c r="O550" s="2" t="str">
        <f>IF(ISBLANK(C550),"",IF(G550="Y","✔",IF(G550="X","✔",IF(G550="N","✔",tulkojums!A$44))))</f>
        <v/>
      </c>
      <c r="P550" s="2" t="str">
        <f>IF(ISBLANK(H550),"",IF(INDEX(DB_materiali!$E$2:$E$5000,MATCH($C550,DB_materiali!$A$2:$A$5000,0))&gt;=INDEX(DB_malas!$C$2:$C$5000,MATCH(H550,DB_malas!$A$2:$A$5000,0)),IF(INDEX(DB_materiali!$E$2:$E$5000,MATCH($C550,DB_materiali!$A$2:$A$5000,0))&lt;=INDEX(DB_malas!$D$2:$D$5000,MATCH(H550,DB_malas!$A$2:$A$5000,0)),IF(OR(INDEX(DB_materiali!$B$2:$B$5000,MATCH($C550,DB_materiali!$A$2:$A$5000,0))=INDEX(DB_malas!$B$2:$B$5000,MATCH(H550,DB_malas!$A$2:$A$5000,0)),$H550="ORG"),"✔",tulkojums!$A$38),tulkojums!$A$39),tulkojums!$A$39))</f>
        <v/>
      </c>
      <c r="Q550" s="2" t="str">
        <f>IF(ISBLANK(I550),"",IF(INDEX(DB_materiali!$E$2:$E$5000,MATCH($C550,DB_materiali!$A$2:$A$5000,0))&gt;=INDEX(DB_malas!$C$2:$C$5000,MATCH(I550,DB_malas!$A$2:$A$5000,0)),IF(INDEX(DB_materiali!$E$2:$E$5000,MATCH($C550,DB_materiali!$A$2:$A$5000,0))&lt;=INDEX(DB_malas!$D$2:$D$5000,MATCH(I550,DB_malas!$A$2:$A$5000,0)),IF(OR(INDEX(DB_materiali!$B$2:$B$5000,MATCH($C550,DB_materiali!$A$2:$A$5000,0))=INDEX(DB_malas!$B$2:$B$5000,MATCH(I550,DB_malas!$A$2:$A$5000,0)),$H550="ORG"),"✔",tulkojums!$A$38),tulkojums!$A$39),tulkojums!$A$39))</f>
        <v/>
      </c>
      <c r="R550" s="2" t="str">
        <f>IF(ISBLANK(J550),"",IF(INDEX(DB_materiali!$E$2:$E$5000,MATCH($C550,DB_materiali!$A$2:$A$5000,0))&gt;=INDEX(DB_malas!$C$2:$C$5000,MATCH(J550,DB_malas!$A$2:$A$5000,0)),IF(INDEX(DB_materiali!$E$2:$E$5000,MATCH($C550,DB_materiali!$A$2:$A$5000,0))&lt;=INDEX(DB_malas!$D$2:$D$5000,MATCH(J550,DB_malas!$A$2:$A$5000,0)),IF(INDEX(DB_materiali!$B$2:$B$5000,MATCH($C550,DB_materiali!$A$2:$A$5000,0))=INDEX(DB_malas!$B$2:$B$5000,MATCH(J550,DB_malas!$A$2:$A$5000,0)),"✔",tulkojums!$A$38),tulkojums!$A$39),tulkojums!$A$39))</f>
        <v/>
      </c>
      <c r="S550" s="2" t="str">
        <f>IF(ISBLANK(K550),"",IF(INDEX(DB_materiali!$E$2:$E$5000,MATCH($C550,DB_materiali!$A$2:$A$5000,0))&gt;=INDEX(DB_malas!$C$2:$C$5000,MATCH(K550,DB_malas!$A$2:$A$5000,0)),IF(INDEX(DB_materiali!$E$2:$E$5000,MATCH($C550,DB_materiali!$A$2:$A$5000,0))&lt;=INDEX(DB_malas!$D$2:$D$5000,MATCH(K550,DB_malas!$A$2:$A$5000,0)),IF(INDEX(DB_materiali!$B$2:$B$5000,MATCH($C550,DB_materiali!$A$2:$A$5000,0))=INDEX(DB_malas!$B$2:$B$5000,MATCH(K550,DB_malas!$A$2:$A$5000,0)),"✔",tulkojums!$A$38),tulkojums!$A$39),tulkojums!$A$39))</f>
        <v/>
      </c>
      <c r="T550" s="2"/>
      <c r="U550" s="2"/>
      <c r="V550" s="2"/>
      <c r="W550" s="2"/>
      <c r="X550" s="2"/>
      <c r="Y550" s="2"/>
      <c r="Z550" s="2"/>
    </row>
    <row r="551" spans="1:26" ht="15.75" customHeight="1">
      <c r="A551" s="17"/>
      <c r="B551" s="18"/>
      <c r="C551" s="19"/>
      <c r="D551" s="55"/>
      <c r="E551" s="55"/>
      <c r="F551" s="56"/>
      <c r="G551" s="57" t="str">
        <f>IF(ISBLANK(C551),"",
   IFERROR(
      IF(
         INDEX(DB_materiali!C$2:C$5000,
               MATCH(C551, DB_materiali!A$2:A$5000, 0)
         )="FALSE",
         "N",
         "Y"
      ),
   "")
)</f>
        <v/>
      </c>
      <c r="H551" s="20"/>
      <c r="I551" s="20"/>
      <c r="J551" s="20"/>
      <c r="K551" s="20"/>
      <c r="M551" s="2" t="str">
        <f>IF(ISBLANK(C551),"",IF(IFERROR(VLOOKUP(C551,DB_materiali!$A$2:$A$5000,1,FALSE),"Kļūda artikulā")=C551,"✔",tulkojums!A$42))</f>
        <v/>
      </c>
      <c r="N551" s="2" t="str">
        <f>IF(ISBLANK(C551),"",IF(ISNUMBER(F551)=TRUE,"✔",tulkojums!A$43))</f>
        <v/>
      </c>
      <c r="O551" s="2" t="str">
        <f>IF(ISBLANK(C551),"",IF(G551="Y","✔",IF(G551="X","✔",IF(G551="N","✔",tulkojums!A$44))))</f>
        <v/>
      </c>
      <c r="P551" s="2" t="str">
        <f>IF(ISBLANK(H551),"",IF(INDEX(DB_materiali!$E$2:$E$5000,MATCH($C551,DB_materiali!$A$2:$A$5000,0))&gt;=INDEX(DB_malas!$C$2:$C$5000,MATCH(H551,DB_malas!$A$2:$A$5000,0)),IF(INDEX(DB_materiali!$E$2:$E$5000,MATCH($C551,DB_materiali!$A$2:$A$5000,0))&lt;=INDEX(DB_malas!$D$2:$D$5000,MATCH(H551,DB_malas!$A$2:$A$5000,0)),IF(OR(INDEX(DB_materiali!$B$2:$B$5000,MATCH($C551,DB_materiali!$A$2:$A$5000,0))=INDEX(DB_malas!$B$2:$B$5000,MATCH(H551,DB_malas!$A$2:$A$5000,0)),$H551="ORG"),"✔",tulkojums!$A$38),tulkojums!$A$39),tulkojums!$A$39))</f>
        <v/>
      </c>
      <c r="Q551" s="2" t="str">
        <f>IF(ISBLANK(I551),"",IF(INDEX(DB_materiali!$E$2:$E$5000,MATCH($C551,DB_materiali!$A$2:$A$5000,0))&gt;=INDEX(DB_malas!$C$2:$C$5000,MATCH(I551,DB_malas!$A$2:$A$5000,0)),IF(INDEX(DB_materiali!$E$2:$E$5000,MATCH($C551,DB_materiali!$A$2:$A$5000,0))&lt;=INDEX(DB_malas!$D$2:$D$5000,MATCH(I551,DB_malas!$A$2:$A$5000,0)),IF(OR(INDEX(DB_materiali!$B$2:$B$5000,MATCH($C551,DB_materiali!$A$2:$A$5000,0))=INDEX(DB_malas!$B$2:$B$5000,MATCH(I551,DB_malas!$A$2:$A$5000,0)),$H551="ORG"),"✔",tulkojums!$A$38),tulkojums!$A$39),tulkojums!$A$39))</f>
        <v/>
      </c>
      <c r="R551" s="2" t="str">
        <f>IF(ISBLANK(J551),"",IF(INDEX(DB_materiali!$E$2:$E$5000,MATCH($C551,DB_materiali!$A$2:$A$5000,0))&gt;=INDEX(DB_malas!$C$2:$C$5000,MATCH(J551,DB_malas!$A$2:$A$5000,0)),IF(INDEX(DB_materiali!$E$2:$E$5000,MATCH($C551,DB_materiali!$A$2:$A$5000,0))&lt;=INDEX(DB_malas!$D$2:$D$5000,MATCH(J551,DB_malas!$A$2:$A$5000,0)),IF(INDEX(DB_materiali!$B$2:$B$5000,MATCH($C551,DB_materiali!$A$2:$A$5000,0))=INDEX(DB_malas!$B$2:$B$5000,MATCH(J551,DB_malas!$A$2:$A$5000,0)),"✔",tulkojums!$A$38),tulkojums!$A$39),tulkojums!$A$39))</f>
        <v/>
      </c>
      <c r="S551" s="2" t="str">
        <f>IF(ISBLANK(K551),"",IF(INDEX(DB_materiali!$E$2:$E$5000,MATCH($C551,DB_materiali!$A$2:$A$5000,0))&gt;=INDEX(DB_malas!$C$2:$C$5000,MATCH(K551,DB_malas!$A$2:$A$5000,0)),IF(INDEX(DB_materiali!$E$2:$E$5000,MATCH($C551,DB_materiali!$A$2:$A$5000,0))&lt;=INDEX(DB_malas!$D$2:$D$5000,MATCH(K551,DB_malas!$A$2:$A$5000,0)),IF(INDEX(DB_materiali!$B$2:$B$5000,MATCH($C551,DB_materiali!$A$2:$A$5000,0))=INDEX(DB_malas!$B$2:$B$5000,MATCH(K551,DB_malas!$A$2:$A$5000,0)),"✔",tulkojums!$A$38),tulkojums!$A$39),tulkojums!$A$39))</f>
        <v/>
      </c>
      <c r="T551" s="2"/>
      <c r="U551" s="2"/>
      <c r="V551" s="2"/>
      <c r="W551" s="2"/>
      <c r="X551" s="2"/>
      <c r="Y551" s="2"/>
      <c r="Z551" s="2"/>
    </row>
    <row r="552" spans="1:26" ht="15.75" customHeight="1">
      <c r="A552" s="17"/>
      <c r="B552" s="18"/>
      <c r="C552" s="19"/>
      <c r="D552" s="55"/>
      <c r="E552" s="55"/>
      <c r="F552" s="56"/>
      <c r="G552" s="57" t="str">
        <f>IF(ISBLANK(C552),"",
   IFERROR(
      IF(
         INDEX(DB_materiali!C$2:C$5000,
               MATCH(C552, DB_materiali!A$2:A$5000, 0)
         )="FALSE",
         "N",
         "Y"
      ),
   "")
)</f>
        <v/>
      </c>
      <c r="H552" s="20"/>
      <c r="I552" s="20"/>
      <c r="J552" s="20"/>
      <c r="K552" s="20"/>
      <c r="M552" s="2" t="str">
        <f>IF(ISBLANK(C552),"",IF(IFERROR(VLOOKUP(C552,DB_materiali!$A$2:$A$5000,1,FALSE),"Kļūda artikulā")=C552,"✔",tulkojums!A$42))</f>
        <v/>
      </c>
      <c r="N552" s="2" t="str">
        <f>IF(ISBLANK(C552),"",IF(ISNUMBER(F552)=TRUE,"✔",tulkojums!A$43))</f>
        <v/>
      </c>
      <c r="O552" s="2" t="str">
        <f>IF(ISBLANK(C552),"",IF(G552="Y","✔",IF(G552="X","✔",IF(G552="N","✔",tulkojums!A$44))))</f>
        <v/>
      </c>
      <c r="P552" s="2" t="str">
        <f>IF(ISBLANK(H552),"",IF(INDEX(DB_materiali!$E$2:$E$5000,MATCH($C552,DB_materiali!$A$2:$A$5000,0))&gt;=INDEX(DB_malas!$C$2:$C$5000,MATCH(H552,DB_malas!$A$2:$A$5000,0)),IF(INDEX(DB_materiali!$E$2:$E$5000,MATCH($C552,DB_materiali!$A$2:$A$5000,0))&lt;=INDEX(DB_malas!$D$2:$D$5000,MATCH(H552,DB_malas!$A$2:$A$5000,0)),IF(OR(INDEX(DB_materiali!$B$2:$B$5000,MATCH($C552,DB_materiali!$A$2:$A$5000,0))=INDEX(DB_malas!$B$2:$B$5000,MATCH(H552,DB_malas!$A$2:$A$5000,0)),$H552="ORG"),"✔",tulkojums!$A$38),tulkojums!$A$39),tulkojums!$A$39))</f>
        <v/>
      </c>
      <c r="Q552" s="2" t="str">
        <f>IF(ISBLANK(I552),"",IF(INDEX(DB_materiali!$E$2:$E$5000,MATCH($C552,DB_materiali!$A$2:$A$5000,0))&gt;=INDEX(DB_malas!$C$2:$C$5000,MATCH(I552,DB_malas!$A$2:$A$5000,0)),IF(INDEX(DB_materiali!$E$2:$E$5000,MATCH($C552,DB_materiali!$A$2:$A$5000,0))&lt;=INDEX(DB_malas!$D$2:$D$5000,MATCH(I552,DB_malas!$A$2:$A$5000,0)),IF(OR(INDEX(DB_materiali!$B$2:$B$5000,MATCH($C552,DB_materiali!$A$2:$A$5000,0))=INDEX(DB_malas!$B$2:$B$5000,MATCH(I552,DB_malas!$A$2:$A$5000,0)),$H552="ORG"),"✔",tulkojums!$A$38),tulkojums!$A$39),tulkojums!$A$39))</f>
        <v/>
      </c>
      <c r="R552" s="2" t="str">
        <f>IF(ISBLANK(J552),"",IF(INDEX(DB_materiali!$E$2:$E$5000,MATCH($C552,DB_materiali!$A$2:$A$5000,0))&gt;=INDEX(DB_malas!$C$2:$C$5000,MATCH(J552,DB_malas!$A$2:$A$5000,0)),IF(INDEX(DB_materiali!$E$2:$E$5000,MATCH($C552,DB_materiali!$A$2:$A$5000,0))&lt;=INDEX(DB_malas!$D$2:$D$5000,MATCH(J552,DB_malas!$A$2:$A$5000,0)),IF(INDEX(DB_materiali!$B$2:$B$5000,MATCH($C552,DB_materiali!$A$2:$A$5000,0))=INDEX(DB_malas!$B$2:$B$5000,MATCH(J552,DB_malas!$A$2:$A$5000,0)),"✔",tulkojums!$A$38),tulkojums!$A$39),tulkojums!$A$39))</f>
        <v/>
      </c>
      <c r="S552" s="2" t="str">
        <f>IF(ISBLANK(K552),"",IF(INDEX(DB_materiali!$E$2:$E$5000,MATCH($C552,DB_materiali!$A$2:$A$5000,0))&gt;=INDEX(DB_malas!$C$2:$C$5000,MATCH(K552,DB_malas!$A$2:$A$5000,0)),IF(INDEX(DB_materiali!$E$2:$E$5000,MATCH($C552,DB_materiali!$A$2:$A$5000,0))&lt;=INDEX(DB_malas!$D$2:$D$5000,MATCH(K552,DB_malas!$A$2:$A$5000,0)),IF(INDEX(DB_materiali!$B$2:$B$5000,MATCH($C552,DB_materiali!$A$2:$A$5000,0))=INDEX(DB_malas!$B$2:$B$5000,MATCH(K552,DB_malas!$A$2:$A$5000,0)),"✔",tulkojums!$A$38),tulkojums!$A$39),tulkojums!$A$39))</f>
        <v/>
      </c>
      <c r="T552" s="2"/>
      <c r="U552" s="2"/>
      <c r="V552" s="2"/>
      <c r="W552" s="2"/>
      <c r="X552" s="2"/>
      <c r="Y552" s="2"/>
      <c r="Z552" s="2"/>
    </row>
    <row r="553" spans="1:26" ht="15.75" customHeight="1">
      <c r="A553" s="17"/>
      <c r="B553" s="18"/>
      <c r="C553" s="19"/>
      <c r="D553" s="55"/>
      <c r="E553" s="55"/>
      <c r="F553" s="56"/>
      <c r="G553" s="57" t="str">
        <f>IF(ISBLANK(C553),"",
   IFERROR(
      IF(
         INDEX(DB_materiali!C$2:C$5000,
               MATCH(C553, DB_materiali!A$2:A$5000, 0)
         )="FALSE",
         "N",
         "Y"
      ),
   "")
)</f>
        <v/>
      </c>
      <c r="H553" s="20"/>
      <c r="I553" s="20"/>
      <c r="J553" s="20"/>
      <c r="K553" s="20"/>
      <c r="M553" s="2" t="str">
        <f>IF(ISBLANK(C553),"",IF(IFERROR(VLOOKUP(C553,DB_materiali!$A$2:$A$5000,1,FALSE),"Kļūda artikulā")=C553,"✔",tulkojums!A$42))</f>
        <v/>
      </c>
      <c r="N553" s="2" t="str">
        <f>IF(ISBLANK(C553),"",IF(ISNUMBER(F553)=TRUE,"✔",tulkojums!A$43))</f>
        <v/>
      </c>
      <c r="O553" s="2" t="str">
        <f>IF(ISBLANK(C553),"",IF(G553="Y","✔",IF(G553="X","✔",IF(G553="N","✔",tulkojums!A$44))))</f>
        <v/>
      </c>
      <c r="P553" s="2" t="str">
        <f>IF(ISBLANK(H553),"",IF(INDEX(DB_materiali!$E$2:$E$5000,MATCH($C553,DB_materiali!$A$2:$A$5000,0))&gt;=INDEX(DB_malas!$C$2:$C$5000,MATCH(H553,DB_malas!$A$2:$A$5000,0)),IF(INDEX(DB_materiali!$E$2:$E$5000,MATCH($C553,DB_materiali!$A$2:$A$5000,0))&lt;=INDEX(DB_malas!$D$2:$D$5000,MATCH(H553,DB_malas!$A$2:$A$5000,0)),IF(OR(INDEX(DB_materiali!$B$2:$B$5000,MATCH($C553,DB_materiali!$A$2:$A$5000,0))=INDEX(DB_malas!$B$2:$B$5000,MATCH(H553,DB_malas!$A$2:$A$5000,0)),$H553="ORG"),"✔",tulkojums!$A$38),tulkojums!$A$39),tulkojums!$A$39))</f>
        <v/>
      </c>
      <c r="Q553" s="2" t="str">
        <f>IF(ISBLANK(I553),"",IF(INDEX(DB_materiali!$E$2:$E$5000,MATCH($C553,DB_materiali!$A$2:$A$5000,0))&gt;=INDEX(DB_malas!$C$2:$C$5000,MATCH(I553,DB_malas!$A$2:$A$5000,0)),IF(INDEX(DB_materiali!$E$2:$E$5000,MATCH($C553,DB_materiali!$A$2:$A$5000,0))&lt;=INDEX(DB_malas!$D$2:$D$5000,MATCH(I553,DB_malas!$A$2:$A$5000,0)),IF(OR(INDEX(DB_materiali!$B$2:$B$5000,MATCH($C553,DB_materiali!$A$2:$A$5000,0))=INDEX(DB_malas!$B$2:$B$5000,MATCH(I553,DB_malas!$A$2:$A$5000,0)),$H553="ORG"),"✔",tulkojums!$A$38),tulkojums!$A$39),tulkojums!$A$39))</f>
        <v/>
      </c>
      <c r="R553" s="2" t="str">
        <f>IF(ISBLANK(J553),"",IF(INDEX(DB_materiali!$E$2:$E$5000,MATCH($C553,DB_materiali!$A$2:$A$5000,0))&gt;=INDEX(DB_malas!$C$2:$C$5000,MATCH(J553,DB_malas!$A$2:$A$5000,0)),IF(INDEX(DB_materiali!$E$2:$E$5000,MATCH($C553,DB_materiali!$A$2:$A$5000,0))&lt;=INDEX(DB_malas!$D$2:$D$5000,MATCH(J553,DB_malas!$A$2:$A$5000,0)),IF(INDEX(DB_materiali!$B$2:$B$5000,MATCH($C553,DB_materiali!$A$2:$A$5000,0))=INDEX(DB_malas!$B$2:$B$5000,MATCH(J553,DB_malas!$A$2:$A$5000,0)),"✔",tulkojums!$A$38),tulkojums!$A$39),tulkojums!$A$39))</f>
        <v/>
      </c>
      <c r="S553" s="2" t="str">
        <f>IF(ISBLANK(K553),"",IF(INDEX(DB_materiali!$E$2:$E$5000,MATCH($C553,DB_materiali!$A$2:$A$5000,0))&gt;=INDEX(DB_malas!$C$2:$C$5000,MATCH(K553,DB_malas!$A$2:$A$5000,0)),IF(INDEX(DB_materiali!$E$2:$E$5000,MATCH($C553,DB_materiali!$A$2:$A$5000,0))&lt;=INDEX(DB_malas!$D$2:$D$5000,MATCH(K553,DB_malas!$A$2:$A$5000,0)),IF(INDEX(DB_materiali!$B$2:$B$5000,MATCH($C553,DB_materiali!$A$2:$A$5000,0))=INDEX(DB_malas!$B$2:$B$5000,MATCH(K553,DB_malas!$A$2:$A$5000,0)),"✔",tulkojums!$A$38),tulkojums!$A$39),tulkojums!$A$39))</f>
        <v/>
      </c>
      <c r="T553" s="2"/>
      <c r="U553" s="2"/>
      <c r="V553" s="2"/>
      <c r="W553" s="2"/>
      <c r="X553" s="2"/>
      <c r="Y553" s="2"/>
      <c r="Z553" s="2"/>
    </row>
    <row r="554" spans="1:26" ht="15.75" customHeight="1">
      <c r="A554" s="17"/>
      <c r="B554" s="18"/>
      <c r="C554" s="19"/>
      <c r="D554" s="55"/>
      <c r="E554" s="55"/>
      <c r="F554" s="56"/>
      <c r="G554" s="57" t="str">
        <f>IF(ISBLANK(C554),"",
   IFERROR(
      IF(
         INDEX(DB_materiali!C$2:C$5000,
               MATCH(C554, DB_materiali!A$2:A$5000, 0)
         )="FALSE",
         "N",
         "Y"
      ),
   "")
)</f>
        <v/>
      </c>
      <c r="H554" s="20"/>
      <c r="I554" s="20"/>
      <c r="J554" s="20"/>
      <c r="K554" s="20"/>
      <c r="M554" s="2" t="str">
        <f>IF(ISBLANK(C554),"",IF(IFERROR(VLOOKUP(C554,DB_materiali!$A$2:$A$5000,1,FALSE),"Kļūda artikulā")=C554,"✔",tulkojums!A$42))</f>
        <v/>
      </c>
      <c r="N554" s="2" t="str">
        <f>IF(ISBLANK(C554),"",IF(ISNUMBER(F554)=TRUE,"✔",tulkojums!A$43))</f>
        <v/>
      </c>
      <c r="O554" s="2" t="str">
        <f>IF(ISBLANK(C554),"",IF(G554="Y","✔",IF(G554="X","✔",IF(G554="N","✔",tulkojums!A$44))))</f>
        <v/>
      </c>
      <c r="P554" s="2" t="str">
        <f>IF(ISBLANK(H554),"",IF(INDEX(DB_materiali!$E$2:$E$5000,MATCH($C554,DB_materiali!$A$2:$A$5000,0))&gt;=INDEX(DB_malas!$C$2:$C$5000,MATCH(H554,DB_malas!$A$2:$A$5000,0)),IF(INDEX(DB_materiali!$E$2:$E$5000,MATCH($C554,DB_materiali!$A$2:$A$5000,0))&lt;=INDEX(DB_malas!$D$2:$D$5000,MATCH(H554,DB_malas!$A$2:$A$5000,0)),IF(OR(INDEX(DB_materiali!$B$2:$B$5000,MATCH($C554,DB_materiali!$A$2:$A$5000,0))=INDEX(DB_malas!$B$2:$B$5000,MATCH(H554,DB_malas!$A$2:$A$5000,0)),$H554="ORG"),"✔",tulkojums!$A$38),tulkojums!$A$39),tulkojums!$A$39))</f>
        <v/>
      </c>
      <c r="Q554" s="2" t="str">
        <f>IF(ISBLANK(I554),"",IF(INDEX(DB_materiali!$E$2:$E$5000,MATCH($C554,DB_materiali!$A$2:$A$5000,0))&gt;=INDEX(DB_malas!$C$2:$C$5000,MATCH(I554,DB_malas!$A$2:$A$5000,0)),IF(INDEX(DB_materiali!$E$2:$E$5000,MATCH($C554,DB_materiali!$A$2:$A$5000,0))&lt;=INDEX(DB_malas!$D$2:$D$5000,MATCH(I554,DB_malas!$A$2:$A$5000,0)),IF(OR(INDEX(DB_materiali!$B$2:$B$5000,MATCH($C554,DB_materiali!$A$2:$A$5000,0))=INDEX(DB_malas!$B$2:$B$5000,MATCH(I554,DB_malas!$A$2:$A$5000,0)),$H554="ORG"),"✔",tulkojums!$A$38),tulkojums!$A$39),tulkojums!$A$39))</f>
        <v/>
      </c>
      <c r="R554" s="2" t="str">
        <f>IF(ISBLANK(J554),"",IF(INDEX(DB_materiali!$E$2:$E$5000,MATCH($C554,DB_materiali!$A$2:$A$5000,0))&gt;=INDEX(DB_malas!$C$2:$C$5000,MATCH(J554,DB_malas!$A$2:$A$5000,0)),IF(INDEX(DB_materiali!$E$2:$E$5000,MATCH($C554,DB_materiali!$A$2:$A$5000,0))&lt;=INDEX(DB_malas!$D$2:$D$5000,MATCH(J554,DB_malas!$A$2:$A$5000,0)),IF(INDEX(DB_materiali!$B$2:$B$5000,MATCH($C554,DB_materiali!$A$2:$A$5000,0))=INDEX(DB_malas!$B$2:$B$5000,MATCH(J554,DB_malas!$A$2:$A$5000,0)),"✔",tulkojums!$A$38),tulkojums!$A$39),tulkojums!$A$39))</f>
        <v/>
      </c>
      <c r="S554" s="2" t="str">
        <f>IF(ISBLANK(K554),"",IF(INDEX(DB_materiali!$E$2:$E$5000,MATCH($C554,DB_materiali!$A$2:$A$5000,0))&gt;=INDEX(DB_malas!$C$2:$C$5000,MATCH(K554,DB_malas!$A$2:$A$5000,0)),IF(INDEX(DB_materiali!$E$2:$E$5000,MATCH($C554,DB_materiali!$A$2:$A$5000,0))&lt;=INDEX(DB_malas!$D$2:$D$5000,MATCH(K554,DB_malas!$A$2:$A$5000,0)),IF(INDEX(DB_materiali!$B$2:$B$5000,MATCH($C554,DB_materiali!$A$2:$A$5000,0))=INDEX(DB_malas!$B$2:$B$5000,MATCH(K554,DB_malas!$A$2:$A$5000,0)),"✔",tulkojums!$A$38),tulkojums!$A$39),tulkojums!$A$39))</f>
        <v/>
      </c>
      <c r="T554" s="2"/>
      <c r="U554" s="2"/>
      <c r="V554" s="2"/>
      <c r="W554" s="2"/>
      <c r="X554" s="2"/>
      <c r="Y554" s="2"/>
      <c r="Z554" s="2"/>
    </row>
    <row r="555" spans="1:26" ht="15.75" customHeight="1">
      <c r="A555" s="17"/>
      <c r="B555" s="18"/>
      <c r="C555" s="19"/>
      <c r="D555" s="55"/>
      <c r="E555" s="55"/>
      <c r="F555" s="56"/>
      <c r="G555" s="57" t="str">
        <f>IF(ISBLANK(C555),"",
   IFERROR(
      IF(
         INDEX(DB_materiali!C$2:C$5000,
               MATCH(C555, DB_materiali!A$2:A$5000, 0)
         )="FALSE",
         "N",
         "Y"
      ),
   "")
)</f>
        <v/>
      </c>
      <c r="H555" s="20"/>
      <c r="I555" s="20"/>
      <c r="J555" s="20"/>
      <c r="K555" s="20"/>
      <c r="M555" s="2" t="str">
        <f>IF(ISBLANK(C555),"",IF(IFERROR(VLOOKUP(C555,DB_materiali!$A$2:$A$5000,1,FALSE),"Kļūda artikulā")=C555,"✔",tulkojums!A$42))</f>
        <v/>
      </c>
      <c r="N555" s="2" t="str">
        <f>IF(ISBLANK(C555),"",IF(ISNUMBER(F555)=TRUE,"✔",tulkojums!A$43))</f>
        <v/>
      </c>
      <c r="O555" s="2" t="str">
        <f>IF(ISBLANK(C555),"",IF(G555="Y","✔",IF(G555="X","✔",IF(G555="N","✔",tulkojums!A$44))))</f>
        <v/>
      </c>
      <c r="P555" s="2" t="str">
        <f>IF(ISBLANK(H555),"",IF(INDEX(DB_materiali!$E$2:$E$5000,MATCH($C555,DB_materiali!$A$2:$A$5000,0))&gt;=INDEX(DB_malas!$C$2:$C$5000,MATCH(H555,DB_malas!$A$2:$A$5000,0)),IF(INDEX(DB_materiali!$E$2:$E$5000,MATCH($C555,DB_materiali!$A$2:$A$5000,0))&lt;=INDEX(DB_malas!$D$2:$D$5000,MATCH(H555,DB_malas!$A$2:$A$5000,0)),IF(OR(INDEX(DB_materiali!$B$2:$B$5000,MATCH($C555,DB_materiali!$A$2:$A$5000,0))=INDEX(DB_malas!$B$2:$B$5000,MATCH(H555,DB_malas!$A$2:$A$5000,0)),$H555="ORG"),"✔",tulkojums!$A$38),tulkojums!$A$39),tulkojums!$A$39))</f>
        <v/>
      </c>
      <c r="Q555" s="2" t="str">
        <f>IF(ISBLANK(I555),"",IF(INDEX(DB_materiali!$E$2:$E$5000,MATCH($C555,DB_materiali!$A$2:$A$5000,0))&gt;=INDEX(DB_malas!$C$2:$C$5000,MATCH(I555,DB_malas!$A$2:$A$5000,0)),IF(INDEX(DB_materiali!$E$2:$E$5000,MATCH($C555,DB_materiali!$A$2:$A$5000,0))&lt;=INDEX(DB_malas!$D$2:$D$5000,MATCH(I555,DB_malas!$A$2:$A$5000,0)),IF(OR(INDEX(DB_materiali!$B$2:$B$5000,MATCH($C555,DB_materiali!$A$2:$A$5000,0))=INDEX(DB_malas!$B$2:$B$5000,MATCH(I555,DB_malas!$A$2:$A$5000,0)),$H555="ORG"),"✔",tulkojums!$A$38),tulkojums!$A$39),tulkojums!$A$39))</f>
        <v/>
      </c>
      <c r="R555" s="2" t="str">
        <f>IF(ISBLANK(J555),"",IF(INDEX(DB_materiali!$E$2:$E$5000,MATCH($C555,DB_materiali!$A$2:$A$5000,0))&gt;=INDEX(DB_malas!$C$2:$C$5000,MATCH(J555,DB_malas!$A$2:$A$5000,0)),IF(INDEX(DB_materiali!$E$2:$E$5000,MATCH($C555,DB_materiali!$A$2:$A$5000,0))&lt;=INDEX(DB_malas!$D$2:$D$5000,MATCH(J555,DB_malas!$A$2:$A$5000,0)),IF(INDEX(DB_materiali!$B$2:$B$5000,MATCH($C555,DB_materiali!$A$2:$A$5000,0))=INDEX(DB_malas!$B$2:$B$5000,MATCH(J555,DB_malas!$A$2:$A$5000,0)),"✔",tulkojums!$A$38),tulkojums!$A$39),tulkojums!$A$39))</f>
        <v/>
      </c>
      <c r="S555" s="2" t="str">
        <f>IF(ISBLANK(K555),"",IF(INDEX(DB_materiali!$E$2:$E$5000,MATCH($C555,DB_materiali!$A$2:$A$5000,0))&gt;=INDEX(DB_malas!$C$2:$C$5000,MATCH(K555,DB_malas!$A$2:$A$5000,0)),IF(INDEX(DB_materiali!$E$2:$E$5000,MATCH($C555,DB_materiali!$A$2:$A$5000,0))&lt;=INDEX(DB_malas!$D$2:$D$5000,MATCH(K555,DB_malas!$A$2:$A$5000,0)),IF(INDEX(DB_materiali!$B$2:$B$5000,MATCH($C555,DB_materiali!$A$2:$A$5000,0))=INDEX(DB_malas!$B$2:$B$5000,MATCH(K555,DB_malas!$A$2:$A$5000,0)),"✔",tulkojums!$A$38),tulkojums!$A$39),tulkojums!$A$39))</f>
        <v/>
      </c>
      <c r="T555" s="2"/>
      <c r="U555" s="2"/>
      <c r="V555" s="2"/>
      <c r="W555" s="2"/>
      <c r="X555" s="2"/>
      <c r="Y555" s="2"/>
      <c r="Z555" s="2"/>
    </row>
    <row r="556" spans="1:26" ht="15.75" customHeight="1">
      <c r="A556" s="17"/>
      <c r="B556" s="18"/>
      <c r="C556" s="19"/>
      <c r="D556" s="55"/>
      <c r="E556" s="55"/>
      <c r="F556" s="56"/>
      <c r="G556" s="57" t="str">
        <f>IF(ISBLANK(C556),"",
   IFERROR(
      IF(
         INDEX(DB_materiali!C$2:C$5000,
               MATCH(C556, DB_materiali!A$2:A$5000, 0)
         )="FALSE",
         "N",
         "Y"
      ),
   "")
)</f>
        <v/>
      </c>
      <c r="H556" s="20"/>
      <c r="I556" s="20"/>
      <c r="J556" s="20"/>
      <c r="K556" s="20"/>
      <c r="M556" s="2" t="str">
        <f>IF(ISBLANK(C556),"",IF(IFERROR(VLOOKUP(C556,DB_materiali!$A$2:$A$5000,1,FALSE),"Kļūda artikulā")=C556,"✔",tulkojums!A$42))</f>
        <v/>
      </c>
      <c r="N556" s="2" t="str">
        <f>IF(ISBLANK(C556),"",IF(ISNUMBER(F556)=TRUE,"✔",tulkojums!A$43))</f>
        <v/>
      </c>
      <c r="O556" s="2" t="str">
        <f>IF(ISBLANK(C556),"",IF(G556="Y","✔",IF(G556="X","✔",IF(G556="N","✔",tulkojums!A$44))))</f>
        <v/>
      </c>
      <c r="P556" s="2" t="str">
        <f>IF(ISBLANK(H556),"",IF(INDEX(DB_materiali!$E$2:$E$5000,MATCH($C556,DB_materiali!$A$2:$A$5000,0))&gt;=INDEX(DB_malas!$C$2:$C$5000,MATCH(H556,DB_malas!$A$2:$A$5000,0)),IF(INDEX(DB_materiali!$E$2:$E$5000,MATCH($C556,DB_materiali!$A$2:$A$5000,0))&lt;=INDEX(DB_malas!$D$2:$D$5000,MATCH(H556,DB_malas!$A$2:$A$5000,0)),IF(OR(INDEX(DB_materiali!$B$2:$B$5000,MATCH($C556,DB_materiali!$A$2:$A$5000,0))=INDEX(DB_malas!$B$2:$B$5000,MATCH(H556,DB_malas!$A$2:$A$5000,0)),$H556="ORG"),"✔",tulkojums!$A$38),tulkojums!$A$39),tulkojums!$A$39))</f>
        <v/>
      </c>
      <c r="Q556" s="2" t="str">
        <f>IF(ISBLANK(I556),"",IF(INDEX(DB_materiali!$E$2:$E$5000,MATCH($C556,DB_materiali!$A$2:$A$5000,0))&gt;=INDEX(DB_malas!$C$2:$C$5000,MATCH(I556,DB_malas!$A$2:$A$5000,0)),IF(INDEX(DB_materiali!$E$2:$E$5000,MATCH($C556,DB_materiali!$A$2:$A$5000,0))&lt;=INDEX(DB_malas!$D$2:$D$5000,MATCH(I556,DB_malas!$A$2:$A$5000,0)),IF(OR(INDEX(DB_materiali!$B$2:$B$5000,MATCH($C556,DB_materiali!$A$2:$A$5000,0))=INDEX(DB_malas!$B$2:$B$5000,MATCH(I556,DB_malas!$A$2:$A$5000,0)),$H556="ORG"),"✔",tulkojums!$A$38),tulkojums!$A$39),tulkojums!$A$39))</f>
        <v/>
      </c>
      <c r="R556" s="2" t="str">
        <f>IF(ISBLANK(J556),"",IF(INDEX(DB_materiali!$E$2:$E$5000,MATCH($C556,DB_materiali!$A$2:$A$5000,0))&gt;=INDEX(DB_malas!$C$2:$C$5000,MATCH(J556,DB_malas!$A$2:$A$5000,0)),IF(INDEX(DB_materiali!$E$2:$E$5000,MATCH($C556,DB_materiali!$A$2:$A$5000,0))&lt;=INDEX(DB_malas!$D$2:$D$5000,MATCH(J556,DB_malas!$A$2:$A$5000,0)),IF(INDEX(DB_materiali!$B$2:$B$5000,MATCH($C556,DB_materiali!$A$2:$A$5000,0))=INDEX(DB_malas!$B$2:$B$5000,MATCH(J556,DB_malas!$A$2:$A$5000,0)),"✔",tulkojums!$A$38),tulkojums!$A$39),tulkojums!$A$39))</f>
        <v/>
      </c>
      <c r="S556" s="2" t="str">
        <f>IF(ISBLANK(K556),"",IF(INDEX(DB_materiali!$E$2:$E$5000,MATCH($C556,DB_materiali!$A$2:$A$5000,0))&gt;=INDEX(DB_malas!$C$2:$C$5000,MATCH(K556,DB_malas!$A$2:$A$5000,0)),IF(INDEX(DB_materiali!$E$2:$E$5000,MATCH($C556,DB_materiali!$A$2:$A$5000,0))&lt;=INDEX(DB_malas!$D$2:$D$5000,MATCH(K556,DB_malas!$A$2:$A$5000,0)),IF(INDEX(DB_materiali!$B$2:$B$5000,MATCH($C556,DB_materiali!$A$2:$A$5000,0))=INDEX(DB_malas!$B$2:$B$5000,MATCH(K556,DB_malas!$A$2:$A$5000,0)),"✔",tulkojums!$A$38),tulkojums!$A$39),tulkojums!$A$39))</f>
        <v/>
      </c>
      <c r="T556" s="2"/>
      <c r="U556" s="2"/>
      <c r="V556" s="2"/>
      <c r="W556" s="2"/>
      <c r="X556" s="2"/>
      <c r="Y556" s="2"/>
      <c r="Z556" s="2"/>
    </row>
    <row r="557" spans="1:26" ht="15.75" customHeight="1">
      <c r="A557" s="17"/>
      <c r="B557" s="18"/>
      <c r="C557" s="19"/>
      <c r="D557" s="55"/>
      <c r="E557" s="55"/>
      <c r="F557" s="56"/>
      <c r="G557" s="57" t="str">
        <f>IF(ISBLANK(C557),"",
   IFERROR(
      IF(
         INDEX(DB_materiali!C$2:C$5000,
               MATCH(C557, DB_materiali!A$2:A$5000, 0)
         )="FALSE",
         "N",
         "Y"
      ),
   "")
)</f>
        <v/>
      </c>
      <c r="H557" s="20"/>
      <c r="I557" s="20"/>
      <c r="J557" s="20"/>
      <c r="K557" s="20"/>
      <c r="M557" s="2" t="str">
        <f>IF(ISBLANK(C557),"",IF(IFERROR(VLOOKUP(C557,DB_materiali!$A$2:$A$5000,1,FALSE),"Kļūda artikulā")=C557,"✔",tulkojums!A$42))</f>
        <v/>
      </c>
      <c r="N557" s="2" t="str">
        <f>IF(ISBLANK(C557),"",IF(ISNUMBER(F557)=TRUE,"✔",tulkojums!A$43))</f>
        <v/>
      </c>
      <c r="O557" s="2" t="str">
        <f>IF(ISBLANK(C557),"",IF(G557="Y","✔",IF(G557="X","✔",IF(G557="N","✔",tulkojums!A$44))))</f>
        <v/>
      </c>
      <c r="P557" s="2" t="str">
        <f>IF(ISBLANK(H557),"",IF(INDEX(DB_materiali!$E$2:$E$5000,MATCH($C557,DB_materiali!$A$2:$A$5000,0))&gt;=INDEX(DB_malas!$C$2:$C$5000,MATCH(H557,DB_malas!$A$2:$A$5000,0)),IF(INDEX(DB_materiali!$E$2:$E$5000,MATCH($C557,DB_materiali!$A$2:$A$5000,0))&lt;=INDEX(DB_malas!$D$2:$D$5000,MATCH(H557,DB_malas!$A$2:$A$5000,0)),IF(OR(INDEX(DB_materiali!$B$2:$B$5000,MATCH($C557,DB_materiali!$A$2:$A$5000,0))=INDEX(DB_malas!$B$2:$B$5000,MATCH(H557,DB_malas!$A$2:$A$5000,0)),$H557="ORG"),"✔",tulkojums!$A$38),tulkojums!$A$39),tulkojums!$A$39))</f>
        <v/>
      </c>
      <c r="Q557" s="2" t="str">
        <f>IF(ISBLANK(I557),"",IF(INDEX(DB_materiali!$E$2:$E$5000,MATCH($C557,DB_materiali!$A$2:$A$5000,0))&gt;=INDEX(DB_malas!$C$2:$C$5000,MATCH(I557,DB_malas!$A$2:$A$5000,0)),IF(INDEX(DB_materiali!$E$2:$E$5000,MATCH($C557,DB_materiali!$A$2:$A$5000,0))&lt;=INDEX(DB_malas!$D$2:$D$5000,MATCH(I557,DB_malas!$A$2:$A$5000,0)),IF(OR(INDEX(DB_materiali!$B$2:$B$5000,MATCH($C557,DB_materiali!$A$2:$A$5000,0))=INDEX(DB_malas!$B$2:$B$5000,MATCH(I557,DB_malas!$A$2:$A$5000,0)),$H557="ORG"),"✔",tulkojums!$A$38),tulkojums!$A$39),tulkojums!$A$39))</f>
        <v/>
      </c>
      <c r="R557" s="2" t="str">
        <f>IF(ISBLANK(J557),"",IF(INDEX(DB_materiali!$E$2:$E$5000,MATCH($C557,DB_materiali!$A$2:$A$5000,0))&gt;=INDEX(DB_malas!$C$2:$C$5000,MATCH(J557,DB_malas!$A$2:$A$5000,0)),IF(INDEX(DB_materiali!$E$2:$E$5000,MATCH($C557,DB_materiali!$A$2:$A$5000,0))&lt;=INDEX(DB_malas!$D$2:$D$5000,MATCH(J557,DB_malas!$A$2:$A$5000,0)),IF(INDEX(DB_materiali!$B$2:$B$5000,MATCH($C557,DB_materiali!$A$2:$A$5000,0))=INDEX(DB_malas!$B$2:$B$5000,MATCH(J557,DB_malas!$A$2:$A$5000,0)),"✔",tulkojums!$A$38),tulkojums!$A$39),tulkojums!$A$39))</f>
        <v/>
      </c>
      <c r="S557" s="2" t="str">
        <f>IF(ISBLANK(K557),"",IF(INDEX(DB_materiali!$E$2:$E$5000,MATCH($C557,DB_materiali!$A$2:$A$5000,0))&gt;=INDEX(DB_malas!$C$2:$C$5000,MATCH(K557,DB_malas!$A$2:$A$5000,0)),IF(INDEX(DB_materiali!$E$2:$E$5000,MATCH($C557,DB_materiali!$A$2:$A$5000,0))&lt;=INDEX(DB_malas!$D$2:$D$5000,MATCH(K557,DB_malas!$A$2:$A$5000,0)),IF(INDEX(DB_materiali!$B$2:$B$5000,MATCH($C557,DB_materiali!$A$2:$A$5000,0))=INDEX(DB_malas!$B$2:$B$5000,MATCH(K557,DB_malas!$A$2:$A$5000,0)),"✔",tulkojums!$A$38),tulkojums!$A$39),tulkojums!$A$39))</f>
        <v/>
      </c>
      <c r="T557" s="2"/>
      <c r="U557" s="2"/>
      <c r="V557" s="2"/>
      <c r="W557" s="2"/>
      <c r="X557" s="2"/>
      <c r="Y557" s="2"/>
      <c r="Z557" s="2"/>
    </row>
    <row r="558" spans="1:26" ht="15.75" customHeight="1">
      <c r="A558" s="17"/>
      <c r="B558" s="18"/>
      <c r="C558" s="19"/>
      <c r="D558" s="55"/>
      <c r="E558" s="55"/>
      <c r="F558" s="56"/>
      <c r="G558" s="57" t="str">
        <f>IF(ISBLANK(C558),"",
   IFERROR(
      IF(
         INDEX(DB_materiali!C$2:C$5000,
               MATCH(C558, DB_materiali!A$2:A$5000, 0)
         )="FALSE",
         "N",
         "Y"
      ),
   "")
)</f>
        <v/>
      </c>
      <c r="H558" s="20"/>
      <c r="I558" s="20"/>
      <c r="J558" s="20"/>
      <c r="K558" s="20"/>
      <c r="M558" s="2" t="str">
        <f>IF(ISBLANK(C558),"",IF(IFERROR(VLOOKUP(C558,DB_materiali!$A$2:$A$5000,1,FALSE),"Kļūda artikulā")=C558,"✔",tulkojums!A$42))</f>
        <v/>
      </c>
      <c r="N558" s="2" t="str">
        <f>IF(ISBLANK(C558),"",IF(ISNUMBER(F558)=TRUE,"✔",tulkojums!A$43))</f>
        <v/>
      </c>
      <c r="O558" s="2" t="str">
        <f>IF(ISBLANK(C558),"",IF(G558="Y","✔",IF(G558="X","✔",IF(G558="N","✔",tulkojums!A$44))))</f>
        <v/>
      </c>
      <c r="P558" s="2" t="str">
        <f>IF(ISBLANK(H558),"",IF(INDEX(DB_materiali!$E$2:$E$5000,MATCH($C558,DB_materiali!$A$2:$A$5000,0))&gt;=INDEX(DB_malas!$C$2:$C$5000,MATCH(H558,DB_malas!$A$2:$A$5000,0)),IF(INDEX(DB_materiali!$E$2:$E$5000,MATCH($C558,DB_materiali!$A$2:$A$5000,0))&lt;=INDEX(DB_malas!$D$2:$D$5000,MATCH(H558,DB_malas!$A$2:$A$5000,0)),IF(OR(INDEX(DB_materiali!$B$2:$B$5000,MATCH($C558,DB_materiali!$A$2:$A$5000,0))=INDEX(DB_malas!$B$2:$B$5000,MATCH(H558,DB_malas!$A$2:$A$5000,0)),$H558="ORG"),"✔",tulkojums!$A$38),tulkojums!$A$39),tulkojums!$A$39))</f>
        <v/>
      </c>
      <c r="Q558" s="2" t="str">
        <f>IF(ISBLANK(I558),"",IF(INDEX(DB_materiali!$E$2:$E$5000,MATCH($C558,DB_materiali!$A$2:$A$5000,0))&gt;=INDEX(DB_malas!$C$2:$C$5000,MATCH(I558,DB_malas!$A$2:$A$5000,0)),IF(INDEX(DB_materiali!$E$2:$E$5000,MATCH($C558,DB_materiali!$A$2:$A$5000,0))&lt;=INDEX(DB_malas!$D$2:$D$5000,MATCH(I558,DB_malas!$A$2:$A$5000,0)),IF(OR(INDEX(DB_materiali!$B$2:$B$5000,MATCH($C558,DB_materiali!$A$2:$A$5000,0))=INDEX(DB_malas!$B$2:$B$5000,MATCH(I558,DB_malas!$A$2:$A$5000,0)),$H558="ORG"),"✔",tulkojums!$A$38),tulkojums!$A$39),tulkojums!$A$39))</f>
        <v/>
      </c>
      <c r="R558" s="2" t="str">
        <f>IF(ISBLANK(J558),"",IF(INDEX(DB_materiali!$E$2:$E$5000,MATCH($C558,DB_materiali!$A$2:$A$5000,0))&gt;=INDEX(DB_malas!$C$2:$C$5000,MATCH(J558,DB_malas!$A$2:$A$5000,0)),IF(INDEX(DB_materiali!$E$2:$E$5000,MATCH($C558,DB_materiali!$A$2:$A$5000,0))&lt;=INDEX(DB_malas!$D$2:$D$5000,MATCH(J558,DB_malas!$A$2:$A$5000,0)),IF(INDEX(DB_materiali!$B$2:$B$5000,MATCH($C558,DB_materiali!$A$2:$A$5000,0))=INDEX(DB_malas!$B$2:$B$5000,MATCH(J558,DB_malas!$A$2:$A$5000,0)),"✔",tulkojums!$A$38),tulkojums!$A$39),tulkojums!$A$39))</f>
        <v/>
      </c>
      <c r="S558" s="2" t="str">
        <f>IF(ISBLANK(K558),"",IF(INDEX(DB_materiali!$E$2:$E$5000,MATCH($C558,DB_materiali!$A$2:$A$5000,0))&gt;=INDEX(DB_malas!$C$2:$C$5000,MATCH(K558,DB_malas!$A$2:$A$5000,0)),IF(INDEX(DB_materiali!$E$2:$E$5000,MATCH($C558,DB_materiali!$A$2:$A$5000,0))&lt;=INDEX(DB_malas!$D$2:$D$5000,MATCH(K558,DB_malas!$A$2:$A$5000,0)),IF(INDEX(DB_materiali!$B$2:$B$5000,MATCH($C558,DB_materiali!$A$2:$A$5000,0))=INDEX(DB_malas!$B$2:$B$5000,MATCH(K558,DB_malas!$A$2:$A$5000,0)),"✔",tulkojums!$A$38),tulkojums!$A$39),tulkojums!$A$39))</f>
        <v/>
      </c>
      <c r="T558" s="2"/>
      <c r="U558" s="2"/>
      <c r="V558" s="2"/>
      <c r="W558" s="2"/>
      <c r="X558" s="2"/>
      <c r="Y558" s="2"/>
      <c r="Z558" s="2"/>
    </row>
    <row r="559" spans="1:26" ht="15.75" customHeight="1">
      <c r="A559" s="17"/>
      <c r="B559" s="18"/>
      <c r="C559" s="19"/>
      <c r="D559" s="55"/>
      <c r="E559" s="55"/>
      <c r="F559" s="56"/>
      <c r="G559" s="57" t="str">
        <f>IF(ISBLANK(C559),"",
   IFERROR(
      IF(
         INDEX(DB_materiali!C$2:C$5000,
               MATCH(C559, DB_materiali!A$2:A$5000, 0)
         )="FALSE",
         "N",
         "Y"
      ),
   "")
)</f>
        <v/>
      </c>
      <c r="H559" s="20"/>
      <c r="I559" s="20"/>
      <c r="J559" s="20"/>
      <c r="K559" s="20"/>
      <c r="M559" s="2" t="str">
        <f>IF(ISBLANK(C559),"",IF(IFERROR(VLOOKUP(C559,DB_materiali!$A$2:$A$5000,1,FALSE),"Kļūda artikulā")=C559,"✔",tulkojums!A$42))</f>
        <v/>
      </c>
      <c r="N559" s="2" t="str">
        <f>IF(ISBLANK(C559),"",IF(ISNUMBER(F559)=TRUE,"✔",tulkojums!A$43))</f>
        <v/>
      </c>
      <c r="O559" s="2" t="str">
        <f>IF(ISBLANK(C559),"",IF(G559="Y","✔",IF(G559="X","✔",IF(G559="N","✔",tulkojums!A$44))))</f>
        <v/>
      </c>
      <c r="P559" s="2" t="str">
        <f>IF(ISBLANK(H559),"",IF(INDEX(DB_materiali!$E$2:$E$5000,MATCH($C559,DB_materiali!$A$2:$A$5000,0))&gt;=INDEX(DB_malas!$C$2:$C$5000,MATCH(H559,DB_malas!$A$2:$A$5000,0)),IF(INDEX(DB_materiali!$E$2:$E$5000,MATCH($C559,DB_materiali!$A$2:$A$5000,0))&lt;=INDEX(DB_malas!$D$2:$D$5000,MATCH(H559,DB_malas!$A$2:$A$5000,0)),IF(OR(INDEX(DB_materiali!$B$2:$B$5000,MATCH($C559,DB_materiali!$A$2:$A$5000,0))=INDEX(DB_malas!$B$2:$B$5000,MATCH(H559,DB_malas!$A$2:$A$5000,0)),$H559="ORG"),"✔",tulkojums!$A$38),tulkojums!$A$39),tulkojums!$A$39))</f>
        <v/>
      </c>
      <c r="Q559" s="2" t="str">
        <f>IF(ISBLANK(I559),"",IF(INDEX(DB_materiali!$E$2:$E$5000,MATCH($C559,DB_materiali!$A$2:$A$5000,0))&gt;=INDEX(DB_malas!$C$2:$C$5000,MATCH(I559,DB_malas!$A$2:$A$5000,0)),IF(INDEX(DB_materiali!$E$2:$E$5000,MATCH($C559,DB_materiali!$A$2:$A$5000,0))&lt;=INDEX(DB_malas!$D$2:$D$5000,MATCH(I559,DB_malas!$A$2:$A$5000,0)),IF(OR(INDEX(DB_materiali!$B$2:$B$5000,MATCH($C559,DB_materiali!$A$2:$A$5000,0))=INDEX(DB_malas!$B$2:$B$5000,MATCH(I559,DB_malas!$A$2:$A$5000,0)),$H559="ORG"),"✔",tulkojums!$A$38),tulkojums!$A$39),tulkojums!$A$39))</f>
        <v/>
      </c>
      <c r="R559" s="2" t="str">
        <f>IF(ISBLANK(J559),"",IF(INDEX(DB_materiali!$E$2:$E$5000,MATCH($C559,DB_materiali!$A$2:$A$5000,0))&gt;=INDEX(DB_malas!$C$2:$C$5000,MATCH(J559,DB_malas!$A$2:$A$5000,0)),IF(INDEX(DB_materiali!$E$2:$E$5000,MATCH($C559,DB_materiali!$A$2:$A$5000,0))&lt;=INDEX(DB_malas!$D$2:$D$5000,MATCH(J559,DB_malas!$A$2:$A$5000,0)),IF(INDEX(DB_materiali!$B$2:$B$5000,MATCH($C559,DB_materiali!$A$2:$A$5000,0))=INDEX(DB_malas!$B$2:$B$5000,MATCH(J559,DB_malas!$A$2:$A$5000,0)),"✔",tulkojums!$A$38),tulkojums!$A$39),tulkojums!$A$39))</f>
        <v/>
      </c>
      <c r="S559" s="2" t="str">
        <f>IF(ISBLANK(K559),"",IF(INDEX(DB_materiali!$E$2:$E$5000,MATCH($C559,DB_materiali!$A$2:$A$5000,0))&gt;=INDEX(DB_malas!$C$2:$C$5000,MATCH(K559,DB_malas!$A$2:$A$5000,0)),IF(INDEX(DB_materiali!$E$2:$E$5000,MATCH($C559,DB_materiali!$A$2:$A$5000,0))&lt;=INDEX(DB_malas!$D$2:$D$5000,MATCH(K559,DB_malas!$A$2:$A$5000,0)),IF(INDEX(DB_materiali!$B$2:$B$5000,MATCH($C559,DB_materiali!$A$2:$A$5000,0))=INDEX(DB_malas!$B$2:$B$5000,MATCH(K559,DB_malas!$A$2:$A$5000,0)),"✔",tulkojums!$A$38),tulkojums!$A$39),tulkojums!$A$39))</f>
        <v/>
      </c>
      <c r="T559" s="2"/>
      <c r="U559" s="2"/>
      <c r="V559" s="2"/>
      <c r="W559" s="2"/>
      <c r="X559" s="2"/>
      <c r="Y559" s="2"/>
      <c r="Z559" s="2"/>
    </row>
    <row r="560" spans="1:26" ht="15.75" customHeight="1">
      <c r="A560" s="17"/>
      <c r="B560" s="18"/>
      <c r="C560" s="19"/>
      <c r="D560" s="55"/>
      <c r="E560" s="55"/>
      <c r="F560" s="56"/>
      <c r="G560" s="57" t="str">
        <f>IF(ISBLANK(C560),"",
   IFERROR(
      IF(
         INDEX(DB_materiali!C$2:C$5000,
               MATCH(C560, DB_materiali!A$2:A$5000, 0)
         )="FALSE",
         "N",
         "Y"
      ),
   "")
)</f>
        <v/>
      </c>
      <c r="H560" s="20"/>
      <c r="I560" s="20"/>
      <c r="J560" s="20"/>
      <c r="K560" s="20"/>
      <c r="M560" s="2" t="str">
        <f>IF(ISBLANK(C560),"",IF(IFERROR(VLOOKUP(C560,DB_materiali!$A$2:$A$5000,1,FALSE),"Kļūda artikulā")=C560,"✔",tulkojums!A$42))</f>
        <v/>
      </c>
      <c r="N560" s="2" t="str">
        <f>IF(ISBLANK(C560),"",IF(ISNUMBER(F560)=TRUE,"✔",tulkojums!A$43))</f>
        <v/>
      </c>
      <c r="O560" s="2" t="str">
        <f>IF(ISBLANK(C560),"",IF(G560="Y","✔",IF(G560="X","✔",IF(G560="N","✔",tulkojums!A$44))))</f>
        <v/>
      </c>
      <c r="P560" s="2" t="str">
        <f>IF(ISBLANK(H560),"",IF(INDEX(DB_materiali!$E$2:$E$5000,MATCH($C560,DB_materiali!$A$2:$A$5000,0))&gt;=INDEX(DB_malas!$C$2:$C$5000,MATCH(H560,DB_malas!$A$2:$A$5000,0)),IF(INDEX(DB_materiali!$E$2:$E$5000,MATCH($C560,DB_materiali!$A$2:$A$5000,0))&lt;=INDEX(DB_malas!$D$2:$D$5000,MATCH(H560,DB_malas!$A$2:$A$5000,0)),IF(OR(INDEX(DB_materiali!$B$2:$B$5000,MATCH($C560,DB_materiali!$A$2:$A$5000,0))=INDEX(DB_malas!$B$2:$B$5000,MATCH(H560,DB_malas!$A$2:$A$5000,0)),$H560="ORG"),"✔",tulkojums!$A$38),tulkojums!$A$39),tulkojums!$A$39))</f>
        <v/>
      </c>
      <c r="Q560" s="2" t="str">
        <f>IF(ISBLANK(I560),"",IF(INDEX(DB_materiali!$E$2:$E$5000,MATCH($C560,DB_materiali!$A$2:$A$5000,0))&gt;=INDEX(DB_malas!$C$2:$C$5000,MATCH(I560,DB_malas!$A$2:$A$5000,0)),IF(INDEX(DB_materiali!$E$2:$E$5000,MATCH($C560,DB_materiali!$A$2:$A$5000,0))&lt;=INDEX(DB_malas!$D$2:$D$5000,MATCH(I560,DB_malas!$A$2:$A$5000,0)),IF(OR(INDEX(DB_materiali!$B$2:$B$5000,MATCH($C560,DB_materiali!$A$2:$A$5000,0))=INDEX(DB_malas!$B$2:$B$5000,MATCH(I560,DB_malas!$A$2:$A$5000,0)),$H560="ORG"),"✔",tulkojums!$A$38),tulkojums!$A$39),tulkojums!$A$39))</f>
        <v/>
      </c>
      <c r="R560" s="2" t="str">
        <f>IF(ISBLANK(J560),"",IF(INDEX(DB_materiali!$E$2:$E$5000,MATCH($C560,DB_materiali!$A$2:$A$5000,0))&gt;=INDEX(DB_malas!$C$2:$C$5000,MATCH(J560,DB_malas!$A$2:$A$5000,0)),IF(INDEX(DB_materiali!$E$2:$E$5000,MATCH($C560,DB_materiali!$A$2:$A$5000,0))&lt;=INDEX(DB_malas!$D$2:$D$5000,MATCH(J560,DB_malas!$A$2:$A$5000,0)),IF(INDEX(DB_materiali!$B$2:$B$5000,MATCH($C560,DB_materiali!$A$2:$A$5000,0))=INDEX(DB_malas!$B$2:$B$5000,MATCH(J560,DB_malas!$A$2:$A$5000,0)),"✔",tulkojums!$A$38),tulkojums!$A$39),tulkojums!$A$39))</f>
        <v/>
      </c>
      <c r="S560" s="2" t="str">
        <f>IF(ISBLANK(K560),"",IF(INDEX(DB_materiali!$E$2:$E$5000,MATCH($C560,DB_materiali!$A$2:$A$5000,0))&gt;=INDEX(DB_malas!$C$2:$C$5000,MATCH(K560,DB_malas!$A$2:$A$5000,0)),IF(INDEX(DB_materiali!$E$2:$E$5000,MATCH($C560,DB_materiali!$A$2:$A$5000,0))&lt;=INDEX(DB_malas!$D$2:$D$5000,MATCH(K560,DB_malas!$A$2:$A$5000,0)),IF(INDEX(DB_materiali!$B$2:$B$5000,MATCH($C560,DB_materiali!$A$2:$A$5000,0))=INDEX(DB_malas!$B$2:$B$5000,MATCH(K560,DB_malas!$A$2:$A$5000,0)),"✔",tulkojums!$A$38),tulkojums!$A$39),tulkojums!$A$39))</f>
        <v/>
      </c>
      <c r="T560" s="2"/>
      <c r="U560" s="2"/>
      <c r="V560" s="2"/>
      <c r="W560" s="2"/>
      <c r="X560" s="2"/>
      <c r="Y560" s="2"/>
      <c r="Z560" s="2"/>
    </row>
    <row r="561" spans="1:26" ht="15.75" customHeight="1">
      <c r="A561" s="17"/>
      <c r="B561" s="18"/>
      <c r="C561" s="19"/>
      <c r="D561" s="55"/>
      <c r="E561" s="55"/>
      <c r="F561" s="56"/>
      <c r="G561" s="57" t="str">
        <f>IF(ISBLANK(C561),"",
   IFERROR(
      IF(
         INDEX(DB_materiali!C$2:C$5000,
               MATCH(C561, DB_materiali!A$2:A$5000, 0)
         )="FALSE",
         "N",
         "Y"
      ),
   "")
)</f>
        <v/>
      </c>
      <c r="H561" s="20"/>
      <c r="I561" s="20"/>
      <c r="J561" s="20"/>
      <c r="K561" s="20"/>
      <c r="M561" s="2" t="str">
        <f>IF(ISBLANK(C561),"",IF(IFERROR(VLOOKUP(C561,DB_materiali!$A$2:$A$5000,1,FALSE),"Kļūda artikulā")=C561,"✔",tulkojums!A$42))</f>
        <v/>
      </c>
      <c r="N561" s="2" t="str">
        <f>IF(ISBLANK(C561),"",IF(ISNUMBER(F561)=TRUE,"✔",tulkojums!A$43))</f>
        <v/>
      </c>
      <c r="O561" s="2" t="str">
        <f>IF(ISBLANK(C561),"",IF(G561="Y","✔",IF(G561="X","✔",IF(G561="N","✔",tulkojums!A$44))))</f>
        <v/>
      </c>
      <c r="P561" s="2" t="str">
        <f>IF(ISBLANK(H561),"",IF(INDEX(DB_materiali!$E$2:$E$5000,MATCH($C561,DB_materiali!$A$2:$A$5000,0))&gt;=INDEX(DB_malas!$C$2:$C$5000,MATCH(H561,DB_malas!$A$2:$A$5000,0)),IF(INDEX(DB_materiali!$E$2:$E$5000,MATCH($C561,DB_materiali!$A$2:$A$5000,0))&lt;=INDEX(DB_malas!$D$2:$D$5000,MATCH(H561,DB_malas!$A$2:$A$5000,0)),IF(OR(INDEX(DB_materiali!$B$2:$B$5000,MATCH($C561,DB_materiali!$A$2:$A$5000,0))=INDEX(DB_malas!$B$2:$B$5000,MATCH(H561,DB_malas!$A$2:$A$5000,0)),$H561="ORG"),"✔",tulkojums!$A$38),tulkojums!$A$39),tulkojums!$A$39))</f>
        <v/>
      </c>
      <c r="Q561" s="2" t="str">
        <f>IF(ISBLANK(I561),"",IF(INDEX(DB_materiali!$E$2:$E$5000,MATCH($C561,DB_materiali!$A$2:$A$5000,0))&gt;=INDEX(DB_malas!$C$2:$C$5000,MATCH(I561,DB_malas!$A$2:$A$5000,0)),IF(INDEX(DB_materiali!$E$2:$E$5000,MATCH($C561,DB_materiali!$A$2:$A$5000,0))&lt;=INDEX(DB_malas!$D$2:$D$5000,MATCH(I561,DB_malas!$A$2:$A$5000,0)),IF(OR(INDEX(DB_materiali!$B$2:$B$5000,MATCH($C561,DB_materiali!$A$2:$A$5000,0))=INDEX(DB_malas!$B$2:$B$5000,MATCH(I561,DB_malas!$A$2:$A$5000,0)),$H561="ORG"),"✔",tulkojums!$A$38),tulkojums!$A$39),tulkojums!$A$39))</f>
        <v/>
      </c>
      <c r="R561" s="2" t="str">
        <f>IF(ISBLANK(J561),"",IF(INDEX(DB_materiali!$E$2:$E$5000,MATCH($C561,DB_materiali!$A$2:$A$5000,0))&gt;=INDEX(DB_malas!$C$2:$C$5000,MATCH(J561,DB_malas!$A$2:$A$5000,0)),IF(INDEX(DB_materiali!$E$2:$E$5000,MATCH($C561,DB_materiali!$A$2:$A$5000,0))&lt;=INDEX(DB_malas!$D$2:$D$5000,MATCH(J561,DB_malas!$A$2:$A$5000,0)),IF(INDEX(DB_materiali!$B$2:$B$5000,MATCH($C561,DB_materiali!$A$2:$A$5000,0))=INDEX(DB_malas!$B$2:$B$5000,MATCH(J561,DB_malas!$A$2:$A$5000,0)),"✔",tulkojums!$A$38),tulkojums!$A$39),tulkojums!$A$39))</f>
        <v/>
      </c>
      <c r="S561" s="2" t="str">
        <f>IF(ISBLANK(K561),"",IF(INDEX(DB_materiali!$E$2:$E$5000,MATCH($C561,DB_materiali!$A$2:$A$5000,0))&gt;=INDEX(DB_malas!$C$2:$C$5000,MATCH(K561,DB_malas!$A$2:$A$5000,0)),IF(INDEX(DB_materiali!$E$2:$E$5000,MATCH($C561,DB_materiali!$A$2:$A$5000,0))&lt;=INDEX(DB_malas!$D$2:$D$5000,MATCH(K561,DB_malas!$A$2:$A$5000,0)),IF(INDEX(DB_materiali!$B$2:$B$5000,MATCH($C561,DB_materiali!$A$2:$A$5000,0))=INDEX(DB_malas!$B$2:$B$5000,MATCH(K561,DB_malas!$A$2:$A$5000,0)),"✔",tulkojums!$A$38),tulkojums!$A$39),tulkojums!$A$39))</f>
        <v/>
      </c>
      <c r="T561" s="2"/>
      <c r="U561" s="2"/>
      <c r="V561" s="2"/>
      <c r="W561" s="2"/>
      <c r="X561" s="2"/>
      <c r="Y561" s="2"/>
      <c r="Z561" s="2"/>
    </row>
    <row r="562" spans="1:26" ht="15.75" customHeight="1">
      <c r="A562" s="17"/>
      <c r="B562" s="18"/>
      <c r="C562" s="19"/>
      <c r="D562" s="55"/>
      <c r="E562" s="55"/>
      <c r="F562" s="56"/>
      <c r="G562" s="57" t="str">
        <f>IF(ISBLANK(C562),"",
   IFERROR(
      IF(
         INDEX(DB_materiali!C$2:C$5000,
               MATCH(C562, DB_materiali!A$2:A$5000, 0)
         )="FALSE",
         "N",
         "Y"
      ),
   "")
)</f>
        <v/>
      </c>
      <c r="H562" s="20"/>
      <c r="I562" s="20"/>
      <c r="J562" s="20"/>
      <c r="K562" s="20"/>
      <c r="M562" s="2" t="str">
        <f>IF(ISBLANK(C562),"",IF(IFERROR(VLOOKUP(C562,DB_materiali!$A$2:$A$5000,1,FALSE),"Kļūda artikulā")=C562,"✔",tulkojums!A$42))</f>
        <v/>
      </c>
      <c r="N562" s="2" t="str">
        <f>IF(ISBLANK(C562),"",IF(ISNUMBER(F562)=TRUE,"✔",tulkojums!A$43))</f>
        <v/>
      </c>
      <c r="O562" s="2" t="str">
        <f>IF(ISBLANK(C562),"",IF(G562="Y","✔",IF(G562="X","✔",IF(G562="N","✔",tulkojums!A$44))))</f>
        <v/>
      </c>
      <c r="P562" s="2" t="str">
        <f>IF(ISBLANK(H562),"",IF(INDEX(DB_materiali!$E$2:$E$5000,MATCH($C562,DB_materiali!$A$2:$A$5000,0))&gt;=INDEX(DB_malas!$C$2:$C$5000,MATCH(H562,DB_malas!$A$2:$A$5000,0)),IF(INDEX(DB_materiali!$E$2:$E$5000,MATCH($C562,DB_materiali!$A$2:$A$5000,0))&lt;=INDEX(DB_malas!$D$2:$D$5000,MATCH(H562,DB_malas!$A$2:$A$5000,0)),IF(OR(INDEX(DB_materiali!$B$2:$B$5000,MATCH($C562,DB_materiali!$A$2:$A$5000,0))=INDEX(DB_malas!$B$2:$B$5000,MATCH(H562,DB_malas!$A$2:$A$5000,0)),$H562="ORG"),"✔",tulkojums!$A$38),tulkojums!$A$39),tulkojums!$A$39))</f>
        <v/>
      </c>
      <c r="Q562" s="2" t="str">
        <f>IF(ISBLANK(I562),"",IF(INDEX(DB_materiali!$E$2:$E$5000,MATCH($C562,DB_materiali!$A$2:$A$5000,0))&gt;=INDEX(DB_malas!$C$2:$C$5000,MATCH(I562,DB_malas!$A$2:$A$5000,0)),IF(INDEX(DB_materiali!$E$2:$E$5000,MATCH($C562,DB_materiali!$A$2:$A$5000,0))&lt;=INDEX(DB_malas!$D$2:$D$5000,MATCH(I562,DB_malas!$A$2:$A$5000,0)),IF(OR(INDEX(DB_materiali!$B$2:$B$5000,MATCH($C562,DB_materiali!$A$2:$A$5000,0))=INDEX(DB_malas!$B$2:$B$5000,MATCH(I562,DB_malas!$A$2:$A$5000,0)),$H562="ORG"),"✔",tulkojums!$A$38),tulkojums!$A$39),tulkojums!$A$39))</f>
        <v/>
      </c>
      <c r="R562" s="2" t="str">
        <f>IF(ISBLANK(J562),"",IF(INDEX(DB_materiali!$E$2:$E$5000,MATCH($C562,DB_materiali!$A$2:$A$5000,0))&gt;=INDEX(DB_malas!$C$2:$C$5000,MATCH(J562,DB_malas!$A$2:$A$5000,0)),IF(INDEX(DB_materiali!$E$2:$E$5000,MATCH($C562,DB_materiali!$A$2:$A$5000,0))&lt;=INDEX(DB_malas!$D$2:$D$5000,MATCH(J562,DB_malas!$A$2:$A$5000,0)),IF(INDEX(DB_materiali!$B$2:$B$5000,MATCH($C562,DB_materiali!$A$2:$A$5000,0))=INDEX(DB_malas!$B$2:$B$5000,MATCH(J562,DB_malas!$A$2:$A$5000,0)),"✔",tulkojums!$A$38),tulkojums!$A$39),tulkojums!$A$39))</f>
        <v/>
      </c>
      <c r="S562" s="2" t="str">
        <f>IF(ISBLANK(K562),"",IF(INDEX(DB_materiali!$E$2:$E$5000,MATCH($C562,DB_materiali!$A$2:$A$5000,0))&gt;=INDEX(DB_malas!$C$2:$C$5000,MATCH(K562,DB_malas!$A$2:$A$5000,0)),IF(INDEX(DB_materiali!$E$2:$E$5000,MATCH($C562,DB_materiali!$A$2:$A$5000,0))&lt;=INDEX(DB_malas!$D$2:$D$5000,MATCH(K562,DB_malas!$A$2:$A$5000,0)),IF(INDEX(DB_materiali!$B$2:$B$5000,MATCH($C562,DB_materiali!$A$2:$A$5000,0))=INDEX(DB_malas!$B$2:$B$5000,MATCH(K562,DB_malas!$A$2:$A$5000,0)),"✔",tulkojums!$A$38),tulkojums!$A$39),tulkojums!$A$39))</f>
        <v/>
      </c>
      <c r="T562" s="2"/>
      <c r="U562" s="2"/>
      <c r="V562" s="2"/>
      <c r="W562" s="2"/>
      <c r="X562" s="2"/>
      <c r="Y562" s="2"/>
      <c r="Z562" s="2"/>
    </row>
    <row r="563" spans="1:26" ht="15.75" customHeight="1">
      <c r="A563" s="17"/>
      <c r="B563" s="18"/>
      <c r="C563" s="19"/>
      <c r="D563" s="55"/>
      <c r="E563" s="55"/>
      <c r="F563" s="56"/>
      <c r="G563" s="57" t="str">
        <f>IF(ISBLANK(C563),"",
   IFERROR(
      IF(
         INDEX(DB_materiali!C$2:C$5000,
               MATCH(C563, DB_materiali!A$2:A$5000, 0)
         )="FALSE",
         "N",
         "Y"
      ),
   "")
)</f>
        <v/>
      </c>
      <c r="H563" s="20"/>
      <c r="I563" s="20"/>
      <c r="J563" s="20"/>
      <c r="K563" s="20"/>
      <c r="M563" s="2" t="str">
        <f>IF(ISBLANK(C563),"",IF(IFERROR(VLOOKUP(C563,DB_materiali!$A$2:$A$5000,1,FALSE),"Kļūda artikulā")=C563,"✔",tulkojums!A$42))</f>
        <v/>
      </c>
      <c r="N563" s="2" t="str">
        <f>IF(ISBLANK(C563),"",IF(ISNUMBER(F563)=TRUE,"✔",tulkojums!A$43))</f>
        <v/>
      </c>
      <c r="O563" s="2" t="str">
        <f>IF(ISBLANK(C563),"",IF(G563="Y","✔",IF(G563="X","✔",IF(G563="N","✔",tulkojums!A$44))))</f>
        <v/>
      </c>
      <c r="P563" s="2" t="str">
        <f>IF(ISBLANK(H563),"",IF(INDEX(DB_materiali!$E$2:$E$5000,MATCH($C563,DB_materiali!$A$2:$A$5000,0))&gt;=INDEX(DB_malas!$C$2:$C$5000,MATCH(H563,DB_malas!$A$2:$A$5000,0)),IF(INDEX(DB_materiali!$E$2:$E$5000,MATCH($C563,DB_materiali!$A$2:$A$5000,0))&lt;=INDEX(DB_malas!$D$2:$D$5000,MATCH(H563,DB_malas!$A$2:$A$5000,0)),IF(OR(INDEX(DB_materiali!$B$2:$B$5000,MATCH($C563,DB_materiali!$A$2:$A$5000,0))=INDEX(DB_malas!$B$2:$B$5000,MATCH(H563,DB_malas!$A$2:$A$5000,0)),$H563="ORG"),"✔",tulkojums!$A$38),tulkojums!$A$39),tulkojums!$A$39))</f>
        <v/>
      </c>
      <c r="Q563" s="2" t="str">
        <f>IF(ISBLANK(I563),"",IF(INDEX(DB_materiali!$E$2:$E$5000,MATCH($C563,DB_materiali!$A$2:$A$5000,0))&gt;=INDEX(DB_malas!$C$2:$C$5000,MATCH(I563,DB_malas!$A$2:$A$5000,0)),IF(INDEX(DB_materiali!$E$2:$E$5000,MATCH($C563,DB_materiali!$A$2:$A$5000,0))&lt;=INDEX(DB_malas!$D$2:$D$5000,MATCH(I563,DB_malas!$A$2:$A$5000,0)),IF(OR(INDEX(DB_materiali!$B$2:$B$5000,MATCH($C563,DB_materiali!$A$2:$A$5000,0))=INDEX(DB_malas!$B$2:$B$5000,MATCH(I563,DB_malas!$A$2:$A$5000,0)),$H563="ORG"),"✔",tulkojums!$A$38),tulkojums!$A$39),tulkojums!$A$39))</f>
        <v/>
      </c>
      <c r="R563" s="2" t="str">
        <f>IF(ISBLANK(J563),"",IF(INDEX(DB_materiali!$E$2:$E$5000,MATCH($C563,DB_materiali!$A$2:$A$5000,0))&gt;=INDEX(DB_malas!$C$2:$C$5000,MATCH(J563,DB_malas!$A$2:$A$5000,0)),IF(INDEX(DB_materiali!$E$2:$E$5000,MATCH($C563,DB_materiali!$A$2:$A$5000,0))&lt;=INDEX(DB_malas!$D$2:$D$5000,MATCH(J563,DB_malas!$A$2:$A$5000,0)),IF(INDEX(DB_materiali!$B$2:$B$5000,MATCH($C563,DB_materiali!$A$2:$A$5000,0))=INDEX(DB_malas!$B$2:$B$5000,MATCH(J563,DB_malas!$A$2:$A$5000,0)),"✔",tulkojums!$A$38),tulkojums!$A$39),tulkojums!$A$39))</f>
        <v/>
      </c>
      <c r="S563" s="2" t="str">
        <f>IF(ISBLANK(K563),"",IF(INDEX(DB_materiali!$E$2:$E$5000,MATCH($C563,DB_materiali!$A$2:$A$5000,0))&gt;=INDEX(DB_malas!$C$2:$C$5000,MATCH(K563,DB_malas!$A$2:$A$5000,0)),IF(INDEX(DB_materiali!$E$2:$E$5000,MATCH($C563,DB_materiali!$A$2:$A$5000,0))&lt;=INDEX(DB_malas!$D$2:$D$5000,MATCH(K563,DB_malas!$A$2:$A$5000,0)),IF(INDEX(DB_materiali!$B$2:$B$5000,MATCH($C563,DB_materiali!$A$2:$A$5000,0))=INDEX(DB_malas!$B$2:$B$5000,MATCH(K563,DB_malas!$A$2:$A$5000,0)),"✔",tulkojums!$A$38),tulkojums!$A$39),tulkojums!$A$39))</f>
        <v/>
      </c>
      <c r="T563" s="2"/>
      <c r="U563" s="2"/>
      <c r="V563" s="2"/>
      <c r="W563" s="2"/>
      <c r="X563" s="2"/>
      <c r="Y563" s="2"/>
      <c r="Z563" s="2"/>
    </row>
    <row r="564" spans="1:26" ht="15.75" customHeight="1">
      <c r="A564" s="17"/>
      <c r="B564" s="18"/>
      <c r="C564" s="19"/>
      <c r="D564" s="55"/>
      <c r="E564" s="55"/>
      <c r="F564" s="56"/>
      <c r="G564" s="57" t="str">
        <f>IF(ISBLANK(C564),"",
   IFERROR(
      IF(
         INDEX(DB_materiali!C$2:C$5000,
               MATCH(C564, DB_materiali!A$2:A$5000, 0)
         )="FALSE",
         "N",
         "Y"
      ),
   "")
)</f>
        <v/>
      </c>
      <c r="H564" s="20"/>
      <c r="I564" s="20"/>
      <c r="J564" s="20"/>
      <c r="K564" s="20"/>
      <c r="M564" s="2" t="str">
        <f>IF(ISBLANK(C564),"",IF(IFERROR(VLOOKUP(C564,DB_materiali!$A$2:$A$5000,1,FALSE),"Kļūda artikulā")=C564,"✔",tulkojums!A$42))</f>
        <v/>
      </c>
      <c r="N564" s="2" t="str">
        <f>IF(ISBLANK(C564),"",IF(ISNUMBER(F564)=TRUE,"✔",tulkojums!A$43))</f>
        <v/>
      </c>
      <c r="O564" s="2" t="str">
        <f>IF(ISBLANK(C564),"",IF(G564="Y","✔",IF(G564="X","✔",IF(G564="N","✔",tulkojums!A$44))))</f>
        <v/>
      </c>
      <c r="P564" s="2" t="str">
        <f>IF(ISBLANK(H564),"",IF(INDEX(DB_materiali!$E$2:$E$5000,MATCH($C564,DB_materiali!$A$2:$A$5000,0))&gt;=INDEX(DB_malas!$C$2:$C$5000,MATCH(H564,DB_malas!$A$2:$A$5000,0)),IF(INDEX(DB_materiali!$E$2:$E$5000,MATCH($C564,DB_materiali!$A$2:$A$5000,0))&lt;=INDEX(DB_malas!$D$2:$D$5000,MATCH(H564,DB_malas!$A$2:$A$5000,0)),IF(OR(INDEX(DB_materiali!$B$2:$B$5000,MATCH($C564,DB_materiali!$A$2:$A$5000,0))=INDEX(DB_malas!$B$2:$B$5000,MATCH(H564,DB_malas!$A$2:$A$5000,0)),$H564="ORG"),"✔",tulkojums!$A$38),tulkojums!$A$39),tulkojums!$A$39))</f>
        <v/>
      </c>
      <c r="Q564" s="2" t="str">
        <f>IF(ISBLANK(I564),"",IF(INDEX(DB_materiali!$E$2:$E$5000,MATCH($C564,DB_materiali!$A$2:$A$5000,0))&gt;=INDEX(DB_malas!$C$2:$C$5000,MATCH(I564,DB_malas!$A$2:$A$5000,0)),IF(INDEX(DB_materiali!$E$2:$E$5000,MATCH($C564,DB_materiali!$A$2:$A$5000,0))&lt;=INDEX(DB_malas!$D$2:$D$5000,MATCH(I564,DB_malas!$A$2:$A$5000,0)),IF(OR(INDEX(DB_materiali!$B$2:$B$5000,MATCH($C564,DB_materiali!$A$2:$A$5000,0))=INDEX(DB_malas!$B$2:$B$5000,MATCH(I564,DB_malas!$A$2:$A$5000,0)),$H564="ORG"),"✔",tulkojums!$A$38),tulkojums!$A$39),tulkojums!$A$39))</f>
        <v/>
      </c>
      <c r="R564" s="2" t="str">
        <f>IF(ISBLANK(J564),"",IF(INDEX(DB_materiali!$E$2:$E$5000,MATCH($C564,DB_materiali!$A$2:$A$5000,0))&gt;=INDEX(DB_malas!$C$2:$C$5000,MATCH(J564,DB_malas!$A$2:$A$5000,0)),IF(INDEX(DB_materiali!$E$2:$E$5000,MATCH($C564,DB_materiali!$A$2:$A$5000,0))&lt;=INDEX(DB_malas!$D$2:$D$5000,MATCH(J564,DB_malas!$A$2:$A$5000,0)),IF(INDEX(DB_materiali!$B$2:$B$5000,MATCH($C564,DB_materiali!$A$2:$A$5000,0))=INDEX(DB_malas!$B$2:$B$5000,MATCH(J564,DB_malas!$A$2:$A$5000,0)),"✔",tulkojums!$A$38),tulkojums!$A$39),tulkojums!$A$39))</f>
        <v/>
      </c>
      <c r="S564" s="2" t="str">
        <f>IF(ISBLANK(K564),"",IF(INDEX(DB_materiali!$E$2:$E$5000,MATCH($C564,DB_materiali!$A$2:$A$5000,0))&gt;=INDEX(DB_malas!$C$2:$C$5000,MATCH(K564,DB_malas!$A$2:$A$5000,0)),IF(INDEX(DB_materiali!$E$2:$E$5000,MATCH($C564,DB_materiali!$A$2:$A$5000,0))&lt;=INDEX(DB_malas!$D$2:$D$5000,MATCH(K564,DB_malas!$A$2:$A$5000,0)),IF(INDEX(DB_materiali!$B$2:$B$5000,MATCH($C564,DB_materiali!$A$2:$A$5000,0))=INDEX(DB_malas!$B$2:$B$5000,MATCH(K564,DB_malas!$A$2:$A$5000,0)),"✔",tulkojums!$A$38),tulkojums!$A$39),tulkojums!$A$39))</f>
        <v/>
      </c>
      <c r="T564" s="2"/>
      <c r="U564" s="2"/>
      <c r="V564" s="2"/>
      <c r="W564" s="2"/>
      <c r="X564" s="2"/>
      <c r="Y564" s="2"/>
      <c r="Z564" s="2"/>
    </row>
    <row r="565" spans="1:26" ht="15.75" customHeight="1">
      <c r="A565" s="17"/>
      <c r="B565" s="18"/>
      <c r="C565" s="19"/>
      <c r="D565" s="55"/>
      <c r="E565" s="55"/>
      <c r="F565" s="56"/>
      <c r="G565" s="57" t="str">
        <f>IF(ISBLANK(C565),"",
   IFERROR(
      IF(
         INDEX(DB_materiali!C$2:C$5000,
               MATCH(C565, DB_materiali!A$2:A$5000, 0)
         )="FALSE",
         "N",
         "Y"
      ),
   "")
)</f>
        <v/>
      </c>
      <c r="H565" s="20"/>
      <c r="I565" s="20"/>
      <c r="J565" s="20"/>
      <c r="K565" s="20"/>
      <c r="M565" s="2" t="str">
        <f>IF(ISBLANK(C565),"",IF(IFERROR(VLOOKUP(C565,DB_materiali!$A$2:$A$5000,1,FALSE),"Kļūda artikulā")=C565,"✔",tulkojums!A$42))</f>
        <v/>
      </c>
      <c r="N565" s="2" t="str">
        <f>IF(ISBLANK(C565),"",IF(ISNUMBER(F565)=TRUE,"✔",tulkojums!A$43))</f>
        <v/>
      </c>
      <c r="O565" s="2" t="str">
        <f>IF(ISBLANK(C565),"",IF(G565="Y","✔",IF(G565="X","✔",IF(G565="N","✔",tulkojums!A$44))))</f>
        <v/>
      </c>
      <c r="P565" s="2" t="str">
        <f>IF(ISBLANK(H565),"",IF(INDEX(DB_materiali!$E$2:$E$5000,MATCH($C565,DB_materiali!$A$2:$A$5000,0))&gt;=INDEX(DB_malas!$C$2:$C$5000,MATCH(H565,DB_malas!$A$2:$A$5000,0)),IF(INDEX(DB_materiali!$E$2:$E$5000,MATCH($C565,DB_materiali!$A$2:$A$5000,0))&lt;=INDEX(DB_malas!$D$2:$D$5000,MATCH(H565,DB_malas!$A$2:$A$5000,0)),IF(OR(INDEX(DB_materiali!$B$2:$B$5000,MATCH($C565,DB_materiali!$A$2:$A$5000,0))=INDEX(DB_malas!$B$2:$B$5000,MATCH(H565,DB_malas!$A$2:$A$5000,0)),$H565="ORG"),"✔",tulkojums!$A$38),tulkojums!$A$39),tulkojums!$A$39))</f>
        <v/>
      </c>
      <c r="Q565" s="2" t="str">
        <f>IF(ISBLANK(I565),"",IF(INDEX(DB_materiali!$E$2:$E$5000,MATCH($C565,DB_materiali!$A$2:$A$5000,0))&gt;=INDEX(DB_malas!$C$2:$C$5000,MATCH(I565,DB_malas!$A$2:$A$5000,0)),IF(INDEX(DB_materiali!$E$2:$E$5000,MATCH($C565,DB_materiali!$A$2:$A$5000,0))&lt;=INDEX(DB_malas!$D$2:$D$5000,MATCH(I565,DB_malas!$A$2:$A$5000,0)),IF(OR(INDEX(DB_materiali!$B$2:$B$5000,MATCH($C565,DB_materiali!$A$2:$A$5000,0))=INDEX(DB_malas!$B$2:$B$5000,MATCH(I565,DB_malas!$A$2:$A$5000,0)),$H565="ORG"),"✔",tulkojums!$A$38),tulkojums!$A$39),tulkojums!$A$39))</f>
        <v/>
      </c>
      <c r="R565" s="2" t="str">
        <f>IF(ISBLANK(J565),"",IF(INDEX(DB_materiali!$E$2:$E$5000,MATCH($C565,DB_materiali!$A$2:$A$5000,0))&gt;=INDEX(DB_malas!$C$2:$C$5000,MATCH(J565,DB_malas!$A$2:$A$5000,0)),IF(INDEX(DB_materiali!$E$2:$E$5000,MATCH($C565,DB_materiali!$A$2:$A$5000,0))&lt;=INDEX(DB_malas!$D$2:$D$5000,MATCH(J565,DB_malas!$A$2:$A$5000,0)),IF(INDEX(DB_materiali!$B$2:$B$5000,MATCH($C565,DB_materiali!$A$2:$A$5000,0))=INDEX(DB_malas!$B$2:$B$5000,MATCH(J565,DB_malas!$A$2:$A$5000,0)),"✔",tulkojums!$A$38),tulkojums!$A$39),tulkojums!$A$39))</f>
        <v/>
      </c>
      <c r="S565" s="2" t="str">
        <f>IF(ISBLANK(K565),"",IF(INDEX(DB_materiali!$E$2:$E$5000,MATCH($C565,DB_materiali!$A$2:$A$5000,0))&gt;=INDEX(DB_malas!$C$2:$C$5000,MATCH(K565,DB_malas!$A$2:$A$5000,0)),IF(INDEX(DB_materiali!$E$2:$E$5000,MATCH($C565,DB_materiali!$A$2:$A$5000,0))&lt;=INDEX(DB_malas!$D$2:$D$5000,MATCH(K565,DB_malas!$A$2:$A$5000,0)),IF(INDEX(DB_materiali!$B$2:$B$5000,MATCH($C565,DB_materiali!$A$2:$A$5000,0))=INDEX(DB_malas!$B$2:$B$5000,MATCH(K565,DB_malas!$A$2:$A$5000,0)),"✔",tulkojums!$A$38),tulkojums!$A$39),tulkojums!$A$39))</f>
        <v/>
      </c>
      <c r="T565" s="2"/>
      <c r="U565" s="2"/>
      <c r="V565" s="2"/>
      <c r="W565" s="2"/>
      <c r="X565" s="2"/>
      <c r="Y565" s="2"/>
      <c r="Z565" s="2"/>
    </row>
    <row r="566" spans="1:26" ht="15.75" customHeight="1">
      <c r="A566" s="17"/>
      <c r="B566" s="18"/>
      <c r="C566" s="19"/>
      <c r="D566" s="55"/>
      <c r="E566" s="55"/>
      <c r="F566" s="56"/>
      <c r="G566" s="57" t="str">
        <f>IF(ISBLANK(C566),"",
   IFERROR(
      IF(
         INDEX(DB_materiali!C$2:C$5000,
               MATCH(C566, DB_materiali!A$2:A$5000, 0)
         )="FALSE",
         "N",
         "Y"
      ),
   "")
)</f>
        <v/>
      </c>
      <c r="H566" s="20"/>
      <c r="I566" s="20"/>
      <c r="J566" s="20"/>
      <c r="K566" s="20"/>
      <c r="M566" s="2" t="str">
        <f>IF(ISBLANK(C566),"",IF(IFERROR(VLOOKUP(C566,DB_materiali!$A$2:$A$5000,1,FALSE),"Kļūda artikulā")=C566,"✔",tulkojums!A$42))</f>
        <v/>
      </c>
      <c r="N566" s="2" t="str">
        <f>IF(ISBLANK(C566),"",IF(ISNUMBER(F566)=TRUE,"✔",tulkojums!A$43))</f>
        <v/>
      </c>
      <c r="O566" s="2" t="str">
        <f>IF(ISBLANK(C566),"",IF(G566="Y","✔",IF(G566="X","✔",IF(G566="N","✔",tulkojums!A$44))))</f>
        <v/>
      </c>
      <c r="P566" s="2" t="str">
        <f>IF(ISBLANK(H566),"",IF(INDEX(DB_materiali!$E$2:$E$5000,MATCH($C566,DB_materiali!$A$2:$A$5000,0))&gt;=INDEX(DB_malas!$C$2:$C$5000,MATCH(H566,DB_malas!$A$2:$A$5000,0)),IF(INDEX(DB_materiali!$E$2:$E$5000,MATCH($C566,DB_materiali!$A$2:$A$5000,0))&lt;=INDEX(DB_malas!$D$2:$D$5000,MATCH(H566,DB_malas!$A$2:$A$5000,0)),IF(OR(INDEX(DB_materiali!$B$2:$B$5000,MATCH($C566,DB_materiali!$A$2:$A$5000,0))=INDEX(DB_malas!$B$2:$B$5000,MATCH(H566,DB_malas!$A$2:$A$5000,0)),$H566="ORG"),"✔",tulkojums!$A$38),tulkojums!$A$39),tulkojums!$A$39))</f>
        <v/>
      </c>
      <c r="Q566" s="2" t="str">
        <f>IF(ISBLANK(I566),"",IF(INDEX(DB_materiali!$E$2:$E$5000,MATCH($C566,DB_materiali!$A$2:$A$5000,0))&gt;=INDEX(DB_malas!$C$2:$C$5000,MATCH(I566,DB_malas!$A$2:$A$5000,0)),IF(INDEX(DB_materiali!$E$2:$E$5000,MATCH($C566,DB_materiali!$A$2:$A$5000,0))&lt;=INDEX(DB_malas!$D$2:$D$5000,MATCH(I566,DB_malas!$A$2:$A$5000,0)),IF(OR(INDEX(DB_materiali!$B$2:$B$5000,MATCH($C566,DB_materiali!$A$2:$A$5000,0))=INDEX(DB_malas!$B$2:$B$5000,MATCH(I566,DB_malas!$A$2:$A$5000,0)),$H566="ORG"),"✔",tulkojums!$A$38),tulkojums!$A$39),tulkojums!$A$39))</f>
        <v/>
      </c>
      <c r="R566" s="2" t="str">
        <f>IF(ISBLANK(J566),"",IF(INDEX(DB_materiali!$E$2:$E$5000,MATCH($C566,DB_materiali!$A$2:$A$5000,0))&gt;=INDEX(DB_malas!$C$2:$C$5000,MATCH(J566,DB_malas!$A$2:$A$5000,0)),IF(INDEX(DB_materiali!$E$2:$E$5000,MATCH($C566,DB_materiali!$A$2:$A$5000,0))&lt;=INDEX(DB_malas!$D$2:$D$5000,MATCH(J566,DB_malas!$A$2:$A$5000,0)),IF(INDEX(DB_materiali!$B$2:$B$5000,MATCH($C566,DB_materiali!$A$2:$A$5000,0))=INDEX(DB_malas!$B$2:$B$5000,MATCH(J566,DB_malas!$A$2:$A$5000,0)),"✔",tulkojums!$A$38),tulkojums!$A$39),tulkojums!$A$39))</f>
        <v/>
      </c>
      <c r="S566" s="2" t="str">
        <f>IF(ISBLANK(K566),"",IF(INDEX(DB_materiali!$E$2:$E$5000,MATCH($C566,DB_materiali!$A$2:$A$5000,0))&gt;=INDEX(DB_malas!$C$2:$C$5000,MATCH(K566,DB_malas!$A$2:$A$5000,0)),IF(INDEX(DB_materiali!$E$2:$E$5000,MATCH($C566,DB_materiali!$A$2:$A$5000,0))&lt;=INDEX(DB_malas!$D$2:$D$5000,MATCH(K566,DB_malas!$A$2:$A$5000,0)),IF(INDEX(DB_materiali!$B$2:$B$5000,MATCH($C566,DB_materiali!$A$2:$A$5000,0))=INDEX(DB_malas!$B$2:$B$5000,MATCH(K566,DB_malas!$A$2:$A$5000,0)),"✔",tulkojums!$A$38),tulkojums!$A$39),tulkojums!$A$39))</f>
        <v/>
      </c>
      <c r="T566" s="2"/>
      <c r="U566" s="2"/>
      <c r="V566" s="2"/>
      <c r="W566" s="2"/>
      <c r="X566" s="2"/>
      <c r="Y566" s="2"/>
      <c r="Z566" s="2"/>
    </row>
    <row r="567" spans="1:26" ht="15.75" customHeight="1">
      <c r="A567" s="17"/>
      <c r="B567" s="18"/>
      <c r="C567" s="19"/>
      <c r="D567" s="55"/>
      <c r="E567" s="55"/>
      <c r="F567" s="56"/>
      <c r="G567" s="57" t="str">
        <f>IF(ISBLANK(C567),"",
   IFERROR(
      IF(
         INDEX(DB_materiali!C$2:C$5000,
               MATCH(C567, DB_materiali!A$2:A$5000, 0)
         )="FALSE",
         "N",
         "Y"
      ),
   "")
)</f>
        <v/>
      </c>
      <c r="H567" s="20"/>
      <c r="I567" s="20"/>
      <c r="J567" s="20"/>
      <c r="K567" s="20"/>
      <c r="M567" s="2" t="str">
        <f>IF(ISBLANK(C567),"",IF(IFERROR(VLOOKUP(C567,DB_materiali!$A$2:$A$5000,1,FALSE),"Kļūda artikulā")=C567,"✔",tulkojums!A$42))</f>
        <v/>
      </c>
      <c r="N567" s="2" t="str">
        <f>IF(ISBLANK(C567),"",IF(ISNUMBER(F567)=TRUE,"✔",tulkojums!A$43))</f>
        <v/>
      </c>
      <c r="O567" s="2" t="str">
        <f>IF(ISBLANK(C567),"",IF(G567="Y","✔",IF(G567="X","✔",IF(G567="N","✔",tulkojums!A$44))))</f>
        <v/>
      </c>
      <c r="P567" s="2" t="str">
        <f>IF(ISBLANK(H567),"",IF(INDEX(DB_materiali!$E$2:$E$5000,MATCH($C567,DB_materiali!$A$2:$A$5000,0))&gt;=INDEX(DB_malas!$C$2:$C$5000,MATCH(H567,DB_malas!$A$2:$A$5000,0)),IF(INDEX(DB_materiali!$E$2:$E$5000,MATCH($C567,DB_materiali!$A$2:$A$5000,0))&lt;=INDEX(DB_malas!$D$2:$D$5000,MATCH(H567,DB_malas!$A$2:$A$5000,0)),IF(OR(INDEX(DB_materiali!$B$2:$B$5000,MATCH($C567,DB_materiali!$A$2:$A$5000,0))=INDEX(DB_malas!$B$2:$B$5000,MATCH(H567,DB_malas!$A$2:$A$5000,0)),$H567="ORG"),"✔",tulkojums!$A$38),tulkojums!$A$39),tulkojums!$A$39))</f>
        <v/>
      </c>
      <c r="Q567" s="2" t="str">
        <f>IF(ISBLANK(I567),"",IF(INDEX(DB_materiali!$E$2:$E$5000,MATCH($C567,DB_materiali!$A$2:$A$5000,0))&gt;=INDEX(DB_malas!$C$2:$C$5000,MATCH(I567,DB_malas!$A$2:$A$5000,0)),IF(INDEX(DB_materiali!$E$2:$E$5000,MATCH($C567,DB_materiali!$A$2:$A$5000,0))&lt;=INDEX(DB_malas!$D$2:$D$5000,MATCH(I567,DB_malas!$A$2:$A$5000,0)),IF(OR(INDEX(DB_materiali!$B$2:$B$5000,MATCH($C567,DB_materiali!$A$2:$A$5000,0))=INDEX(DB_malas!$B$2:$B$5000,MATCH(I567,DB_malas!$A$2:$A$5000,0)),$H567="ORG"),"✔",tulkojums!$A$38),tulkojums!$A$39),tulkojums!$A$39))</f>
        <v/>
      </c>
      <c r="R567" s="2" t="str">
        <f>IF(ISBLANK(J567),"",IF(INDEX(DB_materiali!$E$2:$E$5000,MATCH($C567,DB_materiali!$A$2:$A$5000,0))&gt;=INDEX(DB_malas!$C$2:$C$5000,MATCH(J567,DB_malas!$A$2:$A$5000,0)),IF(INDEX(DB_materiali!$E$2:$E$5000,MATCH($C567,DB_materiali!$A$2:$A$5000,0))&lt;=INDEX(DB_malas!$D$2:$D$5000,MATCH(J567,DB_malas!$A$2:$A$5000,0)),IF(INDEX(DB_materiali!$B$2:$B$5000,MATCH($C567,DB_materiali!$A$2:$A$5000,0))=INDEX(DB_malas!$B$2:$B$5000,MATCH(J567,DB_malas!$A$2:$A$5000,0)),"✔",tulkojums!$A$38),tulkojums!$A$39),tulkojums!$A$39))</f>
        <v/>
      </c>
      <c r="S567" s="2" t="str">
        <f>IF(ISBLANK(K567),"",IF(INDEX(DB_materiali!$E$2:$E$5000,MATCH($C567,DB_materiali!$A$2:$A$5000,0))&gt;=INDEX(DB_malas!$C$2:$C$5000,MATCH(K567,DB_malas!$A$2:$A$5000,0)),IF(INDEX(DB_materiali!$E$2:$E$5000,MATCH($C567,DB_materiali!$A$2:$A$5000,0))&lt;=INDEX(DB_malas!$D$2:$D$5000,MATCH(K567,DB_malas!$A$2:$A$5000,0)),IF(INDEX(DB_materiali!$B$2:$B$5000,MATCH($C567,DB_materiali!$A$2:$A$5000,0))=INDEX(DB_malas!$B$2:$B$5000,MATCH(K567,DB_malas!$A$2:$A$5000,0)),"✔",tulkojums!$A$38),tulkojums!$A$39),tulkojums!$A$39))</f>
        <v/>
      </c>
      <c r="T567" s="2"/>
      <c r="U567" s="2"/>
      <c r="V567" s="2"/>
      <c r="W567" s="2"/>
      <c r="X567" s="2"/>
      <c r="Y567" s="2"/>
      <c r="Z567" s="2"/>
    </row>
    <row r="568" spans="1:26" ht="15.75" customHeight="1">
      <c r="A568" s="17"/>
      <c r="B568" s="18"/>
      <c r="C568" s="19"/>
      <c r="D568" s="55"/>
      <c r="E568" s="55"/>
      <c r="F568" s="56"/>
      <c r="G568" s="57" t="str">
        <f>IF(ISBLANK(C568),"",
   IFERROR(
      IF(
         INDEX(DB_materiali!C$2:C$5000,
               MATCH(C568, DB_materiali!A$2:A$5000, 0)
         )="FALSE",
         "N",
         "Y"
      ),
   "")
)</f>
        <v/>
      </c>
      <c r="H568" s="20"/>
      <c r="I568" s="20"/>
      <c r="J568" s="20"/>
      <c r="K568" s="20"/>
      <c r="M568" s="2" t="str">
        <f>IF(ISBLANK(C568),"",IF(IFERROR(VLOOKUP(C568,DB_materiali!$A$2:$A$5000,1,FALSE),"Kļūda artikulā")=C568,"✔",tulkojums!A$42))</f>
        <v/>
      </c>
      <c r="N568" s="2" t="str">
        <f>IF(ISBLANK(C568),"",IF(ISNUMBER(F568)=TRUE,"✔",tulkojums!A$43))</f>
        <v/>
      </c>
      <c r="O568" s="2" t="str">
        <f>IF(ISBLANK(C568),"",IF(G568="Y","✔",IF(G568="X","✔",IF(G568="N","✔",tulkojums!A$44))))</f>
        <v/>
      </c>
      <c r="P568" s="2" t="str">
        <f>IF(ISBLANK(H568),"",IF(INDEX(DB_materiali!$E$2:$E$5000,MATCH($C568,DB_materiali!$A$2:$A$5000,0))&gt;=INDEX(DB_malas!$C$2:$C$5000,MATCH(H568,DB_malas!$A$2:$A$5000,0)),IF(INDEX(DB_materiali!$E$2:$E$5000,MATCH($C568,DB_materiali!$A$2:$A$5000,0))&lt;=INDEX(DB_malas!$D$2:$D$5000,MATCH(H568,DB_malas!$A$2:$A$5000,0)),IF(OR(INDEX(DB_materiali!$B$2:$B$5000,MATCH($C568,DB_materiali!$A$2:$A$5000,0))=INDEX(DB_malas!$B$2:$B$5000,MATCH(H568,DB_malas!$A$2:$A$5000,0)),$H568="ORG"),"✔",tulkojums!$A$38),tulkojums!$A$39),tulkojums!$A$39))</f>
        <v/>
      </c>
      <c r="Q568" s="2" t="str">
        <f>IF(ISBLANK(I568),"",IF(INDEX(DB_materiali!$E$2:$E$5000,MATCH($C568,DB_materiali!$A$2:$A$5000,0))&gt;=INDEX(DB_malas!$C$2:$C$5000,MATCH(I568,DB_malas!$A$2:$A$5000,0)),IF(INDEX(DB_materiali!$E$2:$E$5000,MATCH($C568,DB_materiali!$A$2:$A$5000,0))&lt;=INDEX(DB_malas!$D$2:$D$5000,MATCH(I568,DB_malas!$A$2:$A$5000,0)),IF(OR(INDEX(DB_materiali!$B$2:$B$5000,MATCH($C568,DB_materiali!$A$2:$A$5000,0))=INDEX(DB_malas!$B$2:$B$5000,MATCH(I568,DB_malas!$A$2:$A$5000,0)),$H568="ORG"),"✔",tulkojums!$A$38),tulkojums!$A$39),tulkojums!$A$39))</f>
        <v/>
      </c>
      <c r="R568" s="2" t="str">
        <f>IF(ISBLANK(J568),"",IF(INDEX(DB_materiali!$E$2:$E$5000,MATCH($C568,DB_materiali!$A$2:$A$5000,0))&gt;=INDEX(DB_malas!$C$2:$C$5000,MATCH(J568,DB_malas!$A$2:$A$5000,0)),IF(INDEX(DB_materiali!$E$2:$E$5000,MATCH($C568,DB_materiali!$A$2:$A$5000,0))&lt;=INDEX(DB_malas!$D$2:$D$5000,MATCH(J568,DB_malas!$A$2:$A$5000,0)),IF(INDEX(DB_materiali!$B$2:$B$5000,MATCH($C568,DB_materiali!$A$2:$A$5000,0))=INDEX(DB_malas!$B$2:$B$5000,MATCH(J568,DB_malas!$A$2:$A$5000,0)),"✔",tulkojums!$A$38),tulkojums!$A$39),tulkojums!$A$39))</f>
        <v/>
      </c>
      <c r="S568" s="2" t="str">
        <f>IF(ISBLANK(K568),"",IF(INDEX(DB_materiali!$E$2:$E$5000,MATCH($C568,DB_materiali!$A$2:$A$5000,0))&gt;=INDEX(DB_malas!$C$2:$C$5000,MATCH(K568,DB_malas!$A$2:$A$5000,0)),IF(INDEX(DB_materiali!$E$2:$E$5000,MATCH($C568,DB_materiali!$A$2:$A$5000,0))&lt;=INDEX(DB_malas!$D$2:$D$5000,MATCH(K568,DB_malas!$A$2:$A$5000,0)),IF(INDEX(DB_materiali!$B$2:$B$5000,MATCH($C568,DB_materiali!$A$2:$A$5000,0))=INDEX(DB_malas!$B$2:$B$5000,MATCH(K568,DB_malas!$A$2:$A$5000,0)),"✔",tulkojums!$A$38),tulkojums!$A$39),tulkojums!$A$39))</f>
        <v/>
      </c>
      <c r="T568" s="2"/>
      <c r="U568" s="2"/>
      <c r="V568" s="2"/>
      <c r="W568" s="2"/>
      <c r="X568" s="2"/>
      <c r="Y568" s="2"/>
      <c r="Z568" s="2"/>
    </row>
    <row r="569" spans="1:26" ht="15.75" customHeight="1">
      <c r="A569" s="17"/>
      <c r="B569" s="18"/>
      <c r="C569" s="19"/>
      <c r="D569" s="55"/>
      <c r="E569" s="55"/>
      <c r="F569" s="56"/>
      <c r="G569" s="57" t="str">
        <f>IF(ISBLANK(C569),"",
   IFERROR(
      IF(
         INDEX(DB_materiali!C$2:C$5000,
               MATCH(C569, DB_materiali!A$2:A$5000, 0)
         )="FALSE",
         "N",
         "Y"
      ),
   "")
)</f>
        <v/>
      </c>
      <c r="H569" s="20"/>
      <c r="I569" s="20"/>
      <c r="J569" s="20"/>
      <c r="K569" s="20"/>
      <c r="M569" s="2" t="str">
        <f>IF(ISBLANK(C569),"",IF(IFERROR(VLOOKUP(C569,DB_materiali!$A$2:$A$5000,1,FALSE),"Kļūda artikulā")=C569,"✔",tulkojums!A$42))</f>
        <v/>
      </c>
      <c r="N569" s="2" t="str">
        <f>IF(ISBLANK(C569),"",IF(ISNUMBER(F569)=TRUE,"✔",tulkojums!A$43))</f>
        <v/>
      </c>
      <c r="O569" s="2" t="str">
        <f>IF(ISBLANK(C569),"",IF(G569="Y","✔",IF(G569="X","✔",IF(G569="N","✔",tulkojums!A$44))))</f>
        <v/>
      </c>
      <c r="P569" s="2" t="str">
        <f>IF(ISBLANK(H569),"",IF(INDEX(DB_materiali!$E$2:$E$5000,MATCH($C569,DB_materiali!$A$2:$A$5000,0))&gt;=INDEX(DB_malas!$C$2:$C$5000,MATCH(H569,DB_malas!$A$2:$A$5000,0)),IF(INDEX(DB_materiali!$E$2:$E$5000,MATCH($C569,DB_materiali!$A$2:$A$5000,0))&lt;=INDEX(DB_malas!$D$2:$D$5000,MATCH(H569,DB_malas!$A$2:$A$5000,0)),IF(OR(INDEX(DB_materiali!$B$2:$B$5000,MATCH($C569,DB_materiali!$A$2:$A$5000,0))=INDEX(DB_malas!$B$2:$B$5000,MATCH(H569,DB_malas!$A$2:$A$5000,0)),$H569="ORG"),"✔",tulkojums!$A$38),tulkojums!$A$39),tulkojums!$A$39))</f>
        <v/>
      </c>
      <c r="Q569" s="2" t="str">
        <f>IF(ISBLANK(I569),"",IF(INDEX(DB_materiali!$E$2:$E$5000,MATCH($C569,DB_materiali!$A$2:$A$5000,0))&gt;=INDEX(DB_malas!$C$2:$C$5000,MATCH(I569,DB_malas!$A$2:$A$5000,0)),IF(INDEX(DB_materiali!$E$2:$E$5000,MATCH($C569,DB_materiali!$A$2:$A$5000,0))&lt;=INDEX(DB_malas!$D$2:$D$5000,MATCH(I569,DB_malas!$A$2:$A$5000,0)),IF(OR(INDEX(DB_materiali!$B$2:$B$5000,MATCH($C569,DB_materiali!$A$2:$A$5000,0))=INDEX(DB_malas!$B$2:$B$5000,MATCH(I569,DB_malas!$A$2:$A$5000,0)),$H569="ORG"),"✔",tulkojums!$A$38),tulkojums!$A$39),tulkojums!$A$39))</f>
        <v/>
      </c>
      <c r="R569" s="2" t="str">
        <f>IF(ISBLANK(J569),"",IF(INDEX(DB_materiali!$E$2:$E$5000,MATCH($C569,DB_materiali!$A$2:$A$5000,0))&gt;=INDEX(DB_malas!$C$2:$C$5000,MATCH(J569,DB_malas!$A$2:$A$5000,0)),IF(INDEX(DB_materiali!$E$2:$E$5000,MATCH($C569,DB_materiali!$A$2:$A$5000,0))&lt;=INDEX(DB_malas!$D$2:$D$5000,MATCH(J569,DB_malas!$A$2:$A$5000,0)),IF(INDEX(DB_materiali!$B$2:$B$5000,MATCH($C569,DB_materiali!$A$2:$A$5000,0))=INDEX(DB_malas!$B$2:$B$5000,MATCH(J569,DB_malas!$A$2:$A$5000,0)),"✔",tulkojums!$A$38),tulkojums!$A$39),tulkojums!$A$39))</f>
        <v/>
      </c>
      <c r="S569" s="2" t="str">
        <f>IF(ISBLANK(K569),"",IF(INDEX(DB_materiali!$E$2:$E$5000,MATCH($C569,DB_materiali!$A$2:$A$5000,0))&gt;=INDEX(DB_malas!$C$2:$C$5000,MATCH(K569,DB_malas!$A$2:$A$5000,0)),IF(INDEX(DB_materiali!$E$2:$E$5000,MATCH($C569,DB_materiali!$A$2:$A$5000,0))&lt;=INDEX(DB_malas!$D$2:$D$5000,MATCH(K569,DB_malas!$A$2:$A$5000,0)),IF(INDEX(DB_materiali!$B$2:$B$5000,MATCH($C569,DB_materiali!$A$2:$A$5000,0))=INDEX(DB_malas!$B$2:$B$5000,MATCH(K569,DB_malas!$A$2:$A$5000,0)),"✔",tulkojums!$A$38),tulkojums!$A$39),tulkojums!$A$39))</f>
        <v/>
      </c>
      <c r="T569" s="2"/>
      <c r="U569" s="2"/>
      <c r="V569" s="2"/>
      <c r="W569" s="2"/>
      <c r="X569" s="2"/>
      <c r="Y569" s="2"/>
      <c r="Z569" s="2"/>
    </row>
    <row r="570" spans="1:26" ht="15.75" customHeight="1">
      <c r="A570" s="17"/>
      <c r="B570" s="18"/>
      <c r="C570" s="19"/>
      <c r="D570" s="55"/>
      <c r="E570" s="55"/>
      <c r="F570" s="56"/>
      <c r="G570" s="57" t="str">
        <f>IF(ISBLANK(C570),"",
   IFERROR(
      IF(
         INDEX(DB_materiali!C$2:C$5000,
               MATCH(C570, DB_materiali!A$2:A$5000, 0)
         )="FALSE",
         "N",
         "Y"
      ),
   "")
)</f>
        <v/>
      </c>
      <c r="H570" s="20"/>
      <c r="I570" s="20"/>
      <c r="J570" s="20"/>
      <c r="K570" s="20"/>
      <c r="M570" s="2" t="str">
        <f>IF(ISBLANK(C570),"",IF(IFERROR(VLOOKUP(C570,DB_materiali!$A$2:$A$5000,1,FALSE),"Kļūda artikulā")=C570,"✔",tulkojums!A$42))</f>
        <v/>
      </c>
      <c r="N570" s="2" t="str">
        <f>IF(ISBLANK(C570),"",IF(ISNUMBER(F570)=TRUE,"✔",tulkojums!A$43))</f>
        <v/>
      </c>
      <c r="O570" s="2" t="str">
        <f>IF(ISBLANK(C570),"",IF(G570="Y","✔",IF(G570="X","✔",IF(G570="N","✔",tulkojums!A$44))))</f>
        <v/>
      </c>
      <c r="P570" s="2" t="str">
        <f>IF(ISBLANK(H570),"",IF(INDEX(DB_materiali!$E$2:$E$5000,MATCH($C570,DB_materiali!$A$2:$A$5000,0))&gt;=INDEX(DB_malas!$C$2:$C$5000,MATCH(H570,DB_malas!$A$2:$A$5000,0)),IF(INDEX(DB_materiali!$E$2:$E$5000,MATCH($C570,DB_materiali!$A$2:$A$5000,0))&lt;=INDEX(DB_malas!$D$2:$D$5000,MATCH(H570,DB_malas!$A$2:$A$5000,0)),IF(OR(INDEX(DB_materiali!$B$2:$B$5000,MATCH($C570,DB_materiali!$A$2:$A$5000,0))=INDEX(DB_malas!$B$2:$B$5000,MATCH(H570,DB_malas!$A$2:$A$5000,0)),$H570="ORG"),"✔",tulkojums!$A$38),tulkojums!$A$39),tulkojums!$A$39))</f>
        <v/>
      </c>
      <c r="Q570" s="2" t="str">
        <f>IF(ISBLANK(I570),"",IF(INDEX(DB_materiali!$E$2:$E$5000,MATCH($C570,DB_materiali!$A$2:$A$5000,0))&gt;=INDEX(DB_malas!$C$2:$C$5000,MATCH(I570,DB_malas!$A$2:$A$5000,0)),IF(INDEX(DB_materiali!$E$2:$E$5000,MATCH($C570,DB_materiali!$A$2:$A$5000,0))&lt;=INDEX(DB_malas!$D$2:$D$5000,MATCH(I570,DB_malas!$A$2:$A$5000,0)),IF(OR(INDEX(DB_materiali!$B$2:$B$5000,MATCH($C570,DB_materiali!$A$2:$A$5000,0))=INDEX(DB_malas!$B$2:$B$5000,MATCH(I570,DB_malas!$A$2:$A$5000,0)),$H570="ORG"),"✔",tulkojums!$A$38),tulkojums!$A$39),tulkojums!$A$39))</f>
        <v/>
      </c>
      <c r="R570" s="2" t="str">
        <f>IF(ISBLANK(J570),"",IF(INDEX(DB_materiali!$E$2:$E$5000,MATCH($C570,DB_materiali!$A$2:$A$5000,0))&gt;=INDEX(DB_malas!$C$2:$C$5000,MATCH(J570,DB_malas!$A$2:$A$5000,0)),IF(INDEX(DB_materiali!$E$2:$E$5000,MATCH($C570,DB_materiali!$A$2:$A$5000,0))&lt;=INDEX(DB_malas!$D$2:$D$5000,MATCH(J570,DB_malas!$A$2:$A$5000,0)),IF(INDEX(DB_materiali!$B$2:$B$5000,MATCH($C570,DB_materiali!$A$2:$A$5000,0))=INDEX(DB_malas!$B$2:$B$5000,MATCH(J570,DB_malas!$A$2:$A$5000,0)),"✔",tulkojums!$A$38),tulkojums!$A$39),tulkojums!$A$39))</f>
        <v/>
      </c>
      <c r="S570" s="2" t="str">
        <f>IF(ISBLANK(K570),"",IF(INDEX(DB_materiali!$E$2:$E$5000,MATCH($C570,DB_materiali!$A$2:$A$5000,0))&gt;=INDEX(DB_malas!$C$2:$C$5000,MATCH(K570,DB_malas!$A$2:$A$5000,0)),IF(INDEX(DB_materiali!$E$2:$E$5000,MATCH($C570,DB_materiali!$A$2:$A$5000,0))&lt;=INDEX(DB_malas!$D$2:$D$5000,MATCH(K570,DB_malas!$A$2:$A$5000,0)),IF(INDEX(DB_materiali!$B$2:$B$5000,MATCH($C570,DB_materiali!$A$2:$A$5000,0))=INDEX(DB_malas!$B$2:$B$5000,MATCH(K570,DB_malas!$A$2:$A$5000,0)),"✔",tulkojums!$A$38),tulkojums!$A$39),tulkojums!$A$39))</f>
        <v/>
      </c>
      <c r="T570" s="2"/>
      <c r="U570" s="2"/>
      <c r="V570" s="2"/>
      <c r="W570" s="2"/>
      <c r="X570" s="2"/>
      <c r="Y570" s="2"/>
      <c r="Z570" s="2"/>
    </row>
    <row r="571" spans="1:26" ht="15.75" customHeight="1">
      <c r="A571" s="17"/>
      <c r="B571" s="18"/>
      <c r="C571" s="19"/>
      <c r="D571" s="55"/>
      <c r="E571" s="55"/>
      <c r="F571" s="56"/>
      <c r="G571" s="57" t="str">
        <f>IF(ISBLANK(C571),"",
   IFERROR(
      IF(
         INDEX(DB_materiali!C$2:C$5000,
               MATCH(C571, DB_materiali!A$2:A$5000, 0)
         )="FALSE",
         "N",
         "Y"
      ),
   "")
)</f>
        <v/>
      </c>
      <c r="H571" s="20"/>
      <c r="I571" s="20"/>
      <c r="J571" s="20"/>
      <c r="K571" s="20"/>
      <c r="M571" s="2" t="str">
        <f>IF(ISBLANK(C571),"",IF(IFERROR(VLOOKUP(C571,DB_materiali!$A$2:$A$5000,1,FALSE),"Kļūda artikulā")=C571,"✔",tulkojums!A$42))</f>
        <v/>
      </c>
      <c r="N571" s="2" t="str">
        <f>IF(ISBLANK(C571),"",IF(ISNUMBER(F571)=TRUE,"✔",tulkojums!A$43))</f>
        <v/>
      </c>
      <c r="O571" s="2" t="str">
        <f>IF(ISBLANK(C571),"",IF(G571="Y","✔",IF(G571="X","✔",IF(G571="N","✔",tulkojums!A$44))))</f>
        <v/>
      </c>
      <c r="P571" s="2" t="str">
        <f>IF(ISBLANK(H571),"",IF(INDEX(DB_materiali!$E$2:$E$5000,MATCH($C571,DB_materiali!$A$2:$A$5000,0))&gt;=INDEX(DB_malas!$C$2:$C$5000,MATCH(H571,DB_malas!$A$2:$A$5000,0)),IF(INDEX(DB_materiali!$E$2:$E$5000,MATCH($C571,DB_materiali!$A$2:$A$5000,0))&lt;=INDEX(DB_malas!$D$2:$D$5000,MATCH(H571,DB_malas!$A$2:$A$5000,0)),IF(OR(INDEX(DB_materiali!$B$2:$B$5000,MATCH($C571,DB_materiali!$A$2:$A$5000,0))=INDEX(DB_malas!$B$2:$B$5000,MATCH(H571,DB_malas!$A$2:$A$5000,0)),$H571="ORG"),"✔",tulkojums!$A$38),tulkojums!$A$39),tulkojums!$A$39))</f>
        <v/>
      </c>
      <c r="Q571" s="2" t="str">
        <f>IF(ISBLANK(I571),"",IF(INDEX(DB_materiali!$E$2:$E$5000,MATCH($C571,DB_materiali!$A$2:$A$5000,0))&gt;=INDEX(DB_malas!$C$2:$C$5000,MATCH(I571,DB_malas!$A$2:$A$5000,0)),IF(INDEX(DB_materiali!$E$2:$E$5000,MATCH($C571,DB_materiali!$A$2:$A$5000,0))&lt;=INDEX(DB_malas!$D$2:$D$5000,MATCH(I571,DB_malas!$A$2:$A$5000,0)),IF(OR(INDEX(DB_materiali!$B$2:$B$5000,MATCH($C571,DB_materiali!$A$2:$A$5000,0))=INDEX(DB_malas!$B$2:$B$5000,MATCH(I571,DB_malas!$A$2:$A$5000,0)),$H571="ORG"),"✔",tulkojums!$A$38),tulkojums!$A$39),tulkojums!$A$39))</f>
        <v/>
      </c>
      <c r="R571" s="2" t="str">
        <f>IF(ISBLANK(J571),"",IF(INDEX(DB_materiali!$E$2:$E$5000,MATCH($C571,DB_materiali!$A$2:$A$5000,0))&gt;=INDEX(DB_malas!$C$2:$C$5000,MATCH(J571,DB_malas!$A$2:$A$5000,0)),IF(INDEX(DB_materiali!$E$2:$E$5000,MATCH($C571,DB_materiali!$A$2:$A$5000,0))&lt;=INDEX(DB_malas!$D$2:$D$5000,MATCH(J571,DB_malas!$A$2:$A$5000,0)),IF(INDEX(DB_materiali!$B$2:$B$5000,MATCH($C571,DB_materiali!$A$2:$A$5000,0))=INDEX(DB_malas!$B$2:$B$5000,MATCH(J571,DB_malas!$A$2:$A$5000,0)),"✔",tulkojums!$A$38),tulkojums!$A$39),tulkojums!$A$39))</f>
        <v/>
      </c>
      <c r="S571" s="2" t="str">
        <f>IF(ISBLANK(K571),"",IF(INDEX(DB_materiali!$E$2:$E$5000,MATCH($C571,DB_materiali!$A$2:$A$5000,0))&gt;=INDEX(DB_malas!$C$2:$C$5000,MATCH(K571,DB_malas!$A$2:$A$5000,0)),IF(INDEX(DB_materiali!$E$2:$E$5000,MATCH($C571,DB_materiali!$A$2:$A$5000,0))&lt;=INDEX(DB_malas!$D$2:$D$5000,MATCH(K571,DB_malas!$A$2:$A$5000,0)),IF(INDEX(DB_materiali!$B$2:$B$5000,MATCH($C571,DB_materiali!$A$2:$A$5000,0))=INDEX(DB_malas!$B$2:$B$5000,MATCH(K571,DB_malas!$A$2:$A$5000,0)),"✔",tulkojums!$A$38),tulkojums!$A$39),tulkojums!$A$39))</f>
        <v/>
      </c>
      <c r="T571" s="2"/>
      <c r="U571" s="2"/>
      <c r="V571" s="2"/>
      <c r="W571" s="2"/>
      <c r="X571" s="2"/>
      <c r="Y571" s="2"/>
      <c r="Z571" s="2"/>
    </row>
    <row r="572" spans="1:26" ht="15.75" customHeight="1">
      <c r="A572" s="17"/>
      <c r="B572" s="18"/>
      <c r="C572" s="19"/>
      <c r="D572" s="55"/>
      <c r="E572" s="55"/>
      <c r="F572" s="56"/>
      <c r="G572" s="57" t="str">
        <f>IF(ISBLANK(C572),"",
   IFERROR(
      IF(
         INDEX(DB_materiali!C$2:C$5000,
               MATCH(C572, DB_materiali!A$2:A$5000, 0)
         )="FALSE",
         "N",
         "Y"
      ),
   "")
)</f>
        <v/>
      </c>
      <c r="H572" s="20"/>
      <c r="I572" s="20"/>
      <c r="J572" s="20"/>
      <c r="K572" s="20"/>
      <c r="M572" s="2" t="str">
        <f>IF(ISBLANK(C572),"",IF(IFERROR(VLOOKUP(C572,DB_materiali!$A$2:$A$5000,1,FALSE),"Kļūda artikulā")=C572,"✔",tulkojums!A$42))</f>
        <v/>
      </c>
      <c r="N572" s="2" t="str">
        <f>IF(ISBLANK(C572),"",IF(ISNUMBER(F572)=TRUE,"✔",tulkojums!A$43))</f>
        <v/>
      </c>
      <c r="O572" s="2" t="str">
        <f>IF(ISBLANK(C572),"",IF(G572="Y","✔",IF(G572="X","✔",IF(G572="N","✔",tulkojums!A$44))))</f>
        <v/>
      </c>
      <c r="P572" s="2" t="str">
        <f>IF(ISBLANK(H572),"",IF(INDEX(DB_materiali!$E$2:$E$5000,MATCH($C572,DB_materiali!$A$2:$A$5000,0))&gt;=INDEX(DB_malas!$C$2:$C$5000,MATCH(H572,DB_malas!$A$2:$A$5000,0)),IF(INDEX(DB_materiali!$E$2:$E$5000,MATCH($C572,DB_materiali!$A$2:$A$5000,0))&lt;=INDEX(DB_malas!$D$2:$D$5000,MATCH(H572,DB_malas!$A$2:$A$5000,0)),IF(OR(INDEX(DB_materiali!$B$2:$B$5000,MATCH($C572,DB_materiali!$A$2:$A$5000,0))=INDEX(DB_malas!$B$2:$B$5000,MATCH(H572,DB_malas!$A$2:$A$5000,0)),$H572="ORG"),"✔",tulkojums!$A$38),tulkojums!$A$39),tulkojums!$A$39))</f>
        <v/>
      </c>
      <c r="Q572" s="2" t="str">
        <f>IF(ISBLANK(I572),"",IF(INDEX(DB_materiali!$E$2:$E$5000,MATCH($C572,DB_materiali!$A$2:$A$5000,0))&gt;=INDEX(DB_malas!$C$2:$C$5000,MATCH(I572,DB_malas!$A$2:$A$5000,0)),IF(INDEX(DB_materiali!$E$2:$E$5000,MATCH($C572,DB_materiali!$A$2:$A$5000,0))&lt;=INDEX(DB_malas!$D$2:$D$5000,MATCH(I572,DB_malas!$A$2:$A$5000,0)),IF(OR(INDEX(DB_materiali!$B$2:$B$5000,MATCH($C572,DB_materiali!$A$2:$A$5000,0))=INDEX(DB_malas!$B$2:$B$5000,MATCH(I572,DB_malas!$A$2:$A$5000,0)),$H572="ORG"),"✔",tulkojums!$A$38),tulkojums!$A$39),tulkojums!$A$39))</f>
        <v/>
      </c>
      <c r="R572" s="2" t="str">
        <f>IF(ISBLANK(J572),"",IF(INDEX(DB_materiali!$E$2:$E$5000,MATCH($C572,DB_materiali!$A$2:$A$5000,0))&gt;=INDEX(DB_malas!$C$2:$C$5000,MATCH(J572,DB_malas!$A$2:$A$5000,0)),IF(INDEX(DB_materiali!$E$2:$E$5000,MATCH($C572,DB_materiali!$A$2:$A$5000,0))&lt;=INDEX(DB_malas!$D$2:$D$5000,MATCH(J572,DB_malas!$A$2:$A$5000,0)),IF(INDEX(DB_materiali!$B$2:$B$5000,MATCH($C572,DB_materiali!$A$2:$A$5000,0))=INDEX(DB_malas!$B$2:$B$5000,MATCH(J572,DB_malas!$A$2:$A$5000,0)),"✔",tulkojums!$A$38),tulkojums!$A$39),tulkojums!$A$39))</f>
        <v/>
      </c>
      <c r="S572" s="2" t="str">
        <f>IF(ISBLANK(K572),"",IF(INDEX(DB_materiali!$E$2:$E$5000,MATCH($C572,DB_materiali!$A$2:$A$5000,0))&gt;=INDEX(DB_malas!$C$2:$C$5000,MATCH(K572,DB_malas!$A$2:$A$5000,0)),IF(INDEX(DB_materiali!$E$2:$E$5000,MATCH($C572,DB_materiali!$A$2:$A$5000,0))&lt;=INDEX(DB_malas!$D$2:$D$5000,MATCH(K572,DB_malas!$A$2:$A$5000,0)),IF(INDEX(DB_materiali!$B$2:$B$5000,MATCH($C572,DB_materiali!$A$2:$A$5000,0))=INDEX(DB_malas!$B$2:$B$5000,MATCH(K572,DB_malas!$A$2:$A$5000,0)),"✔",tulkojums!$A$38),tulkojums!$A$39),tulkojums!$A$39))</f>
        <v/>
      </c>
      <c r="T572" s="2"/>
      <c r="U572" s="2"/>
      <c r="V572" s="2"/>
      <c r="W572" s="2"/>
      <c r="X572" s="2"/>
      <c r="Y572" s="2"/>
      <c r="Z572" s="2"/>
    </row>
    <row r="573" spans="1:26" ht="15.75" customHeight="1">
      <c r="A573" s="17"/>
      <c r="B573" s="18"/>
      <c r="C573" s="19"/>
      <c r="D573" s="55"/>
      <c r="E573" s="55"/>
      <c r="F573" s="56"/>
      <c r="G573" s="57" t="str">
        <f>IF(ISBLANK(C573),"",
   IFERROR(
      IF(
         INDEX(DB_materiali!C$2:C$5000,
               MATCH(C573, DB_materiali!A$2:A$5000, 0)
         )="FALSE",
         "N",
         "Y"
      ),
   "")
)</f>
        <v/>
      </c>
      <c r="H573" s="20"/>
      <c r="I573" s="20"/>
      <c r="J573" s="20"/>
      <c r="K573" s="20"/>
      <c r="M573" s="2" t="str">
        <f>IF(ISBLANK(C573),"",IF(IFERROR(VLOOKUP(C573,DB_materiali!$A$2:$A$5000,1,FALSE),"Kļūda artikulā")=C573,"✔",tulkojums!A$42))</f>
        <v/>
      </c>
      <c r="N573" s="2" t="str">
        <f>IF(ISBLANK(C573),"",IF(ISNUMBER(F573)=TRUE,"✔",tulkojums!A$43))</f>
        <v/>
      </c>
      <c r="O573" s="2" t="str">
        <f>IF(ISBLANK(C573),"",IF(G573="Y","✔",IF(G573="X","✔",IF(G573="N","✔",tulkojums!A$44))))</f>
        <v/>
      </c>
      <c r="P573" s="2" t="str">
        <f>IF(ISBLANK(H573),"",IF(INDEX(DB_materiali!$E$2:$E$5000,MATCH($C573,DB_materiali!$A$2:$A$5000,0))&gt;=INDEX(DB_malas!$C$2:$C$5000,MATCH(H573,DB_malas!$A$2:$A$5000,0)),IF(INDEX(DB_materiali!$E$2:$E$5000,MATCH($C573,DB_materiali!$A$2:$A$5000,0))&lt;=INDEX(DB_malas!$D$2:$D$5000,MATCH(H573,DB_malas!$A$2:$A$5000,0)),IF(OR(INDEX(DB_materiali!$B$2:$B$5000,MATCH($C573,DB_materiali!$A$2:$A$5000,0))=INDEX(DB_malas!$B$2:$B$5000,MATCH(H573,DB_malas!$A$2:$A$5000,0)),$H573="ORG"),"✔",tulkojums!$A$38),tulkojums!$A$39),tulkojums!$A$39))</f>
        <v/>
      </c>
      <c r="Q573" s="2" t="str">
        <f>IF(ISBLANK(I573),"",IF(INDEX(DB_materiali!$E$2:$E$5000,MATCH($C573,DB_materiali!$A$2:$A$5000,0))&gt;=INDEX(DB_malas!$C$2:$C$5000,MATCH(I573,DB_malas!$A$2:$A$5000,0)),IF(INDEX(DB_materiali!$E$2:$E$5000,MATCH($C573,DB_materiali!$A$2:$A$5000,0))&lt;=INDEX(DB_malas!$D$2:$D$5000,MATCH(I573,DB_malas!$A$2:$A$5000,0)),IF(OR(INDEX(DB_materiali!$B$2:$B$5000,MATCH($C573,DB_materiali!$A$2:$A$5000,0))=INDEX(DB_malas!$B$2:$B$5000,MATCH(I573,DB_malas!$A$2:$A$5000,0)),$H573="ORG"),"✔",tulkojums!$A$38),tulkojums!$A$39),tulkojums!$A$39))</f>
        <v/>
      </c>
      <c r="R573" s="2" t="str">
        <f>IF(ISBLANK(J573),"",IF(INDEX(DB_materiali!$E$2:$E$5000,MATCH($C573,DB_materiali!$A$2:$A$5000,0))&gt;=INDEX(DB_malas!$C$2:$C$5000,MATCH(J573,DB_malas!$A$2:$A$5000,0)),IF(INDEX(DB_materiali!$E$2:$E$5000,MATCH($C573,DB_materiali!$A$2:$A$5000,0))&lt;=INDEX(DB_malas!$D$2:$D$5000,MATCH(J573,DB_malas!$A$2:$A$5000,0)),IF(INDEX(DB_materiali!$B$2:$B$5000,MATCH($C573,DB_materiali!$A$2:$A$5000,0))=INDEX(DB_malas!$B$2:$B$5000,MATCH(J573,DB_malas!$A$2:$A$5000,0)),"✔",tulkojums!$A$38),tulkojums!$A$39),tulkojums!$A$39))</f>
        <v/>
      </c>
      <c r="S573" s="2" t="str">
        <f>IF(ISBLANK(K573),"",IF(INDEX(DB_materiali!$E$2:$E$5000,MATCH($C573,DB_materiali!$A$2:$A$5000,0))&gt;=INDEX(DB_malas!$C$2:$C$5000,MATCH(K573,DB_malas!$A$2:$A$5000,0)),IF(INDEX(DB_materiali!$E$2:$E$5000,MATCH($C573,DB_materiali!$A$2:$A$5000,0))&lt;=INDEX(DB_malas!$D$2:$D$5000,MATCH(K573,DB_malas!$A$2:$A$5000,0)),IF(INDEX(DB_materiali!$B$2:$B$5000,MATCH($C573,DB_materiali!$A$2:$A$5000,0))=INDEX(DB_malas!$B$2:$B$5000,MATCH(K573,DB_malas!$A$2:$A$5000,0)),"✔",tulkojums!$A$38),tulkojums!$A$39),tulkojums!$A$39))</f>
        <v/>
      </c>
      <c r="T573" s="2"/>
      <c r="U573" s="2"/>
      <c r="V573" s="2"/>
      <c r="W573" s="2"/>
      <c r="X573" s="2"/>
      <c r="Y573" s="2"/>
      <c r="Z573" s="2"/>
    </row>
    <row r="574" spans="1:26" ht="15.75" customHeight="1">
      <c r="A574" s="17"/>
      <c r="B574" s="18"/>
      <c r="C574" s="19"/>
      <c r="D574" s="55"/>
      <c r="E574" s="55"/>
      <c r="F574" s="56"/>
      <c r="G574" s="57" t="str">
        <f>IF(ISBLANK(C574),"",
   IFERROR(
      IF(
         INDEX(DB_materiali!C$2:C$5000,
               MATCH(C574, DB_materiali!A$2:A$5000, 0)
         )="FALSE",
         "N",
         "Y"
      ),
   "")
)</f>
        <v/>
      </c>
      <c r="H574" s="20"/>
      <c r="I574" s="20"/>
      <c r="J574" s="20"/>
      <c r="K574" s="20"/>
      <c r="M574" s="2" t="str">
        <f>IF(ISBLANK(C574),"",IF(IFERROR(VLOOKUP(C574,DB_materiali!$A$2:$A$5000,1,FALSE),"Kļūda artikulā")=C574,"✔",tulkojums!A$42))</f>
        <v/>
      </c>
      <c r="N574" s="2" t="str">
        <f>IF(ISBLANK(C574),"",IF(ISNUMBER(F574)=TRUE,"✔",tulkojums!A$43))</f>
        <v/>
      </c>
      <c r="O574" s="2" t="str">
        <f>IF(ISBLANK(C574),"",IF(G574="Y","✔",IF(G574="X","✔",IF(G574="N","✔",tulkojums!A$44))))</f>
        <v/>
      </c>
      <c r="P574" s="2" t="str">
        <f>IF(ISBLANK(H574),"",IF(INDEX(DB_materiali!$E$2:$E$5000,MATCH($C574,DB_materiali!$A$2:$A$5000,0))&gt;=INDEX(DB_malas!$C$2:$C$5000,MATCH(H574,DB_malas!$A$2:$A$5000,0)),IF(INDEX(DB_materiali!$E$2:$E$5000,MATCH($C574,DB_materiali!$A$2:$A$5000,0))&lt;=INDEX(DB_malas!$D$2:$D$5000,MATCH(H574,DB_malas!$A$2:$A$5000,0)),IF(OR(INDEX(DB_materiali!$B$2:$B$5000,MATCH($C574,DB_materiali!$A$2:$A$5000,0))=INDEX(DB_malas!$B$2:$B$5000,MATCH(H574,DB_malas!$A$2:$A$5000,0)),$H574="ORG"),"✔",tulkojums!$A$38),tulkojums!$A$39),tulkojums!$A$39))</f>
        <v/>
      </c>
      <c r="Q574" s="2" t="str">
        <f>IF(ISBLANK(I574),"",IF(INDEX(DB_materiali!$E$2:$E$5000,MATCH($C574,DB_materiali!$A$2:$A$5000,0))&gt;=INDEX(DB_malas!$C$2:$C$5000,MATCH(I574,DB_malas!$A$2:$A$5000,0)),IF(INDEX(DB_materiali!$E$2:$E$5000,MATCH($C574,DB_materiali!$A$2:$A$5000,0))&lt;=INDEX(DB_malas!$D$2:$D$5000,MATCH(I574,DB_malas!$A$2:$A$5000,0)),IF(OR(INDEX(DB_materiali!$B$2:$B$5000,MATCH($C574,DB_materiali!$A$2:$A$5000,0))=INDEX(DB_malas!$B$2:$B$5000,MATCH(I574,DB_malas!$A$2:$A$5000,0)),$H574="ORG"),"✔",tulkojums!$A$38),tulkojums!$A$39),tulkojums!$A$39))</f>
        <v/>
      </c>
      <c r="R574" s="2" t="str">
        <f>IF(ISBLANK(J574),"",IF(INDEX(DB_materiali!$E$2:$E$5000,MATCH($C574,DB_materiali!$A$2:$A$5000,0))&gt;=INDEX(DB_malas!$C$2:$C$5000,MATCH(J574,DB_malas!$A$2:$A$5000,0)),IF(INDEX(DB_materiali!$E$2:$E$5000,MATCH($C574,DB_materiali!$A$2:$A$5000,0))&lt;=INDEX(DB_malas!$D$2:$D$5000,MATCH(J574,DB_malas!$A$2:$A$5000,0)),IF(INDEX(DB_materiali!$B$2:$B$5000,MATCH($C574,DB_materiali!$A$2:$A$5000,0))=INDEX(DB_malas!$B$2:$B$5000,MATCH(J574,DB_malas!$A$2:$A$5000,0)),"✔",tulkojums!$A$38),tulkojums!$A$39),tulkojums!$A$39))</f>
        <v/>
      </c>
      <c r="S574" s="2" t="str">
        <f>IF(ISBLANK(K574),"",IF(INDEX(DB_materiali!$E$2:$E$5000,MATCH($C574,DB_materiali!$A$2:$A$5000,0))&gt;=INDEX(DB_malas!$C$2:$C$5000,MATCH(K574,DB_malas!$A$2:$A$5000,0)),IF(INDEX(DB_materiali!$E$2:$E$5000,MATCH($C574,DB_materiali!$A$2:$A$5000,0))&lt;=INDEX(DB_malas!$D$2:$D$5000,MATCH(K574,DB_malas!$A$2:$A$5000,0)),IF(INDEX(DB_materiali!$B$2:$B$5000,MATCH($C574,DB_materiali!$A$2:$A$5000,0))=INDEX(DB_malas!$B$2:$B$5000,MATCH(K574,DB_malas!$A$2:$A$5000,0)),"✔",tulkojums!$A$38),tulkojums!$A$39),tulkojums!$A$39))</f>
        <v/>
      </c>
      <c r="T574" s="2"/>
      <c r="U574" s="2"/>
      <c r="V574" s="2"/>
      <c r="W574" s="2"/>
      <c r="X574" s="2"/>
      <c r="Y574" s="2"/>
      <c r="Z574" s="2"/>
    </row>
    <row r="575" spans="1:26" ht="15.75" customHeight="1">
      <c r="A575" s="17"/>
      <c r="B575" s="18"/>
      <c r="C575" s="19"/>
      <c r="D575" s="55"/>
      <c r="E575" s="55"/>
      <c r="F575" s="56"/>
      <c r="G575" s="57" t="str">
        <f>IF(ISBLANK(C575),"",
   IFERROR(
      IF(
         INDEX(DB_materiali!C$2:C$5000,
               MATCH(C575, DB_materiali!A$2:A$5000, 0)
         )="FALSE",
         "N",
         "Y"
      ),
   "")
)</f>
        <v/>
      </c>
      <c r="H575" s="20"/>
      <c r="I575" s="20"/>
      <c r="J575" s="20"/>
      <c r="K575" s="20"/>
      <c r="M575" s="2" t="str">
        <f>IF(ISBLANK(C575),"",IF(IFERROR(VLOOKUP(C575,DB_materiali!$A$2:$A$5000,1,FALSE),"Kļūda artikulā")=C575,"✔",tulkojums!A$42))</f>
        <v/>
      </c>
      <c r="N575" s="2" t="str">
        <f>IF(ISBLANK(C575),"",IF(ISNUMBER(F575)=TRUE,"✔",tulkojums!A$43))</f>
        <v/>
      </c>
      <c r="O575" s="2" t="str">
        <f>IF(ISBLANK(C575),"",IF(G575="Y","✔",IF(G575="X","✔",IF(G575="N","✔",tulkojums!A$44))))</f>
        <v/>
      </c>
      <c r="P575" s="2" t="str">
        <f>IF(ISBLANK(H575),"",IF(INDEX(DB_materiali!$E$2:$E$5000,MATCH($C575,DB_materiali!$A$2:$A$5000,0))&gt;=INDEX(DB_malas!$C$2:$C$5000,MATCH(H575,DB_malas!$A$2:$A$5000,0)),IF(INDEX(DB_materiali!$E$2:$E$5000,MATCH($C575,DB_materiali!$A$2:$A$5000,0))&lt;=INDEX(DB_malas!$D$2:$D$5000,MATCH(H575,DB_malas!$A$2:$A$5000,0)),IF(OR(INDEX(DB_materiali!$B$2:$B$5000,MATCH($C575,DB_materiali!$A$2:$A$5000,0))=INDEX(DB_malas!$B$2:$B$5000,MATCH(H575,DB_malas!$A$2:$A$5000,0)),$H575="ORG"),"✔",tulkojums!$A$38),tulkojums!$A$39),tulkojums!$A$39))</f>
        <v/>
      </c>
      <c r="Q575" s="2" t="str">
        <f>IF(ISBLANK(I575),"",IF(INDEX(DB_materiali!$E$2:$E$5000,MATCH($C575,DB_materiali!$A$2:$A$5000,0))&gt;=INDEX(DB_malas!$C$2:$C$5000,MATCH(I575,DB_malas!$A$2:$A$5000,0)),IF(INDEX(DB_materiali!$E$2:$E$5000,MATCH($C575,DB_materiali!$A$2:$A$5000,0))&lt;=INDEX(DB_malas!$D$2:$D$5000,MATCH(I575,DB_malas!$A$2:$A$5000,0)),IF(OR(INDEX(DB_materiali!$B$2:$B$5000,MATCH($C575,DB_materiali!$A$2:$A$5000,0))=INDEX(DB_malas!$B$2:$B$5000,MATCH(I575,DB_malas!$A$2:$A$5000,0)),$H575="ORG"),"✔",tulkojums!$A$38),tulkojums!$A$39),tulkojums!$A$39))</f>
        <v/>
      </c>
      <c r="R575" s="2" t="str">
        <f>IF(ISBLANK(J575),"",IF(INDEX(DB_materiali!$E$2:$E$5000,MATCH($C575,DB_materiali!$A$2:$A$5000,0))&gt;=INDEX(DB_malas!$C$2:$C$5000,MATCH(J575,DB_malas!$A$2:$A$5000,0)),IF(INDEX(DB_materiali!$E$2:$E$5000,MATCH($C575,DB_materiali!$A$2:$A$5000,0))&lt;=INDEX(DB_malas!$D$2:$D$5000,MATCH(J575,DB_malas!$A$2:$A$5000,0)),IF(INDEX(DB_materiali!$B$2:$B$5000,MATCH($C575,DB_materiali!$A$2:$A$5000,0))=INDEX(DB_malas!$B$2:$B$5000,MATCH(J575,DB_malas!$A$2:$A$5000,0)),"✔",tulkojums!$A$38),tulkojums!$A$39),tulkojums!$A$39))</f>
        <v/>
      </c>
      <c r="S575" s="2" t="str">
        <f>IF(ISBLANK(K575),"",IF(INDEX(DB_materiali!$E$2:$E$5000,MATCH($C575,DB_materiali!$A$2:$A$5000,0))&gt;=INDEX(DB_malas!$C$2:$C$5000,MATCH(K575,DB_malas!$A$2:$A$5000,0)),IF(INDEX(DB_materiali!$E$2:$E$5000,MATCH($C575,DB_materiali!$A$2:$A$5000,0))&lt;=INDEX(DB_malas!$D$2:$D$5000,MATCH(K575,DB_malas!$A$2:$A$5000,0)),IF(INDEX(DB_materiali!$B$2:$B$5000,MATCH($C575,DB_materiali!$A$2:$A$5000,0))=INDEX(DB_malas!$B$2:$B$5000,MATCH(K575,DB_malas!$A$2:$A$5000,0)),"✔",tulkojums!$A$38),tulkojums!$A$39),tulkojums!$A$39))</f>
        <v/>
      </c>
      <c r="T575" s="2"/>
      <c r="U575" s="2"/>
      <c r="V575" s="2"/>
      <c r="W575" s="2"/>
      <c r="X575" s="2"/>
      <c r="Y575" s="2"/>
      <c r="Z575" s="2"/>
    </row>
    <row r="576" spans="1:26" ht="15.75" customHeight="1">
      <c r="A576" s="17"/>
      <c r="B576" s="18"/>
      <c r="C576" s="19"/>
      <c r="D576" s="55"/>
      <c r="E576" s="55"/>
      <c r="F576" s="56"/>
      <c r="G576" s="57" t="str">
        <f>IF(ISBLANK(C576),"",
   IFERROR(
      IF(
         INDEX(DB_materiali!C$2:C$5000,
               MATCH(C576, DB_materiali!A$2:A$5000, 0)
         )="FALSE",
         "N",
         "Y"
      ),
   "")
)</f>
        <v/>
      </c>
      <c r="H576" s="20"/>
      <c r="I576" s="20"/>
      <c r="J576" s="20"/>
      <c r="K576" s="20"/>
      <c r="M576" s="2" t="str">
        <f>IF(ISBLANK(C576),"",IF(IFERROR(VLOOKUP(C576,DB_materiali!$A$2:$A$5000,1,FALSE),"Kļūda artikulā")=C576,"✔",tulkojums!A$42))</f>
        <v/>
      </c>
      <c r="N576" s="2" t="str">
        <f>IF(ISBLANK(C576),"",IF(ISNUMBER(F576)=TRUE,"✔",tulkojums!A$43))</f>
        <v/>
      </c>
      <c r="O576" s="2" t="str">
        <f>IF(ISBLANK(C576),"",IF(G576="Y","✔",IF(G576="X","✔",IF(G576="N","✔",tulkojums!A$44))))</f>
        <v/>
      </c>
      <c r="P576" s="2" t="str">
        <f>IF(ISBLANK(H576),"",IF(INDEX(DB_materiali!$E$2:$E$5000,MATCH($C576,DB_materiali!$A$2:$A$5000,0))&gt;=INDEX(DB_malas!$C$2:$C$5000,MATCH(H576,DB_malas!$A$2:$A$5000,0)),IF(INDEX(DB_materiali!$E$2:$E$5000,MATCH($C576,DB_materiali!$A$2:$A$5000,0))&lt;=INDEX(DB_malas!$D$2:$D$5000,MATCH(H576,DB_malas!$A$2:$A$5000,0)),IF(OR(INDEX(DB_materiali!$B$2:$B$5000,MATCH($C576,DB_materiali!$A$2:$A$5000,0))=INDEX(DB_malas!$B$2:$B$5000,MATCH(H576,DB_malas!$A$2:$A$5000,0)),$H576="ORG"),"✔",tulkojums!$A$38),tulkojums!$A$39),tulkojums!$A$39))</f>
        <v/>
      </c>
      <c r="Q576" s="2" t="str">
        <f>IF(ISBLANK(I576),"",IF(INDEX(DB_materiali!$E$2:$E$5000,MATCH($C576,DB_materiali!$A$2:$A$5000,0))&gt;=INDEX(DB_malas!$C$2:$C$5000,MATCH(I576,DB_malas!$A$2:$A$5000,0)),IF(INDEX(DB_materiali!$E$2:$E$5000,MATCH($C576,DB_materiali!$A$2:$A$5000,0))&lt;=INDEX(DB_malas!$D$2:$D$5000,MATCH(I576,DB_malas!$A$2:$A$5000,0)),IF(OR(INDEX(DB_materiali!$B$2:$B$5000,MATCH($C576,DB_materiali!$A$2:$A$5000,0))=INDEX(DB_malas!$B$2:$B$5000,MATCH(I576,DB_malas!$A$2:$A$5000,0)),$H576="ORG"),"✔",tulkojums!$A$38),tulkojums!$A$39),tulkojums!$A$39))</f>
        <v/>
      </c>
      <c r="R576" s="2" t="str">
        <f>IF(ISBLANK(J576),"",IF(INDEX(DB_materiali!$E$2:$E$5000,MATCH($C576,DB_materiali!$A$2:$A$5000,0))&gt;=INDEX(DB_malas!$C$2:$C$5000,MATCH(J576,DB_malas!$A$2:$A$5000,0)),IF(INDEX(DB_materiali!$E$2:$E$5000,MATCH($C576,DB_materiali!$A$2:$A$5000,0))&lt;=INDEX(DB_malas!$D$2:$D$5000,MATCH(J576,DB_malas!$A$2:$A$5000,0)),IF(INDEX(DB_materiali!$B$2:$B$5000,MATCH($C576,DB_materiali!$A$2:$A$5000,0))=INDEX(DB_malas!$B$2:$B$5000,MATCH(J576,DB_malas!$A$2:$A$5000,0)),"✔",tulkojums!$A$38),tulkojums!$A$39),tulkojums!$A$39))</f>
        <v/>
      </c>
      <c r="S576" s="2" t="str">
        <f>IF(ISBLANK(K576),"",IF(INDEX(DB_materiali!$E$2:$E$5000,MATCH($C576,DB_materiali!$A$2:$A$5000,0))&gt;=INDEX(DB_malas!$C$2:$C$5000,MATCH(K576,DB_malas!$A$2:$A$5000,0)),IF(INDEX(DB_materiali!$E$2:$E$5000,MATCH($C576,DB_materiali!$A$2:$A$5000,0))&lt;=INDEX(DB_malas!$D$2:$D$5000,MATCH(K576,DB_malas!$A$2:$A$5000,0)),IF(INDEX(DB_materiali!$B$2:$B$5000,MATCH($C576,DB_materiali!$A$2:$A$5000,0))=INDEX(DB_malas!$B$2:$B$5000,MATCH(K576,DB_malas!$A$2:$A$5000,0)),"✔",tulkojums!$A$38),tulkojums!$A$39),tulkojums!$A$39))</f>
        <v/>
      </c>
      <c r="T576" s="2"/>
      <c r="U576" s="2"/>
      <c r="V576" s="2"/>
      <c r="W576" s="2"/>
      <c r="X576" s="2"/>
      <c r="Y576" s="2"/>
      <c r="Z576" s="2"/>
    </row>
    <row r="577" spans="1:26" ht="15.75" customHeight="1">
      <c r="A577" s="17"/>
      <c r="B577" s="18"/>
      <c r="C577" s="19"/>
      <c r="D577" s="55"/>
      <c r="E577" s="55"/>
      <c r="F577" s="56"/>
      <c r="G577" s="57" t="str">
        <f>IF(ISBLANK(C577),"",
   IFERROR(
      IF(
         INDEX(DB_materiali!C$2:C$5000,
               MATCH(C577, DB_materiali!A$2:A$5000, 0)
         )="FALSE",
         "N",
         "Y"
      ),
   "")
)</f>
        <v/>
      </c>
      <c r="H577" s="20"/>
      <c r="I577" s="20"/>
      <c r="J577" s="20"/>
      <c r="K577" s="20"/>
      <c r="M577" s="2" t="str">
        <f>IF(ISBLANK(C577),"",IF(IFERROR(VLOOKUP(C577,DB_materiali!$A$2:$A$5000,1,FALSE),"Kļūda artikulā")=C577,"✔",tulkojums!A$42))</f>
        <v/>
      </c>
      <c r="N577" s="2" t="str">
        <f>IF(ISBLANK(C577),"",IF(ISNUMBER(F577)=TRUE,"✔",tulkojums!A$43))</f>
        <v/>
      </c>
      <c r="O577" s="2" t="str">
        <f>IF(ISBLANK(C577),"",IF(G577="Y","✔",IF(G577="X","✔",IF(G577="N","✔",tulkojums!A$44))))</f>
        <v/>
      </c>
      <c r="P577" s="2" t="str">
        <f>IF(ISBLANK(H577),"",IF(INDEX(DB_materiali!$E$2:$E$5000,MATCH($C577,DB_materiali!$A$2:$A$5000,0))&gt;=INDEX(DB_malas!$C$2:$C$5000,MATCH(H577,DB_malas!$A$2:$A$5000,0)),IF(INDEX(DB_materiali!$E$2:$E$5000,MATCH($C577,DB_materiali!$A$2:$A$5000,0))&lt;=INDEX(DB_malas!$D$2:$D$5000,MATCH(H577,DB_malas!$A$2:$A$5000,0)),IF(OR(INDEX(DB_materiali!$B$2:$B$5000,MATCH($C577,DB_materiali!$A$2:$A$5000,0))=INDEX(DB_malas!$B$2:$B$5000,MATCH(H577,DB_malas!$A$2:$A$5000,0)),$H577="ORG"),"✔",tulkojums!$A$38),tulkojums!$A$39),tulkojums!$A$39))</f>
        <v/>
      </c>
      <c r="Q577" s="2" t="str">
        <f>IF(ISBLANK(I577),"",IF(INDEX(DB_materiali!$E$2:$E$5000,MATCH($C577,DB_materiali!$A$2:$A$5000,0))&gt;=INDEX(DB_malas!$C$2:$C$5000,MATCH(I577,DB_malas!$A$2:$A$5000,0)),IF(INDEX(DB_materiali!$E$2:$E$5000,MATCH($C577,DB_materiali!$A$2:$A$5000,0))&lt;=INDEX(DB_malas!$D$2:$D$5000,MATCH(I577,DB_malas!$A$2:$A$5000,0)),IF(OR(INDEX(DB_materiali!$B$2:$B$5000,MATCH($C577,DB_materiali!$A$2:$A$5000,0))=INDEX(DB_malas!$B$2:$B$5000,MATCH(I577,DB_malas!$A$2:$A$5000,0)),$H577="ORG"),"✔",tulkojums!$A$38),tulkojums!$A$39),tulkojums!$A$39))</f>
        <v/>
      </c>
      <c r="R577" s="2" t="str">
        <f>IF(ISBLANK(J577),"",IF(INDEX(DB_materiali!$E$2:$E$5000,MATCH($C577,DB_materiali!$A$2:$A$5000,0))&gt;=INDEX(DB_malas!$C$2:$C$5000,MATCH(J577,DB_malas!$A$2:$A$5000,0)),IF(INDEX(DB_materiali!$E$2:$E$5000,MATCH($C577,DB_materiali!$A$2:$A$5000,0))&lt;=INDEX(DB_malas!$D$2:$D$5000,MATCH(J577,DB_malas!$A$2:$A$5000,0)),IF(INDEX(DB_materiali!$B$2:$B$5000,MATCH($C577,DB_materiali!$A$2:$A$5000,0))=INDEX(DB_malas!$B$2:$B$5000,MATCH(J577,DB_malas!$A$2:$A$5000,0)),"✔",tulkojums!$A$38),tulkojums!$A$39),tulkojums!$A$39))</f>
        <v/>
      </c>
      <c r="S577" s="2" t="str">
        <f>IF(ISBLANK(K577),"",IF(INDEX(DB_materiali!$E$2:$E$5000,MATCH($C577,DB_materiali!$A$2:$A$5000,0))&gt;=INDEX(DB_malas!$C$2:$C$5000,MATCH(K577,DB_malas!$A$2:$A$5000,0)),IF(INDEX(DB_materiali!$E$2:$E$5000,MATCH($C577,DB_materiali!$A$2:$A$5000,0))&lt;=INDEX(DB_malas!$D$2:$D$5000,MATCH(K577,DB_malas!$A$2:$A$5000,0)),IF(INDEX(DB_materiali!$B$2:$B$5000,MATCH($C577,DB_materiali!$A$2:$A$5000,0))=INDEX(DB_malas!$B$2:$B$5000,MATCH(K577,DB_malas!$A$2:$A$5000,0)),"✔",tulkojums!$A$38),tulkojums!$A$39),tulkojums!$A$39))</f>
        <v/>
      </c>
      <c r="T577" s="2"/>
      <c r="U577" s="2"/>
      <c r="V577" s="2"/>
      <c r="W577" s="2"/>
      <c r="X577" s="2"/>
      <c r="Y577" s="2"/>
      <c r="Z577" s="2"/>
    </row>
    <row r="578" spans="1:26" ht="15.75" customHeight="1">
      <c r="A578" s="17"/>
      <c r="B578" s="18"/>
      <c r="C578" s="19"/>
      <c r="D578" s="55"/>
      <c r="E578" s="55"/>
      <c r="F578" s="56"/>
      <c r="G578" s="57" t="str">
        <f>IF(ISBLANK(C578),"",
   IFERROR(
      IF(
         INDEX(DB_materiali!C$2:C$5000,
               MATCH(C578, DB_materiali!A$2:A$5000, 0)
         )="FALSE",
         "N",
         "Y"
      ),
   "")
)</f>
        <v/>
      </c>
      <c r="H578" s="20"/>
      <c r="I578" s="20"/>
      <c r="J578" s="20"/>
      <c r="K578" s="20"/>
      <c r="M578" s="2" t="str">
        <f>IF(ISBLANK(C578),"",IF(IFERROR(VLOOKUP(C578,DB_materiali!$A$2:$A$5000,1,FALSE),"Kļūda artikulā")=C578,"✔",tulkojums!A$42))</f>
        <v/>
      </c>
      <c r="N578" s="2" t="str">
        <f>IF(ISBLANK(C578),"",IF(ISNUMBER(F578)=TRUE,"✔",tulkojums!A$43))</f>
        <v/>
      </c>
      <c r="O578" s="2" t="str">
        <f>IF(ISBLANK(C578),"",IF(G578="Y","✔",IF(G578="X","✔",IF(G578="N","✔",tulkojums!A$44))))</f>
        <v/>
      </c>
      <c r="P578" s="2" t="str">
        <f>IF(ISBLANK(H578),"",IF(INDEX(DB_materiali!$E$2:$E$5000,MATCH($C578,DB_materiali!$A$2:$A$5000,0))&gt;=INDEX(DB_malas!$C$2:$C$5000,MATCH(H578,DB_malas!$A$2:$A$5000,0)),IF(INDEX(DB_materiali!$E$2:$E$5000,MATCH($C578,DB_materiali!$A$2:$A$5000,0))&lt;=INDEX(DB_malas!$D$2:$D$5000,MATCH(H578,DB_malas!$A$2:$A$5000,0)),IF(OR(INDEX(DB_materiali!$B$2:$B$5000,MATCH($C578,DB_materiali!$A$2:$A$5000,0))=INDEX(DB_malas!$B$2:$B$5000,MATCH(H578,DB_malas!$A$2:$A$5000,0)),$H578="ORG"),"✔",tulkojums!$A$38),tulkojums!$A$39),tulkojums!$A$39))</f>
        <v/>
      </c>
      <c r="Q578" s="2" t="str">
        <f>IF(ISBLANK(I578),"",IF(INDEX(DB_materiali!$E$2:$E$5000,MATCH($C578,DB_materiali!$A$2:$A$5000,0))&gt;=INDEX(DB_malas!$C$2:$C$5000,MATCH(I578,DB_malas!$A$2:$A$5000,0)),IF(INDEX(DB_materiali!$E$2:$E$5000,MATCH($C578,DB_materiali!$A$2:$A$5000,0))&lt;=INDEX(DB_malas!$D$2:$D$5000,MATCH(I578,DB_malas!$A$2:$A$5000,0)),IF(OR(INDEX(DB_materiali!$B$2:$B$5000,MATCH($C578,DB_materiali!$A$2:$A$5000,0))=INDEX(DB_malas!$B$2:$B$5000,MATCH(I578,DB_malas!$A$2:$A$5000,0)),$H578="ORG"),"✔",tulkojums!$A$38),tulkojums!$A$39),tulkojums!$A$39))</f>
        <v/>
      </c>
      <c r="R578" s="2" t="str">
        <f>IF(ISBLANK(J578),"",IF(INDEX(DB_materiali!$E$2:$E$5000,MATCH($C578,DB_materiali!$A$2:$A$5000,0))&gt;=INDEX(DB_malas!$C$2:$C$5000,MATCH(J578,DB_malas!$A$2:$A$5000,0)),IF(INDEX(DB_materiali!$E$2:$E$5000,MATCH($C578,DB_materiali!$A$2:$A$5000,0))&lt;=INDEX(DB_malas!$D$2:$D$5000,MATCH(J578,DB_malas!$A$2:$A$5000,0)),IF(INDEX(DB_materiali!$B$2:$B$5000,MATCH($C578,DB_materiali!$A$2:$A$5000,0))=INDEX(DB_malas!$B$2:$B$5000,MATCH(J578,DB_malas!$A$2:$A$5000,0)),"✔",tulkojums!$A$38),tulkojums!$A$39),tulkojums!$A$39))</f>
        <v/>
      </c>
      <c r="S578" s="2" t="str">
        <f>IF(ISBLANK(K578),"",IF(INDEX(DB_materiali!$E$2:$E$5000,MATCH($C578,DB_materiali!$A$2:$A$5000,0))&gt;=INDEX(DB_malas!$C$2:$C$5000,MATCH(K578,DB_malas!$A$2:$A$5000,0)),IF(INDEX(DB_materiali!$E$2:$E$5000,MATCH($C578,DB_materiali!$A$2:$A$5000,0))&lt;=INDEX(DB_malas!$D$2:$D$5000,MATCH(K578,DB_malas!$A$2:$A$5000,0)),IF(INDEX(DB_materiali!$B$2:$B$5000,MATCH($C578,DB_materiali!$A$2:$A$5000,0))=INDEX(DB_malas!$B$2:$B$5000,MATCH(K578,DB_malas!$A$2:$A$5000,0)),"✔",tulkojums!$A$38),tulkojums!$A$39),tulkojums!$A$39))</f>
        <v/>
      </c>
      <c r="T578" s="2"/>
      <c r="U578" s="2"/>
      <c r="V578" s="2"/>
      <c r="W578" s="2"/>
      <c r="X578" s="2"/>
      <c r="Y578" s="2"/>
      <c r="Z578" s="2"/>
    </row>
    <row r="579" spans="1:26" ht="15.75" customHeight="1">
      <c r="A579" s="17"/>
      <c r="B579" s="18"/>
      <c r="C579" s="19"/>
      <c r="D579" s="55"/>
      <c r="E579" s="55"/>
      <c r="F579" s="56"/>
      <c r="G579" s="57" t="str">
        <f>IF(ISBLANK(C579),"",
   IFERROR(
      IF(
         INDEX(DB_materiali!C$2:C$5000,
               MATCH(C579, DB_materiali!A$2:A$5000, 0)
         )="FALSE",
         "N",
         "Y"
      ),
   "")
)</f>
        <v/>
      </c>
      <c r="H579" s="20"/>
      <c r="I579" s="20"/>
      <c r="J579" s="20"/>
      <c r="K579" s="20"/>
      <c r="M579" s="2" t="str">
        <f>IF(ISBLANK(C579),"",IF(IFERROR(VLOOKUP(C579,DB_materiali!$A$2:$A$5000,1,FALSE),"Kļūda artikulā")=C579,"✔",tulkojums!A$42))</f>
        <v/>
      </c>
      <c r="N579" s="2" t="str">
        <f>IF(ISBLANK(C579),"",IF(ISNUMBER(F579)=TRUE,"✔",tulkojums!A$43))</f>
        <v/>
      </c>
      <c r="O579" s="2" t="str">
        <f>IF(ISBLANK(C579),"",IF(G579="Y","✔",IF(G579="X","✔",IF(G579="N","✔",tulkojums!A$44))))</f>
        <v/>
      </c>
      <c r="P579" s="2" t="str">
        <f>IF(ISBLANK(H579),"",IF(INDEX(DB_materiali!$E$2:$E$5000,MATCH($C579,DB_materiali!$A$2:$A$5000,0))&gt;=INDEX(DB_malas!$C$2:$C$5000,MATCH(H579,DB_malas!$A$2:$A$5000,0)),IF(INDEX(DB_materiali!$E$2:$E$5000,MATCH($C579,DB_materiali!$A$2:$A$5000,0))&lt;=INDEX(DB_malas!$D$2:$D$5000,MATCH(H579,DB_malas!$A$2:$A$5000,0)),IF(OR(INDEX(DB_materiali!$B$2:$B$5000,MATCH($C579,DB_materiali!$A$2:$A$5000,0))=INDEX(DB_malas!$B$2:$B$5000,MATCH(H579,DB_malas!$A$2:$A$5000,0)),$H579="ORG"),"✔",tulkojums!$A$38),tulkojums!$A$39),tulkojums!$A$39))</f>
        <v/>
      </c>
      <c r="Q579" s="2" t="str">
        <f>IF(ISBLANK(I579),"",IF(INDEX(DB_materiali!$E$2:$E$5000,MATCH($C579,DB_materiali!$A$2:$A$5000,0))&gt;=INDEX(DB_malas!$C$2:$C$5000,MATCH(I579,DB_malas!$A$2:$A$5000,0)),IF(INDEX(DB_materiali!$E$2:$E$5000,MATCH($C579,DB_materiali!$A$2:$A$5000,0))&lt;=INDEX(DB_malas!$D$2:$D$5000,MATCH(I579,DB_malas!$A$2:$A$5000,0)),IF(OR(INDEX(DB_materiali!$B$2:$B$5000,MATCH($C579,DB_materiali!$A$2:$A$5000,0))=INDEX(DB_malas!$B$2:$B$5000,MATCH(I579,DB_malas!$A$2:$A$5000,0)),$H579="ORG"),"✔",tulkojums!$A$38),tulkojums!$A$39),tulkojums!$A$39))</f>
        <v/>
      </c>
      <c r="R579" s="2" t="str">
        <f>IF(ISBLANK(J579),"",IF(INDEX(DB_materiali!$E$2:$E$5000,MATCH($C579,DB_materiali!$A$2:$A$5000,0))&gt;=INDEX(DB_malas!$C$2:$C$5000,MATCH(J579,DB_malas!$A$2:$A$5000,0)),IF(INDEX(DB_materiali!$E$2:$E$5000,MATCH($C579,DB_materiali!$A$2:$A$5000,0))&lt;=INDEX(DB_malas!$D$2:$D$5000,MATCH(J579,DB_malas!$A$2:$A$5000,0)),IF(INDEX(DB_materiali!$B$2:$B$5000,MATCH($C579,DB_materiali!$A$2:$A$5000,0))=INDEX(DB_malas!$B$2:$B$5000,MATCH(J579,DB_malas!$A$2:$A$5000,0)),"✔",tulkojums!$A$38),tulkojums!$A$39),tulkojums!$A$39))</f>
        <v/>
      </c>
      <c r="S579" s="2" t="str">
        <f>IF(ISBLANK(K579),"",IF(INDEX(DB_materiali!$E$2:$E$5000,MATCH($C579,DB_materiali!$A$2:$A$5000,0))&gt;=INDEX(DB_malas!$C$2:$C$5000,MATCH(K579,DB_malas!$A$2:$A$5000,0)),IF(INDEX(DB_materiali!$E$2:$E$5000,MATCH($C579,DB_materiali!$A$2:$A$5000,0))&lt;=INDEX(DB_malas!$D$2:$D$5000,MATCH(K579,DB_malas!$A$2:$A$5000,0)),IF(INDEX(DB_materiali!$B$2:$B$5000,MATCH($C579,DB_materiali!$A$2:$A$5000,0))=INDEX(DB_malas!$B$2:$B$5000,MATCH(K579,DB_malas!$A$2:$A$5000,0)),"✔",tulkojums!$A$38),tulkojums!$A$39),tulkojums!$A$39))</f>
        <v/>
      </c>
      <c r="T579" s="2"/>
      <c r="U579" s="2"/>
      <c r="V579" s="2"/>
      <c r="W579" s="2"/>
      <c r="X579" s="2"/>
      <c r="Y579" s="2"/>
      <c r="Z579" s="2"/>
    </row>
    <row r="580" spans="1:26" ht="15.75" customHeight="1">
      <c r="A580" s="17"/>
      <c r="B580" s="18"/>
      <c r="C580" s="19"/>
      <c r="D580" s="55"/>
      <c r="E580" s="55"/>
      <c r="F580" s="56"/>
      <c r="G580" s="57" t="str">
        <f>IF(ISBLANK(C580),"",
   IFERROR(
      IF(
         INDEX(DB_materiali!C$2:C$5000,
               MATCH(C580, DB_materiali!A$2:A$5000, 0)
         )="FALSE",
         "N",
         "Y"
      ),
   "")
)</f>
        <v/>
      </c>
      <c r="H580" s="20"/>
      <c r="I580" s="20"/>
      <c r="J580" s="20"/>
      <c r="K580" s="20"/>
      <c r="M580" s="2" t="str">
        <f>IF(ISBLANK(C580),"",IF(IFERROR(VLOOKUP(C580,DB_materiali!$A$2:$A$5000,1,FALSE),"Kļūda artikulā")=C580,"✔",tulkojums!A$42))</f>
        <v/>
      </c>
      <c r="N580" s="2" t="str">
        <f>IF(ISBLANK(C580),"",IF(ISNUMBER(F580)=TRUE,"✔",tulkojums!A$43))</f>
        <v/>
      </c>
      <c r="O580" s="2" t="str">
        <f>IF(ISBLANK(C580),"",IF(G580="Y","✔",IF(G580="X","✔",IF(G580="N","✔",tulkojums!A$44))))</f>
        <v/>
      </c>
      <c r="P580" s="2" t="str">
        <f>IF(ISBLANK(H580),"",IF(INDEX(DB_materiali!$E$2:$E$5000,MATCH($C580,DB_materiali!$A$2:$A$5000,0))&gt;=INDEX(DB_malas!$C$2:$C$5000,MATCH(H580,DB_malas!$A$2:$A$5000,0)),IF(INDEX(DB_materiali!$E$2:$E$5000,MATCH($C580,DB_materiali!$A$2:$A$5000,0))&lt;=INDEX(DB_malas!$D$2:$D$5000,MATCH(H580,DB_malas!$A$2:$A$5000,0)),IF(OR(INDEX(DB_materiali!$B$2:$B$5000,MATCH($C580,DB_materiali!$A$2:$A$5000,0))=INDEX(DB_malas!$B$2:$B$5000,MATCH(H580,DB_malas!$A$2:$A$5000,0)),$H580="ORG"),"✔",tulkojums!$A$38),tulkojums!$A$39),tulkojums!$A$39))</f>
        <v/>
      </c>
      <c r="Q580" s="2" t="str">
        <f>IF(ISBLANK(I580),"",IF(INDEX(DB_materiali!$E$2:$E$5000,MATCH($C580,DB_materiali!$A$2:$A$5000,0))&gt;=INDEX(DB_malas!$C$2:$C$5000,MATCH(I580,DB_malas!$A$2:$A$5000,0)),IF(INDEX(DB_materiali!$E$2:$E$5000,MATCH($C580,DB_materiali!$A$2:$A$5000,0))&lt;=INDEX(DB_malas!$D$2:$D$5000,MATCH(I580,DB_malas!$A$2:$A$5000,0)),IF(OR(INDEX(DB_materiali!$B$2:$B$5000,MATCH($C580,DB_materiali!$A$2:$A$5000,0))=INDEX(DB_malas!$B$2:$B$5000,MATCH(I580,DB_malas!$A$2:$A$5000,0)),$H580="ORG"),"✔",tulkojums!$A$38),tulkojums!$A$39),tulkojums!$A$39))</f>
        <v/>
      </c>
      <c r="R580" s="2" t="str">
        <f>IF(ISBLANK(J580),"",IF(INDEX(DB_materiali!$E$2:$E$5000,MATCH($C580,DB_materiali!$A$2:$A$5000,0))&gt;=INDEX(DB_malas!$C$2:$C$5000,MATCH(J580,DB_malas!$A$2:$A$5000,0)),IF(INDEX(DB_materiali!$E$2:$E$5000,MATCH($C580,DB_materiali!$A$2:$A$5000,0))&lt;=INDEX(DB_malas!$D$2:$D$5000,MATCH(J580,DB_malas!$A$2:$A$5000,0)),IF(INDEX(DB_materiali!$B$2:$B$5000,MATCH($C580,DB_materiali!$A$2:$A$5000,0))=INDEX(DB_malas!$B$2:$B$5000,MATCH(J580,DB_malas!$A$2:$A$5000,0)),"✔",tulkojums!$A$38),tulkojums!$A$39),tulkojums!$A$39))</f>
        <v/>
      </c>
      <c r="S580" s="2" t="str">
        <f>IF(ISBLANK(K580),"",IF(INDEX(DB_materiali!$E$2:$E$5000,MATCH($C580,DB_materiali!$A$2:$A$5000,0))&gt;=INDEX(DB_malas!$C$2:$C$5000,MATCH(K580,DB_malas!$A$2:$A$5000,0)),IF(INDEX(DB_materiali!$E$2:$E$5000,MATCH($C580,DB_materiali!$A$2:$A$5000,0))&lt;=INDEX(DB_malas!$D$2:$D$5000,MATCH(K580,DB_malas!$A$2:$A$5000,0)),IF(INDEX(DB_materiali!$B$2:$B$5000,MATCH($C580,DB_materiali!$A$2:$A$5000,0))=INDEX(DB_malas!$B$2:$B$5000,MATCH(K580,DB_malas!$A$2:$A$5000,0)),"✔",tulkojums!$A$38),tulkojums!$A$39),tulkojums!$A$39))</f>
        <v/>
      </c>
      <c r="T580" s="2"/>
      <c r="U580" s="2"/>
      <c r="V580" s="2"/>
      <c r="W580" s="2"/>
      <c r="X580" s="2"/>
      <c r="Y580" s="2"/>
      <c r="Z580" s="2"/>
    </row>
    <row r="581" spans="1:26" ht="15.75" customHeight="1">
      <c r="A581" s="17"/>
      <c r="B581" s="18"/>
      <c r="C581" s="19"/>
      <c r="D581" s="55"/>
      <c r="E581" s="55"/>
      <c r="F581" s="56"/>
      <c r="G581" s="57" t="str">
        <f>IF(ISBLANK(C581),"",
   IFERROR(
      IF(
         INDEX(DB_materiali!C$2:C$5000,
               MATCH(C581, DB_materiali!A$2:A$5000, 0)
         )="FALSE",
         "N",
         "Y"
      ),
   "")
)</f>
        <v/>
      </c>
      <c r="H581" s="20"/>
      <c r="I581" s="20"/>
      <c r="J581" s="20"/>
      <c r="K581" s="20"/>
      <c r="M581" s="2" t="str">
        <f>IF(ISBLANK(C581),"",IF(IFERROR(VLOOKUP(C581,DB_materiali!$A$2:$A$5000,1,FALSE),"Kļūda artikulā")=C581,"✔",tulkojums!A$42))</f>
        <v/>
      </c>
      <c r="N581" s="2" t="str">
        <f>IF(ISBLANK(C581),"",IF(ISNUMBER(F581)=TRUE,"✔",tulkojums!A$43))</f>
        <v/>
      </c>
      <c r="O581" s="2" t="str">
        <f>IF(ISBLANK(C581),"",IF(G581="Y","✔",IF(G581="X","✔",IF(G581="N","✔",tulkojums!A$44))))</f>
        <v/>
      </c>
      <c r="P581" s="2" t="str">
        <f>IF(ISBLANK(H581),"",IF(INDEX(DB_materiali!$E$2:$E$5000,MATCH($C581,DB_materiali!$A$2:$A$5000,0))&gt;=INDEX(DB_malas!$C$2:$C$5000,MATCH(H581,DB_malas!$A$2:$A$5000,0)),IF(INDEX(DB_materiali!$E$2:$E$5000,MATCH($C581,DB_materiali!$A$2:$A$5000,0))&lt;=INDEX(DB_malas!$D$2:$D$5000,MATCH(H581,DB_malas!$A$2:$A$5000,0)),IF(OR(INDEX(DB_materiali!$B$2:$B$5000,MATCH($C581,DB_materiali!$A$2:$A$5000,0))=INDEX(DB_malas!$B$2:$B$5000,MATCH(H581,DB_malas!$A$2:$A$5000,0)),$H581="ORG"),"✔",tulkojums!$A$38),tulkojums!$A$39),tulkojums!$A$39))</f>
        <v/>
      </c>
      <c r="Q581" s="2" t="str">
        <f>IF(ISBLANK(I581),"",IF(INDEX(DB_materiali!$E$2:$E$5000,MATCH($C581,DB_materiali!$A$2:$A$5000,0))&gt;=INDEX(DB_malas!$C$2:$C$5000,MATCH(I581,DB_malas!$A$2:$A$5000,0)),IF(INDEX(DB_materiali!$E$2:$E$5000,MATCH($C581,DB_materiali!$A$2:$A$5000,0))&lt;=INDEX(DB_malas!$D$2:$D$5000,MATCH(I581,DB_malas!$A$2:$A$5000,0)),IF(OR(INDEX(DB_materiali!$B$2:$B$5000,MATCH($C581,DB_materiali!$A$2:$A$5000,0))=INDEX(DB_malas!$B$2:$B$5000,MATCH(I581,DB_malas!$A$2:$A$5000,0)),$H581="ORG"),"✔",tulkojums!$A$38),tulkojums!$A$39),tulkojums!$A$39))</f>
        <v/>
      </c>
      <c r="R581" s="2" t="str">
        <f>IF(ISBLANK(J581),"",IF(INDEX(DB_materiali!$E$2:$E$5000,MATCH($C581,DB_materiali!$A$2:$A$5000,0))&gt;=INDEX(DB_malas!$C$2:$C$5000,MATCH(J581,DB_malas!$A$2:$A$5000,0)),IF(INDEX(DB_materiali!$E$2:$E$5000,MATCH($C581,DB_materiali!$A$2:$A$5000,0))&lt;=INDEX(DB_malas!$D$2:$D$5000,MATCH(J581,DB_malas!$A$2:$A$5000,0)),IF(INDEX(DB_materiali!$B$2:$B$5000,MATCH($C581,DB_materiali!$A$2:$A$5000,0))=INDEX(DB_malas!$B$2:$B$5000,MATCH(J581,DB_malas!$A$2:$A$5000,0)),"✔",tulkojums!$A$38),tulkojums!$A$39),tulkojums!$A$39))</f>
        <v/>
      </c>
      <c r="S581" s="2" t="str">
        <f>IF(ISBLANK(K581),"",IF(INDEX(DB_materiali!$E$2:$E$5000,MATCH($C581,DB_materiali!$A$2:$A$5000,0))&gt;=INDEX(DB_malas!$C$2:$C$5000,MATCH(K581,DB_malas!$A$2:$A$5000,0)),IF(INDEX(DB_materiali!$E$2:$E$5000,MATCH($C581,DB_materiali!$A$2:$A$5000,0))&lt;=INDEX(DB_malas!$D$2:$D$5000,MATCH(K581,DB_malas!$A$2:$A$5000,0)),IF(INDEX(DB_materiali!$B$2:$B$5000,MATCH($C581,DB_materiali!$A$2:$A$5000,0))=INDEX(DB_malas!$B$2:$B$5000,MATCH(K581,DB_malas!$A$2:$A$5000,0)),"✔",tulkojums!$A$38),tulkojums!$A$39),tulkojums!$A$39))</f>
        <v/>
      </c>
      <c r="T581" s="2"/>
      <c r="U581" s="2"/>
      <c r="V581" s="2"/>
      <c r="W581" s="2"/>
      <c r="X581" s="2"/>
      <c r="Y581" s="2"/>
      <c r="Z581" s="2"/>
    </row>
    <row r="582" spans="1:26" ht="15.75" customHeight="1">
      <c r="A582" s="17"/>
      <c r="B582" s="18"/>
      <c r="C582" s="19"/>
      <c r="D582" s="55"/>
      <c r="E582" s="55"/>
      <c r="F582" s="56"/>
      <c r="G582" s="57" t="str">
        <f>IF(ISBLANK(C582),"",
   IFERROR(
      IF(
         INDEX(DB_materiali!C$2:C$5000,
               MATCH(C582, DB_materiali!A$2:A$5000, 0)
         )="FALSE",
         "N",
         "Y"
      ),
   "")
)</f>
        <v/>
      </c>
      <c r="H582" s="20"/>
      <c r="I582" s="20"/>
      <c r="J582" s="20"/>
      <c r="K582" s="20"/>
      <c r="M582" s="2" t="str">
        <f>IF(ISBLANK(C582),"",IF(IFERROR(VLOOKUP(C582,DB_materiali!$A$2:$A$5000,1,FALSE),"Kļūda artikulā")=C582,"✔",tulkojums!A$42))</f>
        <v/>
      </c>
      <c r="N582" s="2" t="str">
        <f>IF(ISBLANK(C582),"",IF(ISNUMBER(F582)=TRUE,"✔",tulkojums!A$43))</f>
        <v/>
      </c>
      <c r="O582" s="2" t="str">
        <f>IF(ISBLANK(C582),"",IF(G582="Y","✔",IF(G582="X","✔",IF(G582="N","✔",tulkojums!A$44))))</f>
        <v/>
      </c>
      <c r="P582" s="2" t="str">
        <f>IF(ISBLANK(H582),"",IF(INDEX(DB_materiali!$E$2:$E$5000,MATCH($C582,DB_materiali!$A$2:$A$5000,0))&gt;=INDEX(DB_malas!$C$2:$C$5000,MATCH(H582,DB_malas!$A$2:$A$5000,0)),IF(INDEX(DB_materiali!$E$2:$E$5000,MATCH($C582,DB_materiali!$A$2:$A$5000,0))&lt;=INDEX(DB_malas!$D$2:$D$5000,MATCH(H582,DB_malas!$A$2:$A$5000,0)),IF(OR(INDEX(DB_materiali!$B$2:$B$5000,MATCH($C582,DB_materiali!$A$2:$A$5000,0))=INDEX(DB_malas!$B$2:$B$5000,MATCH(H582,DB_malas!$A$2:$A$5000,0)),$H582="ORG"),"✔",tulkojums!$A$38),tulkojums!$A$39),tulkojums!$A$39))</f>
        <v/>
      </c>
      <c r="Q582" s="2" t="str">
        <f>IF(ISBLANK(I582),"",IF(INDEX(DB_materiali!$E$2:$E$5000,MATCH($C582,DB_materiali!$A$2:$A$5000,0))&gt;=INDEX(DB_malas!$C$2:$C$5000,MATCH(I582,DB_malas!$A$2:$A$5000,0)),IF(INDEX(DB_materiali!$E$2:$E$5000,MATCH($C582,DB_materiali!$A$2:$A$5000,0))&lt;=INDEX(DB_malas!$D$2:$D$5000,MATCH(I582,DB_malas!$A$2:$A$5000,0)),IF(OR(INDEX(DB_materiali!$B$2:$B$5000,MATCH($C582,DB_materiali!$A$2:$A$5000,0))=INDEX(DB_malas!$B$2:$B$5000,MATCH(I582,DB_malas!$A$2:$A$5000,0)),$H582="ORG"),"✔",tulkojums!$A$38),tulkojums!$A$39),tulkojums!$A$39))</f>
        <v/>
      </c>
      <c r="R582" s="2" t="str">
        <f>IF(ISBLANK(J582),"",IF(INDEX(DB_materiali!$E$2:$E$5000,MATCH($C582,DB_materiali!$A$2:$A$5000,0))&gt;=INDEX(DB_malas!$C$2:$C$5000,MATCH(J582,DB_malas!$A$2:$A$5000,0)),IF(INDEX(DB_materiali!$E$2:$E$5000,MATCH($C582,DB_materiali!$A$2:$A$5000,0))&lt;=INDEX(DB_malas!$D$2:$D$5000,MATCH(J582,DB_malas!$A$2:$A$5000,0)),IF(INDEX(DB_materiali!$B$2:$B$5000,MATCH($C582,DB_materiali!$A$2:$A$5000,0))=INDEX(DB_malas!$B$2:$B$5000,MATCH(J582,DB_malas!$A$2:$A$5000,0)),"✔",tulkojums!$A$38),tulkojums!$A$39),tulkojums!$A$39))</f>
        <v/>
      </c>
      <c r="S582" s="2" t="str">
        <f>IF(ISBLANK(K582),"",IF(INDEX(DB_materiali!$E$2:$E$5000,MATCH($C582,DB_materiali!$A$2:$A$5000,0))&gt;=INDEX(DB_malas!$C$2:$C$5000,MATCH(K582,DB_malas!$A$2:$A$5000,0)),IF(INDEX(DB_materiali!$E$2:$E$5000,MATCH($C582,DB_materiali!$A$2:$A$5000,0))&lt;=INDEX(DB_malas!$D$2:$D$5000,MATCH(K582,DB_malas!$A$2:$A$5000,0)),IF(INDEX(DB_materiali!$B$2:$B$5000,MATCH($C582,DB_materiali!$A$2:$A$5000,0))=INDEX(DB_malas!$B$2:$B$5000,MATCH(K582,DB_malas!$A$2:$A$5000,0)),"✔",tulkojums!$A$38),tulkojums!$A$39),tulkojums!$A$39))</f>
        <v/>
      </c>
      <c r="T582" s="2"/>
      <c r="U582" s="2"/>
      <c r="V582" s="2"/>
      <c r="W582" s="2"/>
      <c r="X582" s="2"/>
      <c r="Y582" s="2"/>
      <c r="Z582" s="2"/>
    </row>
    <row r="583" spans="1:26" ht="15.75" customHeight="1">
      <c r="A583" s="17"/>
      <c r="B583" s="18"/>
      <c r="C583" s="19"/>
      <c r="D583" s="55"/>
      <c r="E583" s="55"/>
      <c r="F583" s="56"/>
      <c r="G583" s="57" t="str">
        <f>IF(ISBLANK(C583),"",
   IFERROR(
      IF(
         INDEX(DB_materiali!C$2:C$5000,
               MATCH(C583, DB_materiali!A$2:A$5000, 0)
         )="FALSE",
         "N",
         "Y"
      ),
   "")
)</f>
        <v/>
      </c>
      <c r="H583" s="20"/>
      <c r="I583" s="20"/>
      <c r="J583" s="20"/>
      <c r="K583" s="20"/>
      <c r="M583" s="2" t="str">
        <f>IF(ISBLANK(C583),"",IF(IFERROR(VLOOKUP(C583,DB_materiali!$A$2:$A$5000,1,FALSE),"Kļūda artikulā")=C583,"✔",tulkojums!A$42))</f>
        <v/>
      </c>
      <c r="N583" s="2" t="str">
        <f>IF(ISBLANK(C583),"",IF(ISNUMBER(F583)=TRUE,"✔",tulkojums!A$43))</f>
        <v/>
      </c>
      <c r="O583" s="2" t="str">
        <f>IF(ISBLANK(C583),"",IF(G583="Y","✔",IF(G583="X","✔",IF(G583="N","✔",tulkojums!A$44))))</f>
        <v/>
      </c>
      <c r="P583" s="2" t="str">
        <f>IF(ISBLANK(H583),"",IF(INDEX(DB_materiali!$E$2:$E$5000,MATCH($C583,DB_materiali!$A$2:$A$5000,0))&gt;=INDEX(DB_malas!$C$2:$C$5000,MATCH(H583,DB_malas!$A$2:$A$5000,0)),IF(INDEX(DB_materiali!$E$2:$E$5000,MATCH($C583,DB_materiali!$A$2:$A$5000,0))&lt;=INDEX(DB_malas!$D$2:$D$5000,MATCH(H583,DB_malas!$A$2:$A$5000,0)),IF(OR(INDEX(DB_materiali!$B$2:$B$5000,MATCH($C583,DB_materiali!$A$2:$A$5000,0))=INDEX(DB_malas!$B$2:$B$5000,MATCH(H583,DB_malas!$A$2:$A$5000,0)),$H583="ORG"),"✔",tulkojums!$A$38),tulkojums!$A$39),tulkojums!$A$39))</f>
        <v/>
      </c>
      <c r="Q583" s="2" t="str">
        <f>IF(ISBLANK(I583),"",IF(INDEX(DB_materiali!$E$2:$E$5000,MATCH($C583,DB_materiali!$A$2:$A$5000,0))&gt;=INDEX(DB_malas!$C$2:$C$5000,MATCH(I583,DB_malas!$A$2:$A$5000,0)),IF(INDEX(DB_materiali!$E$2:$E$5000,MATCH($C583,DB_materiali!$A$2:$A$5000,0))&lt;=INDEX(DB_malas!$D$2:$D$5000,MATCH(I583,DB_malas!$A$2:$A$5000,0)),IF(OR(INDEX(DB_materiali!$B$2:$B$5000,MATCH($C583,DB_materiali!$A$2:$A$5000,0))=INDEX(DB_malas!$B$2:$B$5000,MATCH(I583,DB_malas!$A$2:$A$5000,0)),$H583="ORG"),"✔",tulkojums!$A$38),tulkojums!$A$39),tulkojums!$A$39))</f>
        <v/>
      </c>
      <c r="R583" s="2" t="str">
        <f>IF(ISBLANK(J583),"",IF(INDEX(DB_materiali!$E$2:$E$5000,MATCH($C583,DB_materiali!$A$2:$A$5000,0))&gt;=INDEX(DB_malas!$C$2:$C$5000,MATCH(J583,DB_malas!$A$2:$A$5000,0)),IF(INDEX(DB_materiali!$E$2:$E$5000,MATCH($C583,DB_materiali!$A$2:$A$5000,0))&lt;=INDEX(DB_malas!$D$2:$D$5000,MATCH(J583,DB_malas!$A$2:$A$5000,0)),IF(INDEX(DB_materiali!$B$2:$B$5000,MATCH($C583,DB_materiali!$A$2:$A$5000,0))=INDEX(DB_malas!$B$2:$B$5000,MATCH(J583,DB_malas!$A$2:$A$5000,0)),"✔",tulkojums!$A$38),tulkojums!$A$39),tulkojums!$A$39))</f>
        <v/>
      </c>
      <c r="S583" s="2" t="str">
        <f>IF(ISBLANK(K583),"",IF(INDEX(DB_materiali!$E$2:$E$5000,MATCH($C583,DB_materiali!$A$2:$A$5000,0))&gt;=INDEX(DB_malas!$C$2:$C$5000,MATCH(K583,DB_malas!$A$2:$A$5000,0)),IF(INDEX(DB_materiali!$E$2:$E$5000,MATCH($C583,DB_materiali!$A$2:$A$5000,0))&lt;=INDEX(DB_malas!$D$2:$D$5000,MATCH(K583,DB_malas!$A$2:$A$5000,0)),IF(INDEX(DB_materiali!$B$2:$B$5000,MATCH($C583,DB_materiali!$A$2:$A$5000,0))=INDEX(DB_malas!$B$2:$B$5000,MATCH(K583,DB_malas!$A$2:$A$5000,0)),"✔",tulkojums!$A$38),tulkojums!$A$39),tulkojums!$A$39))</f>
        <v/>
      </c>
      <c r="T583" s="2"/>
      <c r="U583" s="2"/>
      <c r="V583" s="2"/>
      <c r="W583" s="2"/>
      <c r="X583" s="2"/>
      <c r="Y583" s="2"/>
      <c r="Z583" s="2"/>
    </row>
    <row r="584" spans="1:26" ht="15.75" customHeight="1">
      <c r="A584" s="17"/>
      <c r="B584" s="18"/>
      <c r="C584" s="19"/>
      <c r="D584" s="55"/>
      <c r="E584" s="55"/>
      <c r="F584" s="56"/>
      <c r="G584" s="57" t="str">
        <f>IF(ISBLANK(C584),"",
   IFERROR(
      IF(
         INDEX(DB_materiali!C$2:C$5000,
               MATCH(C584, DB_materiali!A$2:A$5000, 0)
         )="FALSE",
         "N",
         "Y"
      ),
   "")
)</f>
        <v/>
      </c>
      <c r="H584" s="20"/>
      <c r="I584" s="20"/>
      <c r="J584" s="20"/>
      <c r="K584" s="20"/>
      <c r="M584" s="2" t="str">
        <f>IF(ISBLANK(C584),"",IF(IFERROR(VLOOKUP(C584,DB_materiali!$A$2:$A$5000,1,FALSE),"Kļūda artikulā")=C584,"✔",tulkojums!A$42))</f>
        <v/>
      </c>
      <c r="N584" s="2" t="str">
        <f>IF(ISBLANK(C584),"",IF(ISNUMBER(F584)=TRUE,"✔",tulkojums!A$43))</f>
        <v/>
      </c>
      <c r="O584" s="2" t="str">
        <f>IF(ISBLANK(C584),"",IF(G584="Y","✔",IF(G584="X","✔",IF(G584="N","✔",tulkojums!A$44))))</f>
        <v/>
      </c>
      <c r="P584" s="2" t="str">
        <f>IF(ISBLANK(H584),"",IF(INDEX(DB_materiali!$E$2:$E$5000,MATCH($C584,DB_materiali!$A$2:$A$5000,0))&gt;=INDEX(DB_malas!$C$2:$C$5000,MATCH(H584,DB_malas!$A$2:$A$5000,0)),IF(INDEX(DB_materiali!$E$2:$E$5000,MATCH($C584,DB_materiali!$A$2:$A$5000,0))&lt;=INDEX(DB_malas!$D$2:$D$5000,MATCH(H584,DB_malas!$A$2:$A$5000,0)),IF(OR(INDEX(DB_materiali!$B$2:$B$5000,MATCH($C584,DB_materiali!$A$2:$A$5000,0))=INDEX(DB_malas!$B$2:$B$5000,MATCH(H584,DB_malas!$A$2:$A$5000,0)),$H584="ORG"),"✔",tulkojums!$A$38),tulkojums!$A$39),tulkojums!$A$39))</f>
        <v/>
      </c>
      <c r="Q584" s="2" t="str">
        <f>IF(ISBLANK(I584),"",IF(INDEX(DB_materiali!$E$2:$E$5000,MATCH($C584,DB_materiali!$A$2:$A$5000,0))&gt;=INDEX(DB_malas!$C$2:$C$5000,MATCH(I584,DB_malas!$A$2:$A$5000,0)),IF(INDEX(DB_materiali!$E$2:$E$5000,MATCH($C584,DB_materiali!$A$2:$A$5000,0))&lt;=INDEX(DB_malas!$D$2:$D$5000,MATCH(I584,DB_malas!$A$2:$A$5000,0)),IF(OR(INDEX(DB_materiali!$B$2:$B$5000,MATCH($C584,DB_materiali!$A$2:$A$5000,0))=INDEX(DB_malas!$B$2:$B$5000,MATCH(I584,DB_malas!$A$2:$A$5000,0)),$H584="ORG"),"✔",tulkojums!$A$38),tulkojums!$A$39),tulkojums!$A$39))</f>
        <v/>
      </c>
      <c r="R584" s="2" t="str">
        <f>IF(ISBLANK(J584),"",IF(INDEX(DB_materiali!$E$2:$E$5000,MATCH($C584,DB_materiali!$A$2:$A$5000,0))&gt;=INDEX(DB_malas!$C$2:$C$5000,MATCH(J584,DB_malas!$A$2:$A$5000,0)),IF(INDEX(DB_materiali!$E$2:$E$5000,MATCH($C584,DB_materiali!$A$2:$A$5000,0))&lt;=INDEX(DB_malas!$D$2:$D$5000,MATCH(J584,DB_malas!$A$2:$A$5000,0)),IF(INDEX(DB_materiali!$B$2:$B$5000,MATCH($C584,DB_materiali!$A$2:$A$5000,0))=INDEX(DB_malas!$B$2:$B$5000,MATCH(J584,DB_malas!$A$2:$A$5000,0)),"✔",tulkojums!$A$38),tulkojums!$A$39),tulkojums!$A$39))</f>
        <v/>
      </c>
      <c r="S584" s="2" t="str">
        <f>IF(ISBLANK(K584),"",IF(INDEX(DB_materiali!$E$2:$E$5000,MATCH($C584,DB_materiali!$A$2:$A$5000,0))&gt;=INDEX(DB_malas!$C$2:$C$5000,MATCH(K584,DB_malas!$A$2:$A$5000,0)),IF(INDEX(DB_materiali!$E$2:$E$5000,MATCH($C584,DB_materiali!$A$2:$A$5000,0))&lt;=INDEX(DB_malas!$D$2:$D$5000,MATCH(K584,DB_malas!$A$2:$A$5000,0)),IF(INDEX(DB_materiali!$B$2:$B$5000,MATCH($C584,DB_materiali!$A$2:$A$5000,0))=INDEX(DB_malas!$B$2:$B$5000,MATCH(K584,DB_malas!$A$2:$A$5000,0)),"✔",tulkojums!$A$38),tulkojums!$A$39),tulkojums!$A$39))</f>
        <v/>
      </c>
      <c r="T584" s="2"/>
      <c r="U584" s="2"/>
      <c r="V584" s="2"/>
      <c r="W584" s="2"/>
      <c r="X584" s="2"/>
      <c r="Y584" s="2"/>
      <c r="Z584" s="2"/>
    </row>
    <row r="585" spans="1:26" ht="15.75" customHeight="1">
      <c r="A585" s="17"/>
      <c r="B585" s="18"/>
      <c r="C585" s="19"/>
      <c r="D585" s="55"/>
      <c r="E585" s="55"/>
      <c r="F585" s="56"/>
      <c r="G585" s="57" t="str">
        <f>IF(ISBLANK(C585),"",
   IFERROR(
      IF(
         INDEX(DB_materiali!C$2:C$5000,
               MATCH(C585, DB_materiali!A$2:A$5000, 0)
         )="FALSE",
         "N",
         "Y"
      ),
   "")
)</f>
        <v/>
      </c>
      <c r="H585" s="20"/>
      <c r="I585" s="20"/>
      <c r="J585" s="20"/>
      <c r="K585" s="20"/>
      <c r="M585" s="2" t="str">
        <f>IF(ISBLANK(C585),"",IF(IFERROR(VLOOKUP(C585,DB_materiali!$A$2:$A$5000,1,FALSE),"Kļūda artikulā")=C585,"✔",tulkojums!A$42))</f>
        <v/>
      </c>
      <c r="N585" s="2" t="str">
        <f>IF(ISBLANK(C585),"",IF(ISNUMBER(F585)=TRUE,"✔",tulkojums!A$43))</f>
        <v/>
      </c>
      <c r="O585" s="2" t="str">
        <f>IF(ISBLANK(C585),"",IF(G585="Y","✔",IF(G585="X","✔",IF(G585="N","✔",tulkojums!A$44))))</f>
        <v/>
      </c>
      <c r="P585" s="2" t="str">
        <f>IF(ISBLANK(H585),"",IF(INDEX(DB_materiali!$E$2:$E$5000,MATCH($C585,DB_materiali!$A$2:$A$5000,0))&gt;=INDEX(DB_malas!$C$2:$C$5000,MATCH(H585,DB_malas!$A$2:$A$5000,0)),IF(INDEX(DB_materiali!$E$2:$E$5000,MATCH($C585,DB_materiali!$A$2:$A$5000,0))&lt;=INDEX(DB_malas!$D$2:$D$5000,MATCH(H585,DB_malas!$A$2:$A$5000,0)),IF(OR(INDEX(DB_materiali!$B$2:$B$5000,MATCH($C585,DB_materiali!$A$2:$A$5000,0))=INDEX(DB_malas!$B$2:$B$5000,MATCH(H585,DB_malas!$A$2:$A$5000,0)),$H585="ORG"),"✔",tulkojums!$A$38),tulkojums!$A$39),tulkojums!$A$39))</f>
        <v/>
      </c>
      <c r="Q585" s="2" t="str">
        <f>IF(ISBLANK(I585),"",IF(INDEX(DB_materiali!$E$2:$E$5000,MATCH($C585,DB_materiali!$A$2:$A$5000,0))&gt;=INDEX(DB_malas!$C$2:$C$5000,MATCH(I585,DB_malas!$A$2:$A$5000,0)),IF(INDEX(DB_materiali!$E$2:$E$5000,MATCH($C585,DB_materiali!$A$2:$A$5000,0))&lt;=INDEX(DB_malas!$D$2:$D$5000,MATCH(I585,DB_malas!$A$2:$A$5000,0)),IF(OR(INDEX(DB_materiali!$B$2:$B$5000,MATCH($C585,DB_materiali!$A$2:$A$5000,0))=INDEX(DB_malas!$B$2:$B$5000,MATCH(I585,DB_malas!$A$2:$A$5000,0)),$H585="ORG"),"✔",tulkojums!$A$38),tulkojums!$A$39),tulkojums!$A$39))</f>
        <v/>
      </c>
      <c r="R585" s="2" t="str">
        <f>IF(ISBLANK(J585),"",IF(INDEX(DB_materiali!$E$2:$E$5000,MATCH($C585,DB_materiali!$A$2:$A$5000,0))&gt;=INDEX(DB_malas!$C$2:$C$5000,MATCH(J585,DB_malas!$A$2:$A$5000,0)),IF(INDEX(DB_materiali!$E$2:$E$5000,MATCH($C585,DB_materiali!$A$2:$A$5000,0))&lt;=INDEX(DB_malas!$D$2:$D$5000,MATCH(J585,DB_malas!$A$2:$A$5000,0)),IF(INDEX(DB_materiali!$B$2:$B$5000,MATCH($C585,DB_materiali!$A$2:$A$5000,0))=INDEX(DB_malas!$B$2:$B$5000,MATCH(J585,DB_malas!$A$2:$A$5000,0)),"✔",tulkojums!$A$38),tulkojums!$A$39),tulkojums!$A$39))</f>
        <v/>
      </c>
      <c r="S585" s="2" t="str">
        <f>IF(ISBLANK(K585),"",IF(INDEX(DB_materiali!$E$2:$E$5000,MATCH($C585,DB_materiali!$A$2:$A$5000,0))&gt;=INDEX(DB_malas!$C$2:$C$5000,MATCH(K585,DB_malas!$A$2:$A$5000,0)),IF(INDEX(DB_materiali!$E$2:$E$5000,MATCH($C585,DB_materiali!$A$2:$A$5000,0))&lt;=INDEX(DB_malas!$D$2:$D$5000,MATCH(K585,DB_malas!$A$2:$A$5000,0)),IF(INDEX(DB_materiali!$B$2:$B$5000,MATCH($C585,DB_materiali!$A$2:$A$5000,0))=INDEX(DB_malas!$B$2:$B$5000,MATCH(K585,DB_malas!$A$2:$A$5000,0)),"✔",tulkojums!$A$38),tulkojums!$A$39),tulkojums!$A$39))</f>
        <v/>
      </c>
      <c r="T585" s="2"/>
      <c r="U585" s="2"/>
      <c r="V585" s="2"/>
      <c r="W585" s="2"/>
      <c r="X585" s="2"/>
      <c r="Y585" s="2"/>
      <c r="Z585" s="2"/>
    </row>
    <row r="586" spans="1:26" ht="15.75" customHeight="1">
      <c r="A586" s="17"/>
      <c r="B586" s="18"/>
      <c r="C586" s="19"/>
      <c r="D586" s="55"/>
      <c r="E586" s="55"/>
      <c r="F586" s="56"/>
      <c r="G586" s="57" t="str">
        <f>IF(ISBLANK(C586),"",
   IFERROR(
      IF(
         INDEX(DB_materiali!C$2:C$5000,
               MATCH(C586, DB_materiali!A$2:A$5000, 0)
         )="FALSE",
         "N",
         "Y"
      ),
   "")
)</f>
        <v/>
      </c>
      <c r="H586" s="20"/>
      <c r="I586" s="20"/>
      <c r="J586" s="20"/>
      <c r="K586" s="20"/>
      <c r="M586" s="2" t="str">
        <f>IF(ISBLANK(C586),"",IF(IFERROR(VLOOKUP(C586,DB_materiali!$A$2:$A$5000,1,FALSE),"Kļūda artikulā")=C586,"✔",tulkojums!A$42))</f>
        <v/>
      </c>
      <c r="N586" s="2" t="str">
        <f>IF(ISBLANK(C586),"",IF(ISNUMBER(F586)=TRUE,"✔",tulkojums!A$43))</f>
        <v/>
      </c>
      <c r="O586" s="2" t="str">
        <f>IF(ISBLANK(C586),"",IF(G586="Y","✔",IF(G586="X","✔",IF(G586="N","✔",tulkojums!A$44))))</f>
        <v/>
      </c>
      <c r="P586" s="2" t="str">
        <f>IF(ISBLANK(H586),"",IF(INDEX(DB_materiali!$E$2:$E$5000,MATCH($C586,DB_materiali!$A$2:$A$5000,0))&gt;=INDEX(DB_malas!$C$2:$C$5000,MATCH(H586,DB_malas!$A$2:$A$5000,0)),IF(INDEX(DB_materiali!$E$2:$E$5000,MATCH($C586,DB_materiali!$A$2:$A$5000,0))&lt;=INDEX(DB_malas!$D$2:$D$5000,MATCH(H586,DB_malas!$A$2:$A$5000,0)),IF(OR(INDEX(DB_materiali!$B$2:$B$5000,MATCH($C586,DB_materiali!$A$2:$A$5000,0))=INDEX(DB_malas!$B$2:$B$5000,MATCH(H586,DB_malas!$A$2:$A$5000,0)),$H586="ORG"),"✔",tulkojums!$A$38),tulkojums!$A$39),tulkojums!$A$39))</f>
        <v/>
      </c>
      <c r="Q586" s="2" t="str">
        <f>IF(ISBLANK(I586),"",IF(INDEX(DB_materiali!$E$2:$E$5000,MATCH($C586,DB_materiali!$A$2:$A$5000,0))&gt;=INDEX(DB_malas!$C$2:$C$5000,MATCH(I586,DB_malas!$A$2:$A$5000,0)),IF(INDEX(DB_materiali!$E$2:$E$5000,MATCH($C586,DB_materiali!$A$2:$A$5000,0))&lt;=INDEX(DB_malas!$D$2:$D$5000,MATCH(I586,DB_malas!$A$2:$A$5000,0)),IF(OR(INDEX(DB_materiali!$B$2:$B$5000,MATCH($C586,DB_materiali!$A$2:$A$5000,0))=INDEX(DB_malas!$B$2:$B$5000,MATCH(I586,DB_malas!$A$2:$A$5000,0)),$H586="ORG"),"✔",tulkojums!$A$38),tulkojums!$A$39),tulkojums!$A$39))</f>
        <v/>
      </c>
      <c r="R586" s="2" t="str">
        <f>IF(ISBLANK(J586),"",IF(INDEX(DB_materiali!$E$2:$E$5000,MATCH($C586,DB_materiali!$A$2:$A$5000,0))&gt;=INDEX(DB_malas!$C$2:$C$5000,MATCH(J586,DB_malas!$A$2:$A$5000,0)),IF(INDEX(DB_materiali!$E$2:$E$5000,MATCH($C586,DB_materiali!$A$2:$A$5000,0))&lt;=INDEX(DB_malas!$D$2:$D$5000,MATCH(J586,DB_malas!$A$2:$A$5000,0)),IF(INDEX(DB_materiali!$B$2:$B$5000,MATCH($C586,DB_materiali!$A$2:$A$5000,0))=INDEX(DB_malas!$B$2:$B$5000,MATCH(J586,DB_malas!$A$2:$A$5000,0)),"✔",tulkojums!$A$38),tulkojums!$A$39),tulkojums!$A$39))</f>
        <v/>
      </c>
      <c r="S586" s="2" t="str">
        <f>IF(ISBLANK(K586),"",IF(INDEX(DB_materiali!$E$2:$E$5000,MATCH($C586,DB_materiali!$A$2:$A$5000,0))&gt;=INDEX(DB_malas!$C$2:$C$5000,MATCH(K586,DB_malas!$A$2:$A$5000,0)),IF(INDEX(DB_materiali!$E$2:$E$5000,MATCH($C586,DB_materiali!$A$2:$A$5000,0))&lt;=INDEX(DB_malas!$D$2:$D$5000,MATCH(K586,DB_malas!$A$2:$A$5000,0)),IF(INDEX(DB_materiali!$B$2:$B$5000,MATCH($C586,DB_materiali!$A$2:$A$5000,0))=INDEX(DB_malas!$B$2:$B$5000,MATCH(K586,DB_malas!$A$2:$A$5000,0)),"✔",tulkojums!$A$38),tulkojums!$A$39),tulkojums!$A$39))</f>
        <v/>
      </c>
      <c r="T586" s="2"/>
      <c r="U586" s="2"/>
      <c r="V586" s="2"/>
      <c r="W586" s="2"/>
      <c r="X586" s="2"/>
      <c r="Y586" s="2"/>
      <c r="Z586" s="2"/>
    </row>
    <row r="587" spans="1:26" ht="15.75" customHeight="1">
      <c r="A587" s="17"/>
      <c r="B587" s="18"/>
      <c r="C587" s="19"/>
      <c r="D587" s="55"/>
      <c r="E587" s="55"/>
      <c r="F587" s="56"/>
      <c r="G587" s="57" t="str">
        <f>IF(ISBLANK(C587),"",
   IFERROR(
      IF(
         INDEX(DB_materiali!C$2:C$5000,
               MATCH(C587, DB_materiali!A$2:A$5000, 0)
         )="FALSE",
         "N",
         "Y"
      ),
   "")
)</f>
        <v/>
      </c>
      <c r="H587" s="20"/>
      <c r="I587" s="20"/>
      <c r="J587" s="20"/>
      <c r="K587" s="20"/>
      <c r="M587" s="2" t="str">
        <f>IF(ISBLANK(C587),"",IF(IFERROR(VLOOKUP(C587,DB_materiali!$A$2:$A$5000,1,FALSE),"Kļūda artikulā")=C587,"✔",tulkojums!A$42))</f>
        <v/>
      </c>
      <c r="N587" s="2" t="str">
        <f>IF(ISBLANK(C587),"",IF(ISNUMBER(F587)=TRUE,"✔",tulkojums!A$43))</f>
        <v/>
      </c>
      <c r="O587" s="2" t="str">
        <f>IF(ISBLANK(C587),"",IF(G587="Y","✔",IF(G587="X","✔",IF(G587="N","✔",tulkojums!A$44))))</f>
        <v/>
      </c>
      <c r="P587" s="2" t="str">
        <f>IF(ISBLANK(H587),"",IF(INDEX(DB_materiali!$E$2:$E$5000,MATCH($C587,DB_materiali!$A$2:$A$5000,0))&gt;=INDEX(DB_malas!$C$2:$C$5000,MATCH(H587,DB_malas!$A$2:$A$5000,0)),IF(INDEX(DB_materiali!$E$2:$E$5000,MATCH($C587,DB_materiali!$A$2:$A$5000,0))&lt;=INDEX(DB_malas!$D$2:$D$5000,MATCH(H587,DB_malas!$A$2:$A$5000,0)),IF(OR(INDEX(DB_materiali!$B$2:$B$5000,MATCH($C587,DB_materiali!$A$2:$A$5000,0))=INDEX(DB_malas!$B$2:$B$5000,MATCH(H587,DB_malas!$A$2:$A$5000,0)),$H587="ORG"),"✔",tulkojums!$A$38),tulkojums!$A$39),tulkojums!$A$39))</f>
        <v/>
      </c>
      <c r="Q587" s="2" t="str">
        <f>IF(ISBLANK(I587),"",IF(INDEX(DB_materiali!$E$2:$E$5000,MATCH($C587,DB_materiali!$A$2:$A$5000,0))&gt;=INDEX(DB_malas!$C$2:$C$5000,MATCH(I587,DB_malas!$A$2:$A$5000,0)),IF(INDEX(DB_materiali!$E$2:$E$5000,MATCH($C587,DB_materiali!$A$2:$A$5000,0))&lt;=INDEX(DB_malas!$D$2:$D$5000,MATCH(I587,DB_malas!$A$2:$A$5000,0)),IF(OR(INDEX(DB_materiali!$B$2:$B$5000,MATCH($C587,DB_materiali!$A$2:$A$5000,0))=INDEX(DB_malas!$B$2:$B$5000,MATCH(I587,DB_malas!$A$2:$A$5000,0)),$H587="ORG"),"✔",tulkojums!$A$38),tulkojums!$A$39),tulkojums!$A$39))</f>
        <v/>
      </c>
      <c r="R587" s="2" t="str">
        <f>IF(ISBLANK(J587),"",IF(INDEX(DB_materiali!$E$2:$E$5000,MATCH($C587,DB_materiali!$A$2:$A$5000,0))&gt;=INDEX(DB_malas!$C$2:$C$5000,MATCH(J587,DB_malas!$A$2:$A$5000,0)),IF(INDEX(DB_materiali!$E$2:$E$5000,MATCH($C587,DB_materiali!$A$2:$A$5000,0))&lt;=INDEX(DB_malas!$D$2:$D$5000,MATCH(J587,DB_malas!$A$2:$A$5000,0)),IF(INDEX(DB_materiali!$B$2:$B$5000,MATCH($C587,DB_materiali!$A$2:$A$5000,0))=INDEX(DB_malas!$B$2:$B$5000,MATCH(J587,DB_malas!$A$2:$A$5000,0)),"✔",tulkojums!$A$38),tulkojums!$A$39),tulkojums!$A$39))</f>
        <v/>
      </c>
      <c r="S587" s="2" t="str">
        <f>IF(ISBLANK(K587),"",IF(INDEX(DB_materiali!$E$2:$E$5000,MATCH($C587,DB_materiali!$A$2:$A$5000,0))&gt;=INDEX(DB_malas!$C$2:$C$5000,MATCH(K587,DB_malas!$A$2:$A$5000,0)),IF(INDEX(DB_materiali!$E$2:$E$5000,MATCH($C587,DB_materiali!$A$2:$A$5000,0))&lt;=INDEX(DB_malas!$D$2:$D$5000,MATCH(K587,DB_malas!$A$2:$A$5000,0)),IF(INDEX(DB_materiali!$B$2:$B$5000,MATCH($C587,DB_materiali!$A$2:$A$5000,0))=INDEX(DB_malas!$B$2:$B$5000,MATCH(K587,DB_malas!$A$2:$A$5000,0)),"✔",tulkojums!$A$38),tulkojums!$A$39),tulkojums!$A$39))</f>
        <v/>
      </c>
      <c r="T587" s="2"/>
      <c r="U587" s="2"/>
      <c r="V587" s="2"/>
      <c r="W587" s="2"/>
      <c r="X587" s="2"/>
      <c r="Y587" s="2"/>
      <c r="Z587" s="2"/>
    </row>
    <row r="588" spans="1:26" ht="15.75" customHeight="1">
      <c r="A588" s="17"/>
      <c r="B588" s="18"/>
      <c r="C588" s="19"/>
      <c r="D588" s="55"/>
      <c r="E588" s="55"/>
      <c r="F588" s="56"/>
      <c r="G588" s="57" t="str">
        <f>IF(ISBLANK(C588),"",
   IFERROR(
      IF(
         INDEX(DB_materiali!C$2:C$5000,
               MATCH(C588, DB_materiali!A$2:A$5000, 0)
         )="FALSE",
         "N",
         "Y"
      ),
   "")
)</f>
        <v/>
      </c>
      <c r="H588" s="20"/>
      <c r="I588" s="20"/>
      <c r="J588" s="20"/>
      <c r="K588" s="20"/>
      <c r="M588" s="2" t="str">
        <f>IF(ISBLANK(C588),"",IF(IFERROR(VLOOKUP(C588,DB_materiali!$A$2:$A$5000,1,FALSE),"Kļūda artikulā")=C588,"✔",tulkojums!A$42))</f>
        <v/>
      </c>
      <c r="N588" s="2" t="str">
        <f>IF(ISBLANK(C588),"",IF(ISNUMBER(F588)=TRUE,"✔",tulkojums!A$43))</f>
        <v/>
      </c>
      <c r="O588" s="2" t="str">
        <f>IF(ISBLANK(C588),"",IF(G588="Y","✔",IF(G588="X","✔",IF(G588="N","✔",tulkojums!A$44))))</f>
        <v/>
      </c>
      <c r="P588" s="2" t="str">
        <f>IF(ISBLANK(H588),"",IF(INDEX(DB_materiali!$E$2:$E$5000,MATCH($C588,DB_materiali!$A$2:$A$5000,0))&gt;=INDEX(DB_malas!$C$2:$C$5000,MATCH(H588,DB_malas!$A$2:$A$5000,0)),IF(INDEX(DB_materiali!$E$2:$E$5000,MATCH($C588,DB_materiali!$A$2:$A$5000,0))&lt;=INDEX(DB_malas!$D$2:$D$5000,MATCH(H588,DB_malas!$A$2:$A$5000,0)),IF(OR(INDEX(DB_materiali!$B$2:$B$5000,MATCH($C588,DB_materiali!$A$2:$A$5000,0))=INDEX(DB_malas!$B$2:$B$5000,MATCH(H588,DB_malas!$A$2:$A$5000,0)),$H588="ORG"),"✔",tulkojums!$A$38),tulkojums!$A$39),tulkojums!$A$39))</f>
        <v/>
      </c>
      <c r="Q588" s="2" t="str">
        <f>IF(ISBLANK(I588),"",IF(INDEX(DB_materiali!$E$2:$E$5000,MATCH($C588,DB_materiali!$A$2:$A$5000,0))&gt;=INDEX(DB_malas!$C$2:$C$5000,MATCH(I588,DB_malas!$A$2:$A$5000,0)),IF(INDEX(DB_materiali!$E$2:$E$5000,MATCH($C588,DB_materiali!$A$2:$A$5000,0))&lt;=INDEX(DB_malas!$D$2:$D$5000,MATCH(I588,DB_malas!$A$2:$A$5000,0)),IF(OR(INDEX(DB_materiali!$B$2:$B$5000,MATCH($C588,DB_materiali!$A$2:$A$5000,0))=INDEX(DB_malas!$B$2:$B$5000,MATCH(I588,DB_malas!$A$2:$A$5000,0)),$H588="ORG"),"✔",tulkojums!$A$38),tulkojums!$A$39),tulkojums!$A$39))</f>
        <v/>
      </c>
      <c r="R588" s="2" t="str">
        <f>IF(ISBLANK(J588),"",IF(INDEX(DB_materiali!$E$2:$E$5000,MATCH($C588,DB_materiali!$A$2:$A$5000,0))&gt;=INDEX(DB_malas!$C$2:$C$5000,MATCH(J588,DB_malas!$A$2:$A$5000,0)),IF(INDEX(DB_materiali!$E$2:$E$5000,MATCH($C588,DB_materiali!$A$2:$A$5000,0))&lt;=INDEX(DB_malas!$D$2:$D$5000,MATCH(J588,DB_malas!$A$2:$A$5000,0)),IF(INDEX(DB_materiali!$B$2:$B$5000,MATCH($C588,DB_materiali!$A$2:$A$5000,0))=INDEX(DB_malas!$B$2:$B$5000,MATCH(J588,DB_malas!$A$2:$A$5000,0)),"✔",tulkojums!$A$38),tulkojums!$A$39),tulkojums!$A$39))</f>
        <v/>
      </c>
      <c r="S588" s="2" t="str">
        <f>IF(ISBLANK(K588),"",IF(INDEX(DB_materiali!$E$2:$E$5000,MATCH($C588,DB_materiali!$A$2:$A$5000,0))&gt;=INDEX(DB_malas!$C$2:$C$5000,MATCH(K588,DB_malas!$A$2:$A$5000,0)),IF(INDEX(DB_materiali!$E$2:$E$5000,MATCH($C588,DB_materiali!$A$2:$A$5000,0))&lt;=INDEX(DB_malas!$D$2:$D$5000,MATCH(K588,DB_malas!$A$2:$A$5000,0)),IF(INDEX(DB_materiali!$B$2:$B$5000,MATCH($C588,DB_materiali!$A$2:$A$5000,0))=INDEX(DB_malas!$B$2:$B$5000,MATCH(K588,DB_malas!$A$2:$A$5000,0)),"✔",tulkojums!$A$38),tulkojums!$A$39),tulkojums!$A$39))</f>
        <v/>
      </c>
      <c r="T588" s="2"/>
      <c r="U588" s="2"/>
      <c r="V588" s="2"/>
      <c r="W588" s="2"/>
      <c r="X588" s="2"/>
      <c r="Y588" s="2"/>
      <c r="Z588" s="2"/>
    </row>
    <row r="589" spans="1:26" ht="15.75" customHeight="1">
      <c r="A589" s="17"/>
      <c r="B589" s="18"/>
      <c r="C589" s="19"/>
      <c r="D589" s="55"/>
      <c r="E589" s="55"/>
      <c r="F589" s="56"/>
      <c r="G589" s="57" t="str">
        <f>IF(ISBLANK(C589),"",
   IFERROR(
      IF(
         INDEX(DB_materiali!C$2:C$5000,
               MATCH(C589, DB_materiali!A$2:A$5000, 0)
         )="FALSE",
         "N",
         "Y"
      ),
   "")
)</f>
        <v/>
      </c>
      <c r="H589" s="20"/>
      <c r="I589" s="20"/>
      <c r="J589" s="20"/>
      <c r="K589" s="20"/>
      <c r="M589" s="2" t="str">
        <f>IF(ISBLANK(C589),"",IF(IFERROR(VLOOKUP(C589,DB_materiali!$A$2:$A$5000,1,FALSE),"Kļūda artikulā")=C589,"✔",tulkojums!A$42))</f>
        <v/>
      </c>
      <c r="N589" s="2" t="str">
        <f>IF(ISBLANK(C589),"",IF(ISNUMBER(F589)=TRUE,"✔",tulkojums!A$43))</f>
        <v/>
      </c>
      <c r="O589" s="2" t="str">
        <f>IF(ISBLANK(C589),"",IF(G589="Y","✔",IF(G589="X","✔",IF(G589="N","✔",tulkojums!A$44))))</f>
        <v/>
      </c>
      <c r="P589" s="2" t="str">
        <f>IF(ISBLANK(H589),"",IF(INDEX(DB_materiali!$E$2:$E$5000,MATCH($C589,DB_materiali!$A$2:$A$5000,0))&gt;=INDEX(DB_malas!$C$2:$C$5000,MATCH(H589,DB_malas!$A$2:$A$5000,0)),IF(INDEX(DB_materiali!$E$2:$E$5000,MATCH($C589,DB_materiali!$A$2:$A$5000,0))&lt;=INDEX(DB_malas!$D$2:$D$5000,MATCH(H589,DB_malas!$A$2:$A$5000,0)),IF(OR(INDEX(DB_materiali!$B$2:$B$5000,MATCH($C589,DB_materiali!$A$2:$A$5000,0))=INDEX(DB_malas!$B$2:$B$5000,MATCH(H589,DB_malas!$A$2:$A$5000,0)),$H589="ORG"),"✔",tulkojums!$A$38),tulkojums!$A$39),tulkojums!$A$39))</f>
        <v/>
      </c>
      <c r="Q589" s="2" t="str">
        <f>IF(ISBLANK(I589),"",IF(INDEX(DB_materiali!$E$2:$E$5000,MATCH($C589,DB_materiali!$A$2:$A$5000,0))&gt;=INDEX(DB_malas!$C$2:$C$5000,MATCH(I589,DB_malas!$A$2:$A$5000,0)),IF(INDEX(DB_materiali!$E$2:$E$5000,MATCH($C589,DB_materiali!$A$2:$A$5000,0))&lt;=INDEX(DB_malas!$D$2:$D$5000,MATCH(I589,DB_malas!$A$2:$A$5000,0)),IF(OR(INDEX(DB_materiali!$B$2:$B$5000,MATCH($C589,DB_materiali!$A$2:$A$5000,0))=INDEX(DB_malas!$B$2:$B$5000,MATCH(I589,DB_malas!$A$2:$A$5000,0)),$H589="ORG"),"✔",tulkojums!$A$38),tulkojums!$A$39),tulkojums!$A$39))</f>
        <v/>
      </c>
      <c r="R589" s="2" t="str">
        <f>IF(ISBLANK(J589),"",IF(INDEX(DB_materiali!$E$2:$E$5000,MATCH($C589,DB_materiali!$A$2:$A$5000,0))&gt;=INDEX(DB_malas!$C$2:$C$5000,MATCH(J589,DB_malas!$A$2:$A$5000,0)),IF(INDEX(DB_materiali!$E$2:$E$5000,MATCH($C589,DB_materiali!$A$2:$A$5000,0))&lt;=INDEX(DB_malas!$D$2:$D$5000,MATCH(J589,DB_malas!$A$2:$A$5000,0)),IF(INDEX(DB_materiali!$B$2:$B$5000,MATCH($C589,DB_materiali!$A$2:$A$5000,0))=INDEX(DB_malas!$B$2:$B$5000,MATCH(J589,DB_malas!$A$2:$A$5000,0)),"✔",tulkojums!$A$38),tulkojums!$A$39),tulkojums!$A$39))</f>
        <v/>
      </c>
      <c r="S589" s="2" t="str">
        <f>IF(ISBLANK(K589),"",IF(INDEX(DB_materiali!$E$2:$E$5000,MATCH($C589,DB_materiali!$A$2:$A$5000,0))&gt;=INDEX(DB_malas!$C$2:$C$5000,MATCH(K589,DB_malas!$A$2:$A$5000,0)),IF(INDEX(DB_materiali!$E$2:$E$5000,MATCH($C589,DB_materiali!$A$2:$A$5000,0))&lt;=INDEX(DB_malas!$D$2:$D$5000,MATCH(K589,DB_malas!$A$2:$A$5000,0)),IF(INDEX(DB_materiali!$B$2:$B$5000,MATCH($C589,DB_materiali!$A$2:$A$5000,0))=INDEX(DB_malas!$B$2:$B$5000,MATCH(K589,DB_malas!$A$2:$A$5000,0)),"✔",tulkojums!$A$38),tulkojums!$A$39),tulkojums!$A$39))</f>
        <v/>
      </c>
      <c r="T589" s="2"/>
      <c r="U589" s="2"/>
      <c r="V589" s="2"/>
      <c r="W589" s="2"/>
      <c r="X589" s="2"/>
      <c r="Y589" s="2"/>
      <c r="Z589" s="2"/>
    </row>
    <row r="590" spans="1:26" ht="15.75" customHeight="1">
      <c r="A590" s="17"/>
      <c r="B590" s="18"/>
      <c r="C590" s="19"/>
      <c r="D590" s="55"/>
      <c r="E590" s="55"/>
      <c r="F590" s="56"/>
      <c r="G590" s="57" t="str">
        <f>IF(ISBLANK(C590),"",
   IFERROR(
      IF(
         INDEX(DB_materiali!C$2:C$5000,
               MATCH(C590, DB_materiali!A$2:A$5000, 0)
         )="FALSE",
         "N",
         "Y"
      ),
   "")
)</f>
        <v/>
      </c>
      <c r="H590" s="20"/>
      <c r="I590" s="20"/>
      <c r="J590" s="20"/>
      <c r="K590" s="20"/>
      <c r="M590" s="2" t="str">
        <f>IF(ISBLANK(C590),"",IF(IFERROR(VLOOKUP(C590,DB_materiali!$A$2:$A$5000,1,FALSE),"Kļūda artikulā")=C590,"✔",tulkojums!A$42))</f>
        <v/>
      </c>
      <c r="N590" s="2" t="str">
        <f>IF(ISBLANK(C590),"",IF(ISNUMBER(F590)=TRUE,"✔",tulkojums!A$43))</f>
        <v/>
      </c>
      <c r="O590" s="2" t="str">
        <f>IF(ISBLANK(C590),"",IF(G590="Y","✔",IF(G590="X","✔",IF(G590="N","✔",tulkojums!A$44))))</f>
        <v/>
      </c>
      <c r="P590" s="2" t="str">
        <f>IF(ISBLANK(H590),"",IF(INDEX(DB_materiali!$E$2:$E$5000,MATCH($C590,DB_materiali!$A$2:$A$5000,0))&gt;=INDEX(DB_malas!$C$2:$C$5000,MATCH(H590,DB_malas!$A$2:$A$5000,0)),IF(INDEX(DB_materiali!$E$2:$E$5000,MATCH($C590,DB_materiali!$A$2:$A$5000,0))&lt;=INDEX(DB_malas!$D$2:$D$5000,MATCH(H590,DB_malas!$A$2:$A$5000,0)),IF(OR(INDEX(DB_materiali!$B$2:$B$5000,MATCH($C590,DB_materiali!$A$2:$A$5000,0))=INDEX(DB_malas!$B$2:$B$5000,MATCH(H590,DB_malas!$A$2:$A$5000,0)),$H590="ORG"),"✔",tulkojums!$A$38),tulkojums!$A$39),tulkojums!$A$39))</f>
        <v/>
      </c>
      <c r="Q590" s="2" t="str">
        <f>IF(ISBLANK(I590),"",IF(INDEX(DB_materiali!$E$2:$E$5000,MATCH($C590,DB_materiali!$A$2:$A$5000,0))&gt;=INDEX(DB_malas!$C$2:$C$5000,MATCH(I590,DB_malas!$A$2:$A$5000,0)),IF(INDEX(DB_materiali!$E$2:$E$5000,MATCH($C590,DB_materiali!$A$2:$A$5000,0))&lt;=INDEX(DB_malas!$D$2:$D$5000,MATCH(I590,DB_malas!$A$2:$A$5000,0)),IF(OR(INDEX(DB_materiali!$B$2:$B$5000,MATCH($C590,DB_materiali!$A$2:$A$5000,0))=INDEX(DB_malas!$B$2:$B$5000,MATCH(I590,DB_malas!$A$2:$A$5000,0)),$H590="ORG"),"✔",tulkojums!$A$38),tulkojums!$A$39),tulkojums!$A$39))</f>
        <v/>
      </c>
      <c r="R590" s="2" t="str">
        <f>IF(ISBLANK(J590),"",IF(INDEX(DB_materiali!$E$2:$E$5000,MATCH($C590,DB_materiali!$A$2:$A$5000,0))&gt;=INDEX(DB_malas!$C$2:$C$5000,MATCH(J590,DB_malas!$A$2:$A$5000,0)),IF(INDEX(DB_materiali!$E$2:$E$5000,MATCH($C590,DB_materiali!$A$2:$A$5000,0))&lt;=INDEX(DB_malas!$D$2:$D$5000,MATCH(J590,DB_malas!$A$2:$A$5000,0)),IF(INDEX(DB_materiali!$B$2:$B$5000,MATCH($C590,DB_materiali!$A$2:$A$5000,0))=INDEX(DB_malas!$B$2:$B$5000,MATCH(J590,DB_malas!$A$2:$A$5000,0)),"✔",tulkojums!$A$38),tulkojums!$A$39),tulkojums!$A$39))</f>
        <v/>
      </c>
      <c r="S590" s="2" t="str">
        <f>IF(ISBLANK(K590),"",IF(INDEX(DB_materiali!$E$2:$E$5000,MATCH($C590,DB_materiali!$A$2:$A$5000,0))&gt;=INDEX(DB_malas!$C$2:$C$5000,MATCH(K590,DB_malas!$A$2:$A$5000,0)),IF(INDEX(DB_materiali!$E$2:$E$5000,MATCH($C590,DB_materiali!$A$2:$A$5000,0))&lt;=INDEX(DB_malas!$D$2:$D$5000,MATCH(K590,DB_malas!$A$2:$A$5000,0)),IF(INDEX(DB_materiali!$B$2:$B$5000,MATCH($C590,DB_materiali!$A$2:$A$5000,0))=INDEX(DB_malas!$B$2:$B$5000,MATCH(K590,DB_malas!$A$2:$A$5000,0)),"✔",tulkojums!$A$38),tulkojums!$A$39),tulkojums!$A$39))</f>
        <v/>
      </c>
      <c r="T590" s="2"/>
      <c r="U590" s="2"/>
      <c r="V590" s="2"/>
      <c r="W590" s="2"/>
      <c r="X590" s="2"/>
      <c r="Y590" s="2"/>
      <c r="Z590" s="2"/>
    </row>
    <row r="591" spans="1:26" ht="15.75" customHeight="1">
      <c r="A591" s="17"/>
      <c r="B591" s="18"/>
      <c r="C591" s="19"/>
      <c r="D591" s="55"/>
      <c r="E591" s="55"/>
      <c r="F591" s="56"/>
      <c r="G591" s="57" t="str">
        <f>IF(ISBLANK(C591),"",
   IFERROR(
      IF(
         INDEX(DB_materiali!C$2:C$5000,
               MATCH(C591, DB_materiali!A$2:A$5000, 0)
         )="FALSE",
         "N",
         "Y"
      ),
   "")
)</f>
        <v/>
      </c>
      <c r="H591" s="20"/>
      <c r="I591" s="20"/>
      <c r="J591" s="20"/>
      <c r="K591" s="20"/>
      <c r="M591" s="2" t="str">
        <f>IF(ISBLANK(C591),"",IF(IFERROR(VLOOKUP(C591,DB_materiali!$A$2:$A$5000,1,FALSE),"Kļūda artikulā")=C591,"✔",tulkojums!A$42))</f>
        <v/>
      </c>
      <c r="N591" s="2" t="str">
        <f>IF(ISBLANK(C591),"",IF(ISNUMBER(F591)=TRUE,"✔",tulkojums!A$43))</f>
        <v/>
      </c>
      <c r="O591" s="2" t="str">
        <f>IF(ISBLANK(C591),"",IF(G591="Y","✔",IF(G591="X","✔",IF(G591="N","✔",tulkojums!A$44))))</f>
        <v/>
      </c>
      <c r="P591" s="2" t="str">
        <f>IF(ISBLANK(H591),"",IF(INDEX(DB_materiali!$E$2:$E$5000,MATCH($C591,DB_materiali!$A$2:$A$5000,0))&gt;=INDEX(DB_malas!$C$2:$C$5000,MATCH(H591,DB_malas!$A$2:$A$5000,0)),IF(INDEX(DB_materiali!$E$2:$E$5000,MATCH($C591,DB_materiali!$A$2:$A$5000,0))&lt;=INDEX(DB_malas!$D$2:$D$5000,MATCH(H591,DB_malas!$A$2:$A$5000,0)),IF(OR(INDEX(DB_materiali!$B$2:$B$5000,MATCH($C591,DB_materiali!$A$2:$A$5000,0))=INDEX(DB_malas!$B$2:$B$5000,MATCH(H591,DB_malas!$A$2:$A$5000,0)),$H591="ORG"),"✔",tulkojums!$A$38),tulkojums!$A$39),tulkojums!$A$39))</f>
        <v/>
      </c>
      <c r="Q591" s="2" t="str">
        <f>IF(ISBLANK(I591),"",IF(INDEX(DB_materiali!$E$2:$E$5000,MATCH($C591,DB_materiali!$A$2:$A$5000,0))&gt;=INDEX(DB_malas!$C$2:$C$5000,MATCH(I591,DB_malas!$A$2:$A$5000,0)),IF(INDEX(DB_materiali!$E$2:$E$5000,MATCH($C591,DB_materiali!$A$2:$A$5000,0))&lt;=INDEX(DB_malas!$D$2:$D$5000,MATCH(I591,DB_malas!$A$2:$A$5000,0)),IF(OR(INDEX(DB_materiali!$B$2:$B$5000,MATCH($C591,DB_materiali!$A$2:$A$5000,0))=INDEX(DB_malas!$B$2:$B$5000,MATCH(I591,DB_malas!$A$2:$A$5000,0)),$H591="ORG"),"✔",tulkojums!$A$38),tulkojums!$A$39),tulkojums!$A$39))</f>
        <v/>
      </c>
      <c r="R591" s="2" t="str">
        <f>IF(ISBLANK(J591),"",IF(INDEX(DB_materiali!$E$2:$E$5000,MATCH($C591,DB_materiali!$A$2:$A$5000,0))&gt;=INDEX(DB_malas!$C$2:$C$5000,MATCH(J591,DB_malas!$A$2:$A$5000,0)),IF(INDEX(DB_materiali!$E$2:$E$5000,MATCH($C591,DB_materiali!$A$2:$A$5000,0))&lt;=INDEX(DB_malas!$D$2:$D$5000,MATCH(J591,DB_malas!$A$2:$A$5000,0)),IF(INDEX(DB_materiali!$B$2:$B$5000,MATCH($C591,DB_materiali!$A$2:$A$5000,0))=INDEX(DB_malas!$B$2:$B$5000,MATCH(J591,DB_malas!$A$2:$A$5000,0)),"✔",tulkojums!$A$38),tulkojums!$A$39),tulkojums!$A$39))</f>
        <v/>
      </c>
      <c r="S591" s="2" t="str">
        <f>IF(ISBLANK(K591),"",IF(INDEX(DB_materiali!$E$2:$E$5000,MATCH($C591,DB_materiali!$A$2:$A$5000,0))&gt;=INDEX(DB_malas!$C$2:$C$5000,MATCH(K591,DB_malas!$A$2:$A$5000,0)),IF(INDEX(DB_materiali!$E$2:$E$5000,MATCH($C591,DB_materiali!$A$2:$A$5000,0))&lt;=INDEX(DB_malas!$D$2:$D$5000,MATCH(K591,DB_malas!$A$2:$A$5000,0)),IF(INDEX(DB_materiali!$B$2:$B$5000,MATCH($C591,DB_materiali!$A$2:$A$5000,0))=INDEX(DB_malas!$B$2:$B$5000,MATCH(K591,DB_malas!$A$2:$A$5000,0)),"✔",tulkojums!$A$38),tulkojums!$A$39),tulkojums!$A$39))</f>
        <v/>
      </c>
      <c r="T591" s="2"/>
      <c r="U591" s="2"/>
      <c r="V591" s="2"/>
      <c r="W591" s="2"/>
      <c r="X591" s="2"/>
      <c r="Y591" s="2"/>
      <c r="Z591" s="2"/>
    </row>
    <row r="592" spans="1:26" ht="15.75" customHeight="1">
      <c r="A592" s="17"/>
      <c r="B592" s="18"/>
      <c r="C592" s="19"/>
      <c r="D592" s="55"/>
      <c r="E592" s="55"/>
      <c r="F592" s="56"/>
      <c r="G592" s="57" t="str">
        <f>IF(ISBLANK(C592),"",
   IFERROR(
      IF(
         INDEX(DB_materiali!C$2:C$5000,
               MATCH(C592, DB_materiali!A$2:A$5000, 0)
         )="FALSE",
         "N",
         "Y"
      ),
   "")
)</f>
        <v/>
      </c>
      <c r="H592" s="20"/>
      <c r="I592" s="20"/>
      <c r="J592" s="20"/>
      <c r="K592" s="20"/>
      <c r="M592" s="2" t="str">
        <f>IF(ISBLANK(C592),"",IF(IFERROR(VLOOKUP(C592,DB_materiali!$A$2:$A$5000,1,FALSE),"Kļūda artikulā")=C592,"✔",tulkojums!A$42))</f>
        <v/>
      </c>
      <c r="N592" s="2" t="str">
        <f>IF(ISBLANK(C592),"",IF(ISNUMBER(F592)=TRUE,"✔",tulkojums!A$43))</f>
        <v/>
      </c>
      <c r="O592" s="2" t="str">
        <f>IF(ISBLANK(C592),"",IF(G592="Y","✔",IF(G592="X","✔",IF(G592="N","✔",tulkojums!A$44))))</f>
        <v/>
      </c>
      <c r="P592" s="2" t="str">
        <f>IF(ISBLANK(H592),"",IF(INDEX(DB_materiali!$E$2:$E$5000,MATCH($C592,DB_materiali!$A$2:$A$5000,0))&gt;=INDEX(DB_malas!$C$2:$C$5000,MATCH(H592,DB_malas!$A$2:$A$5000,0)),IF(INDEX(DB_materiali!$E$2:$E$5000,MATCH($C592,DB_materiali!$A$2:$A$5000,0))&lt;=INDEX(DB_malas!$D$2:$D$5000,MATCH(H592,DB_malas!$A$2:$A$5000,0)),IF(OR(INDEX(DB_materiali!$B$2:$B$5000,MATCH($C592,DB_materiali!$A$2:$A$5000,0))=INDEX(DB_malas!$B$2:$B$5000,MATCH(H592,DB_malas!$A$2:$A$5000,0)),$H592="ORG"),"✔",tulkojums!$A$38),tulkojums!$A$39),tulkojums!$A$39))</f>
        <v/>
      </c>
      <c r="Q592" s="2" t="str">
        <f>IF(ISBLANK(I592),"",IF(INDEX(DB_materiali!$E$2:$E$5000,MATCH($C592,DB_materiali!$A$2:$A$5000,0))&gt;=INDEX(DB_malas!$C$2:$C$5000,MATCH(I592,DB_malas!$A$2:$A$5000,0)),IF(INDEX(DB_materiali!$E$2:$E$5000,MATCH($C592,DB_materiali!$A$2:$A$5000,0))&lt;=INDEX(DB_malas!$D$2:$D$5000,MATCH(I592,DB_malas!$A$2:$A$5000,0)),IF(OR(INDEX(DB_materiali!$B$2:$B$5000,MATCH($C592,DB_materiali!$A$2:$A$5000,0))=INDEX(DB_malas!$B$2:$B$5000,MATCH(I592,DB_malas!$A$2:$A$5000,0)),$H592="ORG"),"✔",tulkojums!$A$38),tulkojums!$A$39),tulkojums!$A$39))</f>
        <v/>
      </c>
      <c r="R592" s="2" t="str">
        <f>IF(ISBLANK(J592),"",IF(INDEX(DB_materiali!$E$2:$E$5000,MATCH($C592,DB_materiali!$A$2:$A$5000,0))&gt;=INDEX(DB_malas!$C$2:$C$5000,MATCH(J592,DB_malas!$A$2:$A$5000,0)),IF(INDEX(DB_materiali!$E$2:$E$5000,MATCH($C592,DB_materiali!$A$2:$A$5000,0))&lt;=INDEX(DB_malas!$D$2:$D$5000,MATCH(J592,DB_malas!$A$2:$A$5000,0)),IF(INDEX(DB_materiali!$B$2:$B$5000,MATCH($C592,DB_materiali!$A$2:$A$5000,0))=INDEX(DB_malas!$B$2:$B$5000,MATCH(J592,DB_malas!$A$2:$A$5000,0)),"✔",tulkojums!$A$38),tulkojums!$A$39),tulkojums!$A$39))</f>
        <v/>
      </c>
      <c r="S592" s="2" t="str">
        <f>IF(ISBLANK(K592),"",IF(INDEX(DB_materiali!$E$2:$E$5000,MATCH($C592,DB_materiali!$A$2:$A$5000,0))&gt;=INDEX(DB_malas!$C$2:$C$5000,MATCH(K592,DB_malas!$A$2:$A$5000,0)),IF(INDEX(DB_materiali!$E$2:$E$5000,MATCH($C592,DB_materiali!$A$2:$A$5000,0))&lt;=INDEX(DB_malas!$D$2:$D$5000,MATCH(K592,DB_malas!$A$2:$A$5000,0)),IF(INDEX(DB_materiali!$B$2:$B$5000,MATCH($C592,DB_materiali!$A$2:$A$5000,0))=INDEX(DB_malas!$B$2:$B$5000,MATCH(K592,DB_malas!$A$2:$A$5000,0)),"✔",tulkojums!$A$38),tulkojums!$A$39),tulkojums!$A$39))</f>
        <v/>
      </c>
      <c r="T592" s="2"/>
      <c r="U592" s="2"/>
      <c r="V592" s="2"/>
      <c r="W592" s="2"/>
      <c r="X592" s="2"/>
      <c r="Y592" s="2"/>
      <c r="Z592" s="2"/>
    </row>
    <row r="593" spans="1:26" ht="15.75" customHeight="1">
      <c r="A593" s="17"/>
      <c r="B593" s="18"/>
      <c r="C593" s="19"/>
      <c r="D593" s="55"/>
      <c r="E593" s="55"/>
      <c r="F593" s="56"/>
      <c r="G593" s="57" t="str">
        <f>IF(ISBLANK(C593),"",
   IFERROR(
      IF(
         INDEX(DB_materiali!C$2:C$5000,
               MATCH(C593, DB_materiali!A$2:A$5000, 0)
         )="FALSE",
         "N",
         "Y"
      ),
   "")
)</f>
        <v/>
      </c>
      <c r="H593" s="20"/>
      <c r="I593" s="20"/>
      <c r="J593" s="20"/>
      <c r="K593" s="20"/>
      <c r="M593" s="2" t="str">
        <f>IF(ISBLANK(C593),"",IF(IFERROR(VLOOKUP(C593,DB_materiali!$A$2:$A$5000,1,FALSE),"Kļūda artikulā")=C593,"✔",tulkojums!A$42))</f>
        <v/>
      </c>
      <c r="N593" s="2" t="str">
        <f>IF(ISBLANK(C593),"",IF(ISNUMBER(F593)=TRUE,"✔",tulkojums!A$43))</f>
        <v/>
      </c>
      <c r="O593" s="2" t="str">
        <f>IF(ISBLANK(C593),"",IF(G593="Y","✔",IF(G593="X","✔",IF(G593="N","✔",tulkojums!A$44))))</f>
        <v/>
      </c>
      <c r="P593" s="2" t="str">
        <f>IF(ISBLANK(H593),"",IF(INDEX(DB_materiali!$E$2:$E$5000,MATCH($C593,DB_materiali!$A$2:$A$5000,0))&gt;=INDEX(DB_malas!$C$2:$C$5000,MATCH(H593,DB_malas!$A$2:$A$5000,0)),IF(INDEX(DB_materiali!$E$2:$E$5000,MATCH($C593,DB_materiali!$A$2:$A$5000,0))&lt;=INDEX(DB_malas!$D$2:$D$5000,MATCH(H593,DB_malas!$A$2:$A$5000,0)),IF(OR(INDEX(DB_materiali!$B$2:$B$5000,MATCH($C593,DB_materiali!$A$2:$A$5000,0))=INDEX(DB_malas!$B$2:$B$5000,MATCH(H593,DB_malas!$A$2:$A$5000,0)),$H593="ORG"),"✔",tulkojums!$A$38),tulkojums!$A$39),tulkojums!$A$39))</f>
        <v/>
      </c>
      <c r="Q593" s="2" t="str">
        <f>IF(ISBLANK(I593),"",IF(INDEX(DB_materiali!$E$2:$E$5000,MATCH($C593,DB_materiali!$A$2:$A$5000,0))&gt;=INDEX(DB_malas!$C$2:$C$5000,MATCH(I593,DB_malas!$A$2:$A$5000,0)),IF(INDEX(DB_materiali!$E$2:$E$5000,MATCH($C593,DB_materiali!$A$2:$A$5000,0))&lt;=INDEX(DB_malas!$D$2:$D$5000,MATCH(I593,DB_malas!$A$2:$A$5000,0)),IF(OR(INDEX(DB_materiali!$B$2:$B$5000,MATCH($C593,DB_materiali!$A$2:$A$5000,0))=INDEX(DB_malas!$B$2:$B$5000,MATCH(I593,DB_malas!$A$2:$A$5000,0)),$H593="ORG"),"✔",tulkojums!$A$38),tulkojums!$A$39),tulkojums!$A$39))</f>
        <v/>
      </c>
      <c r="R593" s="2" t="str">
        <f>IF(ISBLANK(J593),"",IF(INDEX(DB_materiali!$E$2:$E$5000,MATCH($C593,DB_materiali!$A$2:$A$5000,0))&gt;=INDEX(DB_malas!$C$2:$C$5000,MATCH(J593,DB_malas!$A$2:$A$5000,0)),IF(INDEX(DB_materiali!$E$2:$E$5000,MATCH($C593,DB_materiali!$A$2:$A$5000,0))&lt;=INDEX(DB_malas!$D$2:$D$5000,MATCH(J593,DB_malas!$A$2:$A$5000,0)),IF(INDEX(DB_materiali!$B$2:$B$5000,MATCH($C593,DB_materiali!$A$2:$A$5000,0))=INDEX(DB_malas!$B$2:$B$5000,MATCH(J593,DB_malas!$A$2:$A$5000,0)),"✔",tulkojums!$A$38),tulkojums!$A$39),tulkojums!$A$39))</f>
        <v/>
      </c>
      <c r="S593" s="2" t="str">
        <f>IF(ISBLANK(K593),"",IF(INDEX(DB_materiali!$E$2:$E$5000,MATCH($C593,DB_materiali!$A$2:$A$5000,0))&gt;=INDEX(DB_malas!$C$2:$C$5000,MATCH(K593,DB_malas!$A$2:$A$5000,0)),IF(INDEX(DB_materiali!$E$2:$E$5000,MATCH($C593,DB_materiali!$A$2:$A$5000,0))&lt;=INDEX(DB_malas!$D$2:$D$5000,MATCH(K593,DB_malas!$A$2:$A$5000,0)),IF(INDEX(DB_materiali!$B$2:$B$5000,MATCH($C593,DB_materiali!$A$2:$A$5000,0))=INDEX(DB_malas!$B$2:$B$5000,MATCH(K593,DB_malas!$A$2:$A$5000,0)),"✔",tulkojums!$A$38),tulkojums!$A$39),tulkojums!$A$39))</f>
        <v/>
      </c>
      <c r="T593" s="2"/>
      <c r="U593" s="2"/>
      <c r="V593" s="2"/>
      <c r="W593" s="2"/>
      <c r="X593" s="2"/>
      <c r="Y593" s="2"/>
      <c r="Z593" s="2"/>
    </row>
    <row r="594" spans="1:26" ht="15.75" customHeight="1">
      <c r="A594" s="17"/>
      <c r="B594" s="18"/>
      <c r="C594" s="19"/>
      <c r="D594" s="55"/>
      <c r="E594" s="55"/>
      <c r="F594" s="56"/>
      <c r="G594" s="57" t="str">
        <f>IF(ISBLANK(C594),"",
   IFERROR(
      IF(
         INDEX(DB_materiali!C$2:C$5000,
               MATCH(C594, DB_materiali!A$2:A$5000, 0)
         )="FALSE",
         "N",
         "Y"
      ),
   "")
)</f>
        <v/>
      </c>
      <c r="H594" s="20"/>
      <c r="I594" s="20"/>
      <c r="J594" s="20"/>
      <c r="K594" s="20"/>
      <c r="M594" s="2" t="str">
        <f>IF(ISBLANK(C594),"",IF(IFERROR(VLOOKUP(C594,DB_materiali!$A$2:$A$5000,1,FALSE),"Kļūda artikulā")=C594,"✔",tulkojums!A$42))</f>
        <v/>
      </c>
      <c r="N594" s="2" t="str">
        <f>IF(ISBLANK(C594),"",IF(ISNUMBER(F594)=TRUE,"✔",tulkojums!A$43))</f>
        <v/>
      </c>
      <c r="O594" s="2" t="str">
        <f>IF(ISBLANK(C594),"",IF(G594="Y","✔",IF(G594="X","✔",IF(G594="N","✔",tulkojums!A$44))))</f>
        <v/>
      </c>
      <c r="P594" s="2" t="str">
        <f>IF(ISBLANK(H594),"",IF(INDEX(DB_materiali!$E$2:$E$5000,MATCH($C594,DB_materiali!$A$2:$A$5000,0))&gt;=INDEX(DB_malas!$C$2:$C$5000,MATCH(H594,DB_malas!$A$2:$A$5000,0)),IF(INDEX(DB_materiali!$E$2:$E$5000,MATCH($C594,DB_materiali!$A$2:$A$5000,0))&lt;=INDEX(DB_malas!$D$2:$D$5000,MATCH(H594,DB_malas!$A$2:$A$5000,0)),IF(OR(INDEX(DB_materiali!$B$2:$B$5000,MATCH($C594,DB_materiali!$A$2:$A$5000,0))=INDEX(DB_malas!$B$2:$B$5000,MATCH(H594,DB_malas!$A$2:$A$5000,0)),$H594="ORG"),"✔",tulkojums!$A$38),tulkojums!$A$39),tulkojums!$A$39))</f>
        <v/>
      </c>
      <c r="Q594" s="2" t="str">
        <f>IF(ISBLANK(I594),"",IF(INDEX(DB_materiali!$E$2:$E$5000,MATCH($C594,DB_materiali!$A$2:$A$5000,0))&gt;=INDEX(DB_malas!$C$2:$C$5000,MATCH(I594,DB_malas!$A$2:$A$5000,0)),IF(INDEX(DB_materiali!$E$2:$E$5000,MATCH($C594,DB_materiali!$A$2:$A$5000,0))&lt;=INDEX(DB_malas!$D$2:$D$5000,MATCH(I594,DB_malas!$A$2:$A$5000,0)),IF(OR(INDEX(DB_materiali!$B$2:$B$5000,MATCH($C594,DB_materiali!$A$2:$A$5000,0))=INDEX(DB_malas!$B$2:$B$5000,MATCH(I594,DB_malas!$A$2:$A$5000,0)),$H594="ORG"),"✔",tulkojums!$A$38),tulkojums!$A$39),tulkojums!$A$39))</f>
        <v/>
      </c>
      <c r="R594" s="2" t="str">
        <f>IF(ISBLANK(J594),"",IF(INDEX(DB_materiali!$E$2:$E$5000,MATCH($C594,DB_materiali!$A$2:$A$5000,0))&gt;=INDEX(DB_malas!$C$2:$C$5000,MATCH(J594,DB_malas!$A$2:$A$5000,0)),IF(INDEX(DB_materiali!$E$2:$E$5000,MATCH($C594,DB_materiali!$A$2:$A$5000,0))&lt;=INDEX(DB_malas!$D$2:$D$5000,MATCH(J594,DB_malas!$A$2:$A$5000,0)),IF(INDEX(DB_materiali!$B$2:$B$5000,MATCH($C594,DB_materiali!$A$2:$A$5000,0))=INDEX(DB_malas!$B$2:$B$5000,MATCH(J594,DB_malas!$A$2:$A$5000,0)),"✔",tulkojums!$A$38),tulkojums!$A$39),tulkojums!$A$39))</f>
        <v/>
      </c>
      <c r="S594" s="2" t="str">
        <f>IF(ISBLANK(K594),"",IF(INDEX(DB_materiali!$E$2:$E$5000,MATCH($C594,DB_materiali!$A$2:$A$5000,0))&gt;=INDEX(DB_malas!$C$2:$C$5000,MATCH(K594,DB_malas!$A$2:$A$5000,0)),IF(INDEX(DB_materiali!$E$2:$E$5000,MATCH($C594,DB_materiali!$A$2:$A$5000,0))&lt;=INDEX(DB_malas!$D$2:$D$5000,MATCH(K594,DB_malas!$A$2:$A$5000,0)),IF(INDEX(DB_materiali!$B$2:$B$5000,MATCH($C594,DB_materiali!$A$2:$A$5000,0))=INDEX(DB_malas!$B$2:$B$5000,MATCH(K594,DB_malas!$A$2:$A$5000,0)),"✔",tulkojums!$A$38),tulkojums!$A$39),tulkojums!$A$39))</f>
        <v/>
      </c>
      <c r="T594" s="2"/>
      <c r="U594" s="2"/>
      <c r="V594" s="2"/>
      <c r="W594" s="2"/>
      <c r="X594" s="2"/>
      <c r="Y594" s="2"/>
      <c r="Z594" s="2"/>
    </row>
    <row r="595" spans="1:26" ht="15.75" customHeight="1">
      <c r="A595" s="17"/>
      <c r="B595" s="18"/>
      <c r="C595" s="19"/>
      <c r="D595" s="55"/>
      <c r="E595" s="55"/>
      <c r="F595" s="56"/>
      <c r="G595" s="57" t="str">
        <f>IF(ISBLANK(C595),"",
   IFERROR(
      IF(
         INDEX(DB_materiali!C$2:C$5000,
               MATCH(C595, DB_materiali!A$2:A$5000, 0)
         )="FALSE",
         "N",
         "Y"
      ),
   "")
)</f>
        <v/>
      </c>
      <c r="H595" s="20"/>
      <c r="I595" s="20"/>
      <c r="J595" s="20"/>
      <c r="K595" s="20"/>
      <c r="M595" s="2" t="str">
        <f>IF(ISBLANK(C595),"",IF(IFERROR(VLOOKUP(C595,DB_materiali!$A$2:$A$5000,1,FALSE),"Kļūda artikulā")=C595,"✔",tulkojums!A$42))</f>
        <v/>
      </c>
      <c r="N595" s="2" t="str">
        <f>IF(ISBLANK(C595),"",IF(ISNUMBER(F595)=TRUE,"✔",tulkojums!A$43))</f>
        <v/>
      </c>
      <c r="O595" s="2" t="str">
        <f>IF(ISBLANK(C595),"",IF(G595="Y","✔",IF(G595="X","✔",IF(G595="N","✔",tulkojums!A$44))))</f>
        <v/>
      </c>
      <c r="P595" s="2" t="str">
        <f>IF(ISBLANK(H595),"",IF(INDEX(DB_materiali!$E$2:$E$5000,MATCH($C595,DB_materiali!$A$2:$A$5000,0))&gt;=INDEX(DB_malas!$C$2:$C$5000,MATCH(H595,DB_malas!$A$2:$A$5000,0)),IF(INDEX(DB_materiali!$E$2:$E$5000,MATCH($C595,DB_materiali!$A$2:$A$5000,0))&lt;=INDEX(DB_malas!$D$2:$D$5000,MATCH(H595,DB_malas!$A$2:$A$5000,0)),IF(OR(INDEX(DB_materiali!$B$2:$B$5000,MATCH($C595,DB_materiali!$A$2:$A$5000,0))=INDEX(DB_malas!$B$2:$B$5000,MATCH(H595,DB_malas!$A$2:$A$5000,0)),$H595="ORG"),"✔",tulkojums!$A$38),tulkojums!$A$39),tulkojums!$A$39))</f>
        <v/>
      </c>
      <c r="Q595" s="2" t="str">
        <f>IF(ISBLANK(I595),"",IF(INDEX(DB_materiali!$E$2:$E$5000,MATCH($C595,DB_materiali!$A$2:$A$5000,0))&gt;=INDEX(DB_malas!$C$2:$C$5000,MATCH(I595,DB_malas!$A$2:$A$5000,0)),IF(INDEX(DB_materiali!$E$2:$E$5000,MATCH($C595,DB_materiali!$A$2:$A$5000,0))&lt;=INDEX(DB_malas!$D$2:$D$5000,MATCH(I595,DB_malas!$A$2:$A$5000,0)),IF(OR(INDEX(DB_materiali!$B$2:$B$5000,MATCH($C595,DB_materiali!$A$2:$A$5000,0))=INDEX(DB_malas!$B$2:$B$5000,MATCH(I595,DB_malas!$A$2:$A$5000,0)),$H595="ORG"),"✔",tulkojums!$A$38),tulkojums!$A$39),tulkojums!$A$39))</f>
        <v/>
      </c>
      <c r="R595" s="2" t="str">
        <f>IF(ISBLANK(J595),"",IF(INDEX(DB_materiali!$E$2:$E$5000,MATCH($C595,DB_materiali!$A$2:$A$5000,0))&gt;=INDEX(DB_malas!$C$2:$C$5000,MATCH(J595,DB_malas!$A$2:$A$5000,0)),IF(INDEX(DB_materiali!$E$2:$E$5000,MATCH($C595,DB_materiali!$A$2:$A$5000,0))&lt;=INDEX(DB_malas!$D$2:$D$5000,MATCH(J595,DB_malas!$A$2:$A$5000,0)),IF(INDEX(DB_materiali!$B$2:$B$5000,MATCH($C595,DB_materiali!$A$2:$A$5000,0))=INDEX(DB_malas!$B$2:$B$5000,MATCH(J595,DB_malas!$A$2:$A$5000,0)),"✔",tulkojums!$A$38),tulkojums!$A$39),tulkojums!$A$39))</f>
        <v/>
      </c>
      <c r="S595" s="2" t="str">
        <f>IF(ISBLANK(K595),"",IF(INDEX(DB_materiali!$E$2:$E$5000,MATCH($C595,DB_materiali!$A$2:$A$5000,0))&gt;=INDEX(DB_malas!$C$2:$C$5000,MATCH(K595,DB_malas!$A$2:$A$5000,0)),IF(INDEX(DB_materiali!$E$2:$E$5000,MATCH($C595,DB_materiali!$A$2:$A$5000,0))&lt;=INDEX(DB_malas!$D$2:$D$5000,MATCH(K595,DB_malas!$A$2:$A$5000,0)),IF(INDEX(DB_materiali!$B$2:$B$5000,MATCH($C595,DB_materiali!$A$2:$A$5000,0))=INDEX(DB_malas!$B$2:$B$5000,MATCH(K595,DB_malas!$A$2:$A$5000,0)),"✔",tulkojums!$A$38),tulkojums!$A$39),tulkojums!$A$39))</f>
        <v/>
      </c>
      <c r="T595" s="2"/>
      <c r="U595" s="2"/>
      <c r="V595" s="2"/>
      <c r="W595" s="2"/>
      <c r="X595" s="2"/>
      <c r="Y595" s="2"/>
      <c r="Z595" s="2"/>
    </row>
    <row r="596" spans="1:26" ht="15.75" customHeight="1">
      <c r="A596" s="17"/>
      <c r="B596" s="18"/>
      <c r="C596" s="19"/>
      <c r="D596" s="55"/>
      <c r="E596" s="55"/>
      <c r="F596" s="56"/>
      <c r="G596" s="57" t="str">
        <f>IF(ISBLANK(C596),"",
   IFERROR(
      IF(
         INDEX(DB_materiali!C$2:C$5000,
               MATCH(C596, DB_materiali!A$2:A$5000, 0)
         )="FALSE",
         "N",
         "Y"
      ),
   "")
)</f>
        <v/>
      </c>
      <c r="H596" s="20"/>
      <c r="I596" s="20"/>
      <c r="J596" s="20"/>
      <c r="K596" s="20"/>
      <c r="M596" s="2" t="str">
        <f>IF(ISBLANK(C596),"",IF(IFERROR(VLOOKUP(C596,DB_materiali!$A$2:$A$5000,1,FALSE),"Kļūda artikulā")=C596,"✔",tulkojums!A$42))</f>
        <v/>
      </c>
      <c r="N596" s="2" t="str">
        <f>IF(ISBLANK(C596),"",IF(ISNUMBER(F596)=TRUE,"✔",tulkojums!A$43))</f>
        <v/>
      </c>
      <c r="O596" s="2" t="str">
        <f>IF(ISBLANK(C596),"",IF(G596="Y","✔",IF(G596="X","✔",IF(G596="N","✔",tulkojums!A$44))))</f>
        <v/>
      </c>
      <c r="P596" s="2" t="str">
        <f>IF(ISBLANK(H596),"",IF(INDEX(DB_materiali!$E$2:$E$5000,MATCH($C596,DB_materiali!$A$2:$A$5000,0))&gt;=INDEX(DB_malas!$C$2:$C$5000,MATCH(H596,DB_malas!$A$2:$A$5000,0)),IF(INDEX(DB_materiali!$E$2:$E$5000,MATCH($C596,DB_materiali!$A$2:$A$5000,0))&lt;=INDEX(DB_malas!$D$2:$D$5000,MATCH(H596,DB_malas!$A$2:$A$5000,0)),IF(OR(INDEX(DB_materiali!$B$2:$B$5000,MATCH($C596,DB_materiali!$A$2:$A$5000,0))=INDEX(DB_malas!$B$2:$B$5000,MATCH(H596,DB_malas!$A$2:$A$5000,0)),$H596="ORG"),"✔",tulkojums!$A$38),tulkojums!$A$39),tulkojums!$A$39))</f>
        <v/>
      </c>
      <c r="Q596" s="2" t="str">
        <f>IF(ISBLANK(I596),"",IF(INDEX(DB_materiali!$E$2:$E$5000,MATCH($C596,DB_materiali!$A$2:$A$5000,0))&gt;=INDEX(DB_malas!$C$2:$C$5000,MATCH(I596,DB_malas!$A$2:$A$5000,0)),IF(INDEX(DB_materiali!$E$2:$E$5000,MATCH($C596,DB_materiali!$A$2:$A$5000,0))&lt;=INDEX(DB_malas!$D$2:$D$5000,MATCH(I596,DB_malas!$A$2:$A$5000,0)),IF(OR(INDEX(DB_materiali!$B$2:$B$5000,MATCH($C596,DB_materiali!$A$2:$A$5000,0))=INDEX(DB_malas!$B$2:$B$5000,MATCH(I596,DB_malas!$A$2:$A$5000,0)),$H596="ORG"),"✔",tulkojums!$A$38),tulkojums!$A$39),tulkojums!$A$39))</f>
        <v/>
      </c>
      <c r="R596" s="2" t="str">
        <f>IF(ISBLANK(J596),"",IF(INDEX(DB_materiali!$E$2:$E$5000,MATCH($C596,DB_materiali!$A$2:$A$5000,0))&gt;=INDEX(DB_malas!$C$2:$C$5000,MATCH(J596,DB_malas!$A$2:$A$5000,0)),IF(INDEX(DB_materiali!$E$2:$E$5000,MATCH($C596,DB_materiali!$A$2:$A$5000,0))&lt;=INDEX(DB_malas!$D$2:$D$5000,MATCH(J596,DB_malas!$A$2:$A$5000,0)),IF(INDEX(DB_materiali!$B$2:$B$5000,MATCH($C596,DB_materiali!$A$2:$A$5000,0))=INDEX(DB_malas!$B$2:$B$5000,MATCH(J596,DB_malas!$A$2:$A$5000,0)),"✔",tulkojums!$A$38),tulkojums!$A$39),tulkojums!$A$39))</f>
        <v/>
      </c>
      <c r="S596" s="2" t="str">
        <f>IF(ISBLANK(K596),"",IF(INDEX(DB_materiali!$E$2:$E$5000,MATCH($C596,DB_materiali!$A$2:$A$5000,0))&gt;=INDEX(DB_malas!$C$2:$C$5000,MATCH(K596,DB_malas!$A$2:$A$5000,0)),IF(INDEX(DB_materiali!$E$2:$E$5000,MATCH($C596,DB_materiali!$A$2:$A$5000,0))&lt;=INDEX(DB_malas!$D$2:$D$5000,MATCH(K596,DB_malas!$A$2:$A$5000,0)),IF(INDEX(DB_materiali!$B$2:$B$5000,MATCH($C596,DB_materiali!$A$2:$A$5000,0))=INDEX(DB_malas!$B$2:$B$5000,MATCH(K596,DB_malas!$A$2:$A$5000,0)),"✔",tulkojums!$A$38),tulkojums!$A$39),tulkojums!$A$39))</f>
        <v/>
      </c>
      <c r="T596" s="2"/>
      <c r="U596" s="2"/>
      <c r="V596" s="2"/>
      <c r="W596" s="2"/>
      <c r="X596" s="2"/>
      <c r="Y596" s="2"/>
      <c r="Z596" s="2"/>
    </row>
    <row r="597" spans="1:26" ht="15.75" customHeight="1">
      <c r="A597" s="17"/>
      <c r="B597" s="18"/>
      <c r="C597" s="19"/>
      <c r="D597" s="55"/>
      <c r="E597" s="55"/>
      <c r="F597" s="56"/>
      <c r="G597" s="57" t="str">
        <f>IF(ISBLANK(C597),"",
   IFERROR(
      IF(
         INDEX(DB_materiali!C$2:C$5000,
               MATCH(C597, DB_materiali!A$2:A$5000, 0)
         )="FALSE",
         "N",
         "Y"
      ),
   "")
)</f>
        <v/>
      </c>
      <c r="H597" s="20"/>
      <c r="I597" s="20"/>
      <c r="J597" s="20"/>
      <c r="K597" s="20"/>
      <c r="M597" s="2" t="str">
        <f>IF(ISBLANK(C597),"",IF(IFERROR(VLOOKUP(C597,DB_materiali!$A$2:$A$5000,1,FALSE),"Kļūda artikulā")=C597,"✔",tulkojums!A$42))</f>
        <v/>
      </c>
      <c r="N597" s="2" t="str">
        <f>IF(ISBLANK(C597),"",IF(ISNUMBER(F597)=TRUE,"✔",tulkojums!A$43))</f>
        <v/>
      </c>
      <c r="O597" s="2" t="str">
        <f>IF(ISBLANK(C597),"",IF(G597="Y","✔",IF(G597="X","✔",IF(G597="N","✔",tulkojums!A$44))))</f>
        <v/>
      </c>
      <c r="P597" s="2" t="str">
        <f>IF(ISBLANK(H597),"",IF(INDEX(DB_materiali!$E$2:$E$5000,MATCH($C597,DB_materiali!$A$2:$A$5000,0))&gt;=INDEX(DB_malas!$C$2:$C$5000,MATCH(H597,DB_malas!$A$2:$A$5000,0)),IF(INDEX(DB_materiali!$E$2:$E$5000,MATCH($C597,DB_materiali!$A$2:$A$5000,0))&lt;=INDEX(DB_malas!$D$2:$D$5000,MATCH(H597,DB_malas!$A$2:$A$5000,0)),IF(OR(INDEX(DB_materiali!$B$2:$B$5000,MATCH($C597,DB_materiali!$A$2:$A$5000,0))=INDEX(DB_malas!$B$2:$B$5000,MATCH(H597,DB_malas!$A$2:$A$5000,0)),$H597="ORG"),"✔",tulkojums!$A$38),tulkojums!$A$39),tulkojums!$A$39))</f>
        <v/>
      </c>
      <c r="Q597" s="2" t="str">
        <f>IF(ISBLANK(I597),"",IF(INDEX(DB_materiali!$E$2:$E$5000,MATCH($C597,DB_materiali!$A$2:$A$5000,0))&gt;=INDEX(DB_malas!$C$2:$C$5000,MATCH(I597,DB_malas!$A$2:$A$5000,0)),IF(INDEX(DB_materiali!$E$2:$E$5000,MATCH($C597,DB_materiali!$A$2:$A$5000,0))&lt;=INDEX(DB_malas!$D$2:$D$5000,MATCH(I597,DB_malas!$A$2:$A$5000,0)),IF(OR(INDEX(DB_materiali!$B$2:$B$5000,MATCH($C597,DB_materiali!$A$2:$A$5000,0))=INDEX(DB_malas!$B$2:$B$5000,MATCH(I597,DB_malas!$A$2:$A$5000,0)),$H597="ORG"),"✔",tulkojums!$A$38),tulkojums!$A$39),tulkojums!$A$39))</f>
        <v/>
      </c>
      <c r="R597" s="2" t="str">
        <f>IF(ISBLANK(J597),"",IF(INDEX(DB_materiali!$E$2:$E$5000,MATCH($C597,DB_materiali!$A$2:$A$5000,0))&gt;=INDEX(DB_malas!$C$2:$C$5000,MATCH(J597,DB_malas!$A$2:$A$5000,0)),IF(INDEX(DB_materiali!$E$2:$E$5000,MATCH($C597,DB_materiali!$A$2:$A$5000,0))&lt;=INDEX(DB_malas!$D$2:$D$5000,MATCH(J597,DB_malas!$A$2:$A$5000,0)),IF(INDEX(DB_materiali!$B$2:$B$5000,MATCH($C597,DB_materiali!$A$2:$A$5000,0))=INDEX(DB_malas!$B$2:$B$5000,MATCH(J597,DB_malas!$A$2:$A$5000,0)),"✔",tulkojums!$A$38),tulkojums!$A$39),tulkojums!$A$39))</f>
        <v/>
      </c>
      <c r="S597" s="2" t="str">
        <f>IF(ISBLANK(K597),"",IF(INDEX(DB_materiali!$E$2:$E$5000,MATCH($C597,DB_materiali!$A$2:$A$5000,0))&gt;=INDEX(DB_malas!$C$2:$C$5000,MATCH(K597,DB_malas!$A$2:$A$5000,0)),IF(INDEX(DB_materiali!$E$2:$E$5000,MATCH($C597,DB_materiali!$A$2:$A$5000,0))&lt;=INDEX(DB_malas!$D$2:$D$5000,MATCH(K597,DB_malas!$A$2:$A$5000,0)),IF(INDEX(DB_materiali!$B$2:$B$5000,MATCH($C597,DB_materiali!$A$2:$A$5000,0))=INDEX(DB_malas!$B$2:$B$5000,MATCH(K597,DB_malas!$A$2:$A$5000,0)),"✔",tulkojums!$A$38),tulkojums!$A$39),tulkojums!$A$39))</f>
        <v/>
      </c>
      <c r="T597" s="2"/>
      <c r="U597" s="2"/>
      <c r="V597" s="2"/>
      <c r="W597" s="2"/>
      <c r="X597" s="2"/>
      <c r="Y597" s="2"/>
      <c r="Z597" s="2"/>
    </row>
    <row r="598" spans="1:26" ht="15.75" customHeight="1">
      <c r="A598" s="17"/>
      <c r="B598" s="18"/>
      <c r="C598" s="19"/>
      <c r="D598" s="55"/>
      <c r="E598" s="55"/>
      <c r="F598" s="56"/>
      <c r="G598" s="57" t="str">
        <f>IF(ISBLANK(C598),"",
   IFERROR(
      IF(
         INDEX(DB_materiali!C$2:C$5000,
               MATCH(C598, DB_materiali!A$2:A$5000, 0)
         )="FALSE",
         "N",
         "Y"
      ),
   "")
)</f>
        <v/>
      </c>
      <c r="H598" s="20"/>
      <c r="I598" s="20"/>
      <c r="J598" s="20"/>
      <c r="K598" s="20"/>
      <c r="M598" s="2" t="str">
        <f>IF(ISBLANK(C598),"",IF(IFERROR(VLOOKUP(C598,DB_materiali!$A$2:$A$5000,1,FALSE),"Kļūda artikulā")=C598,"✔",tulkojums!A$42))</f>
        <v/>
      </c>
      <c r="N598" s="2" t="str">
        <f>IF(ISBLANK(C598),"",IF(ISNUMBER(F598)=TRUE,"✔",tulkojums!A$43))</f>
        <v/>
      </c>
      <c r="O598" s="2" t="str">
        <f>IF(ISBLANK(C598),"",IF(G598="Y","✔",IF(G598="X","✔",IF(G598="N","✔",tulkojums!A$44))))</f>
        <v/>
      </c>
      <c r="P598" s="2" t="str">
        <f>IF(ISBLANK(H598),"",IF(INDEX(DB_materiali!$E$2:$E$5000,MATCH($C598,DB_materiali!$A$2:$A$5000,0))&gt;=INDEX(DB_malas!$C$2:$C$5000,MATCH(H598,DB_malas!$A$2:$A$5000,0)),IF(INDEX(DB_materiali!$E$2:$E$5000,MATCH($C598,DB_materiali!$A$2:$A$5000,0))&lt;=INDEX(DB_malas!$D$2:$D$5000,MATCH(H598,DB_malas!$A$2:$A$5000,0)),IF(OR(INDEX(DB_materiali!$B$2:$B$5000,MATCH($C598,DB_materiali!$A$2:$A$5000,0))=INDEX(DB_malas!$B$2:$B$5000,MATCH(H598,DB_malas!$A$2:$A$5000,0)),$H598="ORG"),"✔",tulkojums!$A$38),tulkojums!$A$39),tulkojums!$A$39))</f>
        <v/>
      </c>
      <c r="Q598" s="2" t="str">
        <f>IF(ISBLANK(I598),"",IF(INDEX(DB_materiali!$E$2:$E$5000,MATCH($C598,DB_materiali!$A$2:$A$5000,0))&gt;=INDEX(DB_malas!$C$2:$C$5000,MATCH(I598,DB_malas!$A$2:$A$5000,0)),IF(INDEX(DB_materiali!$E$2:$E$5000,MATCH($C598,DB_materiali!$A$2:$A$5000,0))&lt;=INDEX(DB_malas!$D$2:$D$5000,MATCH(I598,DB_malas!$A$2:$A$5000,0)),IF(OR(INDEX(DB_materiali!$B$2:$B$5000,MATCH($C598,DB_materiali!$A$2:$A$5000,0))=INDEX(DB_malas!$B$2:$B$5000,MATCH(I598,DB_malas!$A$2:$A$5000,0)),$H598="ORG"),"✔",tulkojums!$A$38),tulkojums!$A$39),tulkojums!$A$39))</f>
        <v/>
      </c>
      <c r="R598" s="2" t="str">
        <f>IF(ISBLANK(J598),"",IF(INDEX(DB_materiali!$E$2:$E$5000,MATCH($C598,DB_materiali!$A$2:$A$5000,0))&gt;=INDEX(DB_malas!$C$2:$C$5000,MATCH(J598,DB_malas!$A$2:$A$5000,0)),IF(INDEX(DB_materiali!$E$2:$E$5000,MATCH($C598,DB_materiali!$A$2:$A$5000,0))&lt;=INDEX(DB_malas!$D$2:$D$5000,MATCH(J598,DB_malas!$A$2:$A$5000,0)),IF(INDEX(DB_materiali!$B$2:$B$5000,MATCH($C598,DB_materiali!$A$2:$A$5000,0))=INDEX(DB_malas!$B$2:$B$5000,MATCH(J598,DB_malas!$A$2:$A$5000,0)),"✔",tulkojums!$A$38),tulkojums!$A$39),tulkojums!$A$39))</f>
        <v/>
      </c>
      <c r="S598" s="2" t="str">
        <f>IF(ISBLANK(K598),"",IF(INDEX(DB_materiali!$E$2:$E$5000,MATCH($C598,DB_materiali!$A$2:$A$5000,0))&gt;=INDEX(DB_malas!$C$2:$C$5000,MATCH(K598,DB_malas!$A$2:$A$5000,0)),IF(INDEX(DB_materiali!$E$2:$E$5000,MATCH($C598,DB_materiali!$A$2:$A$5000,0))&lt;=INDEX(DB_malas!$D$2:$D$5000,MATCH(K598,DB_malas!$A$2:$A$5000,0)),IF(INDEX(DB_materiali!$B$2:$B$5000,MATCH($C598,DB_materiali!$A$2:$A$5000,0))=INDEX(DB_malas!$B$2:$B$5000,MATCH(K598,DB_malas!$A$2:$A$5000,0)),"✔",tulkojums!$A$38),tulkojums!$A$39),tulkojums!$A$39))</f>
        <v/>
      </c>
      <c r="T598" s="2"/>
      <c r="U598" s="2"/>
      <c r="V598" s="2"/>
      <c r="W598" s="2"/>
      <c r="X598" s="2"/>
      <c r="Y598" s="2"/>
      <c r="Z598" s="2"/>
    </row>
    <row r="599" spans="1:26" ht="15.75" customHeight="1">
      <c r="A599" s="17"/>
      <c r="B599" s="18"/>
      <c r="C599" s="19"/>
      <c r="D599" s="55"/>
      <c r="E599" s="55"/>
      <c r="F599" s="56"/>
      <c r="G599" s="57" t="str">
        <f>IF(ISBLANK(C599),"",
   IFERROR(
      IF(
         INDEX(DB_materiali!C$2:C$5000,
               MATCH(C599, DB_materiali!A$2:A$5000, 0)
         )="FALSE",
         "N",
         "Y"
      ),
   "")
)</f>
        <v/>
      </c>
      <c r="H599" s="20"/>
      <c r="I599" s="20"/>
      <c r="J599" s="20"/>
      <c r="K599" s="20"/>
      <c r="M599" s="2" t="str">
        <f>IF(ISBLANK(C599),"",IF(IFERROR(VLOOKUP(C599,DB_materiali!$A$2:$A$5000,1,FALSE),"Kļūda artikulā")=C599,"✔",tulkojums!A$42))</f>
        <v/>
      </c>
      <c r="N599" s="2" t="str">
        <f>IF(ISBLANK(C599),"",IF(ISNUMBER(F599)=TRUE,"✔",tulkojums!A$43))</f>
        <v/>
      </c>
      <c r="O599" s="2" t="str">
        <f>IF(ISBLANK(C599),"",IF(G599="Y","✔",IF(G599="X","✔",IF(G599="N","✔",tulkojums!A$44))))</f>
        <v/>
      </c>
      <c r="P599" s="2" t="str">
        <f>IF(ISBLANK(H599),"",IF(INDEX(DB_materiali!$E$2:$E$5000,MATCH($C599,DB_materiali!$A$2:$A$5000,0))&gt;=INDEX(DB_malas!$C$2:$C$5000,MATCH(H599,DB_malas!$A$2:$A$5000,0)),IF(INDEX(DB_materiali!$E$2:$E$5000,MATCH($C599,DB_materiali!$A$2:$A$5000,0))&lt;=INDEX(DB_malas!$D$2:$D$5000,MATCH(H599,DB_malas!$A$2:$A$5000,0)),IF(OR(INDEX(DB_materiali!$B$2:$B$5000,MATCH($C599,DB_materiali!$A$2:$A$5000,0))=INDEX(DB_malas!$B$2:$B$5000,MATCH(H599,DB_malas!$A$2:$A$5000,0)),$H599="ORG"),"✔",tulkojums!$A$38),tulkojums!$A$39),tulkojums!$A$39))</f>
        <v/>
      </c>
      <c r="Q599" s="2" t="str">
        <f>IF(ISBLANK(I599),"",IF(INDEX(DB_materiali!$E$2:$E$5000,MATCH($C599,DB_materiali!$A$2:$A$5000,0))&gt;=INDEX(DB_malas!$C$2:$C$5000,MATCH(I599,DB_malas!$A$2:$A$5000,0)),IF(INDEX(DB_materiali!$E$2:$E$5000,MATCH($C599,DB_materiali!$A$2:$A$5000,0))&lt;=INDEX(DB_malas!$D$2:$D$5000,MATCH(I599,DB_malas!$A$2:$A$5000,0)),IF(OR(INDEX(DB_materiali!$B$2:$B$5000,MATCH($C599,DB_materiali!$A$2:$A$5000,0))=INDEX(DB_malas!$B$2:$B$5000,MATCH(I599,DB_malas!$A$2:$A$5000,0)),$H599="ORG"),"✔",tulkojums!$A$38),tulkojums!$A$39),tulkojums!$A$39))</f>
        <v/>
      </c>
      <c r="R599" s="2" t="str">
        <f>IF(ISBLANK(J599),"",IF(INDEX(DB_materiali!$E$2:$E$5000,MATCH($C599,DB_materiali!$A$2:$A$5000,0))&gt;=INDEX(DB_malas!$C$2:$C$5000,MATCH(J599,DB_malas!$A$2:$A$5000,0)),IF(INDEX(DB_materiali!$E$2:$E$5000,MATCH($C599,DB_materiali!$A$2:$A$5000,0))&lt;=INDEX(DB_malas!$D$2:$D$5000,MATCH(J599,DB_malas!$A$2:$A$5000,0)),IF(INDEX(DB_materiali!$B$2:$B$5000,MATCH($C599,DB_materiali!$A$2:$A$5000,0))=INDEX(DB_malas!$B$2:$B$5000,MATCH(J599,DB_malas!$A$2:$A$5000,0)),"✔",tulkojums!$A$38),tulkojums!$A$39),tulkojums!$A$39))</f>
        <v/>
      </c>
      <c r="S599" s="2" t="str">
        <f>IF(ISBLANK(K599),"",IF(INDEX(DB_materiali!$E$2:$E$5000,MATCH($C599,DB_materiali!$A$2:$A$5000,0))&gt;=INDEX(DB_malas!$C$2:$C$5000,MATCH(K599,DB_malas!$A$2:$A$5000,0)),IF(INDEX(DB_materiali!$E$2:$E$5000,MATCH($C599,DB_materiali!$A$2:$A$5000,0))&lt;=INDEX(DB_malas!$D$2:$D$5000,MATCH(K599,DB_malas!$A$2:$A$5000,0)),IF(INDEX(DB_materiali!$B$2:$B$5000,MATCH($C599,DB_materiali!$A$2:$A$5000,0))=INDEX(DB_malas!$B$2:$B$5000,MATCH(K599,DB_malas!$A$2:$A$5000,0)),"✔",tulkojums!$A$38),tulkojums!$A$39),tulkojums!$A$39))</f>
        <v/>
      </c>
      <c r="T599" s="2"/>
      <c r="U599" s="2"/>
      <c r="V599" s="2"/>
      <c r="W599" s="2"/>
      <c r="X599" s="2"/>
      <c r="Y599" s="2"/>
      <c r="Z599" s="2"/>
    </row>
    <row r="600" spans="1:26" ht="15.75" customHeight="1">
      <c r="A600" s="17"/>
      <c r="B600" s="18"/>
      <c r="C600" s="19"/>
      <c r="D600" s="55"/>
      <c r="E600" s="55"/>
      <c r="F600" s="56"/>
      <c r="G600" s="57" t="str">
        <f>IF(ISBLANK(C600),"",
   IFERROR(
      IF(
         INDEX(DB_materiali!C$2:C$5000,
               MATCH(C600, DB_materiali!A$2:A$5000, 0)
         )="FALSE",
         "N",
         "Y"
      ),
   "")
)</f>
        <v/>
      </c>
      <c r="H600" s="20"/>
      <c r="I600" s="20"/>
      <c r="J600" s="20"/>
      <c r="K600" s="20"/>
      <c r="M600" s="2" t="str">
        <f>IF(ISBLANK(C600),"",IF(IFERROR(VLOOKUP(C600,DB_materiali!$A$2:$A$5000,1,FALSE),"Kļūda artikulā")=C600,"✔",tulkojums!A$42))</f>
        <v/>
      </c>
      <c r="N600" s="2" t="str">
        <f>IF(ISBLANK(C600),"",IF(ISNUMBER(F600)=TRUE,"✔",tulkojums!A$43))</f>
        <v/>
      </c>
      <c r="O600" s="2" t="str">
        <f>IF(ISBLANK(C600),"",IF(G600="Y","✔",IF(G600="X","✔",IF(G600="N","✔",tulkojums!A$44))))</f>
        <v/>
      </c>
      <c r="P600" s="2" t="str">
        <f>IF(ISBLANK(H600),"",IF(INDEX(DB_materiali!$E$2:$E$5000,MATCH($C600,DB_materiali!$A$2:$A$5000,0))&gt;=INDEX(DB_malas!$C$2:$C$5000,MATCH(H600,DB_malas!$A$2:$A$5000,0)),IF(INDEX(DB_materiali!$E$2:$E$5000,MATCH($C600,DB_materiali!$A$2:$A$5000,0))&lt;=INDEX(DB_malas!$D$2:$D$5000,MATCH(H600,DB_malas!$A$2:$A$5000,0)),IF(OR(INDEX(DB_materiali!$B$2:$B$5000,MATCH($C600,DB_materiali!$A$2:$A$5000,0))=INDEX(DB_malas!$B$2:$B$5000,MATCH(H600,DB_malas!$A$2:$A$5000,0)),$H600="ORG"),"✔",tulkojums!$A$38),tulkojums!$A$39),tulkojums!$A$39))</f>
        <v/>
      </c>
      <c r="Q600" s="2" t="str">
        <f>IF(ISBLANK(I600),"",IF(INDEX(DB_materiali!$E$2:$E$5000,MATCH($C600,DB_materiali!$A$2:$A$5000,0))&gt;=INDEX(DB_malas!$C$2:$C$5000,MATCH(I600,DB_malas!$A$2:$A$5000,0)),IF(INDEX(DB_materiali!$E$2:$E$5000,MATCH($C600,DB_materiali!$A$2:$A$5000,0))&lt;=INDEX(DB_malas!$D$2:$D$5000,MATCH(I600,DB_malas!$A$2:$A$5000,0)),IF(OR(INDEX(DB_materiali!$B$2:$B$5000,MATCH($C600,DB_materiali!$A$2:$A$5000,0))=INDEX(DB_malas!$B$2:$B$5000,MATCH(I600,DB_malas!$A$2:$A$5000,0)),$H600="ORG"),"✔",tulkojums!$A$38),tulkojums!$A$39),tulkojums!$A$39))</f>
        <v/>
      </c>
      <c r="R600" s="2" t="str">
        <f>IF(ISBLANK(J600),"",IF(INDEX(DB_materiali!$E$2:$E$5000,MATCH($C600,DB_materiali!$A$2:$A$5000,0))&gt;=INDEX(DB_malas!$C$2:$C$5000,MATCH(J600,DB_malas!$A$2:$A$5000,0)),IF(INDEX(DB_materiali!$E$2:$E$5000,MATCH($C600,DB_materiali!$A$2:$A$5000,0))&lt;=INDEX(DB_malas!$D$2:$D$5000,MATCH(J600,DB_malas!$A$2:$A$5000,0)),IF(INDEX(DB_materiali!$B$2:$B$5000,MATCH($C600,DB_materiali!$A$2:$A$5000,0))=INDEX(DB_malas!$B$2:$B$5000,MATCH(J600,DB_malas!$A$2:$A$5000,0)),"✔",tulkojums!$A$38),tulkojums!$A$39),tulkojums!$A$39))</f>
        <v/>
      </c>
      <c r="S600" s="2" t="str">
        <f>IF(ISBLANK(K600),"",IF(INDEX(DB_materiali!$E$2:$E$5000,MATCH($C600,DB_materiali!$A$2:$A$5000,0))&gt;=INDEX(DB_malas!$C$2:$C$5000,MATCH(K600,DB_malas!$A$2:$A$5000,0)),IF(INDEX(DB_materiali!$E$2:$E$5000,MATCH($C600,DB_materiali!$A$2:$A$5000,0))&lt;=INDEX(DB_malas!$D$2:$D$5000,MATCH(K600,DB_malas!$A$2:$A$5000,0)),IF(INDEX(DB_materiali!$B$2:$B$5000,MATCH($C600,DB_materiali!$A$2:$A$5000,0))=INDEX(DB_malas!$B$2:$B$5000,MATCH(K600,DB_malas!$A$2:$A$5000,0)),"✔",tulkojums!$A$38),tulkojums!$A$39),tulkojums!$A$39))</f>
        <v/>
      </c>
      <c r="T600" s="2"/>
      <c r="U600" s="2"/>
      <c r="V600" s="2"/>
      <c r="W600" s="2"/>
      <c r="X600" s="2"/>
      <c r="Y600" s="2"/>
      <c r="Z600" s="2"/>
    </row>
    <row r="601" spans="1:26" ht="15.75" customHeight="1">
      <c r="A601" s="17"/>
      <c r="B601" s="18"/>
      <c r="C601" s="19"/>
      <c r="D601" s="55"/>
      <c r="E601" s="55"/>
      <c r="F601" s="56"/>
      <c r="G601" s="57" t="str">
        <f>IF(ISBLANK(C601),"",
   IFERROR(
      IF(
         INDEX(DB_materiali!C$2:C$5000,
               MATCH(C601, DB_materiali!A$2:A$5000, 0)
         )="FALSE",
         "N",
         "Y"
      ),
   "")
)</f>
        <v/>
      </c>
      <c r="H601" s="20"/>
      <c r="I601" s="20"/>
      <c r="J601" s="20"/>
      <c r="K601" s="20"/>
      <c r="M601" s="2" t="str">
        <f>IF(ISBLANK(C601),"",IF(IFERROR(VLOOKUP(C601,DB_materiali!$A$2:$A$5000,1,FALSE),"Kļūda artikulā")=C601,"✔",tulkojums!A$42))</f>
        <v/>
      </c>
      <c r="N601" s="2" t="str">
        <f>IF(ISBLANK(C601),"",IF(ISNUMBER(F601)=TRUE,"✔",tulkojums!A$43))</f>
        <v/>
      </c>
      <c r="O601" s="2" t="str">
        <f>IF(ISBLANK(C601),"",IF(G601="Y","✔",IF(G601="X","✔",IF(G601="N","✔",tulkojums!A$44))))</f>
        <v/>
      </c>
      <c r="P601" s="2" t="str">
        <f>IF(ISBLANK(H601),"",IF(INDEX(DB_materiali!$E$2:$E$5000,MATCH($C601,DB_materiali!$A$2:$A$5000,0))&gt;=INDEX(DB_malas!$C$2:$C$5000,MATCH(H601,DB_malas!$A$2:$A$5000,0)),IF(INDEX(DB_materiali!$E$2:$E$5000,MATCH($C601,DB_materiali!$A$2:$A$5000,0))&lt;=INDEX(DB_malas!$D$2:$D$5000,MATCH(H601,DB_malas!$A$2:$A$5000,0)),IF(OR(INDEX(DB_materiali!$B$2:$B$5000,MATCH($C601,DB_materiali!$A$2:$A$5000,0))=INDEX(DB_malas!$B$2:$B$5000,MATCH(H601,DB_malas!$A$2:$A$5000,0)),$H601="ORG"),"✔",tulkojums!$A$38),tulkojums!$A$39),tulkojums!$A$39))</f>
        <v/>
      </c>
      <c r="Q601" s="2" t="str">
        <f>IF(ISBLANK(I601),"",IF(INDEX(DB_materiali!$E$2:$E$5000,MATCH($C601,DB_materiali!$A$2:$A$5000,0))&gt;=INDEX(DB_malas!$C$2:$C$5000,MATCH(I601,DB_malas!$A$2:$A$5000,0)),IF(INDEX(DB_materiali!$E$2:$E$5000,MATCH($C601,DB_materiali!$A$2:$A$5000,0))&lt;=INDEX(DB_malas!$D$2:$D$5000,MATCH(I601,DB_malas!$A$2:$A$5000,0)),IF(OR(INDEX(DB_materiali!$B$2:$B$5000,MATCH($C601,DB_materiali!$A$2:$A$5000,0))=INDEX(DB_malas!$B$2:$B$5000,MATCH(I601,DB_malas!$A$2:$A$5000,0)),$H601="ORG"),"✔",tulkojums!$A$38),tulkojums!$A$39),tulkojums!$A$39))</f>
        <v/>
      </c>
      <c r="R601" s="2" t="str">
        <f>IF(ISBLANK(J601),"",IF(INDEX(DB_materiali!$E$2:$E$5000,MATCH($C601,DB_materiali!$A$2:$A$5000,0))&gt;=INDEX(DB_malas!$C$2:$C$5000,MATCH(J601,DB_malas!$A$2:$A$5000,0)),IF(INDEX(DB_materiali!$E$2:$E$5000,MATCH($C601,DB_materiali!$A$2:$A$5000,0))&lt;=INDEX(DB_malas!$D$2:$D$5000,MATCH(J601,DB_malas!$A$2:$A$5000,0)),IF(INDEX(DB_materiali!$B$2:$B$5000,MATCH($C601,DB_materiali!$A$2:$A$5000,0))=INDEX(DB_malas!$B$2:$B$5000,MATCH(J601,DB_malas!$A$2:$A$5000,0)),"✔",tulkojums!$A$38),tulkojums!$A$39),tulkojums!$A$39))</f>
        <v/>
      </c>
      <c r="S601" s="2" t="str">
        <f>IF(ISBLANK(K601),"",IF(INDEX(DB_materiali!$E$2:$E$5000,MATCH($C601,DB_materiali!$A$2:$A$5000,0))&gt;=INDEX(DB_malas!$C$2:$C$5000,MATCH(K601,DB_malas!$A$2:$A$5000,0)),IF(INDEX(DB_materiali!$E$2:$E$5000,MATCH($C601,DB_materiali!$A$2:$A$5000,0))&lt;=INDEX(DB_malas!$D$2:$D$5000,MATCH(K601,DB_malas!$A$2:$A$5000,0)),IF(INDEX(DB_materiali!$B$2:$B$5000,MATCH($C601,DB_materiali!$A$2:$A$5000,0))=INDEX(DB_malas!$B$2:$B$5000,MATCH(K601,DB_malas!$A$2:$A$5000,0)),"✔",tulkojums!$A$38),tulkojums!$A$39),tulkojums!$A$39))</f>
        <v/>
      </c>
      <c r="T601" s="2"/>
      <c r="U601" s="2"/>
      <c r="V601" s="2"/>
      <c r="W601" s="2"/>
      <c r="X601" s="2"/>
      <c r="Y601" s="2"/>
      <c r="Z601" s="2"/>
    </row>
    <row r="602" spans="1:26" ht="15.75" customHeight="1">
      <c r="A602" s="17"/>
      <c r="B602" s="18"/>
      <c r="C602" s="19"/>
      <c r="D602" s="55"/>
      <c r="E602" s="55"/>
      <c r="F602" s="56"/>
      <c r="G602" s="57" t="str">
        <f>IF(ISBLANK(C602),"",
   IFERROR(
      IF(
         INDEX(DB_materiali!C$2:C$5000,
               MATCH(C602, DB_materiali!A$2:A$5000, 0)
         )="FALSE",
         "N",
         "Y"
      ),
   "")
)</f>
        <v/>
      </c>
      <c r="H602" s="20"/>
      <c r="I602" s="20"/>
      <c r="J602" s="20"/>
      <c r="K602" s="20"/>
      <c r="M602" s="2" t="str">
        <f>IF(ISBLANK(C602),"",IF(IFERROR(VLOOKUP(C602,DB_materiali!$A$2:$A$5000,1,FALSE),"Kļūda artikulā")=C602,"✔",tulkojums!A$42))</f>
        <v/>
      </c>
      <c r="N602" s="2" t="str">
        <f>IF(ISBLANK(C602),"",IF(ISNUMBER(F602)=TRUE,"✔",tulkojums!A$43))</f>
        <v/>
      </c>
      <c r="O602" s="2" t="str">
        <f>IF(ISBLANK(C602),"",IF(G602="Y","✔",IF(G602="X","✔",IF(G602="N","✔",tulkojums!A$44))))</f>
        <v/>
      </c>
      <c r="P602" s="2" t="str">
        <f>IF(ISBLANK(H602),"",IF(INDEX(DB_materiali!$E$2:$E$5000,MATCH($C602,DB_materiali!$A$2:$A$5000,0))&gt;=INDEX(DB_malas!$C$2:$C$5000,MATCH(H602,DB_malas!$A$2:$A$5000,0)),IF(INDEX(DB_materiali!$E$2:$E$5000,MATCH($C602,DB_materiali!$A$2:$A$5000,0))&lt;=INDEX(DB_malas!$D$2:$D$5000,MATCH(H602,DB_malas!$A$2:$A$5000,0)),IF(OR(INDEX(DB_materiali!$B$2:$B$5000,MATCH($C602,DB_materiali!$A$2:$A$5000,0))=INDEX(DB_malas!$B$2:$B$5000,MATCH(H602,DB_malas!$A$2:$A$5000,0)),$H602="ORG"),"✔",tulkojums!$A$38),tulkojums!$A$39),tulkojums!$A$39))</f>
        <v/>
      </c>
      <c r="Q602" s="2" t="str">
        <f>IF(ISBLANK(I602),"",IF(INDEX(DB_materiali!$E$2:$E$5000,MATCH($C602,DB_materiali!$A$2:$A$5000,0))&gt;=INDEX(DB_malas!$C$2:$C$5000,MATCH(I602,DB_malas!$A$2:$A$5000,0)),IF(INDEX(DB_materiali!$E$2:$E$5000,MATCH($C602,DB_materiali!$A$2:$A$5000,0))&lt;=INDEX(DB_malas!$D$2:$D$5000,MATCH(I602,DB_malas!$A$2:$A$5000,0)),IF(OR(INDEX(DB_materiali!$B$2:$B$5000,MATCH($C602,DB_materiali!$A$2:$A$5000,0))=INDEX(DB_malas!$B$2:$B$5000,MATCH(I602,DB_malas!$A$2:$A$5000,0)),$H602="ORG"),"✔",tulkojums!$A$38),tulkojums!$A$39),tulkojums!$A$39))</f>
        <v/>
      </c>
      <c r="R602" s="2" t="str">
        <f>IF(ISBLANK(J602),"",IF(INDEX(DB_materiali!$E$2:$E$5000,MATCH($C602,DB_materiali!$A$2:$A$5000,0))&gt;=INDEX(DB_malas!$C$2:$C$5000,MATCH(J602,DB_malas!$A$2:$A$5000,0)),IF(INDEX(DB_materiali!$E$2:$E$5000,MATCH($C602,DB_materiali!$A$2:$A$5000,0))&lt;=INDEX(DB_malas!$D$2:$D$5000,MATCH(J602,DB_malas!$A$2:$A$5000,0)),IF(INDEX(DB_materiali!$B$2:$B$5000,MATCH($C602,DB_materiali!$A$2:$A$5000,0))=INDEX(DB_malas!$B$2:$B$5000,MATCH(J602,DB_malas!$A$2:$A$5000,0)),"✔",tulkojums!$A$38),tulkojums!$A$39),tulkojums!$A$39))</f>
        <v/>
      </c>
      <c r="S602" s="2" t="str">
        <f>IF(ISBLANK(K602),"",IF(INDEX(DB_materiali!$E$2:$E$5000,MATCH($C602,DB_materiali!$A$2:$A$5000,0))&gt;=INDEX(DB_malas!$C$2:$C$5000,MATCH(K602,DB_malas!$A$2:$A$5000,0)),IF(INDEX(DB_materiali!$E$2:$E$5000,MATCH($C602,DB_materiali!$A$2:$A$5000,0))&lt;=INDEX(DB_malas!$D$2:$D$5000,MATCH(K602,DB_malas!$A$2:$A$5000,0)),IF(INDEX(DB_materiali!$B$2:$B$5000,MATCH($C602,DB_materiali!$A$2:$A$5000,0))=INDEX(DB_malas!$B$2:$B$5000,MATCH(K602,DB_malas!$A$2:$A$5000,0)),"✔",tulkojums!$A$38),tulkojums!$A$39),tulkojums!$A$39))</f>
        <v/>
      </c>
      <c r="T602" s="2"/>
      <c r="U602" s="2"/>
      <c r="V602" s="2"/>
      <c r="W602" s="2"/>
      <c r="X602" s="2"/>
      <c r="Y602" s="2"/>
      <c r="Z602" s="2"/>
    </row>
    <row r="603" spans="1:26" ht="15.75" customHeight="1">
      <c r="A603" s="17"/>
      <c r="B603" s="18"/>
      <c r="C603" s="19"/>
      <c r="D603" s="55"/>
      <c r="E603" s="55"/>
      <c r="F603" s="56"/>
      <c r="G603" s="57" t="str">
        <f>IF(ISBLANK(C603),"",
   IFERROR(
      IF(
         INDEX(DB_materiali!C$2:C$5000,
               MATCH(C603, DB_materiali!A$2:A$5000, 0)
         )="FALSE",
         "N",
         "Y"
      ),
   "")
)</f>
        <v/>
      </c>
      <c r="H603" s="20"/>
      <c r="I603" s="20"/>
      <c r="J603" s="20"/>
      <c r="K603" s="20"/>
      <c r="M603" s="2" t="str">
        <f>IF(ISBLANK(C603),"",IF(IFERROR(VLOOKUP(C603,DB_materiali!$A$2:$A$5000,1,FALSE),"Kļūda artikulā")=C603,"✔",tulkojums!A$42))</f>
        <v/>
      </c>
      <c r="N603" s="2" t="str">
        <f>IF(ISBLANK(C603),"",IF(ISNUMBER(F603)=TRUE,"✔",tulkojums!A$43))</f>
        <v/>
      </c>
      <c r="O603" s="2" t="str">
        <f>IF(ISBLANK(C603),"",IF(G603="Y","✔",IF(G603="X","✔",IF(G603="N","✔",tulkojums!A$44))))</f>
        <v/>
      </c>
      <c r="P603" s="2" t="str">
        <f>IF(ISBLANK(H603),"",IF(INDEX(DB_materiali!$E$2:$E$5000,MATCH($C603,DB_materiali!$A$2:$A$5000,0))&gt;=INDEX(DB_malas!$C$2:$C$5000,MATCH(H603,DB_malas!$A$2:$A$5000,0)),IF(INDEX(DB_materiali!$E$2:$E$5000,MATCH($C603,DB_materiali!$A$2:$A$5000,0))&lt;=INDEX(DB_malas!$D$2:$D$5000,MATCH(H603,DB_malas!$A$2:$A$5000,0)),IF(OR(INDEX(DB_materiali!$B$2:$B$5000,MATCH($C603,DB_materiali!$A$2:$A$5000,0))=INDEX(DB_malas!$B$2:$B$5000,MATCH(H603,DB_malas!$A$2:$A$5000,0)),$H603="ORG"),"✔",tulkojums!$A$38),tulkojums!$A$39),tulkojums!$A$39))</f>
        <v/>
      </c>
      <c r="Q603" s="2" t="str">
        <f>IF(ISBLANK(I603),"",IF(INDEX(DB_materiali!$E$2:$E$5000,MATCH($C603,DB_materiali!$A$2:$A$5000,0))&gt;=INDEX(DB_malas!$C$2:$C$5000,MATCH(I603,DB_malas!$A$2:$A$5000,0)),IF(INDEX(DB_materiali!$E$2:$E$5000,MATCH($C603,DB_materiali!$A$2:$A$5000,0))&lt;=INDEX(DB_malas!$D$2:$D$5000,MATCH(I603,DB_malas!$A$2:$A$5000,0)),IF(OR(INDEX(DB_materiali!$B$2:$B$5000,MATCH($C603,DB_materiali!$A$2:$A$5000,0))=INDEX(DB_malas!$B$2:$B$5000,MATCH(I603,DB_malas!$A$2:$A$5000,0)),$H603="ORG"),"✔",tulkojums!$A$38),tulkojums!$A$39),tulkojums!$A$39))</f>
        <v/>
      </c>
      <c r="R603" s="2" t="str">
        <f>IF(ISBLANK(J603),"",IF(INDEX(DB_materiali!$E$2:$E$5000,MATCH($C603,DB_materiali!$A$2:$A$5000,0))&gt;=INDEX(DB_malas!$C$2:$C$5000,MATCH(J603,DB_malas!$A$2:$A$5000,0)),IF(INDEX(DB_materiali!$E$2:$E$5000,MATCH($C603,DB_materiali!$A$2:$A$5000,0))&lt;=INDEX(DB_malas!$D$2:$D$5000,MATCH(J603,DB_malas!$A$2:$A$5000,0)),IF(INDEX(DB_materiali!$B$2:$B$5000,MATCH($C603,DB_materiali!$A$2:$A$5000,0))=INDEX(DB_malas!$B$2:$B$5000,MATCH(J603,DB_malas!$A$2:$A$5000,0)),"✔",tulkojums!$A$38),tulkojums!$A$39),tulkojums!$A$39))</f>
        <v/>
      </c>
      <c r="S603" s="2" t="str">
        <f>IF(ISBLANK(K603),"",IF(INDEX(DB_materiali!$E$2:$E$5000,MATCH($C603,DB_materiali!$A$2:$A$5000,0))&gt;=INDEX(DB_malas!$C$2:$C$5000,MATCH(K603,DB_malas!$A$2:$A$5000,0)),IF(INDEX(DB_materiali!$E$2:$E$5000,MATCH($C603,DB_materiali!$A$2:$A$5000,0))&lt;=INDEX(DB_malas!$D$2:$D$5000,MATCH(K603,DB_malas!$A$2:$A$5000,0)),IF(INDEX(DB_materiali!$B$2:$B$5000,MATCH($C603,DB_materiali!$A$2:$A$5000,0))=INDEX(DB_malas!$B$2:$B$5000,MATCH(K603,DB_malas!$A$2:$A$5000,0)),"✔",tulkojums!$A$38),tulkojums!$A$39),tulkojums!$A$39))</f>
        <v/>
      </c>
      <c r="T603" s="2"/>
      <c r="U603" s="2"/>
      <c r="V603" s="2"/>
      <c r="W603" s="2"/>
      <c r="X603" s="2"/>
      <c r="Y603" s="2"/>
      <c r="Z603" s="2"/>
    </row>
    <row r="604" spans="1:26" ht="15.75" customHeight="1">
      <c r="A604" s="17"/>
      <c r="B604" s="18"/>
      <c r="C604" s="19"/>
      <c r="D604" s="55"/>
      <c r="E604" s="55"/>
      <c r="F604" s="56"/>
      <c r="G604" s="57" t="str">
        <f>IF(ISBLANK(C604),"",
   IFERROR(
      IF(
         INDEX(DB_materiali!C$2:C$5000,
               MATCH(C604, DB_materiali!A$2:A$5000, 0)
         )="FALSE",
         "N",
         "Y"
      ),
   "")
)</f>
        <v/>
      </c>
      <c r="H604" s="20"/>
      <c r="I604" s="20"/>
      <c r="J604" s="20"/>
      <c r="K604" s="20"/>
      <c r="M604" s="2" t="str">
        <f>IF(ISBLANK(C604),"",IF(IFERROR(VLOOKUP(C604,DB_materiali!$A$2:$A$5000,1,FALSE),"Kļūda artikulā")=C604,"✔",tulkojums!A$42))</f>
        <v/>
      </c>
      <c r="N604" s="2" t="str">
        <f>IF(ISBLANK(C604),"",IF(ISNUMBER(F604)=TRUE,"✔",tulkojums!A$43))</f>
        <v/>
      </c>
      <c r="O604" s="2" t="str">
        <f>IF(ISBLANK(C604),"",IF(G604="Y","✔",IF(G604="X","✔",IF(G604="N","✔",tulkojums!A$44))))</f>
        <v/>
      </c>
      <c r="P604" s="2" t="str">
        <f>IF(ISBLANK(H604),"",IF(INDEX(DB_materiali!$E$2:$E$5000,MATCH($C604,DB_materiali!$A$2:$A$5000,0))&gt;=INDEX(DB_malas!$C$2:$C$5000,MATCH(H604,DB_malas!$A$2:$A$5000,0)),IF(INDEX(DB_materiali!$E$2:$E$5000,MATCH($C604,DB_materiali!$A$2:$A$5000,0))&lt;=INDEX(DB_malas!$D$2:$D$5000,MATCH(H604,DB_malas!$A$2:$A$5000,0)),IF(OR(INDEX(DB_materiali!$B$2:$B$5000,MATCH($C604,DB_materiali!$A$2:$A$5000,0))=INDEX(DB_malas!$B$2:$B$5000,MATCH(H604,DB_malas!$A$2:$A$5000,0)),$H604="ORG"),"✔",tulkojums!$A$38),tulkojums!$A$39),tulkojums!$A$39))</f>
        <v/>
      </c>
      <c r="Q604" s="2" t="str">
        <f>IF(ISBLANK(I604),"",IF(INDEX(DB_materiali!$E$2:$E$5000,MATCH($C604,DB_materiali!$A$2:$A$5000,0))&gt;=INDEX(DB_malas!$C$2:$C$5000,MATCH(I604,DB_malas!$A$2:$A$5000,0)),IF(INDEX(DB_materiali!$E$2:$E$5000,MATCH($C604,DB_materiali!$A$2:$A$5000,0))&lt;=INDEX(DB_malas!$D$2:$D$5000,MATCH(I604,DB_malas!$A$2:$A$5000,0)),IF(OR(INDEX(DB_materiali!$B$2:$B$5000,MATCH($C604,DB_materiali!$A$2:$A$5000,0))=INDEX(DB_malas!$B$2:$B$5000,MATCH(I604,DB_malas!$A$2:$A$5000,0)),$H604="ORG"),"✔",tulkojums!$A$38),tulkojums!$A$39),tulkojums!$A$39))</f>
        <v/>
      </c>
      <c r="R604" s="2" t="str">
        <f>IF(ISBLANK(J604),"",IF(INDEX(DB_materiali!$E$2:$E$5000,MATCH($C604,DB_materiali!$A$2:$A$5000,0))&gt;=INDEX(DB_malas!$C$2:$C$5000,MATCH(J604,DB_malas!$A$2:$A$5000,0)),IF(INDEX(DB_materiali!$E$2:$E$5000,MATCH($C604,DB_materiali!$A$2:$A$5000,0))&lt;=INDEX(DB_malas!$D$2:$D$5000,MATCH(J604,DB_malas!$A$2:$A$5000,0)),IF(INDEX(DB_materiali!$B$2:$B$5000,MATCH($C604,DB_materiali!$A$2:$A$5000,0))=INDEX(DB_malas!$B$2:$B$5000,MATCH(J604,DB_malas!$A$2:$A$5000,0)),"✔",tulkojums!$A$38),tulkojums!$A$39),tulkojums!$A$39))</f>
        <v/>
      </c>
      <c r="S604" s="2" t="str">
        <f>IF(ISBLANK(K604),"",IF(INDEX(DB_materiali!$E$2:$E$5000,MATCH($C604,DB_materiali!$A$2:$A$5000,0))&gt;=INDEX(DB_malas!$C$2:$C$5000,MATCH(K604,DB_malas!$A$2:$A$5000,0)),IF(INDEX(DB_materiali!$E$2:$E$5000,MATCH($C604,DB_materiali!$A$2:$A$5000,0))&lt;=INDEX(DB_malas!$D$2:$D$5000,MATCH(K604,DB_malas!$A$2:$A$5000,0)),IF(INDEX(DB_materiali!$B$2:$B$5000,MATCH($C604,DB_materiali!$A$2:$A$5000,0))=INDEX(DB_malas!$B$2:$B$5000,MATCH(K604,DB_malas!$A$2:$A$5000,0)),"✔",tulkojums!$A$38),tulkojums!$A$39),tulkojums!$A$39))</f>
        <v/>
      </c>
      <c r="T604" s="2"/>
      <c r="U604" s="2"/>
      <c r="V604" s="2"/>
      <c r="W604" s="2"/>
      <c r="X604" s="2"/>
      <c r="Y604" s="2"/>
      <c r="Z604" s="2"/>
    </row>
    <row r="605" spans="1:26" ht="15.75" customHeight="1">
      <c r="A605" s="17"/>
      <c r="B605" s="18"/>
      <c r="C605" s="19"/>
      <c r="D605" s="55"/>
      <c r="E605" s="55"/>
      <c r="F605" s="56"/>
      <c r="G605" s="57" t="str">
        <f>IF(ISBLANK(C605),"",
   IFERROR(
      IF(
         INDEX(DB_materiali!C$2:C$5000,
               MATCH(C605, DB_materiali!A$2:A$5000, 0)
         )="FALSE",
         "N",
         "Y"
      ),
   "")
)</f>
        <v/>
      </c>
      <c r="H605" s="20"/>
      <c r="I605" s="20"/>
      <c r="J605" s="20"/>
      <c r="K605" s="20"/>
      <c r="M605" s="2" t="str">
        <f>IF(ISBLANK(C605),"",IF(IFERROR(VLOOKUP(C605,DB_materiali!$A$2:$A$5000,1,FALSE),"Kļūda artikulā")=C605,"✔",tulkojums!A$42))</f>
        <v/>
      </c>
      <c r="N605" s="2" t="str">
        <f>IF(ISBLANK(C605),"",IF(ISNUMBER(F605)=TRUE,"✔",tulkojums!A$43))</f>
        <v/>
      </c>
      <c r="O605" s="2" t="str">
        <f>IF(ISBLANK(C605),"",IF(G605="Y","✔",IF(G605="X","✔",IF(G605="N","✔",tulkojums!A$44))))</f>
        <v/>
      </c>
      <c r="P605" s="2" t="str">
        <f>IF(ISBLANK(H605),"",IF(INDEX(DB_materiali!$E$2:$E$5000,MATCH($C605,DB_materiali!$A$2:$A$5000,0))&gt;=INDEX(DB_malas!$C$2:$C$5000,MATCH(H605,DB_malas!$A$2:$A$5000,0)),IF(INDEX(DB_materiali!$E$2:$E$5000,MATCH($C605,DB_materiali!$A$2:$A$5000,0))&lt;=INDEX(DB_malas!$D$2:$D$5000,MATCH(H605,DB_malas!$A$2:$A$5000,0)),IF(OR(INDEX(DB_materiali!$B$2:$B$5000,MATCH($C605,DB_materiali!$A$2:$A$5000,0))=INDEX(DB_malas!$B$2:$B$5000,MATCH(H605,DB_malas!$A$2:$A$5000,0)),$H605="ORG"),"✔",tulkojums!$A$38),tulkojums!$A$39),tulkojums!$A$39))</f>
        <v/>
      </c>
      <c r="Q605" s="2" t="str">
        <f>IF(ISBLANK(I605),"",IF(INDEX(DB_materiali!$E$2:$E$5000,MATCH($C605,DB_materiali!$A$2:$A$5000,0))&gt;=INDEX(DB_malas!$C$2:$C$5000,MATCH(I605,DB_malas!$A$2:$A$5000,0)),IF(INDEX(DB_materiali!$E$2:$E$5000,MATCH($C605,DB_materiali!$A$2:$A$5000,0))&lt;=INDEX(DB_malas!$D$2:$D$5000,MATCH(I605,DB_malas!$A$2:$A$5000,0)),IF(OR(INDEX(DB_materiali!$B$2:$B$5000,MATCH($C605,DB_materiali!$A$2:$A$5000,0))=INDEX(DB_malas!$B$2:$B$5000,MATCH(I605,DB_malas!$A$2:$A$5000,0)),$H605="ORG"),"✔",tulkojums!$A$38),tulkojums!$A$39),tulkojums!$A$39))</f>
        <v/>
      </c>
      <c r="R605" s="2" t="str">
        <f>IF(ISBLANK(J605),"",IF(INDEX(DB_materiali!$E$2:$E$5000,MATCH($C605,DB_materiali!$A$2:$A$5000,0))&gt;=INDEX(DB_malas!$C$2:$C$5000,MATCH(J605,DB_malas!$A$2:$A$5000,0)),IF(INDEX(DB_materiali!$E$2:$E$5000,MATCH($C605,DB_materiali!$A$2:$A$5000,0))&lt;=INDEX(DB_malas!$D$2:$D$5000,MATCH(J605,DB_malas!$A$2:$A$5000,0)),IF(INDEX(DB_materiali!$B$2:$B$5000,MATCH($C605,DB_materiali!$A$2:$A$5000,0))=INDEX(DB_malas!$B$2:$B$5000,MATCH(J605,DB_malas!$A$2:$A$5000,0)),"✔",tulkojums!$A$38),tulkojums!$A$39),tulkojums!$A$39))</f>
        <v/>
      </c>
      <c r="S605" s="2" t="str">
        <f>IF(ISBLANK(K605),"",IF(INDEX(DB_materiali!$E$2:$E$5000,MATCH($C605,DB_materiali!$A$2:$A$5000,0))&gt;=INDEX(DB_malas!$C$2:$C$5000,MATCH(K605,DB_malas!$A$2:$A$5000,0)),IF(INDEX(DB_materiali!$E$2:$E$5000,MATCH($C605,DB_materiali!$A$2:$A$5000,0))&lt;=INDEX(DB_malas!$D$2:$D$5000,MATCH(K605,DB_malas!$A$2:$A$5000,0)),IF(INDEX(DB_materiali!$B$2:$B$5000,MATCH($C605,DB_materiali!$A$2:$A$5000,0))=INDEX(DB_malas!$B$2:$B$5000,MATCH(K605,DB_malas!$A$2:$A$5000,0)),"✔",tulkojums!$A$38),tulkojums!$A$39),tulkojums!$A$39))</f>
        <v/>
      </c>
      <c r="T605" s="2"/>
      <c r="U605" s="2"/>
      <c r="V605" s="2"/>
      <c r="W605" s="2"/>
      <c r="X605" s="2"/>
      <c r="Y605" s="2"/>
      <c r="Z605" s="2"/>
    </row>
    <row r="606" spans="1:26" ht="15.75" customHeight="1">
      <c r="A606" s="17"/>
      <c r="B606" s="18"/>
      <c r="C606" s="19"/>
      <c r="D606" s="55"/>
      <c r="E606" s="55"/>
      <c r="F606" s="56"/>
      <c r="G606" s="57" t="str">
        <f>IF(ISBLANK(C606),"",
   IFERROR(
      IF(
         INDEX(DB_materiali!C$2:C$5000,
               MATCH(C606, DB_materiali!A$2:A$5000, 0)
         )="FALSE",
         "N",
         "Y"
      ),
   "")
)</f>
        <v/>
      </c>
      <c r="H606" s="20"/>
      <c r="I606" s="20"/>
      <c r="J606" s="20"/>
      <c r="K606" s="20"/>
      <c r="M606" s="2" t="str">
        <f>IF(ISBLANK(C606),"",IF(IFERROR(VLOOKUP(C606,DB_materiali!$A$2:$A$5000,1,FALSE),"Kļūda artikulā")=C606,"✔",tulkojums!A$42))</f>
        <v/>
      </c>
      <c r="N606" s="2" t="str">
        <f>IF(ISBLANK(C606),"",IF(ISNUMBER(F606)=TRUE,"✔",tulkojums!A$43))</f>
        <v/>
      </c>
      <c r="O606" s="2" t="str">
        <f>IF(ISBLANK(C606),"",IF(G606="Y","✔",IF(G606="X","✔",IF(G606="N","✔",tulkojums!A$44))))</f>
        <v/>
      </c>
      <c r="P606" s="2" t="str">
        <f>IF(ISBLANK(H606),"",IF(INDEX(DB_materiali!$E$2:$E$5000,MATCH($C606,DB_materiali!$A$2:$A$5000,0))&gt;=INDEX(DB_malas!$C$2:$C$5000,MATCH(H606,DB_malas!$A$2:$A$5000,0)),IF(INDEX(DB_materiali!$E$2:$E$5000,MATCH($C606,DB_materiali!$A$2:$A$5000,0))&lt;=INDEX(DB_malas!$D$2:$D$5000,MATCH(H606,DB_malas!$A$2:$A$5000,0)),IF(OR(INDEX(DB_materiali!$B$2:$B$5000,MATCH($C606,DB_materiali!$A$2:$A$5000,0))=INDEX(DB_malas!$B$2:$B$5000,MATCH(H606,DB_malas!$A$2:$A$5000,0)),$H606="ORG"),"✔",tulkojums!$A$38),tulkojums!$A$39),tulkojums!$A$39))</f>
        <v/>
      </c>
      <c r="Q606" s="2" t="str">
        <f>IF(ISBLANK(I606),"",IF(INDEX(DB_materiali!$E$2:$E$5000,MATCH($C606,DB_materiali!$A$2:$A$5000,0))&gt;=INDEX(DB_malas!$C$2:$C$5000,MATCH(I606,DB_malas!$A$2:$A$5000,0)),IF(INDEX(DB_materiali!$E$2:$E$5000,MATCH($C606,DB_materiali!$A$2:$A$5000,0))&lt;=INDEX(DB_malas!$D$2:$D$5000,MATCH(I606,DB_malas!$A$2:$A$5000,0)),IF(OR(INDEX(DB_materiali!$B$2:$B$5000,MATCH($C606,DB_materiali!$A$2:$A$5000,0))=INDEX(DB_malas!$B$2:$B$5000,MATCH(I606,DB_malas!$A$2:$A$5000,0)),$H606="ORG"),"✔",tulkojums!$A$38),tulkojums!$A$39),tulkojums!$A$39))</f>
        <v/>
      </c>
      <c r="R606" s="2" t="str">
        <f>IF(ISBLANK(J606),"",IF(INDEX(DB_materiali!$E$2:$E$5000,MATCH($C606,DB_materiali!$A$2:$A$5000,0))&gt;=INDEX(DB_malas!$C$2:$C$5000,MATCH(J606,DB_malas!$A$2:$A$5000,0)),IF(INDEX(DB_materiali!$E$2:$E$5000,MATCH($C606,DB_materiali!$A$2:$A$5000,0))&lt;=INDEX(DB_malas!$D$2:$D$5000,MATCH(J606,DB_malas!$A$2:$A$5000,0)),IF(INDEX(DB_materiali!$B$2:$B$5000,MATCH($C606,DB_materiali!$A$2:$A$5000,0))=INDEX(DB_malas!$B$2:$B$5000,MATCH(J606,DB_malas!$A$2:$A$5000,0)),"✔",tulkojums!$A$38),tulkojums!$A$39),tulkojums!$A$39))</f>
        <v/>
      </c>
      <c r="S606" s="2" t="str">
        <f>IF(ISBLANK(K606),"",IF(INDEX(DB_materiali!$E$2:$E$5000,MATCH($C606,DB_materiali!$A$2:$A$5000,0))&gt;=INDEX(DB_malas!$C$2:$C$5000,MATCH(K606,DB_malas!$A$2:$A$5000,0)),IF(INDEX(DB_materiali!$E$2:$E$5000,MATCH($C606,DB_materiali!$A$2:$A$5000,0))&lt;=INDEX(DB_malas!$D$2:$D$5000,MATCH(K606,DB_malas!$A$2:$A$5000,0)),IF(INDEX(DB_materiali!$B$2:$B$5000,MATCH($C606,DB_materiali!$A$2:$A$5000,0))=INDEX(DB_malas!$B$2:$B$5000,MATCH(K606,DB_malas!$A$2:$A$5000,0)),"✔",tulkojums!$A$38),tulkojums!$A$39),tulkojums!$A$39))</f>
        <v/>
      </c>
      <c r="T606" s="2"/>
      <c r="U606" s="2"/>
      <c r="V606" s="2"/>
      <c r="W606" s="2"/>
      <c r="X606" s="2"/>
      <c r="Y606" s="2"/>
      <c r="Z606" s="2"/>
    </row>
    <row r="607" spans="1:26" ht="15.75" customHeight="1">
      <c r="A607" s="17"/>
      <c r="B607" s="18"/>
      <c r="C607" s="19"/>
      <c r="D607" s="55"/>
      <c r="E607" s="55"/>
      <c r="F607" s="56"/>
      <c r="G607" s="57" t="str">
        <f>IF(ISBLANK(C607),"",
   IFERROR(
      IF(
         INDEX(DB_materiali!C$2:C$5000,
               MATCH(C607, DB_materiali!A$2:A$5000, 0)
         )="FALSE",
         "N",
         "Y"
      ),
   "")
)</f>
        <v/>
      </c>
      <c r="H607" s="20"/>
      <c r="I607" s="20"/>
      <c r="J607" s="20"/>
      <c r="K607" s="20"/>
      <c r="M607" s="2" t="str">
        <f>IF(ISBLANK(C607),"",IF(IFERROR(VLOOKUP(C607,DB_materiali!$A$2:$A$5000,1,FALSE),"Kļūda artikulā")=C607,"✔",tulkojums!A$42))</f>
        <v/>
      </c>
      <c r="N607" s="2" t="str">
        <f>IF(ISBLANK(C607),"",IF(ISNUMBER(F607)=TRUE,"✔",tulkojums!A$43))</f>
        <v/>
      </c>
      <c r="O607" s="2" t="str">
        <f>IF(ISBLANK(C607),"",IF(G607="Y","✔",IF(G607="X","✔",IF(G607="N","✔",tulkojums!A$44))))</f>
        <v/>
      </c>
      <c r="P607" s="2" t="str">
        <f>IF(ISBLANK(H607),"",IF(INDEX(DB_materiali!$E$2:$E$5000,MATCH($C607,DB_materiali!$A$2:$A$5000,0))&gt;=INDEX(DB_malas!$C$2:$C$5000,MATCH(H607,DB_malas!$A$2:$A$5000,0)),IF(INDEX(DB_materiali!$E$2:$E$5000,MATCH($C607,DB_materiali!$A$2:$A$5000,0))&lt;=INDEX(DB_malas!$D$2:$D$5000,MATCH(H607,DB_malas!$A$2:$A$5000,0)),IF(OR(INDEX(DB_materiali!$B$2:$B$5000,MATCH($C607,DB_materiali!$A$2:$A$5000,0))=INDEX(DB_malas!$B$2:$B$5000,MATCH(H607,DB_malas!$A$2:$A$5000,0)),$H607="ORG"),"✔",tulkojums!$A$38),tulkojums!$A$39),tulkojums!$A$39))</f>
        <v/>
      </c>
      <c r="Q607" s="2" t="str">
        <f>IF(ISBLANK(I607),"",IF(INDEX(DB_materiali!$E$2:$E$5000,MATCH($C607,DB_materiali!$A$2:$A$5000,0))&gt;=INDEX(DB_malas!$C$2:$C$5000,MATCH(I607,DB_malas!$A$2:$A$5000,0)),IF(INDEX(DB_materiali!$E$2:$E$5000,MATCH($C607,DB_materiali!$A$2:$A$5000,0))&lt;=INDEX(DB_malas!$D$2:$D$5000,MATCH(I607,DB_malas!$A$2:$A$5000,0)),IF(OR(INDEX(DB_materiali!$B$2:$B$5000,MATCH($C607,DB_materiali!$A$2:$A$5000,0))=INDEX(DB_malas!$B$2:$B$5000,MATCH(I607,DB_malas!$A$2:$A$5000,0)),$H607="ORG"),"✔",tulkojums!$A$38),tulkojums!$A$39),tulkojums!$A$39))</f>
        <v/>
      </c>
      <c r="R607" s="2" t="str">
        <f>IF(ISBLANK(J607),"",IF(INDEX(DB_materiali!$E$2:$E$5000,MATCH($C607,DB_materiali!$A$2:$A$5000,0))&gt;=INDEX(DB_malas!$C$2:$C$5000,MATCH(J607,DB_malas!$A$2:$A$5000,0)),IF(INDEX(DB_materiali!$E$2:$E$5000,MATCH($C607,DB_materiali!$A$2:$A$5000,0))&lt;=INDEX(DB_malas!$D$2:$D$5000,MATCH(J607,DB_malas!$A$2:$A$5000,0)),IF(INDEX(DB_materiali!$B$2:$B$5000,MATCH($C607,DB_materiali!$A$2:$A$5000,0))=INDEX(DB_malas!$B$2:$B$5000,MATCH(J607,DB_malas!$A$2:$A$5000,0)),"✔",tulkojums!$A$38),tulkojums!$A$39),tulkojums!$A$39))</f>
        <v/>
      </c>
      <c r="S607" s="2" t="str">
        <f>IF(ISBLANK(K607),"",IF(INDEX(DB_materiali!$E$2:$E$5000,MATCH($C607,DB_materiali!$A$2:$A$5000,0))&gt;=INDEX(DB_malas!$C$2:$C$5000,MATCH(K607,DB_malas!$A$2:$A$5000,0)),IF(INDEX(DB_materiali!$E$2:$E$5000,MATCH($C607,DB_materiali!$A$2:$A$5000,0))&lt;=INDEX(DB_malas!$D$2:$D$5000,MATCH(K607,DB_malas!$A$2:$A$5000,0)),IF(INDEX(DB_materiali!$B$2:$B$5000,MATCH($C607,DB_materiali!$A$2:$A$5000,0))=INDEX(DB_malas!$B$2:$B$5000,MATCH(K607,DB_malas!$A$2:$A$5000,0)),"✔",tulkojums!$A$38),tulkojums!$A$39),tulkojums!$A$39))</f>
        <v/>
      </c>
      <c r="T607" s="2"/>
      <c r="U607" s="2"/>
      <c r="V607" s="2"/>
      <c r="W607" s="2"/>
      <c r="X607" s="2"/>
      <c r="Y607" s="2"/>
      <c r="Z607" s="2"/>
    </row>
    <row r="608" spans="1:26" ht="15.75" customHeight="1">
      <c r="A608" s="17"/>
      <c r="B608" s="18"/>
      <c r="C608" s="19"/>
      <c r="D608" s="55"/>
      <c r="E608" s="55"/>
      <c r="F608" s="56"/>
      <c r="G608" s="57" t="str">
        <f>IF(ISBLANK(C608),"",
   IFERROR(
      IF(
         INDEX(DB_materiali!C$2:C$5000,
               MATCH(C608, DB_materiali!A$2:A$5000, 0)
         )="FALSE",
         "N",
         "Y"
      ),
   "")
)</f>
        <v/>
      </c>
      <c r="H608" s="20"/>
      <c r="I608" s="20"/>
      <c r="J608" s="20"/>
      <c r="K608" s="20"/>
      <c r="M608" s="2" t="str">
        <f>IF(ISBLANK(C608),"",IF(IFERROR(VLOOKUP(C608,DB_materiali!$A$2:$A$5000,1,FALSE),"Kļūda artikulā")=C608,"✔",tulkojums!A$42))</f>
        <v/>
      </c>
      <c r="N608" s="2" t="str">
        <f>IF(ISBLANK(C608),"",IF(ISNUMBER(F608)=TRUE,"✔",tulkojums!A$43))</f>
        <v/>
      </c>
      <c r="O608" s="2" t="str">
        <f>IF(ISBLANK(C608),"",IF(G608="Y","✔",IF(G608="X","✔",IF(G608="N","✔",tulkojums!A$44))))</f>
        <v/>
      </c>
      <c r="P608" s="2" t="str">
        <f>IF(ISBLANK(H608),"",IF(INDEX(DB_materiali!$E$2:$E$5000,MATCH($C608,DB_materiali!$A$2:$A$5000,0))&gt;=INDEX(DB_malas!$C$2:$C$5000,MATCH(H608,DB_malas!$A$2:$A$5000,0)),IF(INDEX(DB_materiali!$E$2:$E$5000,MATCH($C608,DB_materiali!$A$2:$A$5000,0))&lt;=INDEX(DB_malas!$D$2:$D$5000,MATCH(H608,DB_malas!$A$2:$A$5000,0)),IF(OR(INDEX(DB_materiali!$B$2:$B$5000,MATCH($C608,DB_materiali!$A$2:$A$5000,0))=INDEX(DB_malas!$B$2:$B$5000,MATCH(H608,DB_malas!$A$2:$A$5000,0)),$H608="ORG"),"✔",tulkojums!$A$38),tulkojums!$A$39),tulkojums!$A$39))</f>
        <v/>
      </c>
      <c r="Q608" s="2" t="str">
        <f>IF(ISBLANK(I608),"",IF(INDEX(DB_materiali!$E$2:$E$5000,MATCH($C608,DB_materiali!$A$2:$A$5000,0))&gt;=INDEX(DB_malas!$C$2:$C$5000,MATCH(I608,DB_malas!$A$2:$A$5000,0)),IF(INDEX(DB_materiali!$E$2:$E$5000,MATCH($C608,DB_materiali!$A$2:$A$5000,0))&lt;=INDEX(DB_malas!$D$2:$D$5000,MATCH(I608,DB_malas!$A$2:$A$5000,0)),IF(OR(INDEX(DB_materiali!$B$2:$B$5000,MATCH($C608,DB_materiali!$A$2:$A$5000,0))=INDEX(DB_malas!$B$2:$B$5000,MATCH(I608,DB_malas!$A$2:$A$5000,0)),$H608="ORG"),"✔",tulkojums!$A$38),tulkojums!$A$39),tulkojums!$A$39))</f>
        <v/>
      </c>
      <c r="R608" s="2" t="str">
        <f>IF(ISBLANK(J608),"",IF(INDEX(DB_materiali!$E$2:$E$5000,MATCH($C608,DB_materiali!$A$2:$A$5000,0))&gt;=INDEX(DB_malas!$C$2:$C$5000,MATCH(J608,DB_malas!$A$2:$A$5000,0)),IF(INDEX(DB_materiali!$E$2:$E$5000,MATCH($C608,DB_materiali!$A$2:$A$5000,0))&lt;=INDEX(DB_malas!$D$2:$D$5000,MATCH(J608,DB_malas!$A$2:$A$5000,0)),IF(INDEX(DB_materiali!$B$2:$B$5000,MATCH($C608,DB_materiali!$A$2:$A$5000,0))=INDEX(DB_malas!$B$2:$B$5000,MATCH(J608,DB_malas!$A$2:$A$5000,0)),"✔",tulkojums!$A$38),tulkojums!$A$39),tulkojums!$A$39))</f>
        <v/>
      </c>
      <c r="S608" s="2" t="str">
        <f>IF(ISBLANK(K608),"",IF(INDEX(DB_materiali!$E$2:$E$5000,MATCH($C608,DB_materiali!$A$2:$A$5000,0))&gt;=INDEX(DB_malas!$C$2:$C$5000,MATCH(K608,DB_malas!$A$2:$A$5000,0)),IF(INDEX(DB_materiali!$E$2:$E$5000,MATCH($C608,DB_materiali!$A$2:$A$5000,0))&lt;=INDEX(DB_malas!$D$2:$D$5000,MATCH(K608,DB_malas!$A$2:$A$5000,0)),IF(INDEX(DB_materiali!$B$2:$B$5000,MATCH($C608,DB_materiali!$A$2:$A$5000,0))=INDEX(DB_malas!$B$2:$B$5000,MATCH(K608,DB_malas!$A$2:$A$5000,0)),"✔",tulkojums!$A$38),tulkojums!$A$39),tulkojums!$A$39))</f>
        <v/>
      </c>
      <c r="T608" s="2"/>
      <c r="U608" s="2"/>
      <c r="V608" s="2"/>
      <c r="W608" s="2"/>
      <c r="X608" s="2"/>
      <c r="Y608" s="2"/>
      <c r="Z608" s="2"/>
    </row>
    <row r="609" spans="1:26" ht="15.75" customHeight="1">
      <c r="A609" s="17"/>
      <c r="B609" s="18"/>
      <c r="C609" s="19"/>
      <c r="D609" s="55"/>
      <c r="E609" s="55"/>
      <c r="F609" s="56"/>
      <c r="G609" s="57" t="str">
        <f>IF(ISBLANK(C609),"",
   IFERROR(
      IF(
         INDEX(DB_materiali!C$2:C$5000,
               MATCH(C609, DB_materiali!A$2:A$5000, 0)
         )="FALSE",
         "N",
         "Y"
      ),
   "")
)</f>
        <v/>
      </c>
      <c r="H609" s="20"/>
      <c r="I609" s="20"/>
      <c r="J609" s="20"/>
      <c r="K609" s="20"/>
      <c r="M609" s="2" t="str">
        <f>IF(ISBLANK(C609),"",IF(IFERROR(VLOOKUP(C609,DB_materiali!$A$2:$A$5000,1,FALSE),"Kļūda artikulā")=C609,"✔",tulkojums!A$42))</f>
        <v/>
      </c>
      <c r="N609" s="2" t="str">
        <f>IF(ISBLANK(C609),"",IF(ISNUMBER(F609)=TRUE,"✔",tulkojums!A$43))</f>
        <v/>
      </c>
      <c r="O609" s="2" t="str">
        <f>IF(ISBLANK(C609),"",IF(G609="Y","✔",IF(G609="X","✔",IF(G609="N","✔",tulkojums!A$44))))</f>
        <v/>
      </c>
      <c r="P609" s="2" t="str">
        <f>IF(ISBLANK(H609),"",IF(INDEX(DB_materiali!$E$2:$E$5000,MATCH($C609,DB_materiali!$A$2:$A$5000,0))&gt;=INDEX(DB_malas!$C$2:$C$5000,MATCH(H609,DB_malas!$A$2:$A$5000,0)),IF(INDEX(DB_materiali!$E$2:$E$5000,MATCH($C609,DB_materiali!$A$2:$A$5000,0))&lt;=INDEX(DB_malas!$D$2:$D$5000,MATCH(H609,DB_malas!$A$2:$A$5000,0)),IF(OR(INDEX(DB_materiali!$B$2:$B$5000,MATCH($C609,DB_materiali!$A$2:$A$5000,0))=INDEX(DB_malas!$B$2:$B$5000,MATCH(H609,DB_malas!$A$2:$A$5000,0)),$H609="ORG"),"✔",tulkojums!$A$38),tulkojums!$A$39),tulkojums!$A$39))</f>
        <v/>
      </c>
      <c r="Q609" s="2" t="str">
        <f>IF(ISBLANK(I609),"",IF(INDEX(DB_materiali!$E$2:$E$5000,MATCH($C609,DB_materiali!$A$2:$A$5000,0))&gt;=INDEX(DB_malas!$C$2:$C$5000,MATCH(I609,DB_malas!$A$2:$A$5000,0)),IF(INDEX(DB_materiali!$E$2:$E$5000,MATCH($C609,DB_materiali!$A$2:$A$5000,0))&lt;=INDEX(DB_malas!$D$2:$D$5000,MATCH(I609,DB_malas!$A$2:$A$5000,0)),IF(OR(INDEX(DB_materiali!$B$2:$B$5000,MATCH($C609,DB_materiali!$A$2:$A$5000,0))=INDEX(DB_malas!$B$2:$B$5000,MATCH(I609,DB_malas!$A$2:$A$5000,0)),$H609="ORG"),"✔",tulkojums!$A$38),tulkojums!$A$39),tulkojums!$A$39))</f>
        <v/>
      </c>
      <c r="R609" s="2" t="str">
        <f>IF(ISBLANK(J609),"",IF(INDEX(DB_materiali!$E$2:$E$5000,MATCH($C609,DB_materiali!$A$2:$A$5000,0))&gt;=INDEX(DB_malas!$C$2:$C$5000,MATCH(J609,DB_malas!$A$2:$A$5000,0)),IF(INDEX(DB_materiali!$E$2:$E$5000,MATCH($C609,DB_materiali!$A$2:$A$5000,0))&lt;=INDEX(DB_malas!$D$2:$D$5000,MATCH(J609,DB_malas!$A$2:$A$5000,0)),IF(INDEX(DB_materiali!$B$2:$B$5000,MATCH($C609,DB_materiali!$A$2:$A$5000,0))=INDEX(DB_malas!$B$2:$B$5000,MATCH(J609,DB_malas!$A$2:$A$5000,0)),"✔",tulkojums!$A$38),tulkojums!$A$39),tulkojums!$A$39))</f>
        <v/>
      </c>
      <c r="S609" s="2" t="str">
        <f>IF(ISBLANK(K609),"",IF(INDEX(DB_materiali!$E$2:$E$5000,MATCH($C609,DB_materiali!$A$2:$A$5000,0))&gt;=INDEX(DB_malas!$C$2:$C$5000,MATCH(K609,DB_malas!$A$2:$A$5000,0)),IF(INDEX(DB_materiali!$E$2:$E$5000,MATCH($C609,DB_materiali!$A$2:$A$5000,0))&lt;=INDEX(DB_malas!$D$2:$D$5000,MATCH(K609,DB_malas!$A$2:$A$5000,0)),IF(INDEX(DB_materiali!$B$2:$B$5000,MATCH($C609,DB_materiali!$A$2:$A$5000,0))=INDEX(DB_malas!$B$2:$B$5000,MATCH(K609,DB_malas!$A$2:$A$5000,0)),"✔",tulkojums!$A$38),tulkojums!$A$39),tulkojums!$A$39))</f>
        <v/>
      </c>
      <c r="T609" s="2"/>
      <c r="U609" s="2"/>
      <c r="V609" s="2"/>
      <c r="W609" s="2"/>
      <c r="X609" s="2"/>
      <c r="Y609" s="2"/>
      <c r="Z609" s="2"/>
    </row>
    <row r="610" spans="1:26" ht="15.75" customHeight="1">
      <c r="A610" s="17"/>
      <c r="B610" s="18"/>
      <c r="C610" s="19"/>
      <c r="D610" s="55"/>
      <c r="E610" s="55"/>
      <c r="F610" s="56"/>
      <c r="G610" s="57" t="str">
        <f>IF(ISBLANK(C610),"",
   IFERROR(
      IF(
         INDEX(DB_materiali!C$2:C$5000,
               MATCH(C610, DB_materiali!A$2:A$5000, 0)
         )="FALSE",
         "N",
         "Y"
      ),
   "")
)</f>
        <v/>
      </c>
      <c r="H610" s="20"/>
      <c r="I610" s="20"/>
      <c r="J610" s="20"/>
      <c r="K610" s="20"/>
      <c r="M610" s="2" t="str">
        <f>IF(ISBLANK(C610),"",IF(IFERROR(VLOOKUP(C610,DB_materiali!$A$2:$A$5000,1,FALSE),"Kļūda artikulā")=C610,"✔",tulkojums!A$42))</f>
        <v/>
      </c>
      <c r="N610" s="2" t="str">
        <f>IF(ISBLANK(C610),"",IF(ISNUMBER(F610)=TRUE,"✔",tulkojums!A$43))</f>
        <v/>
      </c>
      <c r="O610" s="2" t="str">
        <f>IF(ISBLANK(C610),"",IF(G610="Y","✔",IF(G610="X","✔",IF(G610="N","✔",tulkojums!A$44))))</f>
        <v/>
      </c>
      <c r="P610" s="2" t="str">
        <f>IF(ISBLANK(H610),"",IF(INDEX(DB_materiali!$E$2:$E$5000,MATCH($C610,DB_materiali!$A$2:$A$5000,0))&gt;=INDEX(DB_malas!$C$2:$C$5000,MATCH(H610,DB_malas!$A$2:$A$5000,0)),IF(INDEX(DB_materiali!$E$2:$E$5000,MATCH($C610,DB_materiali!$A$2:$A$5000,0))&lt;=INDEX(DB_malas!$D$2:$D$5000,MATCH(H610,DB_malas!$A$2:$A$5000,0)),IF(OR(INDEX(DB_materiali!$B$2:$B$5000,MATCH($C610,DB_materiali!$A$2:$A$5000,0))=INDEX(DB_malas!$B$2:$B$5000,MATCH(H610,DB_malas!$A$2:$A$5000,0)),$H610="ORG"),"✔",tulkojums!$A$38),tulkojums!$A$39),tulkojums!$A$39))</f>
        <v/>
      </c>
      <c r="Q610" s="2" t="str">
        <f>IF(ISBLANK(I610),"",IF(INDEX(DB_materiali!$E$2:$E$5000,MATCH($C610,DB_materiali!$A$2:$A$5000,0))&gt;=INDEX(DB_malas!$C$2:$C$5000,MATCH(I610,DB_malas!$A$2:$A$5000,0)),IF(INDEX(DB_materiali!$E$2:$E$5000,MATCH($C610,DB_materiali!$A$2:$A$5000,0))&lt;=INDEX(DB_malas!$D$2:$D$5000,MATCH(I610,DB_malas!$A$2:$A$5000,0)),IF(OR(INDEX(DB_materiali!$B$2:$B$5000,MATCH($C610,DB_materiali!$A$2:$A$5000,0))=INDEX(DB_malas!$B$2:$B$5000,MATCH(I610,DB_malas!$A$2:$A$5000,0)),$H610="ORG"),"✔",tulkojums!$A$38),tulkojums!$A$39),tulkojums!$A$39))</f>
        <v/>
      </c>
      <c r="R610" s="2" t="str">
        <f>IF(ISBLANK(J610),"",IF(INDEX(DB_materiali!$E$2:$E$5000,MATCH($C610,DB_materiali!$A$2:$A$5000,0))&gt;=INDEX(DB_malas!$C$2:$C$5000,MATCH(J610,DB_malas!$A$2:$A$5000,0)),IF(INDEX(DB_materiali!$E$2:$E$5000,MATCH($C610,DB_materiali!$A$2:$A$5000,0))&lt;=INDEX(DB_malas!$D$2:$D$5000,MATCH(J610,DB_malas!$A$2:$A$5000,0)),IF(INDEX(DB_materiali!$B$2:$B$5000,MATCH($C610,DB_materiali!$A$2:$A$5000,0))=INDEX(DB_malas!$B$2:$B$5000,MATCH(J610,DB_malas!$A$2:$A$5000,0)),"✔",tulkojums!$A$38),tulkojums!$A$39),tulkojums!$A$39))</f>
        <v/>
      </c>
      <c r="S610" s="2" t="str">
        <f>IF(ISBLANK(K610),"",IF(INDEX(DB_materiali!$E$2:$E$5000,MATCH($C610,DB_materiali!$A$2:$A$5000,0))&gt;=INDEX(DB_malas!$C$2:$C$5000,MATCH(K610,DB_malas!$A$2:$A$5000,0)),IF(INDEX(DB_materiali!$E$2:$E$5000,MATCH($C610,DB_materiali!$A$2:$A$5000,0))&lt;=INDEX(DB_malas!$D$2:$D$5000,MATCH(K610,DB_malas!$A$2:$A$5000,0)),IF(INDEX(DB_materiali!$B$2:$B$5000,MATCH($C610,DB_materiali!$A$2:$A$5000,0))=INDEX(DB_malas!$B$2:$B$5000,MATCH(K610,DB_malas!$A$2:$A$5000,0)),"✔",tulkojums!$A$38),tulkojums!$A$39),tulkojums!$A$39))</f>
        <v/>
      </c>
      <c r="T610" s="2"/>
      <c r="U610" s="2"/>
      <c r="V610" s="2"/>
      <c r="W610" s="2"/>
      <c r="X610" s="2"/>
      <c r="Y610" s="2"/>
      <c r="Z610" s="2"/>
    </row>
    <row r="611" spans="1:26" ht="15.75" customHeight="1">
      <c r="A611" s="17"/>
      <c r="B611" s="18"/>
      <c r="C611" s="19"/>
      <c r="D611" s="55"/>
      <c r="E611" s="55"/>
      <c r="F611" s="56"/>
      <c r="G611" s="57" t="str">
        <f>IF(ISBLANK(C611),"",
   IFERROR(
      IF(
         INDEX(DB_materiali!C$2:C$5000,
               MATCH(C611, DB_materiali!A$2:A$5000, 0)
         )="FALSE",
         "N",
         "Y"
      ),
   "")
)</f>
        <v/>
      </c>
      <c r="H611" s="20"/>
      <c r="I611" s="20"/>
      <c r="J611" s="20"/>
      <c r="K611" s="20"/>
      <c r="M611" s="2" t="str">
        <f>IF(ISBLANK(C611),"",IF(IFERROR(VLOOKUP(C611,DB_materiali!$A$2:$A$5000,1,FALSE),"Kļūda artikulā")=C611,"✔",tulkojums!A$42))</f>
        <v/>
      </c>
      <c r="N611" s="2" t="str">
        <f>IF(ISBLANK(C611),"",IF(ISNUMBER(F611)=TRUE,"✔",tulkojums!A$43))</f>
        <v/>
      </c>
      <c r="O611" s="2" t="str">
        <f>IF(ISBLANK(C611),"",IF(G611="Y","✔",IF(G611="X","✔",IF(G611="N","✔",tulkojums!A$44))))</f>
        <v/>
      </c>
      <c r="P611" s="2" t="str">
        <f>IF(ISBLANK(H611),"",IF(INDEX(DB_materiali!$E$2:$E$5000,MATCH($C611,DB_materiali!$A$2:$A$5000,0))&gt;=INDEX(DB_malas!$C$2:$C$5000,MATCH(H611,DB_malas!$A$2:$A$5000,0)),IF(INDEX(DB_materiali!$E$2:$E$5000,MATCH($C611,DB_materiali!$A$2:$A$5000,0))&lt;=INDEX(DB_malas!$D$2:$D$5000,MATCH(H611,DB_malas!$A$2:$A$5000,0)),IF(OR(INDEX(DB_materiali!$B$2:$B$5000,MATCH($C611,DB_materiali!$A$2:$A$5000,0))=INDEX(DB_malas!$B$2:$B$5000,MATCH(H611,DB_malas!$A$2:$A$5000,0)),$H611="ORG"),"✔",tulkojums!$A$38),tulkojums!$A$39),tulkojums!$A$39))</f>
        <v/>
      </c>
      <c r="Q611" s="2" t="str">
        <f>IF(ISBLANK(I611),"",IF(INDEX(DB_materiali!$E$2:$E$5000,MATCH($C611,DB_materiali!$A$2:$A$5000,0))&gt;=INDEX(DB_malas!$C$2:$C$5000,MATCH(I611,DB_malas!$A$2:$A$5000,0)),IF(INDEX(DB_materiali!$E$2:$E$5000,MATCH($C611,DB_materiali!$A$2:$A$5000,0))&lt;=INDEX(DB_malas!$D$2:$D$5000,MATCH(I611,DB_malas!$A$2:$A$5000,0)),IF(OR(INDEX(DB_materiali!$B$2:$B$5000,MATCH($C611,DB_materiali!$A$2:$A$5000,0))=INDEX(DB_malas!$B$2:$B$5000,MATCH(I611,DB_malas!$A$2:$A$5000,0)),$H611="ORG"),"✔",tulkojums!$A$38),tulkojums!$A$39),tulkojums!$A$39))</f>
        <v/>
      </c>
      <c r="R611" s="2" t="str">
        <f>IF(ISBLANK(J611),"",IF(INDEX(DB_materiali!$E$2:$E$5000,MATCH($C611,DB_materiali!$A$2:$A$5000,0))&gt;=INDEX(DB_malas!$C$2:$C$5000,MATCH(J611,DB_malas!$A$2:$A$5000,0)),IF(INDEX(DB_materiali!$E$2:$E$5000,MATCH($C611,DB_materiali!$A$2:$A$5000,0))&lt;=INDEX(DB_malas!$D$2:$D$5000,MATCH(J611,DB_malas!$A$2:$A$5000,0)),IF(INDEX(DB_materiali!$B$2:$B$5000,MATCH($C611,DB_materiali!$A$2:$A$5000,0))=INDEX(DB_malas!$B$2:$B$5000,MATCH(J611,DB_malas!$A$2:$A$5000,0)),"✔",tulkojums!$A$38),tulkojums!$A$39),tulkojums!$A$39))</f>
        <v/>
      </c>
      <c r="S611" s="2" t="str">
        <f>IF(ISBLANK(K611),"",IF(INDEX(DB_materiali!$E$2:$E$5000,MATCH($C611,DB_materiali!$A$2:$A$5000,0))&gt;=INDEX(DB_malas!$C$2:$C$5000,MATCH(K611,DB_malas!$A$2:$A$5000,0)),IF(INDEX(DB_materiali!$E$2:$E$5000,MATCH($C611,DB_materiali!$A$2:$A$5000,0))&lt;=INDEX(DB_malas!$D$2:$D$5000,MATCH(K611,DB_malas!$A$2:$A$5000,0)),IF(INDEX(DB_materiali!$B$2:$B$5000,MATCH($C611,DB_materiali!$A$2:$A$5000,0))=INDEX(DB_malas!$B$2:$B$5000,MATCH(K611,DB_malas!$A$2:$A$5000,0)),"✔",tulkojums!$A$38),tulkojums!$A$39),tulkojums!$A$39))</f>
        <v/>
      </c>
      <c r="T611" s="2"/>
      <c r="U611" s="2"/>
      <c r="V611" s="2"/>
      <c r="W611" s="2"/>
      <c r="X611" s="2"/>
      <c r="Y611" s="2"/>
      <c r="Z611" s="2"/>
    </row>
    <row r="612" spans="1:26" ht="15.75" customHeight="1">
      <c r="A612" s="17"/>
      <c r="B612" s="18"/>
      <c r="C612" s="19"/>
      <c r="D612" s="55"/>
      <c r="E612" s="55"/>
      <c r="F612" s="56"/>
      <c r="G612" s="57" t="str">
        <f>IF(ISBLANK(C612),"",
   IFERROR(
      IF(
         INDEX(DB_materiali!C$2:C$5000,
               MATCH(C612, DB_materiali!A$2:A$5000, 0)
         )="FALSE",
         "N",
         "Y"
      ),
   "")
)</f>
        <v/>
      </c>
      <c r="H612" s="20"/>
      <c r="I612" s="20"/>
      <c r="J612" s="20"/>
      <c r="K612" s="20"/>
      <c r="M612" s="2" t="str">
        <f>IF(ISBLANK(C612),"",IF(IFERROR(VLOOKUP(C612,DB_materiali!$A$2:$A$5000,1,FALSE),"Kļūda artikulā")=C612,"✔",tulkojums!A$42))</f>
        <v/>
      </c>
      <c r="N612" s="2" t="str">
        <f>IF(ISBLANK(C612),"",IF(ISNUMBER(F612)=TRUE,"✔",tulkojums!A$43))</f>
        <v/>
      </c>
      <c r="O612" s="2" t="str">
        <f>IF(ISBLANK(C612),"",IF(G612="Y","✔",IF(G612="X","✔",IF(G612="N","✔",tulkojums!A$44))))</f>
        <v/>
      </c>
      <c r="P612" s="2" t="str">
        <f>IF(ISBLANK(H612),"",IF(INDEX(DB_materiali!$E$2:$E$5000,MATCH($C612,DB_materiali!$A$2:$A$5000,0))&gt;=INDEX(DB_malas!$C$2:$C$5000,MATCH(H612,DB_malas!$A$2:$A$5000,0)),IF(INDEX(DB_materiali!$E$2:$E$5000,MATCH($C612,DB_materiali!$A$2:$A$5000,0))&lt;=INDEX(DB_malas!$D$2:$D$5000,MATCH(H612,DB_malas!$A$2:$A$5000,0)),IF(OR(INDEX(DB_materiali!$B$2:$B$5000,MATCH($C612,DB_materiali!$A$2:$A$5000,0))=INDEX(DB_malas!$B$2:$B$5000,MATCH(H612,DB_malas!$A$2:$A$5000,0)),$H612="ORG"),"✔",tulkojums!$A$38),tulkojums!$A$39),tulkojums!$A$39))</f>
        <v/>
      </c>
      <c r="Q612" s="2" t="str">
        <f>IF(ISBLANK(I612),"",IF(INDEX(DB_materiali!$E$2:$E$5000,MATCH($C612,DB_materiali!$A$2:$A$5000,0))&gt;=INDEX(DB_malas!$C$2:$C$5000,MATCH(I612,DB_malas!$A$2:$A$5000,0)),IF(INDEX(DB_materiali!$E$2:$E$5000,MATCH($C612,DB_materiali!$A$2:$A$5000,0))&lt;=INDEX(DB_malas!$D$2:$D$5000,MATCH(I612,DB_malas!$A$2:$A$5000,0)),IF(OR(INDEX(DB_materiali!$B$2:$B$5000,MATCH($C612,DB_materiali!$A$2:$A$5000,0))=INDEX(DB_malas!$B$2:$B$5000,MATCH(I612,DB_malas!$A$2:$A$5000,0)),$H612="ORG"),"✔",tulkojums!$A$38),tulkojums!$A$39),tulkojums!$A$39))</f>
        <v/>
      </c>
      <c r="R612" s="2" t="str">
        <f>IF(ISBLANK(J612),"",IF(INDEX(DB_materiali!$E$2:$E$5000,MATCH($C612,DB_materiali!$A$2:$A$5000,0))&gt;=INDEX(DB_malas!$C$2:$C$5000,MATCH(J612,DB_malas!$A$2:$A$5000,0)),IF(INDEX(DB_materiali!$E$2:$E$5000,MATCH($C612,DB_materiali!$A$2:$A$5000,0))&lt;=INDEX(DB_malas!$D$2:$D$5000,MATCH(J612,DB_malas!$A$2:$A$5000,0)),IF(INDEX(DB_materiali!$B$2:$B$5000,MATCH($C612,DB_materiali!$A$2:$A$5000,0))=INDEX(DB_malas!$B$2:$B$5000,MATCH(J612,DB_malas!$A$2:$A$5000,0)),"✔",tulkojums!$A$38),tulkojums!$A$39),tulkojums!$A$39))</f>
        <v/>
      </c>
      <c r="S612" s="2" t="str">
        <f>IF(ISBLANK(K612),"",IF(INDEX(DB_materiali!$E$2:$E$5000,MATCH($C612,DB_materiali!$A$2:$A$5000,0))&gt;=INDEX(DB_malas!$C$2:$C$5000,MATCH(K612,DB_malas!$A$2:$A$5000,0)),IF(INDEX(DB_materiali!$E$2:$E$5000,MATCH($C612,DB_materiali!$A$2:$A$5000,0))&lt;=INDEX(DB_malas!$D$2:$D$5000,MATCH(K612,DB_malas!$A$2:$A$5000,0)),IF(INDEX(DB_materiali!$B$2:$B$5000,MATCH($C612,DB_materiali!$A$2:$A$5000,0))=INDEX(DB_malas!$B$2:$B$5000,MATCH(K612,DB_malas!$A$2:$A$5000,0)),"✔",tulkojums!$A$38),tulkojums!$A$39),tulkojums!$A$39))</f>
        <v/>
      </c>
      <c r="T612" s="2"/>
      <c r="U612" s="2"/>
      <c r="V612" s="2"/>
      <c r="W612" s="2"/>
      <c r="X612" s="2"/>
      <c r="Y612" s="2"/>
      <c r="Z612" s="2"/>
    </row>
    <row r="613" spans="1:26" ht="15.75" customHeight="1">
      <c r="A613" s="17"/>
      <c r="B613" s="18"/>
      <c r="C613" s="19"/>
      <c r="D613" s="55"/>
      <c r="E613" s="55"/>
      <c r="F613" s="56"/>
      <c r="G613" s="57" t="str">
        <f>IF(ISBLANK(C613),"",
   IFERROR(
      IF(
         INDEX(DB_materiali!C$2:C$5000,
               MATCH(C613, DB_materiali!A$2:A$5000, 0)
         )="FALSE",
         "N",
         "Y"
      ),
   "")
)</f>
        <v/>
      </c>
      <c r="H613" s="20"/>
      <c r="I613" s="20"/>
      <c r="J613" s="20"/>
      <c r="K613" s="20"/>
      <c r="M613" s="2" t="str">
        <f>IF(ISBLANK(C613),"",IF(IFERROR(VLOOKUP(C613,DB_materiali!$A$2:$A$5000,1,FALSE),"Kļūda artikulā")=C613,"✔",tulkojums!A$42))</f>
        <v/>
      </c>
      <c r="N613" s="2" t="str">
        <f>IF(ISBLANK(C613),"",IF(ISNUMBER(F613)=TRUE,"✔",tulkojums!A$43))</f>
        <v/>
      </c>
      <c r="O613" s="2" t="str">
        <f>IF(ISBLANK(C613),"",IF(G613="Y","✔",IF(G613="X","✔",IF(G613="N","✔",tulkojums!A$44))))</f>
        <v/>
      </c>
      <c r="P613" s="2" t="str">
        <f>IF(ISBLANK(H613),"",IF(INDEX(DB_materiali!$E$2:$E$5000,MATCH($C613,DB_materiali!$A$2:$A$5000,0))&gt;=INDEX(DB_malas!$C$2:$C$5000,MATCH(H613,DB_malas!$A$2:$A$5000,0)),IF(INDEX(DB_materiali!$E$2:$E$5000,MATCH($C613,DB_materiali!$A$2:$A$5000,0))&lt;=INDEX(DB_malas!$D$2:$D$5000,MATCH(H613,DB_malas!$A$2:$A$5000,0)),IF(OR(INDEX(DB_materiali!$B$2:$B$5000,MATCH($C613,DB_materiali!$A$2:$A$5000,0))=INDEX(DB_malas!$B$2:$B$5000,MATCH(H613,DB_malas!$A$2:$A$5000,0)),$H613="ORG"),"✔",tulkojums!$A$38),tulkojums!$A$39),tulkojums!$A$39))</f>
        <v/>
      </c>
      <c r="Q613" s="2" t="str">
        <f>IF(ISBLANK(I613),"",IF(INDEX(DB_materiali!$E$2:$E$5000,MATCH($C613,DB_materiali!$A$2:$A$5000,0))&gt;=INDEX(DB_malas!$C$2:$C$5000,MATCH(I613,DB_malas!$A$2:$A$5000,0)),IF(INDEX(DB_materiali!$E$2:$E$5000,MATCH($C613,DB_materiali!$A$2:$A$5000,0))&lt;=INDEX(DB_malas!$D$2:$D$5000,MATCH(I613,DB_malas!$A$2:$A$5000,0)),IF(OR(INDEX(DB_materiali!$B$2:$B$5000,MATCH($C613,DB_materiali!$A$2:$A$5000,0))=INDEX(DB_malas!$B$2:$B$5000,MATCH(I613,DB_malas!$A$2:$A$5000,0)),$H613="ORG"),"✔",tulkojums!$A$38),tulkojums!$A$39),tulkojums!$A$39))</f>
        <v/>
      </c>
      <c r="R613" s="2" t="str">
        <f>IF(ISBLANK(J613),"",IF(INDEX(DB_materiali!$E$2:$E$5000,MATCH($C613,DB_materiali!$A$2:$A$5000,0))&gt;=INDEX(DB_malas!$C$2:$C$5000,MATCH(J613,DB_malas!$A$2:$A$5000,0)),IF(INDEX(DB_materiali!$E$2:$E$5000,MATCH($C613,DB_materiali!$A$2:$A$5000,0))&lt;=INDEX(DB_malas!$D$2:$D$5000,MATCH(J613,DB_malas!$A$2:$A$5000,0)),IF(INDEX(DB_materiali!$B$2:$B$5000,MATCH($C613,DB_materiali!$A$2:$A$5000,0))=INDEX(DB_malas!$B$2:$B$5000,MATCH(J613,DB_malas!$A$2:$A$5000,0)),"✔",tulkojums!$A$38),tulkojums!$A$39),tulkojums!$A$39))</f>
        <v/>
      </c>
      <c r="S613" s="2" t="str">
        <f>IF(ISBLANK(K613),"",IF(INDEX(DB_materiali!$E$2:$E$5000,MATCH($C613,DB_materiali!$A$2:$A$5000,0))&gt;=INDEX(DB_malas!$C$2:$C$5000,MATCH(K613,DB_malas!$A$2:$A$5000,0)),IF(INDEX(DB_materiali!$E$2:$E$5000,MATCH($C613,DB_materiali!$A$2:$A$5000,0))&lt;=INDEX(DB_malas!$D$2:$D$5000,MATCH(K613,DB_malas!$A$2:$A$5000,0)),IF(INDEX(DB_materiali!$B$2:$B$5000,MATCH($C613,DB_materiali!$A$2:$A$5000,0))=INDEX(DB_malas!$B$2:$B$5000,MATCH(K613,DB_malas!$A$2:$A$5000,0)),"✔",tulkojums!$A$38),tulkojums!$A$39),tulkojums!$A$39))</f>
        <v/>
      </c>
      <c r="T613" s="2"/>
      <c r="U613" s="2"/>
      <c r="V613" s="2"/>
      <c r="W613" s="2"/>
      <c r="X613" s="2"/>
      <c r="Y613" s="2"/>
      <c r="Z613" s="2"/>
    </row>
    <row r="614" spans="1:26" ht="15.75" customHeight="1">
      <c r="A614" s="17"/>
      <c r="B614" s="18"/>
      <c r="C614" s="19"/>
      <c r="D614" s="55"/>
      <c r="E614" s="55"/>
      <c r="F614" s="56"/>
      <c r="G614" s="57" t="str">
        <f>IF(ISBLANK(C614),"",
   IFERROR(
      IF(
         INDEX(DB_materiali!C$2:C$5000,
               MATCH(C614, DB_materiali!A$2:A$5000, 0)
         )="FALSE",
         "N",
         "Y"
      ),
   "")
)</f>
        <v/>
      </c>
      <c r="H614" s="20"/>
      <c r="I614" s="20"/>
      <c r="J614" s="20"/>
      <c r="K614" s="20"/>
      <c r="M614" s="2" t="str">
        <f>IF(ISBLANK(C614),"",IF(IFERROR(VLOOKUP(C614,DB_materiali!$A$2:$A$5000,1,FALSE),"Kļūda artikulā")=C614,"✔",tulkojums!A$42))</f>
        <v/>
      </c>
      <c r="N614" s="2" t="str">
        <f>IF(ISBLANK(C614),"",IF(ISNUMBER(F614)=TRUE,"✔",tulkojums!A$43))</f>
        <v/>
      </c>
      <c r="O614" s="2" t="str">
        <f>IF(ISBLANK(C614),"",IF(G614="Y","✔",IF(G614="X","✔",IF(G614="N","✔",tulkojums!A$44))))</f>
        <v/>
      </c>
      <c r="P614" s="2" t="str">
        <f>IF(ISBLANK(H614),"",IF(INDEX(DB_materiali!$E$2:$E$5000,MATCH($C614,DB_materiali!$A$2:$A$5000,0))&gt;=INDEX(DB_malas!$C$2:$C$5000,MATCH(H614,DB_malas!$A$2:$A$5000,0)),IF(INDEX(DB_materiali!$E$2:$E$5000,MATCH($C614,DB_materiali!$A$2:$A$5000,0))&lt;=INDEX(DB_malas!$D$2:$D$5000,MATCH(H614,DB_malas!$A$2:$A$5000,0)),IF(OR(INDEX(DB_materiali!$B$2:$B$5000,MATCH($C614,DB_materiali!$A$2:$A$5000,0))=INDEX(DB_malas!$B$2:$B$5000,MATCH(H614,DB_malas!$A$2:$A$5000,0)),$H614="ORG"),"✔",tulkojums!$A$38),tulkojums!$A$39),tulkojums!$A$39))</f>
        <v/>
      </c>
      <c r="Q614" s="2" t="str">
        <f>IF(ISBLANK(I614),"",IF(INDEX(DB_materiali!$E$2:$E$5000,MATCH($C614,DB_materiali!$A$2:$A$5000,0))&gt;=INDEX(DB_malas!$C$2:$C$5000,MATCH(I614,DB_malas!$A$2:$A$5000,0)),IF(INDEX(DB_materiali!$E$2:$E$5000,MATCH($C614,DB_materiali!$A$2:$A$5000,0))&lt;=INDEX(DB_malas!$D$2:$D$5000,MATCH(I614,DB_malas!$A$2:$A$5000,0)),IF(OR(INDEX(DB_materiali!$B$2:$B$5000,MATCH($C614,DB_materiali!$A$2:$A$5000,0))=INDEX(DB_malas!$B$2:$B$5000,MATCH(I614,DB_malas!$A$2:$A$5000,0)),$H614="ORG"),"✔",tulkojums!$A$38),tulkojums!$A$39),tulkojums!$A$39))</f>
        <v/>
      </c>
      <c r="R614" s="2" t="str">
        <f>IF(ISBLANK(J614),"",IF(INDEX(DB_materiali!$E$2:$E$5000,MATCH($C614,DB_materiali!$A$2:$A$5000,0))&gt;=INDEX(DB_malas!$C$2:$C$5000,MATCH(J614,DB_malas!$A$2:$A$5000,0)),IF(INDEX(DB_materiali!$E$2:$E$5000,MATCH($C614,DB_materiali!$A$2:$A$5000,0))&lt;=INDEX(DB_malas!$D$2:$D$5000,MATCH(J614,DB_malas!$A$2:$A$5000,0)),IF(INDEX(DB_materiali!$B$2:$B$5000,MATCH($C614,DB_materiali!$A$2:$A$5000,0))=INDEX(DB_malas!$B$2:$B$5000,MATCH(J614,DB_malas!$A$2:$A$5000,0)),"✔",tulkojums!$A$38),tulkojums!$A$39),tulkojums!$A$39))</f>
        <v/>
      </c>
      <c r="S614" s="2" t="str">
        <f>IF(ISBLANK(K614),"",IF(INDEX(DB_materiali!$E$2:$E$5000,MATCH($C614,DB_materiali!$A$2:$A$5000,0))&gt;=INDEX(DB_malas!$C$2:$C$5000,MATCH(K614,DB_malas!$A$2:$A$5000,0)),IF(INDEX(DB_materiali!$E$2:$E$5000,MATCH($C614,DB_materiali!$A$2:$A$5000,0))&lt;=INDEX(DB_malas!$D$2:$D$5000,MATCH(K614,DB_malas!$A$2:$A$5000,0)),IF(INDEX(DB_materiali!$B$2:$B$5000,MATCH($C614,DB_materiali!$A$2:$A$5000,0))=INDEX(DB_malas!$B$2:$B$5000,MATCH(K614,DB_malas!$A$2:$A$5000,0)),"✔",tulkojums!$A$38),tulkojums!$A$39),tulkojums!$A$39))</f>
        <v/>
      </c>
      <c r="T614" s="2"/>
      <c r="U614" s="2"/>
      <c r="V614" s="2"/>
      <c r="W614" s="2"/>
      <c r="X614" s="2"/>
      <c r="Y614" s="2"/>
      <c r="Z614" s="2"/>
    </row>
    <row r="615" spans="1:26" ht="15.75" customHeight="1">
      <c r="A615" s="17"/>
      <c r="B615" s="18"/>
      <c r="C615" s="19"/>
      <c r="D615" s="55"/>
      <c r="E615" s="55"/>
      <c r="F615" s="56"/>
      <c r="G615" s="57" t="str">
        <f>IF(ISBLANK(C615),"",
   IFERROR(
      IF(
         INDEX(DB_materiali!C$2:C$5000,
               MATCH(C615, DB_materiali!A$2:A$5000, 0)
         )="FALSE",
         "N",
         "Y"
      ),
   "")
)</f>
        <v/>
      </c>
      <c r="H615" s="20"/>
      <c r="I615" s="20"/>
      <c r="J615" s="20"/>
      <c r="K615" s="20"/>
      <c r="M615" s="2" t="str">
        <f>IF(ISBLANK(C615),"",IF(IFERROR(VLOOKUP(C615,DB_materiali!$A$2:$A$5000,1,FALSE),"Kļūda artikulā")=C615,"✔",tulkojums!A$42))</f>
        <v/>
      </c>
      <c r="N615" s="2" t="str">
        <f>IF(ISBLANK(C615),"",IF(ISNUMBER(F615)=TRUE,"✔",tulkojums!A$43))</f>
        <v/>
      </c>
      <c r="O615" s="2" t="str">
        <f>IF(ISBLANK(C615),"",IF(G615="Y","✔",IF(G615="X","✔",IF(G615="N","✔",tulkojums!A$44))))</f>
        <v/>
      </c>
      <c r="P615" s="2" t="str">
        <f>IF(ISBLANK(H615),"",IF(INDEX(DB_materiali!$E$2:$E$5000,MATCH($C615,DB_materiali!$A$2:$A$5000,0))&gt;=INDEX(DB_malas!$C$2:$C$5000,MATCH(H615,DB_malas!$A$2:$A$5000,0)),IF(INDEX(DB_materiali!$E$2:$E$5000,MATCH($C615,DB_materiali!$A$2:$A$5000,0))&lt;=INDEX(DB_malas!$D$2:$D$5000,MATCH(H615,DB_malas!$A$2:$A$5000,0)),IF(OR(INDEX(DB_materiali!$B$2:$B$5000,MATCH($C615,DB_materiali!$A$2:$A$5000,0))=INDEX(DB_malas!$B$2:$B$5000,MATCH(H615,DB_malas!$A$2:$A$5000,0)),$H615="ORG"),"✔",tulkojums!$A$38),tulkojums!$A$39),tulkojums!$A$39))</f>
        <v/>
      </c>
      <c r="Q615" s="2" t="str">
        <f>IF(ISBLANK(I615),"",IF(INDEX(DB_materiali!$E$2:$E$5000,MATCH($C615,DB_materiali!$A$2:$A$5000,0))&gt;=INDEX(DB_malas!$C$2:$C$5000,MATCH(I615,DB_malas!$A$2:$A$5000,0)),IF(INDEX(DB_materiali!$E$2:$E$5000,MATCH($C615,DB_materiali!$A$2:$A$5000,0))&lt;=INDEX(DB_malas!$D$2:$D$5000,MATCH(I615,DB_malas!$A$2:$A$5000,0)),IF(OR(INDEX(DB_materiali!$B$2:$B$5000,MATCH($C615,DB_materiali!$A$2:$A$5000,0))=INDEX(DB_malas!$B$2:$B$5000,MATCH(I615,DB_malas!$A$2:$A$5000,0)),$H615="ORG"),"✔",tulkojums!$A$38),tulkojums!$A$39),tulkojums!$A$39))</f>
        <v/>
      </c>
      <c r="R615" s="2" t="str">
        <f>IF(ISBLANK(J615),"",IF(INDEX(DB_materiali!$E$2:$E$5000,MATCH($C615,DB_materiali!$A$2:$A$5000,0))&gt;=INDEX(DB_malas!$C$2:$C$5000,MATCH(J615,DB_malas!$A$2:$A$5000,0)),IF(INDEX(DB_materiali!$E$2:$E$5000,MATCH($C615,DB_materiali!$A$2:$A$5000,0))&lt;=INDEX(DB_malas!$D$2:$D$5000,MATCH(J615,DB_malas!$A$2:$A$5000,0)),IF(INDEX(DB_materiali!$B$2:$B$5000,MATCH($C615,DB_materiali!$A$2:$A$5000,0))=INDEX(DB_malas!$B$2:$B$5000,MATCH(J615,DB_malas!$A$2:$A$5000,0)),"✔",tulkojums!$A$38),tulkojums!$A$39),tulkojums!$A$39))</f>
        <v/>
      </c>
      <c r="S615" s="2" t="str">
        <f>IF(ISBLANK(K615),"",IF(INDEX(DB_materiali!$E$2:$E$5000,MATCH($C615,DB_materiali!$A$2:$A$5000,0))&gt;=INDEX(DB_malas!$C$2:$C$5000,MATCH(K615,DB_malas!$A$2:$A$5000,0)),IF(INDEX(DB_materiali!$E$2:$E$5000,MATCH($C615,DB_materiali!$A$2:$A$5000,0))&lt;=INDEX(DB_malas!$D$2:$D$5000,MATCH(K615,DB_malas!$A$2:$A$5000,0)),IF(INDEX(DB_materiali!$B$2:$B$5000,MATCH($C615,DB_materiali!$A$2:$A$5000,0))=INDEX(DB_malas!$B$2:$B$5000,MATCH(K615,DB_malas!$A$2:$A$5000,0)),"✔",tulkojums!$A$38),tulkojums!$A$39),tulkojums!$A$39))</f>
        <v/>
      </c>
      <c r="T615" s="2"/>
      <c r="U615" s="2"/>
      <c r="V615" s="2"/>
      <c r="W615" s="2"/>
      <c r="X615" s="2"/>
      <c r="Y615" s="2"/>
      <c r="Z615" s="2"/>
    </row>
    <row r="616" spans="1:26" ht="15.75" customHeight="1">
      <c r="A616" s="17"/>
      <c r="B616" s="18"/>
      <c r="C616" s="19"/>
      <c r="D616" s="55"/>
      <c r="E616" s="55"/>
      <c r="F616" s="56"/>
      <c r="G616" s="57" t="str">
        <f>IF(ISBLANK(C616),"",
   IFERROR(
      IF(
         INDEX(DB_materiali!C$2:C$5000,
               MATCH(C616, DB_materiali!A$2:A$5000, 0)
         )="FALSE",
         "N",
         "Y"
      ),
   "")
)</f>
        <v/>
      </c>
      <c r="H616" s="20"/>
      <c r="I616" s="20"/>
      <c r="J616" s="20"/>
      <c r="K616" s="20"/>
      <c r="M616" s="2" t="str">
        <f>IF(ISBLANK(C616),"",IF(IFERROR(VLOOKUP(C616,DB_materiali!$A$2:$A$5000,1,FALSE),"Kļūda artikulā")=C616,"✔",tulkojums!A$42))</f>
        <v/>
      </c>
      <c r="N616" s="2" t="str">
        <f>IF(ISBLANK(C616),"",IF(ISNUMBER(F616)=TRUE,"✔",tulkojums!A$43))</f>
        <v/>
      </c>
      <c r="O616" s="2" t="str">
        <f>IF(ISBLANK(C616),"",IF(G616="Y","✔",IF(G616="X","✔",IF(G616="N","✔",tulkojums!A$44))))</f>
        <v/>
      </c>
      <c r="P616" s="2" t="str">
        <f>IF(ISBLANK(H616),"",IF(INDEX(DB_materiali!$E$2:$E$5000,MATCH($C616,DB_materiali!$A$2:$A$5000,0))&gt;=INDEX(DB_malas!$C$2:$C$5000,MATCH(H616,DB_malas!$A$2:$A$5000,0)),IF(INDEX(DB_materiali!$E$2:$E$5000,MATCH($C616,DB_materiali!$A$2:$A$5000,0))&lt;=INDEX(DB_malas!$D$2:$D$5000,MATCH(H616,DB_malas!$A$2:$A$5000,0)),IF(OR(INDEX(DB_materiali!$B$2:$B$5000,MATCH($C616,DB_materiali!$A$2:$A$5000,0))=INDEX(DB_malas!$B$2:$B$5000,MATCH(H616,DB_malas!$A$2:$A$5000,0)),$H616="ORG"),"✔",tulkojums!$A$38),tulkojums!$A$39),tulkojums!$A$39))</f>
        <v/>
      </c>
      <c r="Q616" s="2" t="str">
        <f>IF(ISBLANK(I616),"",IF(INDEX(DB_materiali!$E$2:$E$5000,MATCH($C616,DB_materiali!$A$2:$A$5000,0))&gt;=INDEX(DB_malas!$C$2:$C$5000,MATCH(I616,DB_malas!$A$2:$A$5000,0)),IF(INDEX(DB_materiali!$E$2:$E$5000,MATCH($C616,DB_materiali!$A$2:$A$5000,0))&lt;=INDEX(DB_malas!$D$2:$D$5000,MATCH(I616,DB_malas!$A$2:$A$5000,0)),IF(OR(INDEX(DB_materiali!$B$2:$B$5000,MATCH($C616,DB_materiali!$A$2:$A$5000,0))=INDEX(DB_malas!$B$2:$B$5000,MATCH(I616,DB_malas!$A$2:$A$5000,0)),$H616="ORG"),"✔",tulkojums!$A$38),tulkojums!$A$39),tulkojums!$A$39))</f>
        <v/>
      </c>
      <c r="R616" s="2" t="str">
        <f>IF(ISBLANK(J616),"",IF(INDEX(DB_materiali!$E$2:$E$5000,MATCH($C616,DB_materiali!$A$2:$A$5000,0))&gt;=INDEX(DB_malas!$C$2:$C$5000,MATCH(J616,DB_malas!$A$2:$A$5000,0)),IF(INDEX(DB_materiali!$E$2:$E$5000,MATCH($C616,DB_materiali!$A$2:$A$5000,0))&lt;=INDEX(DB_malas!$D$2:$D$5000,MATCH(J616,DB_malas!$A$2:$A$5000,0)),IF(INDEX(DB_materiali!$B$2:$B$5000,MATCH($C616,DB_materiali!$A$2:$A$5000,0))=INDEX(DB_malas!$B$2:$B$5000,MATCH(J616,DB_malas!$A$2:$A$5000,0)),"✔",tulkojums!$A$38),tulkojums!$A$39),tulkojums!$A$39))</f>
        <v/>
      </c>
      <c r="S616" s="2" t="str">
        <f>IF(ISBLANK(K616),"",IF(INDEX(DB_materiali!$E$2:$E$5000,MATCH($C616,DB_materiali!$A$2:$A$5000,0))&gt;=INDEX(DB_malas!$C$2:$C$5000,MATCH(K616,DB_malas!$A$2:$A$5000,0)),IF(INDEX(DB_materiali!$E$2:$E$5000,MATCH($C616,DB_materiali!$A$2:$A$5000,0))&lt;=INDEX(DB_malas!$D$2:$D$5000,MATCH(K616,DB_malas!$A$2:$A$5000,0)),IF(INDEX(DB_materiali!$B$2:$B$5000,MATCH($C616,DB_materiali!$A$2:$A$5000,0))=INDEX(DB_malas!$B$2:$B$5000,MATCH(K616,DB_malas!$A$2:$A$5000,0)),"✔",tulkojums!$A$38),tulkojums!$A$39),tulkojums!$A$39))</f>
        <v/>
      </c>
      <c r="T616" s="2"/>
      <c r="U616" s="2"/>
      <c r="V616" s="2"/>
      <c r="W616" s="2"/>
      <c r="X616" s="2"/>
      <c r="Y616" s="2"/>
      <c r="Z616" s="2"/>
    </row>
    <row r="617" spans="1:26" ht="15.75" customHeight="1">
      <c r="A617" s="17"/>
      <c r="B617" s="18"/>
      <c r="C617" s="19"/>
      <c r="D617" s="55"/>
      <c r="E617" s="55"/>
      <c r="F617" s="56"/>
      <c r="G617" s="57" t="str">
        <f>IF(ISBLANK(C617),"",
   IFERROR(
      IF(
         INDEX(DB_materiali!C$2:C$5000,
               MATCH(C617, DB_materiali!A$2:A$5000, 0)
         )="FALSE",
         "N",
         "Y"
      ),
   "")
)</f>
        <v/>
      </c>
      <c r="H617" s="20"/>
      <c r="I617" s="20"/>
      <c r="J617" s="20"/>
      <c r="K617" s="20"/>
      <c r="M617" s="2" t="str">
        <f>IF(ISBLANK(C617),"",IF(IFERROR(VLOOKUP(C617,DB_materiali!$A$2:$A$5000,1,FALSE),"Kļūda artikulā")=C617,"✔",tulkojums!A$42))</f>
        <v/>
      </c>
      <c r="N617" s="2" t="str">
        <f>IF(ISBLANK(C617),"",IF(ISNUMBER(F617)=TRUE,"✔",tulkojums!A$43))</f>
        <v/>
      </c>
      <c r="O617" s="2" t="str">
        <f>IF(ISBLANK(C617),"",IF(G617="Y","✔",IF(G617="X","✔",IF(G617="N","✔",tulkojums!A$44))))</f>
        <v/>
      </c>
      <c r="P617" s="2" t="str">
        <f>IF(ISBLANK(H617),"",IF(INDEX(DB_materiali!$E$2:$E$5000,MATCH($C617,DB_materiali!$A$2:$A$5000,0))&gt;=INDEX(DB_malas!$C$2:$C$5000,MATCH(H617,DB_malas!$A$2:$A$5000,0)),IF(INDEX(DB_materiali!$E$2:$E$5000,MATCH($C617,DB_materiali!$A$2:$A$5000,0))&lt;=INDEX(DB_malas!$D$2:$D$5000,MATCH(H617,DB_malas!$A$2:$A$5000,0)),IF(OR(INDEX(DB_materiali!$B$2:$B$5000,MATCH($C617,DB_materiali!$A$2:$A$5000,0))=INDEX(DB_malas!$B$2:$B$5000,MATCH(H617,DB_malas!$A$2:$A$5000,0)),$H617="ORG"),"✔",tulkojums!$A$38),tulkojums!$A$39),tulkojums!$A$39))</f>
        <v/>
      </c>
      <c r="Q617" s="2" t="str">
        <f>IF(ISBLANK(I617),"",IF(INDEX(DB_materiali!$E$2:$E$5000,MATCH($C617,DB_materiali!$A$2:$A$5000,0))&gt;=INDEX(DB_malas!$C$2:$C$5000,MATCH(I617,DB_malas!$A$2:$A$5000,0)),IF(INDEX(DB_materiali!$E$2:$E$5000,MATCH($C617,DB_materiali!$A$2:$A$5000,0))&lt;=INDEX(DB_malas!$D$2:$D$5000,MATCH(I617,DB_malas!$A$2:$A$5000,0)),IF(OR(INDEX(DB_materiali!$B$2:$B$5000,MATCH($C617,DB_materiali!$A$2:$A$5000,0))=INDEX(DB_malas!$B$2:$B$5000,MATCH(I617,DB_malas!$A$2:$A$5000,0)),$H617="ORG"),"✔",tulkojums!$A$38),tulkojums!$A$39),tulkojums!$A$39))</f>
        <v/>
      </c>
      <c r="R617" s="2" t="str">
        <f>IF(ISBLANK(J617),"",IF(INDEX(DB_materiali!$E$2:$E$5000,MATCH($C617,DB_materiali!$A$2:$A$5000,0))&gt;=INDEX(DB_malas!$C$2:$C$5000,MATCH(J617,DB_malas!$A$2:$A$5000,0)),IF(INDEX(DB_materiali!$E$2:$E$5000,MATCH($C617,DB_materiali!$A$2:$A$5000,0))&lt;=INDEX(DB_malas!$D$2:$D$5000,MATCH(J617,DB_malas!$A$2:$A$5000,0)),IF(INDEX(DB_materiali!$B$2:$B$5000,MATCH($C617,DB_materiali!$A$2:$A$5000,0))=INDEX(DB_malas!$B$2:$B$5000,MATCH(J617,DB_malas!$A$2:$A$5000,0)),"✔",tulkojums!$A$38),tulkojums!$A$39),tulkojums!$A$39))</f>
        <v/>
      </c>
      <c r="S617" s="2" t="str">
        <f>IF(ISBLANK(K617),"",IF(INDEX(DB_materiali!$E$2:$E$5000,MATCH($C617,DB_materiali!$A$2:$A$5000,0))&gt;=INDEX(DB_malas!$C$2:$C$5000,MATCH(K617,DB_malas!$A$2:$A$5000,0)),IF(INDEX(DB_materiali!$E$2:$E$5000,MATCH($C617,DB_materiali!$A$2:$A$5000,0))&lt;=INDEX(DB_malas!$D$2:$D$5000,MATCH(K617,DB_malas!$A$2:$A$5000,0)),IF(INDEX(DB_materiali!$B$2:$B$5000,MATCH($C617,DB_materiali!$A$2:$A$5000,0))=INDEX(DB_malas!$B$2:$B$5000,MATCH(K617,DB_malas!$A$2:$A$5000,0)),"✔",tulkojums!$A$38),tulkojums!$A$39),tulkojums!$A$39))</f>
        <v/>
      </c>
      <c r="T617" s="2"/>
      <c r="U617" s="2"/>
      <c r="V617" s="2"/>
      <c r="W617" s="2"/>
      <c r="X617" s="2"/>
      <c r="Y617" s="2"/>
      <c r="Z617" s="2"/>
    </row>
    <row r="618" spans="1:26" ht="15.75" customHeight="1">
      <c r="A618" s="17"/>
      <c r="B618" s="18"/>
      <c r="C618" s="19"/>
      <c r="D618" s="55"/>
      <c r="E618" s="55"/>
      <c r="F618" s="56"/>
      <c r="G618" s="57" t="str">
        <f>IF(ISBLANK(C618),"",
   IFERROR(
      IF(
         INDEX(DB_materiali!C$2:C$5000,
               MATCH(C618, DB_materiali!A$2:A$5000, 0)
         )="FALSE",
         "N",
         "Y"
      ),
   "")
)</f>
        <v/>
      </c>
      <c r="H618" s="20"/>
      <c r="I618" s="20"/>
      <c r="J618" s="20"/>
      <c r="K618" s="20"/>
      <c r="M618" s="2" t="str">
        <f>IF(ISBLANK(C618),"",IF(IFERROR(VLOOKUP(C618,DB_materiali!$A$2:$A$5000,1,FALSE),"Kļūda artikulā")=C618,"✔",tulkojums!A$42))</f>
        <v/>
      </c>
      <c r="N618" s="2" t="str">
        <f>IF(ISBLANK(C618),"",IF(ISNUMBER(F618)=TRUE,"✔",tulkojums!A$43))</f>
        <v/>
      </c>
      <c r="O618" s="2" t="str">
        <f>IF(ISBLANK(C618),"",IF(G618="Y","✔",IF(G618="X","✔",IF(G618="N","✔",tulkojums!A$44))))</f>
        <v/>
      </c>
      <c r="P618" s="2" t="str">
        <f>IF(ISBLANK(H618),"",IF(INDEX(DB_materiali!$E$2:$E$5000,MATCH($C618,DB_materiali!$A$2:$A$5000,0))&gt;=INDEX(DB_malas!$C$2:$C$5000,MATCH(H618,DB_malas!$A$2:$A$5000,0)),IF(INDEX(DB_materiali!$E$2:$E$5000,MATCH($C618,DB_materiali!$A$2:$A$5000,0))&lt;=INDEX(DB_malas!$D$2:$D$5000,MATCH(H618,DB_malas!$A$2:$A$5000,0)),IF(OR(INDEX(DB_materiali!$B$2:$B$5000,MATCH($C618,DB_materiali!$A$2:$A$5000,0))=INDEX(DB_malas!$B$2:$B$5000,MATCH(H618,DB_malas!$A$2:$A$5000,0)),$H618="ORG"),"✔",tulkojums!$A$38),tulkojums!$A$39),tulkojums!$A$39))</f>
        <v/>
      </c>
      <c r="Q618" s="2" t="str">
        <f>IF(ISBLANK(I618),"",IF(INDEX(DB_materiali!$E$2:$E$5000,MATCH($C618,DB_materiali!$A$2:$A$5000,0))&gt;=INDEX(DB_malas!$C$2:$C$5000,MATCH(I618,DB_malas!$A$2:$A$5000,0)),IF(INDEX(DB_materiali!$E$2:$E$5000,MATCH($C618,DB_materiali!$A$2:$A$5000,0))&lt;=INDEX(DB_malas!$D$2:$D$5000,MATCH(I618,DB_malas!$A$2:$A$5000,0)),IF(OR(INDEX(DB_materiali!$B$2:$B$5000,MATCH($C618,DB_materiali!$A$2:$A$5000,0))=INDEX(DB_malas!$B$2:$B$5000,MATCH(I618,DB_malas!$A$2:$A$5000,0)),$H618="ORG"),"✔",tulkojums!$A$38),tulkojums!$A$39),tulkojums!$A$39))</f>
        <v/>
      </c>
      <c r="R618" s="2" t="str">
        <f>IF(ISBLANK(J618),"",IF(INDEX(DB_materiali!$E$2:$E$5000,MATCH($C618,DB_materiali!$A$2:$A$5000,0))&gt;=INDEX(DB_malas!$C$2:$C$5000,MATCH(J618,DB_malas!$A$2:$A$5000,0)),IF(INDEX(DB_materiali!$E$2:$E$5000,MATCH($C618,DB_materiali!$A$2:$A$5000,0))&lt;=INDEX(DB_malas!$D$2:$D$5000,MATCH(J618,DB_malas!$A$2:$A$5000,0)),IF(INDEX(DB_materiali!$B$2:$B$5000,MATCH($C618,DB_materiali!$A$2:$A$5000,0))=INDEX(DB_malas!$B$2:$B$5000,MATCH(J618,DB_malas!$A$2:$A$5000,0)),"✔",tulkojums!$A$38),tulkojums!$A$39),tulkojums!$A$39))</f>
        <v/>
      </c>
      <c r="S618" s="2" t="str">
        <f>IF(ISBLANK(K618),"",IF(INDEX(DB_materiali!$E$2:$E$5000,MATCH($C618,DB_materiali!$A$2:$A$5000,0))&gt;=INDEX(DB_malas!$C$2:$C$5000,MATCH(K618,DB_malas!$A$2:$A$5000,0)),IF(INDEX(DB_materiali!$E$2:$E$5000,MATCH($C618,DB_materiali!$A$2:$A$5000,0))&lt;=INDEX(DB_malas!$D$2:$D$5000,MATCH(K618,DB_malas!$A$2:$A$5000,0)),IF(INDEX(DB_materiali!$B$2:$B$5000,MATCH($C618,DB_materiali!$A$2:$A$5000,0))=INDEX(DB_malas!$B$2:$B$5000,MATCH(K618,DB_malas!$A$2:$A$5000,0)),"✔",tulkojums!$A$38),tulkojums!$A$39),tulkojums!$A$39))</f>
        <v/>
      </c>
      <c r="T618" s="2"/>
      <c r="U618" s="2"/>
      <c r="V618" s="2"/>
      <c r="W618" s="2"/>
      <c r="X618" s="2"/>
      <c r="Y618" s="2"/>
      <c r="Z618" s="2"/>
    </row>
    <row r="619" spans="1:26" ht="15.75" customHeight="1">
      <c r="A619" s="17"/>
      <c r="B619" s="18"/>
      <c r="C619" s="19"/>
      <c r="D619" s="55"/>
      <c r="E619" s="55"/>
      <c r="F619" s="56"/>
      <c r="G619" s="57" t="str">
        <f>IF(ISBLANK(C619),"",
   IFERROR(
      IF(
         INDEX(DB_materiali!C$2:C$5000,
               MATCH(C619, DB_materiali!A$2:A$5000, 0)
         )="FALSE",
         "N",
         "Y"
      ),
   "")
)</f>
        <v/>
      </c>
      <c r="H619" s="20"/>
      <c r="I619" s="20"/>
      <c r="J619" s="20"/>
      <c r="K619" s="20"/>
      <c r="M619" s="2" t="str">
        <f>IF(ISBLANK(C619),"",IF(IFERROR(VLOOKUP(C619,DB_materiali!$A$2:$A$5000,1,FALSE),"Kļūda artikulā")=C619,"✔",tulkojums!A$42))</f>
        <v/>
      </c>
      <c r="N619" s="2" t="str">
        <f>IF(ISBLANK(C619),"",IF(ISNUMBER(F619)=TRUE,"✔",tulkojums!A$43))</f>
        <v/>
      </c>
      <c r="O619" s="2" t="str">
        <f>IF(ISBLANK(C619),"",IF(G619="Y","✔",IF(G619="X","✔",IF(G619="N","✔",tulkojums!A$44))))</f>
        <v/>
      </c>
      <c r="P619" s="2" t="str">
        <f>IF(ISBLANK(H619),"",IF(INDEX(DB_materiali!$E$2:$E$5000,MATCH($C619,DB_materiali!$A$2:$A$5000,0))&gt;=INDEX(DB_malas!$C$2:$C$5000,MATCH(H619,DB_malas!$A$2:$A$5000,0)),IF(INDEX(DB_materiali!$E$2:$E$5000,MATCH($C619,DB_materiali!$A$2:$A$5000,0))&lt;=INDEX(DB_malas!$D$2:$D$5000,MATCH(H619,DB_malas!$A$2:$A$5000,0)),IF(OR(INDEX(DB_materiali!$B$2:$B$5000,MATCH($C619,DB_materiali!$A$2:$A$5000,0))=INDEX(DB_malas!$B$2:$B$5000,MATCH(H619,DB_malas!$A$2:$A$5000,0)),$H619="ORG"),"✔",tulkojums!$A$38),tulkojums!$A$39),tulkojums!$A$39))</f>
        <v/>
      </c>
      <c r="Q619" s="2" t="str">
        <f>IF(ISBLANK(I619),"",IF(INDEX(DB_materiali!$E$2:$E$5000,MATCH($C619,DB_materiali!$A$2:$A$5000,0))&gt;=INDEX(DB_malas!$C$2:$C$5000,MATCH(I619,DB_malas!$A$2:$A$5000,0)),IF(INDEX(DB_materiali!$E$2:$E$5000,MATCH($C619,DB_materiali!$A$2:$A$5000,0))&lt;=INDEX(DB_malas!$D$2:$D$5000,MATCH(I619,DB_malas!$A$2:$A$5000,0)),IF(OR(INDEX(DB_materiali!$B$2:$B$5000,MATCH($C619,DB_materiali!$A$2:$A$5000,0))=INDEX(DB_malas!$B$2:$B$5000,MATCH(I619,DB_malas!$A$2:$A$5000,0)),$H619="ORG"),"✔",tulkojums!$A$38),tulkojums!$A$39),tulkojums!$A$39))</f>
        <v/>
      </c>
      <c r="R619" s="2" t="str">
        <f>IF(ISBLANK(J619),"",IF(INDEX(DB_materiali!$E$2:$E$5000,MATCH($C619,DB_materiali!$A$2:$A$5000,0))&gt;=INDEX(DB_malas!$C$2:$C$5000,MATCH(J619,DB_malas!$A$2:$A$5000,0)),IF(INDEX(DB_materiali!$E$2:$E$5000,MATCH($C619,DB_materiali!$A$2:$A$5000,0))&lt;=INDEX(DB_malas!$D$2:$D$5000,MATCH(J619,DB_malas!$A$2:$A$5000,0)),IF(INDEX(DB_materiali!$B$2:$B$5000,MATCH($C619,DB_materiali!$A$2:$A$5000,0))=INDEX(DB_malas!$B$2:$B$5000,MATCH(J619,DB_malas!$A$2:$A$5000,0)),"✔",tulkojums!$A$38),tulkojums!$A$39),tulkojums!$A$39))</f>
        <v/>
      </c>
      <c r="S619" s="2" t="str">
        <f>IF(ISBLANK(K619),"",IF(INDEX(DB_materiali!$E$2:$E$5000,MATCH($C619,DB_materiali!$A$2:$A$5000,0))&gt;=INDEX(DB_malas!$C$2:$C$5000,MATCH(K619,DB_malas!$A$2:$A$5000,0)),IF(INDEX(DB_materiali!$E$2:$E$5000,MATCH($C619,DB_materiali!$A$2:$A$5000,0))&lt;=INDEX(DB_malas!$D$2:$D$5000,MATCH(K619,DB_malas!$A$2:$A$5000,0)),IF(INDEX(DB_materiali!$B$2:$B$5000,MATCH($C619,DB_materiali!$A$2:$A$5000,0))=INDEX(DB_malas!$B$2:$B$5000,MATCH(K619,DB_malas!$A$2:$A$5000,0)),"✔",tulkojums!$A$38),tulkojums!$A$39),tulkojums!$A$39))</f>
        <v/>
      </c>
      <c r="T619" s="2"/>
      <c r="U619" s="2"/>
      <c r="V619" s="2"/>
      <c r="W619" s="2"/>
      <c r="X619" s="2"/>
      <c r="Y619" s="2"/>
      <c r="Z619" s="2"/>
    </row>
    <row r="620" spans="1:26" ht="15.75" customHeight="1">
      <c r="A620" s="17"/>
      <c r="B620" s="18"/>
      <c r="C620" s="19"/>
      <c r="D620" s="55"/>
      <c r="E620" s="55"/>
      <c r="F620" s="56"/>
      <c r="G620" s="57" t="str">
        <f>IF(ISBLANK(C620),"",
   IFERROR(
      IF(
         INDEX(DB_materiali!C$2:C$5000,
               MATCH(C620, DB_materiali!A$2:A$5000, 0)
         )="FALSE",
         "N",
         "Y"
      ),
   "")
)</f>
        <v/>
      </c>
      <c r="H620" s="20"/>
      <c r="I620" s="20"/>
      <c r="J620" s="20"/>
      <c r="K620" s="20"/>
      <c r="M620" s="2" t="str">
        <f>IF(ISBLANK(C620),"",IF(IFERROR(VLOOKUP(C620,DB_materiali!$A$2:$A$5000,1,FALSE),"Kļūda artikulā")=C620,"✔",tulkojums!A$42))</f>
        <v/>
      </c>
      <c r="N620" s="2" t="str">
        <f>IF(ISBLANK(C620),"",IF(ISNUMBER(F620)=TRUE,"✔",tulkojums!A$43))</f>
        <v/>
      </c>
      <c r="O620" s="2" t="str">
        <f>IF(ISBLANK(C620),"",IF(G620="Y","✔",IF(G620="X","✔",IF(G620="N","✔",tulkojums!A$44))))</f>
        <v/>
      </c>
      <c r="P620" s="2" t="str">
        <f>IF(ISBLANK(H620),"",IF(INDEX(DB_materiali!$E$2:$E$5000,MATCH($C620,DB_materiali!$A$2:$A$5000,0))&gt;=INDEX(DB_malas!$C$2:$C$5000,MATCH(H620,DB_malas!$A$2:$A$5000,0)),IF(INDEX(DB_materiali!$E$2:$E$5000,MATCH($C620,DB_materiali!$A$2:$A$5000,0))&lt;=INDEX(DB_malas!$D$2:$D$5000,MATCH(H620,DB_malas!$A$2:$A$5000,0)),IF(OR(INDEX(DB_materiali!$B$2:$B$5000,MATCH($C620,DB_materiali!$A$2:$A$5000,0))=INDEX(DB_malas!$B$2:$B$5000,MATCH(H620,DB_malas!$A$2:$A$5000,0)),$H620="ORG"),"✔",tulkojums!$A$38),tulkojums!$A$39),tulkojums!$A$39))</f>
        <v/>
      </c>
      <c r="Q620" s="2" t="str">
        <f>IF(ISBLANK(I620),"",IF(INDEX(DB_materiali!$E$2:$E$5000,MATCH($C620,DB_materiali!$A$2:$A$5000,0))&gt;=INDEX(DB_malas!$C$2:$C$5000,MATCH(I620,DB_malas!$A$2:$A$5000,0)),IF(INDEX(DB_materiali!$E$2:$E$5000,MATCH($C620,DB_materiali!$A$2:$A$5000,0))&lt;=INDEX(DB_malas!$D$2:$D$5000,MATCH(I620,DB_malas!$A$2:$A$5000,0)),IF(OR(INDEX(DB_materiali!$B$2:$B$5000,MATCH($C620,DB_materiali!$A$2:$A$5000,0))=INDEX(DB_malas!$B$2:$B$5000,MATCH(I620,DB_malas!$A$2:$A$5000,0)),$H620="ORG"),"✔",tulkojums!$A$38),tulkojums!$A$39),tulkojums!$A$39))</f>
        <v/>
      </c>
      <c r="R620" s="2" t="str">
        <f>IF(ISBLANK(J620),"",IF(INDEX(DB_materiali!$E$2:$E$5000,MATCH($C620,DB_materiali!$A$2:$A$5000,0))&gt;=INDEX(DB_malas!$C$2:$C$5000,MATCH(J620,DB_malas!$A$2:$A$5000,0)),IF(INDEX(DB_materiali!$E$2:$E$5000,MATCH($C620,DB_materiali!$A$2:$A$5000,0))&lt;=INDEX(DB_malas!$D$2:$D$5000,MATCH(J620,DB_malas!$A$2:$A$5000,0)),IF(INDEX(DB_materiali!$B$2:$B$5000,MATCH($C620,DB_materiali!$A$2:$A$5000,0))=INDEX(DB_malas!$B$2:$B$5000,MATCH(J620,DB_malas!$A$2:$A$5000,0)),"✔",tulkojums!$A$38),tulkojums!$A$39),tulkojums!$A$39))</f>
        <v/>
      </c>
      <c r="S620" s="2" t="str">
        <f>IF(ISBLANK(K620),"",IF(INDEX(DB_materiali!$E$2:$E$5000,MATCH($C620,DB_materiali!$A$2:$A$5000,0))&gt;=INDEX(DB_malas!$C$2:$C$5000,MATCH(K620,DB_malas!$A$2:$A$5000,0)),IF(INDEX(DB_materiali!$E$2:$E$5000,MATCH($C620,DB_materiali!$A$2:$A$5000,0))&lt;=INDEX(DB_malas!$D$2:$D$5000,MATCH(K620,DB_malas!$A$2:$A$5000,0)),IF(INDEX(DB_materiali!$B$2:$B$5000,MATCH($C620,DB_materiali!$A$2:$A$5000,0))=INDEX(DB_malas!$B$2:$B$5000,MATCH(K620,DB_malas!$A$2:$A$5000,0)),"✔",tulkojums!$A$38),tulkojums!$A$39),tulkojums!$A$39))</f>
        <v/>
      </c>
      <c r="T620" s="2"/>
      <c r="U620" s="2"/>
      <c r="V620" s="2"/>
      <c r="W620" s="2"/>
      <c r="X620" s="2"/>
      <c r="Y620" s="2"/>
      <c r="Z620" s="2"/>
    </row>
    <row r="621" spans="1:26" ht="15.75" customHeight="1">
      <c r="A621" s="17"/>
      <c r="B621" s="18"/>
      <c r="C621" s="19"/>
      <c r="D621" s="55"/>
      <c r="E621" s="55"/>
      <c r="F621" s="56"/>
      <c r="G621" s="57" t="str">
        <f>IF(ISBLANK(C621),"",
   IFERROR(
      IF(
         INDEX(DB_materiali!C$2:C$5000,
               MATCH(C621, DB_materiali!A$2:A$5000, 0)
         )="FALSE",
         "N",
         "Y"
      ),
   "")
)</f>
        <v/>
      </c>
      <c r="H621" s="20"/>
      <c r="I621" s="20"/>
      <c r="J621" s="20"/>
      <c r="K621" s="20"/>
      <c r="M621" s="2" t="str">
        <f>IF(ISBLANK(C621),"",IF(IFERROR(VLOOKUP(C621,DB_materiali!$A$2:$A$5000,1,FALSE),"Kļūda artikulā")=C621,"✔",tulkojums!A$42))</f>
        <v/>
      </c>
      <c r="N621" s="2" t="str">
        <f>IF(ISBLANK(C621),"",IF(ISNUMBER(F621)=TRUE,"✔",tulkojums!A$43))</f>
        <v/>
      </c>
      <c r="O621" s="2" t="str">
        <f>IF(ISBLANK(C621),"",IF(G621="Y","✔",IF(G621="X","✔",IF(G621="N","✔",tulkojums!A$44))))</f>
        <v/>
      </c>
      <c r="P621" s="2" t="str">
        <f>IF(ISBLANK(H621),"",IF(INDEX(DB_materiali!$E$2:$E$5000,MATCH($C621,DB_materiali!$A$2:$A$5000,0))&gt;=INDEX(DB_malas!$C$2:$C$5000,MATCH(H621,DB_malas!$A$2:$A$5000,0)),IF(INDEX(DB_materiali!$E$2:$E$5000,MATCH($C621,DB_materiali!$A$2:$A$5000,0))&lt;=INDEX(DB_malas!$D$2:$D$5000,MATCH(H621,DB_malas!$A$2:$A$5000,0)),IF(OR(INDEX(DB_materiali!$B$2:$B$5000,MATCH($C621,DB_materiali!$A$2:$A$5000,0))=INDEX(DB_malas!$B$2:$B$5000,MATCH(H621,DB_malas!$A$2:$A$5000,0)),$H621="ORG"),"✔",tulkojums!$A$38),tulkojums!$A$39),tulkojums!$A$39))</f>
        <v/>
      </c>
      <c r="Q621" s="2" t="str">
        <f>IF(ISBLANK(I621),"",IF(INDEX(DB_materiali!$E$2:$E$5000,MATCH($C621,DB_materiali!$A$2:$A$5000,0))&gt;=INDEX(DB_malas!$C$2:$C$5000,MATCH(I621,DB_malas!$A$2:$A$5000,0)),IF(INDEX(DB_materiali!$E$2:$E$5000,MATCH($C621,DB_materiali!$A$2:$A$5000,0))&lt;=INDEX(DB_malas!$D$2:$D$5000,MATCH(I621,DB_malas!$A$2:$A$5000,0)),IF(OR(INDEX(DB_materiali!$B$2:$B$5000,MATCH($C621,DB_materiali!$A$2:$A$5000,0))=INDEX(DB_malas!$B$2:$B$5000,MATCH(I621,DB_malas!$A$2:$A$5000,0)),$H621="ORG"),"✔",tulkojums!$A$38),tulkojums!$A$39),tulkojums!$A$39))</f>
        <v/>
      </c>
      <c r="R621" s="2" t="str">
        <f>IF(ISBLANK(J621),"",IF(INDEX(DB_materiali!$E$2:$E$5000,MATCH($C621,DB_materiali!$A$2:$A$5000,0))&gt;=INDEX(DB_malas!$C$2:$C$5000,MATCH(J621,DB_malas!$A$2:$A$5000,0)),IF(INDEX(DB_materiali!$E$2:$E$5000,MATCH($C621,DB_materiali!$A$2:$A$5000,0))&lt;=INDEX(DB_malas!$D$2:$D$5000,MATCH(J621,DB_malas!$A$2:$A$5000,0)),IF(INDEX(DB_materiali!$B$2:$B$5000,MATCH($C621,DB_materiali!$A$2:$A$5000,0))=INDEX(DB_malas!$B$2:$B$5000,MATCH(J621,DB_malas!$A$2:$A$5000,0)),"✔",tulkojums!$A$38),tulkojums!$A$39),tulkojums!$A$39))</f>
        <v/>
      </c>
      <c r="S621" s="2" t="str">
        <f>IF(ISBLANK(K621),"",IF(INDEX(DB_materiali!$E$2:$E$5000,MATCH($C621,DB_materiali!$A$2:$A$5000,0))&gt;=INDEX(DB_malas!$C$2:$C$5000,MATCH(K621,DB_malas!$A$2:$A$5000,0)),IF(INDEX(DB_materiali!$E$2:$E$5000,MATCH($C621,DB_materiali!$A$2:$A$5000,0))&lt;=INDEX(DB_malas!$D$2:$D$5000,MATCH(K621,DB_malas!$A$2:$A$5000,0)),IF(INDEX(DB_materiali!$B$2:$B$5000,MATCH($C621,DB_materiali!$A$2:$A$5000,0))=INDEX(DB_malas!$B$2:$B$5000,MATCH(K621,DB_malas!$A$2:$A$5000,0)),"✔",tulkojums!$A$38),tulkojums!$A$39),tulkojums!$A$39))</f>
        <v/>
      </c>
      <c r="T621" s="2"/>
      <c r="U621" s="2"/>
      <c r="V621" s="2"/>
      <c r="W621" s="2"/>
      <c r="X621" s="2"/>
      <c r="Y621" s="2"/>
      <c r="Z621" s="2"/>
    </row>
    <row r="622" spans="1:26" ht="15.75" customHeight="1">
      <c r="A622" s="17"/>
      <c r="B622" s="18"/>
      <c r="C622" s="19"/>
      <c r="D622" s="55"/>
      <c r="E622" s="55"/>
      <c r="F622" s="56"/>
      <c r="G622" s="57" t="str">
        <f>IF(ISBLANK(C622),"",
   IFERROR(
      IF(
         INDEX(DB_materiali!C$2:C$5000,
               MATCH(C622, DB_materiali!A$2:A$5000, 0)
         )="FALSE",
         "N",
         "Y"
      ),
   "")
)</f>
        <v/>
      </c>
      <c r="H622" s="20"/>
      <c r="I622" s="20"/>
      <c r="J622" s="20"/>
      <c r="K622" s="20"/>
      <c r="M622" s="2" t="str">
        <f>IF(ISBLANK(C622),"",IF(IFERROR(VLOOKUP(C622,DB_materiali!$A$2:$A$5000,1,FALSE),"Kļūda artikulā")=C622,"✔",tulkojums!A$42))</f>
        <v/>
      </c>
      <c r="N622" s="2" t="str">
        <f>IF(ISBLANK(C622),"",IF(ISNUMBER(F622)=TRUE,"✔",tulkojums!A$43))</f>
        <v/>
      </c>
      <c r="O622" s="2" t="str">
        <f>IF(ISBLANK(C622),"",IF(G622="Y","✔",IF(G622="X","✔",IF(G622="N","✔",tulkojums!A$44))))</f>
        <v/>
      </c>
      <c r="P622" s="2" t="str">
        <f>IF(ISBLANK(H622),"",IF(INDEX(DB_materiali!$E$2:$E$5000,MATCH($C622,DB_materiali!$A$2:$A$5000,0))&gt;=INDEX(DB_malas!$C$2:$C$5000,MATCH(H622,DB_malas!$A$2:$A$5000,0)),IF(INDEX(DB_materiali!$E$2:$E$5000,MATCH($C622,DB_materiali!$A$2:$A$5000,0))&lt;=INDEX(DB_malas!$D$2:$D$5000,MATCH(H622,DB_malas!$A$2:$A$5000,0)),IF(OR(INDEX(DB_materiali!$B$2:$B$5000,MATCH($C622,DB_materiali!$A$2:$A$5000,0))=INDEX(DB_malas!$B$2:$B$5000,MATCH(H622,DB_malas!$A$2:$A$5000,0)),$H622="ORG"),"✔",tulkojums!$A$38),tulkojums!$A$39),tulkojums!$A$39))</f>
        <v/>
      </c>
      <c r="Q622" s="2" t="str">
        <f>IF(ISBLANK(I622),"",IF(INDEX(DB_materiali!$E$2:$E$5000,MATCH($C622,DB_materiali!$A$2:$A$5000,0))&gt;=INDEX(DB_malas!$C$2:$C$5000,MATCH(I622,DB_malas!$A$2:$A$5000,0)),IF(INDEX(DB_materiali!$E$2:$E$5000,MATCH($C622,DB_materiali!$A$2:$A$5000,0))&lt;=INDEX(DB_malas!$D$2:$D$5000,MATCH(I622,DB_malas!$A$2:$A$5000,0)),IF(OR(INDEX(DB_materiali!$B$2:$B$5000,MATCH($C622,DB_materiali!$A$2:$A$5000,0))=INDEX(DB_malas!$B$2:$B$5000,MATCH(I622,DB_malas!$A$2:$A$5000,0)),$H622="ORG"),"✔",tulkojums!$A$38),tulkojums!$A$39),tulkojums!$A$39))</f>
        <v/>
      </c>
      <c r="R622" s="2" t="str">
        <f>IF(ISBLANK(J622),"",IF(INDEX(DB_materiali!$E$2:$E$5000,MATCH($C622,DB_materiali!$A$2:$A$5000,0))&gt;=INDEX(DB_malas!$C$2:$C$5000,MATCH(J622,DB_malas!$A$2:$A$5000,0)),IF(INDEX(DB_materiali!$E$2:$E$5000,MATCH($C622,DB_materiali!$A$2:$A$5000,0))&lt;=INDEX(DB_malas!$D$2:$D$5000,MATCH(J622,DB_malas!$A$2:$A$5000,0)),IF(INDEX(DB_materiali!$B$2:$B$5000,MATCH($C622,DB_materiali!$A$2:$A$5000,0))=INDEX(DB_malas!$B$2:$B$5000,MATCH(J622,DB_malas!$A$2:$A$5000,0)),"✔",tulkojums!$A$38),tulkojums!$A$39),tulkojums!$A$39))</f>
        <v/>
      </c>
      <c r="S622" s="2" t="str">
        <f>IF(ISBLANK(K622),"",IF(INDEX(DB_materiali!$E$2:$E$5000,MATCH($C622,DB_materiali!$A$2:$A$5000,0))&gt;=INDEX(DB_malas!$C$2:$C$5000,MATCH(K622,DB_malas!$A$2:$A$5000,0)),IF(INDEX(DB_materiali!$E$2:$E$5000,MATCH($C622,DB_materiali!$A$2:$A$5000,0))&lt;=INDEX(DB_malas!$D$2:$D$5000,MATCH(K622,DB_malas!$A$2:$A$5000,0)),IF(INDEX(DB_materiali!$B$2:$B$5000,MATCH($C622,DB_materiali!$A$2:$A$5000,0))=INDEX(DB_malas!$B$2:$B$5000,MATCH(K622,DB_malas!$A$2:$A$5000,0)),"✔",tulkojums!$A$38),tulkojums!$A$39),tulkojums!$A$39))</f>
        <v/>
      </c>
      <c r="T622" s="2"/>
      <c r="U622" s="2"/>
      <c r="V622" s="2"/>
      <c r="W622" s="2"/>
      <c r="X622" s="2"/>
      <c r="Y622" s="2"/>
      <c r="Z622" s="2"/>
    </row>
    <row r="623" spans="1:26" ht="15.75" customHeight="1">
      <c r="A623" s="17"/>
      <c r="B623" s="18"/>
      <c r="C623" s="19"/>
      <c r="D623" s="55"/>
      <c r="E623" s="55"/>
      <c r="F623" s="56"/>
      <c r="G623" s="57" t="str">
        <f>IF(ISBLANK(C623),"",
   IFERROR(
      IF(
         INDEX(DB_materiali!C$2:C$5000,
               MATCH(C623, DB_materiali!A$2:A$5000, 0)
         )="FALSE",
         "N",
         "Y"
      ),
   "")
)</f>
        <v/>
      </c>
      <c r="H623" s="20"/>
      <c r="I623" s="20"/>
      <c r="J623" s="20"/>
      <c r="K623" s="20"/>
      <c r="M623" s="2" t="str">
        <f>IF(ISBLANK(C623),"",IF(IFERROR(VLOOKUP(C623,DB_materiali!$A$2:$A$5000,1,FALSE),"Kļūda artikulā")=C623,"✔",tulkojums!A$42))</f>
        <v/>
      </c>
      <c r="N623" s="2" t="str">
        <f>IF(ISBLANK(C623),"",IF(ISNUMBER(F623)=TRUE,"✔",tulkojums!A$43))</f>
        <v/>
      </c>
      <c r="O623" s="2" t="str">
        <f>IF(ISBLANK(C623),"",IF(G623="Y","✔",IF(G623="X","✔",IF(G623="N","✔",tulkojums!A$44))))</f>
        <v/>
      </c>
      <c r="P623" s="2" t="str">
        <f>IF(ISBLANK(H623),"",IF(INDEX(DB_materiali!$E$2:$E$5000,MATCH($C623,DB_materiali!$A$2:$A$5000,0))&gt;=INDEX(DB_malas!$C$2:$C$5000,MATCH(H623,DB_malas!$A$2:$A$5000,0)),IF(INDEX(DB_materiali!$E$2:$E$5000,MATCH($C623,DB_materiali!$A$2:$A$5000,0))&lt;=INDEX(DB_malas!$D$2:$D$5000,MATCH(H623,DB_malas!$A$2:$A$5000,0)),IF(OR(INDEX(DB_materiali!$B$2:$B$5000,MATCH($C623,DB_materiali!$A$2:$A$5000,0))=INDEX(DB_malas!$B$2:$B$5000,MATCH(H623,DB_malas!$A$2:$A$5000,0)),$H623="ORG"),"✔",tulkojums!$A$38),tulkojums!$A$39),tulkojums!$A$39))</f>
        <v/>
      </c>
      <c r="Q623" s="2" t="str">
        <f>IF(ISBLANK(I623),"",IF(INDEX(DB_materiali!$E$2:$E$5000,MATCH($C623,DB_materiali!$A$2:$A$5000,0))&gt;=INDEX(DB_malas!$C$2:$C$5000,MATCH(I623,DB_malas!$A$2:$A$5000,0)),IF(INDEX(DB_materiali!$E$2:$E$5000,MATCH($C623,DB_materiali!$A$2:$A$5000,0))&lt;=INDEX(DB_malas!$D$2:$D$5000,MATCH(I623,DB_malas!$A$2:$A$5000,0)),IF(OR(INDEX(DB_materiali!$B$2:$B$5000,MATCH($C623,DB_materiali!$A$2:$A$5000,0))=INDEX(DB_malas!$B$2:$B$5000,MATCH(I623,DB_malas!$A$2:$A$5000,0)),$H623="ORG"),"✔",tulkojums!$A$38),tulkojums!$A$39),tulkojums!$A$39))</f>
        <v/>
      </c>
      <c r="R623" s="2" t="str">
        <f>IF(ISBLANK(J623),"",IF(INDEX(DB_materiali!$E$2:$E$5000,MATCH($C623,DB_materiali!$A$2:$A$5000,0))&gt;=INDEX(DB_malas!$C$2:$C$5000,MATCH(J623,DB_malas!$A$2:$A$5000,0)),IF(INDEX(DB_materiali!$E$2:$E$5000,MATCH($C623,DB_materiali!$A$2:$A$5000,0))&lt;=INDEX(DB_malas!$D$2:$D$5000,MATCH(J623,DB_malas!$A$2:$A$5000,0)),IF(INDEX(DB_materiali!$B$2:$B$5000,MATCH($C623,DB_materiali!$A$2:$A$5000,0))=INDEX(DB_malas!$B$2:$B$5000,MATCH(J623,DB_malas!$A$2:$A$5000,0)),"✔",tulkojums!$A$38),tulkojums!$A$39),tulkojums!$A$39))</f>
        <v/>
      </c>
      <c r="S623" s="2" t="str">
        <f>IF(ISBLANK(K623),"",IF(INDEX(DB_materiali!$E$2:$E$5000,MATCH($C623,DB_materiali!$A$2:$A$5000,0))&gt;=INDEX(DB_malas!$C$2:$C$5000,MATCH(K623,DB_malas!$A$2:$A$5000,0)),IF(INDEX(DB_materiali!$E$2:$E$5000,MATCH($C623,DB_materiali!$A$2:$A$5000,0))&lt;=INDEX(DB_malas!$D$2:$D$5000,MATCH(K623,DB_malas!$A$2:$A$5000,0)),IF(INDEX(DB_materiali!$B$2:$B$5000,MATCH($C623,DB_materiali!$A$2:$A$5000,0))=INDEX(DB_malas!$B$2:$B$5000,MATCH(K623,DB_malas!$A$2:$A$5000,0)),"✔",tulkojums!$A$38),tulkojums!$A$39),tulkojums!$A$39))</f>
        <v/>
      </c>
      <c r="T623" s="2"/>
      <c r="U623" s="2"/>
      <c r="V623" s="2"/>
      <c r="W623" s="2"/>
      <c r="X623" s="2"/>
      <c r="Y623" s="2"/>
      <c r="Z623" s="2"/>
    </row>
    <row r="624" spans="1:26" ht="15.75" customHeight="1">
      <c r="A624" s="17"/>
      <c r="B624" s="18"/>
      <c r="C624" s="19"/>
      <c r="D624" s="55"/>
      <c r="E624" s="55"/>
      <c r="F624" s="56"/>
      <c r="G624" s="57" t="str">
        <f>IF(ISBLANK(C624),"",
   IFERROR(
      IF(
         INDEX(DB_materiali!C$2:C$5000,
               MATCH(C624, DB_materiali!A$2:A$5000, 0)
         )="FALSE",
         "N",
         "Y"
      ),
   "")
)</f>
        <v/>
      </c>
      <c r="H624" s="20"/>
      <c r="I624" s="20"/>
      <c r="J624" s="20"/>
      <c r="K624" s="20"/>
      <c r="M624" s="2" t="str">
        <f>IF(ISBLANK(C624),"",IF(IFERROR(VLOOKUP(C624,DB_materiali!$A$2:$A$5000,1,FALSE),"Kļūda artikulā")=C624,"✔",tulkojums!A$42))</f>
        <v/>
      </c>
      <c r="N624" s="2" t="str">
        <f>IF(ISBLANK(C624),"",IF(ISNUMBER(F624)=TRUE,"✔",tulkojums!A$43))</f>
        <v/>
      </c>
      <c r="O624" s="2" t="str">
        <f>IF(ISBLANK(C624),"",IF(G624="Y","✔",IF(G624="X","✔",IF(G624="N","✔",tulkojums!A$44))))</f>
        <v/>
      </c>
      <c r="P624" s="2" t="str">
        <f>IF(ISBLANK(H624),"",IF(INDEX(DB_materiali!$E$2:$E$5000,MATCH($C624,DB_materiali!$A$2:$A$5000,0))&gt;=INDEX(DB_malas!$C$2:$C$5000,MATCH(H624,DB_malas!$A$2:$A$5000,0)),IF(INDEX(DB_materiali!$E$2:$E$5000,MATCH($C624,DB_materiali!$A$2:$A$5000,0))&lt;=INDEX(DB_malas!$D$2:$D$5000,MATCH(H624,DB_malas!$A$2:$A$5000,0)),IF(OR(INDEX(DB_materiali!$B$2:$B$5000,MATCH($C624,DB_materiali!$A$2:$A$5000,0))=INDEX(DB_malas!$B$2:$B$5000,MATCH(H624,DB_malas!$A$2:$A$5000,0)),$H624="ORG"),"✔",tulkojums!$A$38),tulkojums!$A$39),tulkojums!$A$39))</f>
        <v/>
      </c>
      <c r="Q624" s="2" t="str">
        <f>IF(ISBLANK(I624),"",IF(INDEX(DB_materiali!$E$2:$E$5000,MATCH($C624,DB_materiali!$A$2:$A$5000,0))&gt;=INDEX(DB_malas!$C$2:$C$5000,MATCH(I624,DB_malas!$A$2:$A$5000,0)),IF(INDEX(DB_materiali!$E$2:$E$5000,MATCH($C624,DB_materiali!$A$2:$A$5000,0))&lt;=INDEX(DB_malas!$D$2:$D$5000,MATCH(I624,DB_malas!$A$2:$A$5000,0)),IF(OR(INDEX(DB_materiali!$B$2:$B$5000,MATCH($C624,DB_materiali!$A$2:$A$5000,0))=INDEX(DB_malas!$B$2:$B$5000,MATCH(I624,DB_malas!$A$2:$A$5000,0)),$H624="ORG"),"✔",tulkojums!$A$38),tulkojums!$A$39),tulkojums!$A$39))</f>
        <v/>
      </c>
      <c r="R624" s="2" t="str">
        <f>IF(ISBLANK(J624),"",IF(INDEX(DB_materiali!$E$2:$E$5000,MATCH($C624,DB_materiali!$A$2:$A$5000,0))&gt;=INDEX(DB_malas!$C$2:$C$5000,MATCH(J624,DB_malas!$A$2:$A$5000,0)),IF(INDEX(DB_materiali!$E$2:$E$5000,MATCH($C624,DB_materiali!$A$2:$A$5000,0))&lt;=INDEX(DB_malas!$D$2:$D$5000,MATCH(J624,DB_malas!$A$2:$A$5000,0)),IF(INDEX(DB_materiali!$B$2:$B$5000,MATCH($C624,DB_materiali!$A$2:$A$5000,0))=INDEX(DB_malas!$B$2:$B$5000,MATCH(J624,DB_malas!$A$2:$A$5000,0)),"✔",tulkojums!$A$38),tulkojums!$A$39),tulkojums!$A$39))</f>
        <v/>
      </c>
      <c r="S624" s="2" t="str">
        <f>IF(ISBLANK(K624),"",IF(INDEX(DB_materiali!$E$2:$E$5000,MATCH($C624,DB_materiali!$A$2:$A$5000,0))&gt;=INDEX(DB_malas!$C$2:$C$5000,MATCH(K624,DB_malas!$A$2:$A$5000,0)),IF(INDEX(DB_materiali!$E$2:$E$5000,MATCH($C624,DB_materiali!$A$2:$A$5000,0))&lt;=INDEX(DB_malas!$D$2:$D$5000,MATCH(K624,DB_malas!$A$2:$A$5000,0)),IF(INDEX(DB_materiali!$B$2:$B$5000,MATCH($C624,DB_materiali!$A$2:$A$5000,0))=INDEX(DB_malas!$B$2:$B$5000,MATCH(K624,DB_malas!$A$2:$A$5000,0)),"✔",tulkojums!$A$38),tulkojums!$A$39),tulkojums!$A$39))</f>
        <v/>
      </c>
      <c r="T624" s="2"/>
      <c r="U624" s="2"/>
      <c r="V624" s="2"/>
      <c r="W624" s="2"/>
      <c r="X624" s="2"/>
      <c r="Y624" s="2"/>
      <c r="Z624" s="2"/>
    </row>
    <row r="625" spans="1:26" ht="15.75" customHeight="1">
      <c r="A625" s="17"/>
      <c r="B625" s="18"/>
      <c r="C625" s="19"/>
      <c r="D625" s="55"/>
      <c r="E625" s="55"/>
      <c r="F625" s="56"/>
      <c r="G625" s="57" t="str">
        <f>IF(ISBLANK(C625),"",
   IFERROR(
      IF(
         INDEX(DB_materiali!C$2:C$5000,
               MATCH(C625, DB_materiali!A$2:A$5000, 0)
         )="FALSE",
         "N",
         "Y"
      ),
   "")
)</f>
        <v/>
      </c>
      <c r="H625" s="20"/>
      <c r="I625" s="20"/>
      <c r="J625" s="20"/>
      <c r="K625" s="20"/>
      <c r="M625" s="2" t="str">
        <f>IF(ISBLANK(C625),"",IF(IFERROR(VLOOKUP(C625,DB_materiali!$A$2:$A$5000,1,FALSE),"Kļūda artikulā")=C625,"✔",tulkojums!A$42))</f>
        <v/>
      </c>
      <c r="N625" s="2" t="str">
        <f>IF(ISBLANK(C625),"",IF(ISNUMBER(F625)=TRUE,"✔",tulkojums!A$43))</f>
        <v/>
      </c>
      <c r="O625" s="2" t="str">
        <f>IF(ISBLANK(C625),"",IF(G625="Y","✔",IF(G625="X","✔",IF(G625="N","✔",tulkojums!A$44))))</f>
        <v/>
      </c>
      <c r="P625" s="2" t="str">
        <f>IF(ISBLANK(H625),"",IF(INDEX(DB_materiali!$E$2:$E$5000,MATCH($C625,DB_materiali!$A$2:$A$5000,0))&gt;=INDEX(DB_malas!$C$2:$C$5000,MATCH(H625,DB_malas!$A$2:$A$5000,0)),IF(INDEX(DB_materiali!$E$2:$E$5000,MATCH($C625,DB_materiali!$A$2:$A$5000,0))&lt;=INDEX(DB_malas!$D$2:$D$5000,MATCH(H625,DB_malas!$A$2:$A$5000,0)),IF(OR(INDEX(DB_materiali!$B$2:$B$5000,MATCH($C625,DB_materiali!$A$2:$A$5000,0))=INDEX(DB_malas!$B$2:$B$5000,MATCH(H625,DB_malas!$A$2:$A$5000,0)),$H625="ORG"),"✔",tulkojums!$A$38),tulkojums!$A$39),tulkojums!$A$39))</f>
        <v/>
      </c>
      <c r="Q625" s="2" t="str">
        <f>IF(ISBLANK(I625),"",IF(INDEX(DB_materiali!$E$2:$E$5000,MATCH($C625,DB_materiali!$A$2:$A$5000,0))&gt;=INDEX(DB_malas!$C$2:$C$5000,MATCH(I625,DB_malas!$A$2:$A$5000,0)),IF(INDEX(DB_materiali!$E$2:$E$5000,MATCH($C625,DB_materiali!$A$2:$A$5000,0))&lt;=INDEX(DB_malas!$D$2:$D$5000,MATCH(I625,DB_malas!$A$2:$A$5000,0)),IF(OR(INDEX(DB_materiali!$B$2:$B$5000,MATCH($C625,DB_materiali!$A$2:$A$5000,0))=INDEX(DB_malas!$B$2:$B$5000,MATCH(I625,DB_malas!$A$2:$A$5000,0)),$H625="ORG"),"✔",tulkojums!$A$38),tulkojums!$A$39),tulkojums!$A$39))</f>
        <v/>
      </c>
      <c r="R625" s="2" t="str">
        <f>IF(ISBLANK(J625),"",IF(INDEX(DB_materiali!$E$2:$E$5000,MATCH($C625,DB_materiali!$A$2:$A$5000,0))&gt;=INDEX(DB_malas!$C$2:$C$5000,MATCH(J625,DB_malas!$A$2:$A$5000,0)),IF(INDEX(DB_materiali!$E$2:$E$5000,MATCH($C625,DB_materiali!$A$2:$A$5000,0))&lt;=INDEX(DB_malas!$D$2:$D$5000,MATCH(J625,DB_malas!$A$2:$A$5000,0)),IF(INDEX(DB_materiali!$B$2:$B$5000,MATCH($C625,DB_materiali!$A$2:$A$5000,0))=INDEX(DB_malas!$B$2:$B$5000,MATCH(J625,DB_malas!$A$2:$A$5000,0)),"✔",tulkojums!$A$38),tulkojums!$A$39),tulkojums!$A$39))</f>
        <v/>
      </c>
      <c r="S625" s="2" t="str">
        <f>IF(ISBLANK(K625),"",IF(INDEX(DB_materiali!$E$2:$E$5000,MATCH($C625,DB_materiali!$A$2:$A$5000,0))&gt;=INDEX(DB_malas!$C$2:$C$5000,MATCH(K625,DB_malas!$A$2:$A$5000,0)),IF(INDEX(DB_materiali!$E$2:$E$5000,MATCH($C625,DB_materiali!$A$2:$A$5000,0))&lt;=INDEX(DB_malas!$D$2:$D$5000,MATCH(K625,DB_malas!$A$2:$A$5000,0)),IF(INDEX(DB_materiali!$B$2:$B$5000,MATCH($C625,DB_materiali!$A$2:$A$5000,0))=INDEX(DB_malas!$B$2:$B$5000,MATCH(K625,DB_malas!$A$2:$A$5000,0)),"✔",tulkojums!$A$38),tulkojums!$A$39),tulkojums!$A$39))</f>
        <v/>
      </c>
      <c r="T625" s="2"/>
      <c r="U625" s="2"/>
      <c r="V625" s="2"/>
      <c r="W625" s="2"/>
      <c r="X625" s="2"/>
      <c r="Y625" s="2"/>
      <c r="Z625" s="2"/>
    </row>
    <row r="626" spans="1:26" ht="15.75" customHeight="1">
      <c r="A626" s="17"/>
      <c r="B626" s="18"/>
      <c r="C626" s="19"/>
      <c r="D626" s="55"/>
      <c r="E626" s="55"/>
      <c r="F626" s="56"/>
      <c r="G626" s="57" t="str">
        <f>IF(ISBLANK(C626),"",
   IFERROR(
      IF(
         INDEX(DB_materiali!C$2:C$5000,
               MATCH(C626, DB_materiali!A$2:A$5000, 0)
         )="FALSE",
         "N",
         "Y"
      ),
   "")
)</f>
        <v/>
      </c>
      <c r="H626" s="20"/>
      <c r="I626" s="20"/>
      <c r="J626" s="20"/>
      <c r="K626" s="20"/>
      <c r="M626" s="2" t="str">
        <f>IF(ISBLANK(C626),"",IF(IFERROR(VLOOKUP(C626,DB_materiali!$A$2:$A$5000,1,FALSE),"Kļūda artikulā")=C626,"✔",tulkojums!A$42))</f>
        <v/>
      </c>
      <c r="N626" s="2" t="str">
        <f>IF(ISBLANK(C626),"",IF(ISNUMBER(F626)=TRUE,"✔",tulkojums!A$43))</f>
        <v/>
      </c>
      <c r="O626" s="2" t="str">
        <f>IF(ISBLANK(C626),"",IF(G626="Y","✔",IF(G626="X","✔",IF(G626="N","✔",tulkojums!A$44))))</f>
        <v/>
      </c>
      <c r="P626" s="2" t="str">
        <f>IF(ISBLANK(H626),"",IF(INDEX(DB_materiali!$E$2:$E$5000,MATCH($C626,DB_materiali!$A$2:$A$5000,0))&gt;=INDEX(DB_malas!$C$2:$C$5000,MATCH(H626,DB_malas!$A$2:$A$5000,0)),IF(INDEX(DB_materiali!$E$2:$E$5000,MATCH($C626,DB_materiali!$A$2:$A$5000,0))&lt;=INDEX(DB_malas!$D$2:$D$5000,MATCH(H626,DB_malas!$A$2:$A$5000,0)),IF(OR(INDEX(DB_materiali!$B$2:$B$5000,MATCH($C626,DB_materiali!$A$2:$A$5000,0))=INDEX(DB_malas!$B$2:$B$5000,MATCH(H626,DB_malas!$A$2:$A$5000,0)),$H626="ORG"),"✔",tulkojums!$A$38),tulkojums!$A$39),tulkojums!$A$39))</f>
        <v/>
      </c>
      <c r="Q626" s="2" t="str">
        <f>IF(ISBLANK(I626),"",IF(INDEX(DB_materiali!$E$2:$E$5000,MATCH($C626,DB_materiali!$A$2:$A$5000,0))&gt;=INDEX(DB_malas!$C$2:$C$5000,MATCH(I626,DB_malas!$A$2:$A$5000,0)),IF(INDEX(DB_materiali!$E$2:$E$5000,MATCH($C626,DB_materiali!$A$2:$A$5000,0))&lt;=INDEX(DB_malas!$D$2:$D$5000,MATCH(I626,DB_malas!$A$2:$A$5000,0)),IF(OR(INDEX(DB_materiali!$B$2:$B$5000,MATCH($C626,DB_materiali!$A$2:$A$5000,0))=INDEX(DB_malas!$B$2:$B$5000,MATCH(I626,DB_malas!$A$2:$A$5000,0)),$H626="ORG"),"✔",tulkojums!$A$38),tulkojums!$A$39),tulkojums!$A$39))</f>
        <v/>
      </c>
      <c r="R626" s="2" t="str">
        <f>IF(ISBLANK(J626),"",IF(INDEX(DB_materiali!$E$2:$E$5000,MATCH($C626,DB_materiali!$A$2:$A$5000,0))&gt;=INDEX(DB_malas!$C$2:$C$5000,MATCH(J626,DB_malas!$A$2:$A$5000,0)),IF(INDEX(DB_materiali!$E$2:$E$5000,MATCH($C626,DB_materiali!$A$2:$A$5000,0))&lt;=INDEX(DB_malas!$D$2:$D$5000,MATCH(J626,DB_malas!$A$2:$A$5000,0)),IF(INDEX(DB_materiali!$B$2:$B$5000,MATCH($C626,DB_materiali!$A$2:$A$5000,0))=INDEX(DB_malas!$B$2:$B$5000,MATCH(J626,DB_malas!$A$2:$A$5000,0)),"✔",tulkojums!$A$38),tulkojums!$A$39),tulkojums!$A$39))</f>
        <v/>
      </c>
      <c r="S626" s="2" t="str">
        <f>IF(ISBLANK(K626),"",IF(INDEX(DB_materiali!$E$2:$E$5000,MATCH($C626,DB_materiali!$A$2:$A$5000,0))&gt;=INDEX(DB_malas!$C$2:$C$5000,MATCH(K626,DB_malas!$A$2:$A$5000,0)),IF(INDEX(DB_materiali!$E$2:$E$5000,MATCH($C626,DB_materiali!$A$2:$A$5000,0))&lt;=INDEX(DB_malas!$D$2:$D$5000,MATCH(K626,DB_malas!$A$2:$A$5000,0)),IF(INDEX(DB_materiali!$B$2:$B$5000,MATCH($C626,DB_materiali!$A$2:$A$5000,0))=INDEX(DB_malas!$B$2:$B$5000,MATCH(K626,DB_malas!$A$2:$A$5000,0)),"✔",tulkojums!$A$38),tulkojums!$A$39),tulkojums!$A$39))</f>
        <v/>
      </c>
      <c r="T626" s="2"/>
      <c r="U626" s="2"/>
      <c r="V626" s="2"/>
      <c r="W626" s="2"/>
      <c r="X626" s="2"/>
      <c r="Y626" s="2"/>
      <c r="Z626" s="2"/>
    </row>
    <row r="627" spans="1:26" ht="15.75" customHeight="1">
      <c r="A627" s="17"/>
      <c r="B627" s="18"/>
      <c r="C627" s="19"/>
      <c r="D627" s="55"/>
      <c r="E627" s="55"/>
      <c r="F627" s="56"/>
      <c r="G627" s="57" t="str">
        <f>IF(ISBLANK(C627),"",
   IFERROR(
      IF(
         INDEX(DB_materiali!C$2:C$5000,
               MATCH(C627, DB_materiali!A$2:A$5000, 0)
         )="FALSE",
         "N",
         "Y"
      ),
   "")
)</f>
        <v/>
      </c>
      <c r="H627" s="20"/>
      <c r="I627" s="20"/>
      <c r="J627" s="20"/>
      <c r="K627" s="20"/>
      <c r="M627" s="2" t="str">
        <f>IF(ISBLANK(C627),"",IF(IFERROR(VLOOKUP(C627,DB_materiali!$A$2:$A$5000,1,FALSE),"Kļūda artikulā")=C627,"✔",tulkojums!A$42))</f>
        <v/>
      </c>
      <c r="N627" s="2" t="str">
        <f>IF(ISBLANK(C627),"",IF(ISNUMBER(F627)=TRUE,"✔",tulkojums!A$43))</f>
        <v/>
      </c>
      <c r="O627" s="2" t="str">
        <f>IF(ISBLANK(C627),"",IF(G627="Y","✔",IF(G627="X","✔",IF(G627="N","✔",tulkojums!A$44))))</f>
        <v/>
      </c>
      <c r="P627" s="2" t="str">
        <f>IF(ISBLANK(H627),"",IF(INDEX(DB_materiali!$E$2:$E$5000,MATCH($C627,DB_materiali!$A$2:$A$5000,0))&gt;=INDEX(DB_malas!$C$2:$C$5000,MATCH(H627,DB_malas!$A$2:$A$5000,0)),IF(INDEX(DB_materiali!$E$2:$E$5000,MATCH($C627,DB_materiali!$A$2:$A$5000,0))&lt;=INDEX(DB_malas!$D$2:$D$5000,MATCH(H627,DB_malas!$A$2:$A$5000,0)),IF(OR(INDEX(DB_materiali!$B$2:$B$5000,MATCH($C627,DB_materiali!$A$2:$A$5000,0))=INDEX(DB_malas!$B$2:$B$5000,MATCH(H627,DB_malas!$A$2:$A$5000,0)),$H627="ORG"),"✔",tulkojums!$A$38),tulkojums!$A$39),tulkojums!$A$39))</f>
        <v/>
      </c>
      <c r="Q627" s="2" t="str">
        <f>IF(ISBLANK(I627),"",IF(INDEX(DB_materiali!$E$2:$E$5000,MATCH($C627,DB_materiali!$A$2:$A$5000,0))&gt;=INDEX(DB_malas!$C$2:$C$5000,MATCH(I627,DB_malas!$A$2:$A$5000,0)),IF(INDEX(DB_materiali!$E$2:$E$5000,MATCH($C627,DB_materiali!$A$2:$A$5000,0))&lt;=INDEX(DB_malas!$D$2:$D$5000,MATCH(I627,DB_malas!$A$2:$A$5000,0)),IF(OR(INDEX(DB_materiali!$B$2:$B$5000,MATCH($C627,DB_materiali!$A$2:$A$5000,0))=INDEX(DB_malas!$B$2:$B$5000,MATCH(I627,DB_malas!$A$2:$A$5000,0)),$H627="ORG"),"✔",tulkojums!$A$38),tulkojums!$A$39),tulkojums!$A$39))</f>
        <v/>
      </c>
      <c r="R627" s="2" t="str">
        <f>IF(ISBLANK(J627),"",IF(INDEX(DB_materiali!$E$2:$E$5000,MATCH($C627,DB_materiali!$A$2:$A$5000,0))&gt;=INDEX(DB_malas!$C$2:$C$5000,MATCH(J627,DB_malas!$A$2:$A$5000,0)),IF(INDEX(DB_materiali!$E$2:$E$5000,MATCH($C627,DB_materiali!$A$2:$A$5000,0))&lt;=INDEX(DB_malas!$D$2:$D$5000,MATCH(J627,DB_malas!$A$2:$A$5000,0)),IF(INDEX(DB_materiali!$B$2:$B$5000,MATCH($C627,DB_materiali!$A$2:$A$5000,0))=INDEX(DB_malas!$B$2:$B$5000,MATCH(J627,DB_malas!$A$2:$A$5000,0)),"✔",tulkojums!$A$38),tulkojums!$A$39),tulkojums!$A$39))</f>
        <v/>
      </c>
      <c r="S627" s="2" t="str">
        <f>IF(ISBLANK(K627),"",IF(INDEX(DB_materiali!$E$2:$E$5000,MATCH($C627,DB_materiali!$A$2:$A$5000,0))&gt;=INDEX(DB_malas!$C$2:$C$5000,MATCH(K627,DB_malas!$A$2:$A$5000,0)),IF(INDEX(DB_materiali!$E$2:$E$5000,MATCH($C627,DB_materiali!$A$2:$A$5000,0))&lt;=INDEX(DB_malas!$D$2:$D$5000,MATCH(K627,DB_malas!$A$2:$A$5000,0)),IF(INDEX(DB_materiali!$B$2:$B$5000,MATCH($C627,DB_materiali!$A$2:$A$5000,0))=INDEX(DB_malas!$B$2:$B$5000,MATCH(K627,DB_malas!$A$2:$A$5000,0)),"✔",tulkojums!$A$38),tulkojums!$A$39),tulkojums!$A$39))</f>
        <v/>
      </c>
      <c r="T627" s="2"/>
      <c r="U627" s="2"/>
      <c r="V627" s="2"/>
      <c r="W627" s="2"/>
      <c r="X627" s="2"/>
      <c r="Y627" s="2"/>
      <c r="Z627" s="2"/>
    </row>
    <row r="628" spans="1:26" ht="15.75" customHeight="1">
      <c r="A628" s="17"/>
      <c r="B628" s="18"/>
      <c r="C628" s="19"/>
      <c r="D628" s="55"/>
      <c r="E628" s="55"/>
      <c r="F628" s="56"/>
      <c r="G628" s="57" t="str">
        <f>IF(ISBLANK(C628),"",
   IFERROR(
      IF(
         INDEX(DB_materiali!C$2:C$5000,
               MATCH(C628, DB_materiali!A$2:A$5000, 0)
         )="FALSE",
         "N",
         "Y"
      ),
   "")
)</f>
        <v/>
      </c>
      <c r="H628" s="20"/>
      <c r="I628" s="20"/>
      <c r="J628" s="20"/>
      <c r="K628" s="20"/>
      <c r="M628" s="2" t="str">
        <f>IF(ISBLANK(C628),"",IF(IFERROR(VLOOKUP(C628,DB_materiali!$A$2:$A$5000,1,FALSE),"Kļūda artikulā")=C628,"✔",tulkojums!A$42))</f>
        <v/>
      </c>
      <c r="N628" s="2" t="str">
        <f>IF(ISBLANK(C628),"",IF(ISNUMBER(F628)=TRUE,"✔",tulkojums!A$43))</f>
        <v/>
      </c>
      <c r="O628" s="2" t="str">
        <f>IF(ISBLANK(C628),"",IF(G628="Y","✔",IF(G628="X","✔",IF(G628="N","✔",tulkojums!A$44))))</f>
        <v/>
      </c>
      <c r="P628" s="2" t="str">
        <f>IF(ISBLANK(H628),"",IF(INDEX(DB_materiali!$E$2:$E$5000,MATCH($C628,DB_materiali!$A$2:$A$5000,0))&gt;=INDEX(DB_malas!$C$2:$C$5000,MATCH(H628,DB_malas!$A$2:$A$5000,0)),IF(INDEX(DB_materiali!$E$2:$E$5000,MATCH($C628,DB_materiali!$A$2:$A$5000,0))&lt;=INDEX(DB_malas!$D$2:$D$5000,MATCH(H628,DB_malas!$A$2:$A$5000,0)),IF(OR(INDEX(DB_materiali!$B$2:$B$5000,MATCH($C628,DB_materiali!$A$2:$A$5000,0))=INDEX(DB_malas!$B$2:$B$5000,MATCH(H628,DB_malas!$A$2:$A$5000,0)),$H628="ORG"),"✔",tulkojums!$A$38),tulkojums!$A$39),tulkojums!$A$39))</f>
        <v/>
      </c>
      <c r="Q628" s="2" t="str">
        <f>IF(ISBLANK(I628),"",IF(INDEX(DB_materiali!$E$2:$E$5000,MATCH($C628,DB_materiali!$A$2:$A$5000,0))&gt;=INDEX(DB_malas!$C$2:$C$5000,MATCH(I628,DB_malas!$A$2:$A$5000,0)),IF(INDEX(DB_materiali!$E$2:$E$5000,MATCH($C628,DB_materiali!$A$2:$A$5000,0))&lt;=INDEX(DB_malas!$D$2:$D$5000,MATCH(I628,DB_malas!$A$2:$A$5000,0)),IF(OR(INDEX(DB_materiali!$B$2:$B$5000,MATCH($C628,DB_materiali!$A$2:$A$5000,0))=INDEX(DB_malas!$B$2:$B$5000,MATCH(I628,DB_malas!$A$2:$A$5000,0)),$H628="ORG"),"✔",tulkojums!$A$38),tulkojums!$A$39),tulkojums!$A$39))</f>
        <v/>
      </c>
      <c r="R628" s="2" t="str">
        <f>IF(ISBLANK(J628),"",IF(INDEX(DB_materiali!$E$2:$E$5000,MATCH($C628,DB_materiali!$A$2:$A$5000,0))&gt;=INDEX(DB_malas!$C$2:$C$5000,MATCH(J628,DB_malas!$A$2:$A$5000,0)),IF(INDEX(DB_materiali!$E$2:$E$5000,MATCH($C628,DB_materiali!$A$2:$A$5000,0))&lt;=INDEX(DB_malas!$D$2:$D$5000,MATCH(J628,DB_malas!$A$2:$A$5000,0)),IF(INDEX(DB_materiali!$B$2:$B$5000,MATCH($C628,DB_materiali!$A$2:$A$5000,0))=INDEX(DB_malas!$B$2:$B$5000,MATCH(J628,DB_malas!$A$2:$A$5000,0)),"✔",tulkojums!$A$38),tulkojums!$A$39),tulkojums!$A$39))</f>
        <v/>
      </c>
      <c r="S628" s="2" t="str">
        <f>IF(ISBLANK(K628),"",IF(INDEX(DB_materiali!$E$2:$E$5000,MATCH($C628,DB_materiali!$A$2:$A$5000,0))&gt;=INDEX(DB_malas!$C$2:$C$5000,MATCH(K628,DB_malas!$A$2:$A$5000,0)),IF(INDEX(DB_materiali!$E$2:$E$5000,MATCH($C628,DB_materiali!$A$2:$A$5000,0))&lt;=INDEX(DB_malas!$D$2:$D$5000,MATCH(K628,DB_malas!$A$2:$A$5000,0)),IF(INDEX(DB_materiali!$B$2:$B$5000,MATCH($C628,DB_materiali!$A$2:$A$5000,0))=INDEX(DB_malas!$B$2:$B$5000,MATCH(K628,DB_malas!$A$2:$A$5000,0)),"✔",tulkojums!$A$38),tulkojums!$A$39),tulkojums!$A$39))</f>
        <v/>
      </c>
      <c r="T628" s="2"/>
      <c r="U628" s="2"/>
      <c r="V628" s="2"/>
      <c r="W628" s="2"/>
      <c r="X628" s="2"/>
      <c r="Y628" s="2"/>
      <c r="Z628" s="2"/>
    </row>
    <row r="629" spans="1:26" ht="15.75" customHeight="1">
      <c r="A629" s="17"/>
      <c r="B629" s="18"/>
      <c r="C629" s="19"/>
      <c r="D629" s="55"/>
      <c r="E629" s="55"/>
      <c r="F629" s="56"/>
      <c r="G629" s="57" t="str">
        <f>IF(ISBLANK(C629),"",
   IFERROR(
      IF(
         INDEX(DB_materiali!C$2:C$5000,
               MATCH(C629, DB_materiali!A$2:A$5000, 0)
         )="FALSE",
         "N",
         "Y"
      ),
   "")
)</f>
        <v/>
      </c>
      <c r="H629" s="20"/>
      <c r="I629" s="20"/>
      <c r="J629" s="20"/>
      <c r="K629" s="20"/>
      <c r="M629" s="2" t="str">
        <f>IF(ISBLANK(C629),"",IF(IFERROR(VLOOKUP(C629,DB_materiali!$A$2:$A$5000,1,FALSE),"Kļūda artikulā")=C629,"✔",tulkojums!A$42))</f>
        <v/>
      </c>
      <c r="N629" s="2" t="str">
        <f>IF(ISBLANK(C629),"",IF(ISNUMBER(F629)=TRUE,"✔",tulkojums!A$43))</f>
        <v/>
      </c>
      <c r="O629" s="2" t="str">
        <f>IF(ISBLANK(C629),"",IF(G629="Y","✔",IF(G629="X","✔",IF(G629="N","✔",tulkojums!A$44))))</f>
        <v/>
      </c>
      <c r="P629" s="2" t="str">
        <f>IF(ISBLANK(H629),"",IF(INDEX(DB_materiali!$E$2:$E$5000,MATCH($C629,DB_materiali!$A$2:$A$5000,0))&gt;=INDEX(DB_malas!$C$2:$C$5000,MATCH(H629,DB_malas!$A$2:$A$5000,0)),IF(INDEX(DB_materiali!$E$2:$E$5000,MATCH($C629,DB_materiali!$A$2:$A$5000,0))&lt;=INDEX(DB_malas!$D$2:$D$5000,MATCH(H629,DB_malas!$A$2:$A$5000,0)),IF(OR(INDEX(DB_materiali!$B$2:$B$5000,MATCH($C629,DB_materiali!$A$2:$A$5000,0))=INDEX(DB_malas!$B$2:$B$5000,MATCH(H629,DB_malas!$A$2:$A$5000,0)),$H629="ORG"),"✔",tulkojums!$A$38),tulkojums!$A$39),tulkojums!$A$39))</f>
        <v/>
      </c>
      <c r="Q629" s="2" t="str">
        <f>IF(ISBLANK(I629),"",IF(INDEX(DB_materiali!$E$2:$E$5000,MATCH($C629,DB_materiali!$A$2:$A$5000,0))&gt;=INDEX(DB_malas!$C$2:$C$5000,MATCH(I629,DB_malas!$A$2:$A$5000,0)),IF(INDEX(DB_materiali!$E$2:$E$5000,MATCH($C629,DB_materiali!$A$2:$A$5000,0))&lt;=INDEX(DB_malas!$D$2:$D$5000,MATCH(I629,DB_malas!$A$2:$A$5000,0)),IF(OR(INDEX(DB_materiali!$B$2:$B$5000,MATCH($C629,DB_materiali!$A$2:$A$5000,0))=INDEX(DB_malas!$B$2:$B$5000,MATCH(I629,DB_malas!$A$2:$A$5000,0)),$H629="ORG"),"✔",tulkojums!$A$38),tulkojums!$A$39),tulkojums!$A$39))</f>
        <v/>
      </c>
      <c r="R629" s="2" t="str">
        <f>IF(ISBLANK(J629),"",IF(INDEX(DB_materiali!$E$2:$E$5000,MATCH($C629,DB_materiali!$A$2:$A$5000,0))&gt;=INDEX(DB_malas!$C$2:$C$5000,MATCH(J629,DB_malas!$A$2:$A$5000,0)),IF(INDEX(DB_materiali!$E$2:$E$5000,MATCH($C629,DB_materiali!$A$2:$A$5000,0))&lt;=INDEX(DB_malas!$D$2:$D$5000,MATCH(J629,DB_malas!$A$2:$A$5000,0)),IF(INDEX(DB_materiali!$B$2:$B$5000,MATCH($C629,DB_materiali!$A$2:$A$5000,0))=INDEX(DB_malas!$B$2:$B$5000,MATCH(J629,DB_malas!$A$2:$A$5000,0)),"✔",tulkojums!$A$38),tulkojums!$A$39),tulkojums!$A$39))</f>
        <v/>
      </c>
      <c r="S629" s="2" t="str">
        <f>IF(ISBLANK(K629),"",IF(INDEX(DB_materiali!$E$2:$E$5000,MATCH($C629,DB_materiali!$A$2:$A$5000,0))&gt;=INDEX(DB_malas!$C$2:$C$5000,MATCH(K629,DB_malas!$A$2:$A$5000,0)),IF(INDEX(DB_materiali!$E$2:$E$5000,MATCH($C629,DB_materiali!$A$2:$A$5000,0))&lt;=INDEX(DB_malas!$D$2:$D$5000,MATCH(K629,DB_malas!$A$2:$A$5000,0)),IF(INDEX(DB_materiali!$B$2:$B$5000,MATCH($C629,DB_materiali!$A$2:$A$5000,0))=INDEX(DB_malas!$B$2:$B$5000,MATCH(K629,DB_malas!$A$2:$A$5000,0)),"✔",tulkojums!$A$38),tulkojums!$A$39),tulkojums!$A$39))</f>
        <v/>
      </c>
      <c r="T629" s="2"/>
      <c r="U629" s="2"/>
      <c r="V629" s="2"/>
      <c r="W629" s="2"/>
      <c r="X629" s="2"/>
      <c r="Y629" s="2"/>
      <c r="Z629" s="2"/>
    </row>
    <row r="630" spans="1:26" ht="15.75" customHeight="1">
      <c r="A630" s="17"/>
      <c r="B630" s="18"/>
      <c r="C630" s="19"/>
      <c r="D630" s="55"/>
      <c r="E630" s="55"/>
      <c r="F630" s="56"/>
      <c r="G630" s="57" t="str">
        <f>IF(ISBLANK(C630),"",
   IFERROR(
      IF(
         INDEX(DB_materiali!C$2:C$5000,
               MATCH(C630, DB_materiali!A$2:A$5000, 0)
         )="FALSE",
         "N",
         "Y"
      ),
   "")
)</f>
        <v/>
      </c>
      <c r="H630" s="20"/>
      <c r="I630" s="20"/>
      <c r="J630" s="20"/>
      <c r="K630" s="20"/>
      <c r="M630" s="2" t="str">
        <f>IF(ISBLANK(C630),"",IF(IFERROR(VLOOKUP(C630,DB_materiali!$A$2:$A$5000,1,FALSE),"Kļūda artikulā")=C630,"✔",tulkojums!A$42))</f>
        <v/>
      </c>
      <c r="N630" s="2" t="str">
        <f>IF(ISBLANK(C630),"",IF(ISNUMBER(F630)=TRUE,"✔",tulkojums!A$43))</f>
        <v/>
      </c>
      <c r="O630" s="2" t="str">
        <f>IF(ISBLANK(C630),"",IF(G630="Y","✔",IF(G630="X","✔",IF(G630="N","✔",tulkojums!A$44))))</f>
        <v/>
      </c>
      <c r="P630" s="2" t="str">
        <f>IF(ISBLANK(H630),"",IF(INDEX(DB_materiali!$E$2:$E$5000,MATCH($C630,DB_materiali!$A$2:$A$5000,0))&gt;=INDEX(DB_malas!$C$2:$C$5000,MATCH(H630,DB_malas!$A$2:$A$5000,0)),IF(INDEX(DB_materiali!$E$2:$E$5000,MATCH($C630,DB_materiali!$A$2:$A$5000,0))&lt;=INDEX(DB_malas!$D$2:$D$5000,MATCH(H630,DB_malas!$A$2:$A$5000,0)),IF(OR(INDEX(DB_materiali!$B$2:$B$5000,MATCH($C630,DB_materiali!$A$2:$A$5000,0))=INDEX(DB_malas!$B$2:$B$5000,MATCH(H630,DB_malas!$A$2:$A$5000,0)),$H630="ORG"),"✔",tulkojums!$A$38),tulkojums!$A$39),tulkojums!$A$39))</f>
        <v/>
      </c>
      <c r="Q630" s="2" t="str">
        <f>IF(ISBLANK(I630),"",IF(INDEX(DB_materiali!$E$2:$E$5000,MATCH($C630,DB_materiali!$A$2:$A$5000,0))&gt;=INDEX(DB_malas!$C$2:$C$5000,MATCH(I630,DB_malas!$A$2:$A$5000,0)),IF(INDEX(DB_materiali!$E$2:$E$5000,MATCH($C630,DB_materiali!$A$2:$A$5000,0))&lt;=INDEX(DB_malas!$D$2:$D$5000,MATCH(I630,DB_malas!$A$2:$A$5000,0)),IF(OR(INDEX(DB_materiali!$B$2:$B$5000,MATCH($C630,DB_materiali!$A$2:$A$5000,0))=INDEX(DB_malas!$B$2:$B$5000,MATCH(I630,DB_malas!$A$2:$A$5000,0)),$H630="ORG"),"✔",tulkojums!$A$38),tulkojums!$A$39),tulkojums!$A$39))</f>
        <v/>
      </c>
      <c r="R630" s="2" t="str">
        <f>IF(ISBLANK(J630),"",IF(INDEX(DB_materiali!$E$2:$E$5000,MATCH($C630,DB_materiali!$A$2:$A$5000,0))&gt;=INDEX(DB_malas!$C$2:$C$5000,MATCH(J630,DB_malas!$A$2:$A$5000,0)),IF(INDEX(DB_materiali!$E$2:$E$5000,MATCH($C630,DB_materiali!$A$2:$A$5000,0))&lt;=INDEX(DB_malas!$D$2:$D$5000,MATCH(J630,DB_malas!$A$2:$A$5000,0)),IF(INDEX(DB_materiali!$B$2:$B$5000,MATCH($C630,DB_materiali!$A$2:$A$5000,0))=INDEX(DB_malas!$B$2:$B$5000,MATCH(J630,DB_malas!$A$2:$A$5000,0)),"✔",tulkojums!$A$38),tulkojums!$A$39),tulkojums!$A$39))</f>
        <v/>
      </c>
      <c r="S630" s="2" t="str">
        <f>IF(ISBLANK(K630),"",IF(INDEX(DB_materiali!$E$2:$E$5000,MATCH($C630,DB_materiali!$A$2:$A$5000,0))&gt;=INDEX(DB_malas!$C$2:$C$5000,MATCH(K630,DB_malas!$A$2:$A$5000,0)),IF(INDEX(DB_materiali!$E$2:$E$5000,MATCH($C630,DB_materiali!$A$2:$A$5000,0))&lt;=INDEX(DB_malas!$D$2:$D$5000,MATCH(K630,DB_malas!$A$2:$A$5000,0)),IF(INDEX(DB_materiali!$B$2:$B$5000,MATCH($C630,DB_materiali!$A$2:$A$5000,0))=INDEX(DB_malas!$B$2:$B$5000,MATCH(K630,DB_malas!$A$2:$A$5000,0)),"✔",tulkojums!$A$38),tulkojums!$A$39),tulkojums!$A$39))</f>
        <v/>
      </c>
      <c r="T630" s="2"/>
      <c r="U630" s="2"/>
      <c r="V630" s="2"/>
      <c r="W630" s="2"/>
      <c r="X630" s="2"/>
      <c r="Y630" s="2"/>
      <c r="Z630" s="2"/>
    </row>
    <row r="631" spans="1:26" ht="15.75" customHeight="1">
      <c r="A631" s="17"/>
      <c r="B631" s="18"/>
      <c r="C631" s="19"/>
      <c r="D631" s="55"/>
      <c r="E631" s="55"/>
      <c r="F631" s="56"/>
      <c r="G631" s="57" t="str">
        <f>IF(ISBLANK(C631),"",
   IFERROR(
      IF(
         INDEX(DB_materiali!C$2:C$5000,
               MATCH(C631, DB_materiali!A$2:A$5000, 0)
         )="FALSE",
         "N",
         "Y"
      ),
   "")
)</f>
        <v/>
      </c>
      <c r="H631" s="20"/>
      <c r="I631" s="20"/>
      <c r="J631" s="20"/>
      <c r="K631" s="20"/>
      <c r="M631" s="2" t="str">
        <f>IF(ISBLANK(C631),"",IF(IFERROR(VLOOKUP(C631,DB_materiali!$A$2:$A$5000,1,FALSE),"Kļūda artikulā")=C631,"✔",tulkojums!A$42))</f>
        <v/>
      </c>
      <c r="N631" s="2" t="str">
        <f>IF(ISBLANK(C631),"",IF(ISNUMBER(F631)=TRUE,"✔",tulkojums!A$43))</f>
        <v/>
      </c>
      <c r="O631" s="2" t="str">
        <f>IF(ISBLANK(C631),"",IF(G631="Y","✔",IF(G631="X","✔",IF(G631="N","✔",tulkojums!A$44))))</f>
        <v/>
      </c>
      <c r="P631" s="2" t="str">
        <f>IF(ISBLANK(H631),"",IF(INDEX(DB_materiali!$E$2:$E$5000,MATCH($C631,DB_materiali!$A$2:$A$5000,0))&gt;=INDEX(DB_malas!$C$2:$C$5000,MATCH(H631,DB_malas!$A$2:$A$5000,0)),IF(INDEX(DB_materiali!$E$2:$E$5000,MATCH($C631,DB_materiali!$A$2:$A$5000,0))&lt;=INDEX(DB_malas!$D$2:$D$5000,MATCH(H631,DB_malas!$A$2:$A$5000,0)),IF(OR(INDEX(DB_materiali!$B$2:$B$5000,MATCH($C631,DB_materiali!$A$2:$A$5000,0))=INDEX(DB_malas!$B$2:$B$5000,MATCH(H631,DB_malas!$A$2:$A$5000,0)),$H631="ORG"),"✔",tulkojums!$A$38),tulkojums!$A$39),tulkojums!$A$39))</f>
        <v/>
      </c>
      <c r="Q631" s="2" t="str">
        <f>IF(ISBLANK(I631),"",IF(INDEX(DB_materiali!$E$2:$E$5000,MATCH($C631,DB_materiali!$A$2:$A$5000,0))&gt;=INDEX(DB_malas!$C$2:$C$5000,MATCH(I631,DB_malas!$A$2:$A$5000,0)),IF(INDEX(DB_materiali!$E$2:$E$5000,MATCH($C631,DB_materiali!$A$2:$A$5000,0))&lt;=INDEX(DB_malas!$D$2:$D$5000,MATCH(I631,DB_malas!$A$2:$A$5000,0)),IF(OR(INDEX(DB_materiali!$B$2:$B$5000,MATCH($C631,DB_materiali!$A$2:$A$5000,0))=INDEX(DB_malas!$B$2:$B$5000,MATCH(I631,DB_malas!$A$2:$A$5000,0)),$H631="ORG"),"✔",tulkojums!$A$38),tulkojums!$A$39),tulkojums!$A$39))</f>
        <v/>
      </c>
      <c r="R631" s="2" t="str">
        <f>IF(ISBLANK(J631),"",IF(INDEX(DB_materiali!$E$2:$E$5000,MATCH($C631,DB_materiali!$A$2:$A$5000,0))&gt;=INDEX(DB_malas!$C$2:$C$5000,MATCH(J631,DB_malas!$A$2:$A$5000,0)),IF(INDEX(DB_materiali!$E$2:$E$5000,MATCH($C631,DB_materiali!$A$2:$A$5000,0))&lt;=INDEX(DB_malas!$D$2:$D$5000,MATCH(J631,DB_malas!$A$2:$A$5000,0)),IF(INDEX(DB_materiali!$B$2:$B$5000,MATCH($C631,DB_materiali!$A$2:$A$5000,0))=INDEX(DB_malas!$B$2:$B$5000,MATCH(J631,DB_malas!$A$2:$A$5000,0)),"✔",tulkojums!$A$38),tulkojums!$A$39),tulkojums!$A$39))</f>
        <v/>
      </c>
      <c r="S631" s="2" t="str">
        <f>IF(ISBLANK(K631),"",IF(INDEX(DB_materiali!$E$2:$E$5000,MATCH($C631,DB_materiali!$A$2:$A$5000,0))&gt;=INDEX(DB_malas!$C$2:$C$5000,MATCH(K631,DB_malas!$A$2:$A$5000,0)),IF(INDEX(DB_materiali!$E$2:$E$5000,MATCH($C631,DB_materiali!$A$2:$A$5000,0))&lt;=INDEX(DB_malas!$D$2:$D$5000,MATCH(K631,DB_malas!$A$2:$A$5000,0)),IF(INDEX(DB_materiali!$B$2:$B$5000,MATCH($C631,DB_materiali!$A$2:$A$5000,0))=INDEX(DB_malas!$B$2:$B$5000,MATCH(K631,DB_malas!$A$2:$A$5000,0)),"✔",tulkojums!$A$38),tulkojums!$A$39),tulkojums!$A$39))</f>
        <v/>
      </c>
      <c r="T631" s="2"/>
      <c r="U631" s="2"/>
      <c r="V631" s="2"/>
      <c r="W631" s="2"/>
      <c r="X631" s="2"/>
      <c r="Y631" s="2"/>
      <c r="Z631" s="2"/>
    </row>
    <row r="632" spans="1:26" ht="15.75" customHeight="1">
      <c r="A632" s="17"/>
      <c r="B632" s="18"/>
      <c r="C632" s="19"/>
      <c r="D632" s="55"/>
      <c r="E632" s="55"/>
      <c r="F632" s="56"/>
      <c r="G632" s="57" t="str">
        <f>IF(ISBLANK(C632),"",
   IFERROR(
      IF(
         INDEX(DB_materiali!C$2:C$5000,
               MATCH(C632, DB_materiali!A$2:A$5000, 0)
         )="FALSE",
         "N",
         "Y"
      ),
   "")
)</f>
        <v/>
      </c>
      <c r="H632" s="20"/>
      <c r="I632" s="20"/>
      <c r="J632" s="20"/>
      <c r="K632" s="20"/>
      <c r="M632" s="2" t="str">
        <f>IF(ISBLANK(C632),"",IF(IFERROR(VLOOKUP(C632,DB_materiali!$A$2:$A$5000,1,FALSE),"Kļūda artikulā")=C632,"✔",tulkojums!A$42))</f>
        <v/>
      </c>
      <c r="N632" s="2" t="str">
        <f>IF(ISBLANK(C632),"",IF(ISNUMBER(F632)=TRUE,"✔",tulkojums!A$43))</f>
        <v/>
      </c>
      <c r="O632" s="2" t="str">
        <f>IF(ISBLANK(C632),"",IF(G632="Y","✔",IF(G632="X","✔",IF(G632="N","✔",tulkojums!A$44))))</f>
        <v/>
      </c>
      <c r="P632" s="2" t="str">
        <f>IF(ISBLANK(H632),"",IF(INDEX(DB_materiali!$E$2:$E$5000,MATCH($C632,DB_materiali!$A$2:$A$5000,0))&gt;=INDEX(DB_malas!$C$2:$C$5000,MATCH(H632,DB_malas!$A$2:$A$5000,0)),IF(INDEX(DB_materiali!$E$2:$E$5000,MATCH($C632,DB_materiali!$A$2:$A$5000,0))&lt;=INDEX(DB_malas!$D$2:$D$5000,MATCH(H632,DB_malas!$A$2:$A$5000,0)),IF(OR(INDEX(DB_materiali!$B$2:$B$5000,MATCH($C632,DB_materiali!$A$2:$A$5000,0))=INDEX(DB_malas!$B$2:$B$5000,MATCH(H632,DB_malas!$A$2:$A$5000,0)),$H632="ORG"),"✔",tulkojums!$A$38),tulkojums!$A$39),tulkojums!$A$39))</f>
        <v/>
      </c>
      <c r="Q632" s="2" t="str">
        <f>IF(ISBLANK(I632),"",IF(INDEX(DB_materiali!$E$2:$E$5000,MATCH($C632,DB_materiali!$A$2:$A$5000,0))&gt;=INDEX(DB_malas!$C$2:$C$5000,MATCH(I632,DB_malas!$A$2:$A$5000,0)),IF(INDEX(DB_materiali!$E$2:$E$5000,MATCH($C632,DB_materiali!$A$2:$A$5000,0))&lt;=INDEX(DB_malas!$D$2:$D$5000,MATCH(I632,DB_malas!$A$2:$A$5000,0)),IF(OR(INDEX(DB_materiali!$B$2:$B$5000,MATCH($C632,DB_materiali!$A$2:$A$5000,0))=INDEX(DB_malas!$B$2:$B$5000,MATCH(I632,DB_malas!$A$2:$A$5000,0)),$H632="ORG"),"✔",tulkojums!$A$38),tulkojums!$A$39),tulkojums!$A$39))</f>
        <v/>
      </c>
      <c r="R632" s="2" t="str">
        <f>IF(ISBLANK(J632),"",IF(INDEX(DB_materiali!$E$2:$E$5000,MATCH($C632,DB_materiali!$A$2:$A$5000,0))&gt;=INDEX(DB_malas!$C$2:$C$5000,MATCH(J632,DB_malas!$A$2:$A$5000,0)),IF(INDEX(DB_materiali!$E$2:$E$5000,MATCH($C632,DB_materiali!$A$2:$A$5000,0))&lt;=INDEX(DB_malas!$D$2:$D$5000,MATCH(J632,DB_malas!$A$2:$A$5000,0)),IF(INDEX(DB_materiali!$B$2:$B$5000,MATCH($C632,DB_materiali!$A$2:$A$5000,0))=INDEX(DB_malas!$B$2:$B$5000,MATCH(J632,DB_malas!$A$2:$A$5000,0)),"✔",tulkojums!$A$38),tulkojums!$A$39),tulkojums!$A$39))</f>
        <v/>
      </c>
      <c r="S632" s="2" t="str">
        <f>IF(ISBLANK(K632),"",IF(INDEX(DB_materiali!$E$2:$E$5000,MATCH($C632,DB_materiali!$A$2:$A$5000,0))&gt;=INDEX(DB_malas!$C$2:$C$5000,MATCH(K632,DB_malas!$A$2:$A$5000,0)),IF(INDEX(DB_materiali!$E$2:$E$5000,MATCH($C632,DB_materiali!$A$2:$A$5000,0))&lt;=INDEX(DB_malas!$D$2:$D$5000,MATCH(K632,DB_malas!$A$2:$A$5000,0)),IF(INDEX(DB_materiali!$B$2:$B$5000,MATCH($C632,DB_materiali!$A$2:$A$5000,0))=INDEX(DB_malas!$B$2:$B$5000,MATCH(K632,DB_malas!$A$2:$A$5000,0)),"✔",tulkojums!$A$38),tulkojums!$A$39),tulkojums!$A$39))</f>
        <v/>
      </c>
      <c r="T632" s="2"/>
      <c r="U632" s="2"/>
      <c r="V632" s="2"/>
      <c r="W632" s="2"/>
      <c r="X632" s="2"/>
      <c r="Y632" s="2"/>
      <c r="Z632" s="2"/>
    </row>
    <row r="633" spans="1:26" ht="15.75" customHeight="1">
      <c r="A633" s="17"/>
      <c r="B633" s="18"/>
      <c r="C633" s="19"/>
      <c r="D633" s="55"/>
      <c r="E633" s="55"/>
      <c r="F633" s="56"/>
      <c r="G633" s="57" t="str">
        <f>IF(ISBLANK(C633),"",
   IFERROR(
      IF(
         INDEX(DB_materiali!C$2:C$5000,
               MATCH(C633, DB_materiali!A$2:A$5000, 0)
         )="FALSE",
         "N",
         "Y"
      ),
   "")
)</f>
        <v/>
      </c>
      <c r="H633" s="20"/>
      <c r="I633" s="20"/>
      <c r="J633" s="20"/>
      <c r="K633" s="20"/>
      <c r="M633" s="2" t="str">
        <f>IF(ISBLANK(C633),"",IF(IFERROR(VLOOKUP(C633,DB_materiali!$A$2:$A$5000,1,FALSE),"Kļūda artikulā")=C633,"✔",tulkojums!A$42))</f>
        <v/>
      </c>
      <c r="N633" s="2" t="str">
        <f>IF(ISBLANK(C633),"",IF(ISNUMBER(F633)=TRUE,"✔",tulkojums!A$43))</f>
        <v/>
      </c>
      <c r="O633" s="2" t="str">
        <f>IF(ISBLANK(C633),"",IF(G633="Y","✔",IF(G633="X","✔",IF(G633="N","✔",tulkojums!A$44))))</f>
        <v/>
      </c>
      <c r="P633" s="2" t="str">
        <f>IF(ISBLANK(H633),"",IF(INDEX(DB_materiali!$E$2:$E$5000,MATCH($C633,DB_materiali!$A$2:$A$5000,0))&gt;=INDEX(DB_malas!$C$2:$C$5000,MATCH(H633,DB_malas!$A$2:$A$5000,0)),IF(INDEX(DB_materiali!$E$2:$E$5000,MATCH($C633,DB_materiali!$A$2:$A$5000,0))&lt;=INDEX(DB_malas!$D$2:$D$5000,MATCH(H633,DB_malas!$A$2:$A$5000,0)),IF(OR(INDEX(DB_materiali!$B$2:$B$5000,MATCH($C633,DB_materiali!$A$2:$A$5000,0))=INDEX(DB_malas!$B$2:$B$5000,MATCH(H633,DB_malas!$A$2:$A$5000,0)),$H633="ORG"),"✔",tulkojums!$A$38),tulkojums!$A$39),tulkojums!$A$39))</f>
        <v/>
      </c>
      <c r="Q633" s="2" t="str">
        <f>IF(ISBLANK(I633),"",IF(INDEX(DB_materiali!$E$2:$E$5000,MATCH($C633,DB_materiali!$A$2:$A$5000,0))&gt;=INDEX(DB_malas!$C$2:$C$5000,MATCH(I633,DB_malas!$A$2:$A$5000,0)),IF(INDEX(DB_materiali!$E$2:$E$5000,MATCH($C633,DB_materiali!$A$2:$A$5000,0))&lt;=INDEX(DB_malas!$D$2:$D$5000,MATCH(I633,DB_malas!$A$2:$A$5000,0)),IF(OR(INDEX(DB_materiali!$B$2:$B$5000,MATCH($C633,DB_materiali!$A$2:$A$5000,0))=INDEX(DB_malas!$B$2:$B$5000,MATCH(I633,DB_malas!$A$2:$A$5000,0)),$H633="ORG"),"✔",tulkojums!$A$38),tulkojums!$A$39),tulkojums!$A$39))</f>
        <v/>
      </c>
      <c r="R633" s="2" t="str">
        <f>IF(ISBLANK(J633),"",IF(INDEX(DB_materiali!$E$2:$E$5000,MATCH($C633,DB_materiali!$A$2:$A$5000,0))&gt;=INDEX(DB_malas!$C$2:$C$5000,MATCH(J633,DB_malas!$A$2:$A$5000,0)),IF(INDEX(DB_materiali!$E$2:$E$5000,MATCH($C633,DB_materiali!$A$2:$A$5000,0))&lt;=INDEX(DB_malas!$D$2:$D$5000,MATCH(J633,DB_malas!$A$2:$A$5000,0)),IF(INDEX(DB_materiali!$B$2:$B$5000,MATCH($C633,DB_materiali!$A$2:$A$5000,0))=INDEX(DB_malas!$B$2:$B$5000,MATCH(J633,DB_malas!$A$2:$A$5000,0)),"✔",tulkojums!$A$38),tulkojums!$A$39),tulkojums!$A$39))</f>
        <v/>
      </c>
      <c r="S633" s="2" t="str">
        <f>IF(ISBLANK(K633),"",IF(INDEX(DB_materiali!$E$2:$E$5000,MATCH($C633,DB_materiali!$A$2:$A$5000,0))&gt;=INDEX(DB_malas!$C$2:$C$5000,MATCH(K633,DB_malas!$A$2:$A$5000,0)),IF(INDEX(DB_materiali!$E$2:$E$5000,MATCH($C633,DB_materiali!$A$2:$A$5000,0))&lt;=INDEX(DB_malas!$D$2:$D$5000,MATCH(K633,DB_malas!$A$2:$A$5000,0)),IF(INDEX(DB_materiali!$B$2:$B$5000,MATCH($C633,DB_materiali!$A$2:$A$5000,0))=INDEX(DB_malas!$B$2:$B$5000,MATCH(K633,DB_malas!$A$2:$A$5000,0)),"✔",tulkojums!$A$38),tulkojums!$A$39),tulkojums!$A$39))</f>
        <v/>
      </c>
      <c r="T633" s="2"/>
      <c r="U633" s="2"/>
      <c r="V633" s="2"/>
      <c r="W633" s="2"/>
      <c r="X633" s="2"/>
      <c r="Y633" s="2"/>
      <c r="Z633" s="2"/>
    </row>
    <row r="634" spans="1:26" ht="15.75" customHeight="1">
      <c r="A634" s="17"/>
      <c r="B634" s="18"/>
      <c r="C634" s="19"/>
      <c r="D634" s="55"/>
      <c r="E634" s="55"/>
      <c r="F634" s="56"/>
      <c r="G634" s="57" t="str">
        <f>IF(ISBLANK(C634),"",
   IFERROR(
      IF(
         INDEX(DB_materiali!C$2:C$5000,
               MATCH(C634, DB_materiali!A$2:A$5000, 0)
         )="FALSE",
         "N",
         "Y"
      ),
   "")
)</f>
        <v/>
      </c>
      <c r="H634" s="20"/>
      <c r="I634" s="20"/>
      <c r="J634" s="20"/>
      <c r="K634" s="20"/>
      <c r="M634" s="2" t="str">
        <f>IF(ISBLANK(C634),"",IF(IFERROR(VLOOKUP(C634,DB_materiali!$A$2:$A$5000,1,FALSE),"Kļūda artikulā")=C634,"✔",tulkojums!A$42))</f>
        <v/>
      </c>
      <c r="N634" s="2" t="str">
        <f>IF(ISBLANK(C634),"",IF(ISNUMBER(F634)=TRUE,"✔",tulkojums!A$43))</f>
        <v/>
      </c>
      <c r="O634" s="2" t="str">
        <f>IF(ISBLANK(C634),"",IF(G634="Y","✔",IF(G634="X","✔",IF(G634="N","✔",tulkojums!A$44))))</f>
        <v/>
      </c>
      <c r="P634" s="2" t="str">
        <f>IF(ISBLANK(H634),"",IF(INDEX(DB_materiali!$E$2:$E$5000,MATCH($C634,DB_materiali!$A$2:$A$5000,0))&gt;=INDEX(DB_malas!$C$2:$C$5000,MATCH(H634,DB_malas!$A$2:$A$5000,0)),IF(INDEX(DB_materiali!$E$2:$E$5000,MATCH($C634,DB_materiali!$A$2:$A$5000,0))&lt;=INDEX(DB_malas!$D$2:$D$5000,MATCH(H634,DB_malas!$A$2:$A$5000,0)),IF(OR(INDEX(DB_materiali!$B$2:$B$5000,MATCH($C634,DB_materiali!$A$2:$A$5000,0))=INDEX(DB_malas!$B$2:$B$5000,MATCH(H634,DB_malas!$A$2:$A$5000,0)),$H634="ORG"),"✔",tulkojums!$A$38),tulkojums!$A$39),tulkojums!$A$39))</f>
        <v/>
      </c>
      <c r="Q634" s="2" t="str">
        <f>IF(ISBLANK(I634),"",IF(INDEX(DB_materiali!$E$2:$E$5000,MATCH($C634,DB_materiali!$A$2:$A$5000,0))&gt;=INDEX(DB_malas!$C$2:$C$5000,MATCH(I634,DB_malas!$A$2:$A$5000,0)),IF(INDEX(DB_materiali!$E$2:$E$5000,MATCH($C634,DB_materiali!$A$2:$A$5000,0))&lt;=INDEX(DB_malas!$D$2:$D$5000,MATCH(I634,DB_malas!$A$2:$A$5000,0)),IF(OR(INDEX(DB_materiali!$B$2:$B$5000,MATCH($C634,DB_materiali!$A$2:$A$5000,0))=INDEX(DB_malas!$B$2:$B$5000,MATCH(I634,DB_malas!$A$2:$A$5000,0)),$H634="ORG"),"✔",tulkojums!$A$38),tulkojums!$A$39),tulkojums!$A$39))</f>
        <v/>
      </c>
      <c r="R634" s="2" t="str">
        <f>IF(ISBLANK(J634),"",IF(INDEX(DB_materiali!$E$2:$E$5000,MATCH($C634,DB_materiali!$A$2:$A$5000,0))&gt;=INDEX(DB_malas!$C$2:$C$5000,MATCH(J634,DB_malas!$A$2:$A$5000,0)),IF(INDEX(DB_materiali!$E$2:$E$5000,MATCH($C634,DB_materiali!$A$2:$A$5000,0))&lt;=INDEX(DB_malas!$D$2:$D$5000,MATCH(J634,DB_malas!$A$2:$A$5000,0)),IF(INDEX(DB_materiali!$B$2:$B$5000,MATCH($C634,DB_materiali!$A$2:$A$5000,0))=INDEX(DB_malas!$B$2:$B$5000,MATCH(J634,DB_malas!$A$2:$A$5000,0)),"✔",tulkojums!$A$38),tulkojums!$A$39),tulkojums!$A$39))</f>
        <v/>
      </c>
      <c r="S634" s="2" t="str">
        <f>IF(ISBLANK(K634),"",IF(INDEX(DB_materiali!$E$2:$E$5000,MATCH($C634,DB_materiali!$A$2:$A$5000,0))&gt;=INDEX(DB_malas!$C$2:$C$5000,MATCH(K634,DB_malas!$A$2:$A$5000,0)),IF(INDEX(DB_materiali!$E$2:$E$5000,MATCH($C634,DB_materiali!$A$2:$A$5000,0))&lt;=INDEX(DB_malas!$D$2:$D$5000,MATCH(K634,DB_malas!$A$2:$A$5000,0)),IF(INDEX(DB_materiali!$B$2:$B$5000,MATCH($C634,DB_materiali!$A$2:$A$5000,0))=INDEX(DB_malas!$B$2:$B$5000,MATCH(K634,DB_malas!$A$2:$A$5000,0)),"✔",tulkojums!$A$38),tulkojums!$A$39),tulkojums!$A$39))</f>
        <v/>
      </c>
      <c r="T634" s="2"/>
      <c r="U634" s="2"/>
      <c r="V634" s="2"/>
      <c r="W634" s="2"/>
      <c r="X634" s="2"/>
      <c r="Y634" s="2"/>
      <c r="Z634" s="2"/>
    </row>
    <row r="635" spans="1:26" ht="15.75" customHeight="1">
      <c r="A635" s="17"/>
      <c r="B635" s="18"/>
      <c r="C635" s="19"/>
      <c r="D635" s="55"/>
      <c r="E635" s="55"/>
      <c r="F635" s="56"/>
      <c r="G635" s="57" t="str">
        <f>IF(ISBLANK(C635),"",
   IFERROR(
      IF(
         INDEX(DB_materiali!C$2:C$5000,
               MATCH(C635, DB_materiali!A$2:A$5000, 0)
         )="FALSE",
         "N",
         "Y"
      ),
   "")
)</f>
        <v/>
      </c>
      <c r="H635" s="20"/>
      <c r="I635" s="20"/>
      <c r="J635" s="20"/>
      <c r="K635" s="20"/>
      <c r="M635" s="2" t="str">
        <f>IF(ISBLANK(C635),"",IF(IFERROR(VLOOKUP(C635,DB_materiali!$A$2:$A$5000,1,FALSE),"Kļūda artikulā")=C635,"✔",tulkojums!A$42))</f>
        <v/>
      </c>
      <c r="N635" s="2" t="str">
        <f>IF(ISBLANK(C635),"",IF(ISNUMBER(F635)=TRUE,"✔",tulkojums!A$43))</f>
        <v/>
      </c>
      <c r="O635" s="2" t="str">
        <f>IF(ISBLANK(C635),"",IF(G635="Y","✔",IF(G635="X","✔",IF(G635="N","✔",tulkojums!A$44))))</f>
        <v/>
      </c>
      <c r="P635" s="2" t="str">
        <f>IF(ISBLANK(H635),"",IF(INDEX(DB_materiali!$E$2:$E$5000,MATCH($C635,DB_materiali!$A$2:$A$5000,0))&gt;=INDEX(DB_malas!$C$2:$C$5000,MATCH(H635,DB_malas!$A$2:$A$5000,0)),IF(INDEX(DB_materiali!$E$2:$E$5000,MATCH($C635,DB_materiali!$A$2:$A$5000,0))&lt;=INDEX(DB_malas!$D$2:$D$5000,MATCH(H635,DB_malas!$A$2:$A$5000,0)),IF(OR(INDEX(DB_materiali!$B$2:$B$5000,MATCH($C635,DB_materiali!$A$2:$A$5000,0))=INDEX(DB_malas!$B$2:$B$5000,MATCH(H635,DB_malas!$A$2:$A$5000,0)),$H635="ORG"),"✔",tulkojums!$A$38),tulkojums!$A$39),tulkojums!$A$39))</f>
        <v/>
      </c>
      <c r="Q635" s="2" t="str">
        <f>IF(ISBLANK(I635),"",IF(INDEX(DB_materiali!$E$2:$E$5000,MATCH($C635,DB_materiali!$A$2:$A$5000,0))&gt;=INDEX(DB_malas!$C$2:$C$5000,MATCH(I635,DB_malas!$A$2:$A$5000,0)),IF(INDEX(DB_materiali!$E$2:$E$5000,MATCH($C635,DB_materiali!$A$2:$A$5000,0))&lt;=INDEX(DB_malas!$D$2:$D$5000,MATCH(I635,DB_malas!$A$2:$A$5000,0)),IF(OR(INDEX(DB_materiali!$B$2:$B$5000,MATCH($C635,DB_materiali!$A$2:$A$5000,0))=INDEX(DB_malas!$B$2:$B$5000,MATCH(I635,DB_malas!$A$2:$A$5000,0)),$H635="ORG"),"✔",tulkojums!$A$38),tulkojums!$A$39),tulkojums!$A$39))</f>
        <v/>
      </c>
      <c r="R635" s="2" t="str">
        <f>IF(ISBLANK(J635),"",IF(INDEX(DB_materiali!$E$2:$E$5000,MATCH($C635,DB_materiali!$A$2:$A$5000,0))&gt;=INDEX(DB_malas!$C$2:$C$5000,MATCH(J635,DB_malas!$A$2:$A$5000,0)),IF(INDEX(DB_materiali!$E$2:$E$5000,MATCH($C635,DB_materiali!$A$2:$A$5000,0))&lt;=INDEX(DB_malas!$D$2:$D$5000,MATCH(J635,DB_malas!$A$2:$A$5000,0)),IF(INDEX(DB_materiali!$B$2:$B$5000,MATCH($C635,DB_materiali!$A$2:$A$5000,0))=INDEX(DB_malas!$B$2:$B$5000,MATCH(J635,DB_malas!$A$2:$A$5000,0)),"✔",tulkojums!$A$38),tulkojums!$A$39),tulkojums!$A$39))</f>
        <v/>
      </c>
      <c r="S635" s="2" t="str">
        <f>IF(ISBLANK(K635),"",IF(INDEX(DB_materiali!$E$2:$E$5000,MATCH($C635,DB_materiali!$A$2:$A$5000,0))&gt;=INDEX(DB_malas!$C$2:$C$5000,MATCH(K635,DB_malas!$A$2:$A$5000,0)),IF(INDEX(DB_materiali!$E$2:$E$5000,MATCH($C635,DB_materiali!$A$2:$A$5000,0))&lt;=INDEX(DB_malas!$D$2:$D$5000,MATCH(K635,DB_malas!$A$2:$A$5000,0)),IF(INDEX(DB_materiali!$B$2:$B$5000,MATCH($C635,DB_materiali!$A$2:$A$5000,0))=INDEX(DB_malas!$B$2:$B$5000,MATCH(K635,DB_malas!$A$2:$A$5000,0)),"✔",tulkojums!$A$38),tulkojums!$A$39),tulkojums!$A$39))</f>
        <v/>
      </c>
      <c r="T635" s="2"/>
      <c r="U635" s="2"/>
      <c r="V635" s="2"/>
      <c r="W635" s="2"/>
      <c r="X635" s="2"/>
      <c r="Y635" s="2"/>
      <c r="Z635" s="2"/>
    </row>
    <row r="636" spans="1:26" ht="15.75" customHeight="1">
      <c r="A636" s="17"/>
      <c r="B636" s="18"/>
      <c r="C636" s="19"/>
      <c r="D636" s="55"/>
      <c r="E636" s="55"/>
      <c r="F636" s="56"/>
      <c r="G636" s="57" t="str">
        <f>IF(ISBLANK(C636),"",
   IFERROR(
      IF(
         INDEX(DB_materiali!C$2:C$5000,
               MATCH(C636, DB_materiali!A$2:A$5000, 0)
         )="FALSE",
         "N",
         "Y"
      ),
   "")
)</f>
        <v/>
      </c>
      <c r="H636" s="20"/>
      <c r="I636" s="20"/>
      <c r="J636" s="20"/>
      <c r="K636" s="20"/>
      <c r="M636" s="2" t="str">
        <f>IF(ISBLANK(C636),"",IF(IFERROR(VLOOKUP(C636,DB_materiali!$A$2:$A$5000,1,FALSE),"Kļūda artikulā")=C636,"✔",tulkojums!A$42))</f>
        <v/>
      </c>
      <c r="N636" s="2" t="str">
        <f>IF(ISBLANK(C636),"",IF(ISNUMBER(F636)=TRUE,"✔",tulkojums!A$43))</f>
        <v/>
      </c>
      <c r="O636" s="2" t="str">
        <f>IF(ISBLANK(C636),"",IF(G636="Y","✔",IF(G636="X","✔",IF(G636="N","✔",tulkojums!A$44))))</f>
        <v/>
      </c>
      <c r="P636" s="2" t="str">
        <f>IF(ISBLANK(H636),"",IF(INDEX(DB_materiali!$E$2:$E$5000,MATCH($C636,DB_materiali!$A$2:$A$5000,0))&gt;=INDEX(DB_malas!$C$2:$C$5000,MATCH(H636,DB_malas!$A$2:$A$5000,0)),IF(INDEX(DB_materiali!$E$2:$E$5000,MATCH($C636,DB_materiali!$A$2:$A$5000,0))&lt;=INDEX(DB_malas!$D$2:$D$5000,MATCH(H636,DB_malas!$A$2:$A$5000,0)),IF(OR(INDEX(DB_materiali!$B$2:$B$5000,MATCH($C636,DB_materiali!$A$2:$A$5000,0))=INDEX(DB_malas!$B$2:$B$5000,MATCH(H636,DB_malas!$A$2:$A$5000,0)),$H636="ORG"),"✔",tulkojums!$A$38),tulkojums!$A$39),tulkojums!$A$39))</f>
        <v/>
      </c>
      <c r="Q636" s="2" t="str">
        <f>IF(ISBLANK(I636),"",IF(INDEX(DB_materiali!$E$2:$E$5000,MATCH($C636,DB_materiali!$A$2:$A$5000,0))&gt;=INDEX(DB_malas!$C$2:$C$5000,MATCH(I636,DB_malas!$A$2:$A$5000,0)),IF(INDEX(DB_materiali!$E$2:$E$5000,MATCH($C636,DB_materiali!$A$2:$A$5000,0))&lt;=INDEX(DB_malas!$D$2:$D$5000,MATCH(I636,DB_malas!$A$2:$A$5000,0)),IF(OR(INDEX(DB_materiali!$B$2:$B$5000,MATCH($C636,DB_materiali!$A$2:$A$5000,0))=INDEX(DB_malas!$B$2:$B$5000,MATCH(I636,DB_malas!$A$2:$A$5000,0)),$H636="ORG"),"✔",tulkojums!$A$38),tulkojums!$A$39),tulkojums!$A$39))</f>
        <v/>
      </c>
      <c r="R636" s="2" t="str">
        <f>IF(ISBLANK(J636),"",IF(INDEX(DB_materiali!$E$2:$E$5000,MATCH($C636,DB_materiali!$A$2:$A$5000,0))&gt;=INDEX(DB_malas!$C$2:$C$5000,MATCH(J636,DB_malas!$A$2:$A$5000,0)),IF(INDEX(DB_materiali!$E$2:$E$5000,MATCH($C636,DB_materiali!$A$2:$A$5000,0))&lt;=INDEX(DB_malas!$D$2:$D$5000,MATCH(J636,DB_malas!$A$2:$A$5000,0)),IF(INDEX(DB_materiali!$B$2:$B$5000,MATCH($C636,DB_materiali!$A$2:$A$5000,0))=INDEX(DB_malas!$B$2:$B$5000,MATCH(J636,DB_malas!$A$2:$A$5000,0)),"✔",tulkojums!$A$38),tulkojums!$A$39),tulkojums!$A$39))</f>
        <v/>
      </c>
      <c r="S636" s="2" t="str">
        <f>IF(ISBLANK(K636),"",IF(INDEX(DB_materiali!$E$2:$E$5000,MATCH($C636,DB_materiali!$A$2:$A$5000,0))&gt;=INDEX(DB_malas!$C$2:$C$5000,MATCH(K636,DB_malas!$A$2:$A$5000,0)),IF(INDEX(DB_materiali!$E$2:$E$5000,MATCH($C636,DB_materiali!$A$2:$A$5000,0))&lt;=INDEX(DB_malas!$D$2:$D$5000,MATCH(K636,DB_malas!$A$2:$A$5000,0)),IF(INDEX(DB_materiali!$B$2:$B$5000,MATCH($C636,DB_materiali!$A$2:$A$5000,0))=INDEX(DB_malas!$B$2:$B$5000,MATCH(K636,DB_malas!$A$2:$A$5000,0)),"✔",tulkojums!$A$38),tulkojums!$A$39),tulkojums!$A$39))</f>
        <v/>
      </c>
      <c r="T636" s="2"/>
      <c r="U636" s="2"/>
      <c r="V636" s="2"/>
      <c r="W636" s="2"/>
      <c r="X636" s="2"/>
      <c r="Y636" s="2"/>
      <c r="Z636" s="2"/>
    </row>
    <row r="637" spans="1:26" ht="15.75" customHeight="1">
      <c r="A637" s="17"/>
      <c r="B637" s="18"/>
      <c r="C637" s="19"/>
      <c r="D637" s="55"/>
      <c r="E637" s="55"/>
      <c r="F637" s="56"/>
      <c r="G637" s="57" t="str">
        <f>IF(ISBLANK(C637),"",
   IFERROR(
      IF(
         INDEX(DB_materiali!C$2:C$5000,
               MATCH(C637, DB_materiali!A$2:A$5000, 0)
         )="FALSE",
         "N",
         "Y"
      ),
   "")
)</f>
        <v/>
      </c>
      <c r="H637" s="20"/>
      <c r="I637" s="20"/>
      <c r="J637" s="20"/>
      <c r="K637" s="20"/>
      <c r="M637" s="2" t="str">
        <f>IF(ISBLANK(C637),"",IF(IFERROR(VLOOKUP(C637,DB_materiali!$A$2:$A$5000,1,FALSE),"Kļūda artikulā")=C637,"✔",tulkojums!A$42))</f>
        <v/>
      </c>
      <c r="N637" s="2" t="str">
        <f>IF(ISBLANK(C637),"",IF(ISNUMBER(F637)=TRUE,"✔",tulkojums!A$43))</f>
        <v/>
      </c>
      <c r="O637" s="2" t="str">
        <f>IF(ISBLANK(C637),"",IF(G637="Y","✔",IF(G637="X","✔",IF(G637="N","✔",tulkojums!A$44))))</f>
        <v/>
      </c>
      <c r="P637" s="2" t="str">
        <f>IF(ISBLANK(H637),"",IF(INDEX(DB_materiali!$E$2:$E$5000,MATCH($C637,DB_materiali!$A$2:$A$5000,0))&gt;=INDEX(DB_malas!$C$2:$C$5000,MATCH(H637,DB_malas!$A$2:$A$5000,0)),IF(INDEX(DB_materiali!$E$2:$E$5000,MATCH($C637,DB_materiali!$A$2:$A$5000,0))&lt;=INDEX(DB_malas!$D$2:$D$5000,MATCH(H637,DB_malas!$A$2:$A$5000,0)),IF(OR(INDEX(DB_materiali!$B$2:$B$5000,MATCH($C637,DB_materiali!$A$2:$A$5000,0))=INDEX(DB_malas!$B$2:$B$5000,MATCH(H637,DB_malas!$A$2:$A$5000,0)),$H637="ORG"),"✔",tulkojums!$A$38),tulkojums!$A$39),tulkojums!$A$39))</f>
        <v/>
      </c>
      <c r="Q637" s="2" t="str">
        <f>IF(ISBLANK(I637),"",IF(INDEX(DB_materiali!$E$2:$E$5000,MATCH($C637,DB_materiali!$A$2:$A$5000,0))&gt;=INDEX(DB_malas!$C$2:$C$5000,MATCH(I637,DB_malas!$A$2:$A$5000,0)),IF(INDEX(DB_materiali!$E$2:$E$5000,MATCH($C637,DB_materiali!$A$2:$A$5000,0))&lt;=INDEX(DB_malas!$D$2:$D$5000,MATCH(I637,DB_malas!$A$2:$A$5000,0)),IF(OR(INDEX(DB_materiali!$B$2:$B$5000,MATCH($C637,DB_materiali!$A$2:$A$5000,0))=INDEX(DB_malas!$B$2:$B$5000,MATCH(I637,DB_malas!$A$2:$A$5000,0)),$H637="ORG"),"✔",tulkojums!$A$38),tulkojums!$A$39),tulkojums!$A$39))</f>
        <v/>
      </c>
      <c r="R637" s="2" t="str">
        <f>IF(ISBLANK(J637),"",IF(INDEX(DB_materiali!$E$2:$E$5000,MATCH($C637,DB_materiali!$A$2:$A$5000,0))&gt;=INDEX(DB_malas!$C$2:$C$5000,MATCH(J637,DB_malas!$A$2:$A$5000,0)),IF(INDEX(DB_materiali!$E$2:$E$5000,MATCH($C637,DB_materiali!$A$2:$A$5000,0))&lt;=INDEX(DB_malas!$D$2:$D$5000,MATCH(J637,DB_malas!$A$2:$A$5000,0)),IF(INDEX(DB_materiali!$B$2:$B$5000,MATCH($C637,DB_materiali!$A$2:$A$5000,0))=INDEX(DB_malas!$B$2:$B$5000,MATCH(J637,DB_malas!$A$2:$A$5000,0)),"✔",tulkojums!$A$38),tulkojums!$A$39),tulkojums!$A$39))</f>
        <v/>
      </c>
      <c r="S637" s="2" t="str">
        <f>IF(ISBLANK(K637),"",IF(INDEX(DB_materiali!$E$2:$E$5000,MATCH($C637,DB_materiali!$A$2:$A$5000,0))&gt;=INDEX(DB_malas!$C$2:$C$5000,MATCH(K637,DB_malas!$A$2:$A$5000,0)),IF(INDEX(DB_materiali!$E$2:$E$5000,MATCH($C637,DB_materiali!$A$2:$A$5000,0))&lt;=INDEX(DB_malas!$D$2:$D$5000,MATCH(K637,DB_malas!$A$2:$A$5000,0)),IF(INDEX(DB_materiali!$B$2:$B$5000,MATCH($C637,DB_materiali!$A$2:$A$5000,0))=INDEX(DB_malas!$B$2:$B$5000,MATCH(K637,DB_malas!$A$2:$A$5000,0)),"✔",tulkojums!$A$38),tulkojums!$A$39),tulkojums!$A$39))</f>
        <v/>
      </c>
      <c r="T637" s="2"/>
      <c r="U637" s="2"/>
      <c r="V637" s="2"/>
      <c r="W637" s="2"/>
      <c r="X637" s="2"/>
      <c r="Y637" s="2"/>
      <c r="Z637" s="2"/>
    </row>
    <row r="638" spans="1:26" ht="15.75" customHeight="1">
      <c r="A638" s="17"/>
      <c r="B638" s="18"/>
      <c r="C638" s="19"/>
      <c r="D638" s="55"/>
      <c r="E638" s="55"/>
      <c r="F638" s="56"/>
      <c r="G638" s="57" t="str">
        <f>IF(ISBLANK(C638),"",
   IFERROR(
      IF(
         INDEX(DB_materiali!C$2:C$5000,
               MATCH(C638, DB_materiali!A$2:A$5000, 0)
         )="FALSE",
         "N",
         "Y"
      ),
   "")
)</f>
        <v/>
      </c>
      <c r="H638" s="20"/>
      <c r="I638" s="20"/>
      <c r="J638" s="20"/>
      <c r="K638" s="20"/>
      <c r="M638" s="2" t="str">
        <f>IF(ISBLANK(C638),"",IF(IFERROR(VLOOKUP(C638,DB_materiali!$A$2:$A$5000,1,FALSE),"Kļūda artikulā")=C638,"✔",tulkojums!A$42))</f>
        <v/>
      </c>
      <c r="N638" s="2" t="str">
        <f>IF(ISBLANK(C638),"",IF(ISNUMBER(F638)=TRUE,"✔",tulkojums!A$43))</f>
        <v/>
      </c>
      <c r="O638" s="2" t="str">
        <f>IF(ISBLANK(C638),"",IF(G638="Y","✔",IF(G638="X","✔",IF(G638="N","✔",tulkojums!A$44))))</f>
        <v/>
      </c>
      <c r="P638" s="2" t="str">
        <f>IF(ISBLANK(H638),"",IF(INDEX(DB_materiali!$E$2:$E$5000,MATCH($C638,DB_materiali!$A$2:$A$5000,0))&gt;=INDEX(DB_malas!$C$2:$C$5000,MATCH(H638,DB_malas!$A$2:$A$5000,0)),IF(INDEX(DB_materiali!$E$2:$E$5000,MATCH($C638,DB_materiali!$A$2:$A$5000,0))&lt;=INDEX(DB_malas!$D$2:$D$5000,MATCH(H638,DB_malas!$A$2:$A$5000,0)),IF(OR(INDEX(DB_materiali!$B$2:$B$5000,MATCH($C638,DB_materiali!$A$2:$A$5000,0))=INDEX(DB_malas!$B$2:$B$5000,MATCH(H638,DB_malas!$A$2:$A$5000,0)),$H638="ORG"),"✔",tulkojums!$A$38),tulkojums!$A$39),tulkojums!$A$39))</f>
        <v/>
      </c>
      <c r="Q638" s="2" t="str">
        <f>IF(ISBLANK(I638),"",IF(INDEX(DB_materiali!$E$2:$E$5000,MATCH($C638,DB_materiali!$A$2:$A$5000,0))&gt;=INDEX(DB_malas!$C$2:$C$5000,MATCH(I638,DB_malas!$A$2:$A$5000,0)),IF(INDEX(DB_materiali!$E$2:$E$5000,MATCH($C638,DB_materiali!$A$2:$A$5000,0))&lt;=INDEX(DB_malas!$D$2:$D$5000,MATCH(I638,DB_malas!$A$2:$A$5000,0)),IF(OR(INDEX(DB_materiali!$B$2:$B$5000,MATCH($C638,DB_materiali!$A$2:$A$5000,0))=INDEX(DB_malas!$B$2:$B$5000,MATCH(I638,DB_malas!$A$2:$A$5000,0)),$H638="ORG"),"✔",tulkojums!$A$38),tulkojums!$A$39),tulkojums!$A$39))</f>
        <v/>
      </c>
      <c r="R638" s="2" t="str">
        <f>IF(ISBLANK(J638),"",IF(INDEX(DB_materiali!$E$2:$E$5000,MATCH($C638,DB_materiali!$A$2:$A$5000,0))&gt;=INDEX(DB_malas!$C$2:$C$5000,MATCH(J638,DB_malas!$A$2:$A$5000,0)),IF(INDEX(DB_materiali!$E$2:$E$5000,MATCH($C638,DB_materiali!$A$2:$A$5000,0))&lt;=INDEX(DB_malas!$D$2:$D$5000,MATCH(J638,DB_malas!$A$2:$A$5000,0)),IF(INDEX(DB_materiali!$B$2:$B$5000,MATCH($C638,DB_materiali!$A$2:$A$5000,0))=INDEX(DB_malas!$B$2:$B$5000,MATCH(J638,DB_malas!$A$2:$A$5000,0)),"✔",tulkojums!$A$38),tulkojums!$A$39),tulkojums!$A$39))</f>
        <v/>
      </c>
      <c r="S638" s="2" t="str">
        <f>IF(ISBLANK(K638),"",IF(INDEX(DB_materiali!$E$2:$E$5000,MATCH($C638,DB_materiali!$A$2:$A$5000,0))&gt;=INDEX(DB_malas!$C$2:$C$5000,MATCH(K638,DB_malas!$A$2:$A$5000,0)),IF(INDEX(DB_materiali!$E$2:$E$5000,MATCH($C638,DB_materiali!$A$2:$A$5000,0))&lt;=INDEX(DB_malas!$D$2:$D$5000,MATCH(K638,DB_malas!$A$2:$A$5000,0)),IF(INDEX(DB_materiali!$B$2:$B$5000,MATCH($C638,DB_materiali!$A$2:$A$5000,0))=INDEX(DB_malas!$B$2:$B$5000,MATCH(K638,DB_malas!$A$2:$A$5000,0)),"✔",tulkojums!$A$38),tulkojums!$A$39),tulkojums!$A$39))</f>
        <v/>
      </c>
      <c r="T638" s="2"/>
      <c r="U638" s="2"/>
      <c r="V638" s="2"/>
      <c r="W638" s="2"/>
      <c r="X638" s="2"/>
      <c r="Y638" s="2"/>
      <c r="Z638" s="2"/>
    </row>
    <row r="639" spans="1:26" ht="15.75" customHeight="1">
      <c r="A639" s="17"/>
      <c r="B639" s="18"/>
      <c r="C639" s="19"/>
      <c r="D639" s="55"/>
      <c r="E639" s="55"/>
      <c r="F639" s="56"/>
      <c r="G639" s="57" t="str">
        <f>IF(ISBLANK(C639),"",
   IFERROR(
      IF(
         INDEX(DB_materiali!C$2:C$5000,
               MATCH(C639, DB_materiali!A$2:A$5000, 0)
         )="FALSE",
         "N",
         "Y"
      ),
   "")
)</f>
        <v/>
      </c>
      <c r="H639" s="20"/>
      <c r="I639" s="20"/>
      <c r="J639" s="20"/>
      <c r="K639" s="20"/>
      <c r="M639" s="2" t="str">
        <f>IF(ISBLANK(C639),"",IF(IFERROR(VLOOKUP(C639,DB_materiali!$A$2:$A$5000,1,FALSE),"Kļūda artikulā")=C639,"✔",tulkojums!A$42))</f>
        <v/>
      </c>
      <c r="N639" s="2" t="str">
        <f>IF(ISBLANK(C639),"",IF(ISNUMBER(F639)=TRUE,"✔",tulkojums!A$43))</f>
        <v/>
      </c>
      <c r="O639" s="2" t="str">
        <f>IF(ISBLANK(C639),"",IF(G639="Y","✔",IF(G639="X","✔",IF(G639="N","✔",tulkojums!A$44))))</f>
        <v/>
      </c>
      <c r="P639" s="2" t="str">
        <f>IF(ISBLANK(H639),"",IF(INDEX(DB_materiali!$E$2:$E$5000,MATCH($C639,DB_materiali!$A$2:$A$5000,0))&gt;=INDEX(DB_malas!$C$2:$C$5000,MATCH(H639,DB_malas!$A$2:$A$5000,0)),IF(INDEX(DB_materiali!$E$2:$E$5000,MATCH($C639,DB_materiali!$A$2:$A$5000,0))&lt;=INDEX(DB_malas!$D$2:$D$5000,MATCH(H639,DB_malas!$A$2:$A$5000,0)),IF(OR(INDEX(DB_materiali!$B$2:$B$5000,MATCH($C639,DB_materiali!$A$2:$A$5000,0))=INDEX(DB_malas!$B$2:$B$5000,MATCH(H639,DB_malas!$A$2:$A$5000,0)),$H639="ORG"),"✔",tulkojums!$A$38),tulkojums!$A$39),tulkojums!$A$39))</f>
        <v/>
      </c>
      <c r="Q639" s="2" t="str">
        <f>IF(ISBLANK(I639),"",IF(INDEX(DB_materiali!$E$2:$E$5000,MATCH($C639,DB_materiali!$A$2:$A$5000,0))&gt;=INDEX(DB_malas!$C$2:$C$5000,MATCH(I639,DB_malas!$A$2:$A$5000,0)),IF(INDEX(DB_materiali!$E$2:$E$5000,MATCH($C639,DB_materiali!$A$2:$A$5000,0))&lt;=INDEX(DB_malas!$D$2:$D$5000,MATCH(I639,DB_malas!$A$2:$A$5000,0)),IF(OR(INDEX(DB_materiali!$B$2:$B$5000,MATCH($C639,DB_materiali!$A$2:$A$5000,0))=INDEX(DB_malas!$B$2:$B$5000,MATCH(I639,DB_malas!$A$2:$A$5000,0)),$H639="ORG"),"✔",tulkojums!$A$38),tulkojums!$A$39),tulkojums!$A$39))</f>
        <v/>
      </c>
      <c r="R639" s="2" t="str">
        <f>IF(ISBLANK(J639),"",IF(INDEX(DB_materiali!$E$2:$E$5000,MATCH($C639,DB_materiali!$A$2:$A$5000,0))&gt;=INDEX(DB_malas!$C$2:$C$5000,MATCH(J639,DB_malas!$A$2:$A$5000,0)),IF(INDEX(DB_materiali!$E$2:$E$5000,MATCH($C639,DB_materiali!$A$2:$A$5000,0))&lt;=INDEX(DB_malas!$D$2:$D$5000,MATCH(J639,DB_malas!$A$2:$A$5000,0)),IF(INDEX(DB_materiali!$B$2:$B$5000,MATCH($C639,DB_materiali!$A$2:$A$5000,0))=INDEX(DB_malas!$B$2:$B$5000,MATCH(J639,DB_malas!$A$2:$A$5000,0)),"✔",tulkojums!$A$38),tulkojums!$A$39),tulkojums!$A$39))</f>
        <v/>
      </c>
      <c r="S639" s="2" t="str">
        <f>IF(ISBLANK(K639),"",IF(INDEX(DB_materiali!$E$2:$E$5000,MATCH($C639,DB_materiali!$A$2:$A$5000,0))&gt;=INDEX(DB_malas!$C$2:$C$5000,MATCH(K639,DB_malas!$A$2:$A$5000,0)),IF(INDEX(DB_materiali!$E$2:$E$5000,MATCH($C639,DB_materiali!$A$2:$A$5000,0))&lt;=INDEX(DB_malas!$D$2:$D$5000,MATCH(K639,DB_malas!$A$2:$A$5000,0)),IF(INDEX(DB_materiali!$B$2:$B$5000,MATCH($C639,DB_materiali!$A$2:$A$5000,0))=INDEX(DB_malas!$B$2:$B$5000,MATCH(K639,DB_malas!$A$2:$A$5000,0)),"✔",tulkojums!$A$38),tulkojums!$A$39),tulkojums!$A$39))</f>
        <v/>
      </c>
      <c r="T639" s="2"/>
      <c r="U639" s="2"/>
      <c r="V639" s="2"/>
      <c r="W639" s="2"/>
      <c r="X639" s="2"/>
      <c r="Y639" s="2"/>
      <c r="Z639" s="2"/>
    </row>
    <row r="640" spans="1:26" ht="15.75" customHeight="1">
      <c r="A640" s="17"/>
      <c r="B640" s="18"/>
      <c r="C640" s="19"/>
      <c r="D640" s="55"/>
      <c r="E640" s="55"/>
      <c r="F640" s="56"/>
      <c r="G640" s="57" t="str">
        <f>IF(ISBLANK(C640),"",
   IFERROR(
      IF(
         INDEX(DB_materiali!C$2:C$5000,
               MATCH(C640, DB_materiali!A$2:A$5000, 0)
         )="FALSE",
         "N",
         "Y"
      ),
   "")
)</f>
        <v/>
      </c>
      <c r="H640" s="20"/>
      <c r="I640" s="20"/>
      <c r="J640" s="20"/>
      <c r="K640" s="20"/>
      <c r="M640" s="2" t="str">
        <f>IF(ISBLANK(C640),"",IF(IFERROR(VLOOKUP(C640,DB_materiali!$A$2:$A$5000,1,FALSE),"Kļūda artikulā")=C640,"✔",tulkojums!A$42))</f>
        <v/>
      </c>
      <c r="N640" s="2" t="str">
        <f>IF(ISBLANK(C640),"",IF(ISNUMBER(F640)=TRUE,"✔",tulkojums!A$43))</f>
        <v/>
      </c>
      <c r="O640" s="2" t="str">
        <f>IF(ISBLANK(C640),"",IF(G640="Y","✔",IF(G640="X","✔",IF(G640="N","✔",tulkojums!A$44))))</f>
        <v/>
      </c>
      <c r="P640" s="2" t="str">
        <f>IF(ISBLANK(H640),"",IF(INDEX(DB_materiali!$E$2:$E$5000,MATCH($C640,DB_materiali!$A$2:$A$5000,0))&gt;=INDEX(DB_malas!$C$2:$C$5000,MATCH(H640,DB_malas!$A$2:$A$5000,0)),IF(INDEX(DB_materiali!$E$2:$E$5000,MATCH($C640,DB_materiali!$A$2:$A$5000,0))&lt;=INDEX(DB_malas!$D$2:$D$5000,MATCH(H640,DB_malas!$A$2:$A$5000,0)),IF(OR(INDEX(DB_materiali!$B$2:$B$5000,MATCH($C640,DB_materiali!$A$2:$A$5000,0))=INDEX(DB_malas!$B$2:$B$5000,MATCH(H640,DB_malas!$A$2:$A$5000,0)),$H640="ORG"),"✔",tulkojums!$A$38),tulkojums!$A$39),tulkojums!$A$39))</f>
        <v/>
      </c>
      <c r="Q640" s="2" t="str">
        <f>IF(ISBLANK(I640),"",IF(INDEX(DB_materiali!$E$2:$E$5000,MATCH($C640,DB_materiali!$A$2:$A$5000,0))&gt;=INDEX(DB_malas!$C$2:$C$5000,MATCH(I640,DB_malas!$A$2:$A$5000,0)),IF(INDEX(DB_materiali!$E$2:$E$5000,MATCH($C640,DB_materiali!$A$2:$A$5000,0))&lt;=INDEX(DB_malas!$D$2:$D$5000,MATCH(I640,DB_malas!$A$2:$A$5000,0)),IF(OR(INDEX(DB_materiali!$B$2:$B$5000,MATCH($C640,DB_materiali!$A$2:$A$5000,0))=INDEX(DB_malas!$B$2:$B$5000,MATCH(I640,DB_malas!$A$2:$A$5000,0)),$H640="ORG"),"✔",tulkojums!$A$38),tulkojums!$A$39),tulkojums!$A$39))</f>
        <v/>
      </c>
      <c r="R640" s="2" t="str">
        <f>IF(ISBLANK(J640),"",IF(INDEX(DB_materiali!$E$2:$E$5000,MATCH($C640,DB_materiali!$A$2:$A$5000,0))&gt;=INDEX(DB_malas!$C$2:$C$5000,MATCH(J640,DB_malas!$A$2:$A$5000,0)),IF(INDEX(DB_materiali!$E$2:$E$5000,MATCH($C640,DB_materiali!$A$2:$A$5000,0))&lt;=INDEX(DB_malas!$D$2:$D$5000,MATCH(J640,DB_malas!$A$2:$A$5000,0)),IF(INDEX(DB_materiali!$B$2:$B$5000,MATCH($C640,DB_materiali!$A$2:$A$5000,0))=INDEX(DB_malas!$B$2:$B$5000,MATCH(J640,DB_malas!$A$2:$A$5000,0)),"✔",tulkojums!$A$38),tulkojums!$A$39),tulkojums!$A$39))</f>
        <v/>
      </c>
      <c r="S640" s="2" t="str">
        <f>IF(ISBLANK(K640),"",IF(INDEX(DB_materiali!$E$2:$E$5000,MATCH($C640,DB_materiali!$A$2:$A$5000,0))&gt;=INDEX(DB_malas!$C$2:$C$5000,MATCH(K640,DB_malas!$A$2:$A$5000,0)),IF(INDEX(DB_materiali!$E$2:$E$5000,MATCH($C640,DB_materiali!$A$2:$A$5000,0))&lt;=INDEX(DB_malas!$D$2:$D$5000,MATCH(K640,DB_malas!$A$2:$A$5000,0)),IF(INDEX(DB_materiali!$B$2:$B$5000,MATCH($C640,DB_materiali!$A$2:$A$5000,0))=INDEX(DB_malas!$B$2:$B$5000,MATCH(K640,DB_malas!$A$2:$A$5000,0)),"✔",tulkojums!$A$38),tulkojums!$A$39),tulkojums!$A$39))</f>
        <v/>
      </c>
      <c r="T640" s="2"/>
      <c r="U640" s="2"/>
      <c r="V640" s="2"/>
      <c r="W640" s="2"/>
      <c r="X640" s="2"/>
      <c r="Y640" s="2"/>
      <c r="Z640" s="2"/>
    </row>
    <row r="641" spans="1:26" ht="15.75" customHeight="1">
      <c r="A641" s="17"/>
      <c r="B641" s="18"/>
      <c r="C641" s="19"/>
      <c r="D641" s="55"/>
      <c r="E641" s="55"/>
      <c r="F641" s="56"/>
      <c r="G641" s="57" t="str">
        <f>IF(ISBLANK(C641),"",
   IFERROR(
      IF(
         INDEX(DB_materiali!C$2:C$5000,
               MATCH(C641, DB_materiali!A$2:A$5000, 0)
         )="FALSE",
         "N",
         "Y"
      ),
   "")
)</f>
        <v/>
      </c>
      <c r="H641" s="20"/>
      <c r="I641" s="20"/>
      <c r="J641" s="20"/>
      <c r="K641" s="20"/>
      <c r="M641" s="2" t="str">
        <f>IF(ISBLANK(C641),"",IF(IFERROR(VLOOKUP(C641,DB_materiali!$A$2:$A$5000,1,FALSE),"Kļūda artikulā")=C641,"✔",tulkojums!A$42))</f>
        <v/>
      </c>
      <c r="N641" s="2" t="str">
        <f>IF(ISBLANK(C641),"",IF(ISNUMBER(F641)=TRUE,"✔",tulkojums!A$43))</f>
        <v/>
      </c>
      <c r="O641" s="2" t="str">
        <f>IF(ISBLANK(C641),"",IF(G641="Y","✔",IF(G641="X","✔",IF(G641="N","✔",tulkojums!A$44))))</f>
        <v/>
      </c>
      <c r="P641" s="2" t="str">
        <f>IF(ISBLANK(H641),"",IF(INDEX(DB_materiali!$E$2:$E$5000,MATCH($C641,DB_materiali!$A$2:$A$5000,0))&gt;=INDEX(DB_malas!$C$2:$C$5000,MATCH(H641,DB_malas!$A$2:$A$5000,0)),IF(INDEX(DB_materiali!$E$2:$E$5000,MATCH($C641,DB_materiali!$A$2:$A$5000,0))&lt;=INDEX(DB_malas!$D$2:$D$5000,MATCH(H641,DB_malas!$A$2:$A$5000,0)),IF(OR(INDEX(DB_materiali!$B$2:$B$5000,MATCH($C641,DB_materiali!$A$2:$A$5000,0))=INDEX(DB_malas!$B$2:$B$5000,MATCH(H641,DB_malas!$A$2:$A$5000,0)),$H641="ORG"),"✔",tulkojums!$A$38),tulkojums!$A$39),tulkojums!$A$39))</f>
        <v/>
      </c>
      <c r="Q641" s="2" t="str">
        <f>IF(ISBLANK(I641),"",IF(INDEX(DB_materiali!$E$2:$E$5000,MATCH($C641,DB_materiali!$A$2:$A$5000,0))&gt;=INDEX(DB_malas!$C$2:$C$5000,MATCH(I641,DB_malas!$A$2:$A$5000,0)),IF(INDEX(DB_materiali!$E$2:$E$5000,MATCH($C641,DB_materiali!$A$2:$A$5000,0))&lt;=INDEX(DB_malas!$D$2:$D$5000,MATCH(I641,DB_malas!$A$2:$A$5000,0)),IF(OR(INDEX(DB_materiali!$B$2:$B$5000,MATCH($C641,DB_materiali!$A$2:$A$5000,0))=INDEX(DB_malas!$B$2:$B$5000,MATCH(I641,DB_malas!$A$2:$A$5000,0)),$H641="ORG"),"✔",tulkojums!$A$38),tulkojums!$A$39),tulkojums!$A$39))</f>
        <v/>
      </c>
      <c r="R641" s="2" t="str">
        <f>IF(ISBLANK(J641),"",IF(INDEX(DB_materiali!$E$2:$E$5000,MATCH($C641,DB_materiali!$A$2:$A$5000,0))&gt;=INDEX(DB_malas!$C$2:$C$5000,MATCH(J641,DB_malas!$A$2:$A$5000,0)),IF(INDEX(DB_materiali!$E$2:$E$5000,MATCH($C641,DB_materiali!$A$2:$A$5000,0))&lt;=INDEX(DB_malas!$D$2:$D$5000,MATCH(J641,DB_malas!$A$2:$A$5000,0)),IF(INDEX(DB_materiali!$B$2:$B$5000,MATCH($C641,DB_materiali!$A$2:$A$5000,0))=INDEX(DB_malas!$B$2:$B$5000,MATCH(J641,DB_malas!$A$2:$A$5000,0)),"✔",tulkojums!$A$38),tulkojums!$A$39),tulkojums!$A$39))</f>
        <v/>
      </c>
      <c r="S641" s="2" t="str">
        <f>IF(ISBLANK(K641),"",IF(INDEX(DB_materiali!$E$2:$E$5000,MATCH($C641,DB_materiali!$A$2:$A$5000,0))&gt;=INDEX(DB_malas!$C$2:$C$5000,MATCH(K641,DB_malas!$A$2:$A$5000,0)),IF(INDEX(DB_materiali!$E$2:$E$5000,MATCH($C641,DB_materiali!$A$2:$A$5000,0))&lt;=INDEX(DB_malas!$D$2:$D$5000,MATCH(K641,DB_malas!$A$2:$A$5000,0)),IF(INDEX(DB_materiali!$B$2:$B$5000,MATCH($C641,DB_materiali!$A$2:$A$5000,0))=INDEX(DB_malas!$B$2:$B$5000,MATCH(K641,DB_malas!$A$2:$A$5000,0)),"✔",tulkojums!$A$38),tulkojums!$A$39),tulkojums!$A$39))</f>
        <v/>
      </c>
      <c r="T641" s="2"/>
      <c r="U641" s="2"/>
      <c r="V641" s="2"/>
      <c r="W641" s="2"/>
      <c r="X641" s="2"/>
      <c r="Y641" s="2"/>
      <c r="Z641" s="2"/>
    </row>
    <row r="642" spans="1:26" ht="15.75" customHeight="1">
      <c r="A642" s="17"/>
      <c r="B642" s="18"/>
      <c r="C642" s="19"/>
      <c r="D642" s="55"/>
      <c r="E642" s="55"/>
      <c r="F642" s="56"/>
      <c r="G642" s="57" t="str">
        <f>IF(ISBLANK(C642),"",
   IFERROR(
      IF(
         INDEX(DB_materiali!C$2:C$5000,
               MATCH(C642, DB_materiali!A$2:A$5000, 0)
         )="FALSE",
         "N",
         "Y"
      ),
   "")
)</f>
        <v/>
      </c>
      <c r="H642" s="20"/>
      <c r="I642" s="20"/>
      <c r="J642" s="20"/>
      <c r="K642" s="20"/>
      <c r="M642" s="2" t="str">
        <f>IF(ISBLANK(C642),"",IF(IFERROR(VLOOKUP(C642,DB_materiali!$A$2:$A$5000,1,FALSE),"Kļūda artikulā")=C642,"✔",tulkojums!A$42))</f>
        <v/>
      </c>
      <c r="N642" s="2" t="str">
        <f>IF(ISBLANK(C642),"",IF(ISNUMBER(F642)=TRUE,"✔",tulkojums!A$43))</f>
        <v/>
      </c>
      <c r="O642" s="2" t="str">
        <f>IF(ISBLANK(C642),"",IF(G642="Y","✔",IF(G642="X","✔",IF(G642="N","✔",tulkojums!A$44))))</f>
        <v/>
      </c>
      <c r="P642" s="2" t="str">
        <f>IF(ISBLANK(H642),"",IF(INDEX(DB_materiali!$E$2:$E$5000,MATCH($C642,DB_materiali!$A$2:$A$5000,0))&gt;=INDEX(DB_malas!$C$2:$C$5000,MATCH(H642,DB_malas!$A$2:$A$5000,0)),IF(INDEX(DB_materiali!$E$2:$E$5000,MATCH($C642,DB_materiali!$A$2:$A$5000,0))&lt;=INDEX(DB_malas!$D$2:$D$5000,MATCH(H642,DB_malas!$A$2:$A$5000,0)),IF(OR(INDEX(DB_materiali!$B$2:$B$5000,MATCH($C642,DB_materiali!$A$2:$A$5000,0))=INDEX(DB_malas!$B$2:$B$5000,MATCH(H642,DB_malas!$A$2:$A$5000,0)),$H642="ORG"),"✔",tulkojums!$A$38),tulkojums!$A$39),tulkojums!$A$39))</f>
        <v/>
      </c>
      <c r="Q642" s="2" t="str">
        <f>IF(ISBLANK(I642),"",IF(INDEX(DB_materiali!$E$2:$E$5000,MATCH($C642,DB_materiali!$A$2:$A$5000,0))&gt;=INDEX(DB_malas!$C$2:$C$5000,MATCH(I642,DB_malas!$A$2:$A$5000,0)),IF(INDEX(DB_materiali!$E$2:$E$5000,MATCH($C642,DB_materiali!$A$2:$A$5000,0))&lt;=INDEX(DB_malas!$D$2:$D$5000,MATCH(I642,DB_malas!$A$2:$A$5000,0)),IF(OR(INDEX(DB_materiali!$B$2:$B$5000,MATCH($C642,DB_materiali!$A$2:$A$5000,0))=INDEX(DB_malas!$B$2:$B$5000,MATCH(I642,DB_malas!$A$2:$A$5000,0)),$H642="ORG"),"✔",tulkojums!$A$38),tulkojums!$A$39),tulkojums!$A$39))</f>
        <v/>
      </c>
      <c r="R642" s="2" t="str">
        <f>IF(ISBLANK(J642),"",IF(INDEX(DB_materiali!$E$2:$E$5000,MATCH($C642,DB_materiali!$A$2:$A$5000,0))&gt;=INDEX(DB_malas!$C$2:$C$5000,MATCH(J642,DB_malas!$A$2:$A$5000,0)),IF(INDEX(DB_materiali!$E$2:$E$5000,MATCH($C642,DB_materiali!$A$2:$A$5000,0))&lt;=INDEX(DB_malas!$D$2:$D$5000,MATCH(J642,DB_malas!$A$2:$A$5000,0)),IF(INDEX(DB_materiali!$B$2:$B$5000,MATCH($C642,DB_materiali!$A$2:$A$5000,0))=INDEX(DB_malas!$B$2:$B$5000,MATCH(J642,DB_malas!$A$2:$A$5000,0)),"✔",tulkojums!$A$38),tulkojums!$A$39),tulkojums!$A$39))</f>
        <v/>
      </c>
      <c r="S642" s="2" t="str">
        <f>IF(ISBLANK(K642),"",IF(INDEX(DB_materiali!$E$2:$E$5000,MATCH($C642,DB_materiali!$A$2:$A$5000,0))&gt;=INDEX(DB_malas!$C$2:$C$5000,MATCH(K642,DB_malas!$A$2:$A$5000,0)),IF(INDEX(DB_materiali!$E$2:$E$5000,MATCH($C642,DB_materiali!$A$2:$A$5000,0))&lt;=INDEX(DB_malas!$D$2:$D$5000,MATCH(K642,DB_malas!$A$2:$A$5000,0)),IF(INDEX(DB_materiali!$B$2:$B$5000,MATCH($C642,DB_materiali!$A$2:$A$5000,0))=INDEX(DB_malas!$B$2:$B$5000,MATCH(K642,DB_malas!$A$2:$A$5000,0)),"✔",tulkojums!$A$38),tulkojums!$A$39),tulkojums!$A$39))</f>
        <v/>
      </c>
      <c r="T642" s="2"/>
      <c r="U642" s="2"/>
      <c r="V642" s="2"/>
      <c r="W642" s="2"/>
      <c r="X642" s="2"/>
      <c r="Y642" s="2"/>
      <c r="Z642" s="2"/>
    </row>
    <row r="643" spans="1:26" ht="15.75" customHeight="1">
      <c r="A643" s="17"/>
      <c r="B643" s="18"/>
      <c r="C643" s="19"/>
      <c r="D643" s="55"/>
      <c r="E643" s="55"/>
      <c r="F643" s="56"/>
      <c r="G643" s="57" t="str">
        <f>IF(ISBLANK(C643),"",
   IFERROR(
      IF(
         INDEX(DB_materiali!C$2:C$5000,
               MATCH(C643, DB_materiali!A$2:A$5000, 0)
         )="FALSE",
         "N",
         "Y"
      ),
   "")
)</f>
        <v/>
      </c>
      <c r="H643" s="20"/>
      <c r="I643" s="20"/>
      <c r="J643" s="20"/>
      <c r="K643" s="20"/>
      <c r="M643" s="2" t="str">
        <f>IF(ISBLANK(C643),"",IF(IFERROR(VLOOKUP(C643,DB_materiali!$A$2:$A$5000,1,FALSE),"Kļūda artikulā")=C643,"✔",tulkojums!A$42))</f>
        <v/>
      </c>
      <c r="N643" s="2" t="str">
        <f>IF(ISBLANK(C643),"",IF(ISNUMBER(F643)=TRUE,"✔",tulkojums!A$43))</f>
        <v/>
      </c>
      <c r="O643" s="2" t="str">
        <f>IF(ISBLANK(C643),"",IF(G643="Y","✔",IF(G643="X","✔",IF(G643="N","✔",tulkojums!A$44))))</f>
        <v/>
      </c>
      <c r="P643" s="2" t="str">
        <f>IF(ISBLANK(H643),"",IF(INDEX(DB_materiali!$E$2:$E$5000,MATCH($C643,DB_materiali!$A$2:$A$5000,0))&gt;=INDEX(DB_malas!$C$2:$C$5000,MATCH(H643,DB_malas!$A$2:$A$5000,0)),IF(INDEX(DB_materiali!$E$2:$E$5000,MATCH($C643,DB_materiali!$A$2:$A$5000,0))&lt;=INDEX(DB_malas!$D$2:$D$5000,MATCH(H643,DB_malas!$A$2:$A$5000,0)),IF(OR(INDEX(DB_materiali!$B$2:$B$5000,MATCH($C643,DB_materiali!$A$2:$A$5000,0))=INDEX(DB_malas!$B$2:$B$5000,MATCH(H643,DB_malas!$A$2:$A$5000,0)),$H643="ORG"),"✔",tulkojums!$A$38),tulkojums!$A$39),tulkojums!$A$39))</f>
        <v/>
      </c>
      <c r="Q643" s="2" t="str">
        <f>IF(ISBLANK(I643),"",IF(INDEX(DB_materiali!$E$2:$E$5000,MATCH($C643,DB_materiali!$A$2:$A$5000,0))&gt;=INDEX(DB_malas!$C$2:$C$5000,MATCH(I643,DB_malas!$A$2:$A$5000,0)),IF(INDEX(DB_materiali!$E$2:$E$5000,MATCH($C643,DB_materiali!$A$2:$A$5000,0))&lt;=INDEX(DB_malas!$D$2:$D$5000,MATCH(I643,DB_malas!$A$2:$A$5000,0)),IF(OR(INDEX(DB_materiali!$B$2:$B$5000,MATCH($C643,DB_materiali!$A$2:$A$5000,0))=INDEX(DB_malas!$B$2:$B$5000,MATCH(I643,DB_malas!$A$2:$A$5000,0)),$H643="ORG"),"✔",tulkojums!$A$38),tulkojums!$A$39),tulkojums!$A$39))</f>
        <v/>
      </c>
      <c r="R643" s="2" t="str">
        <f>IF(ISBLANK(J643),"",IF(INDEX(DB_materiali!$E$2:$E$5000,MATCH($C643,DB_materiali!$A$2:$A$5000,0))&gt;=INDEX(DB_malas!$C$2:$C$5000,MATCH(J643,DB_malas!$A$2:$A$5000,0)),IF(INDEX(DB_materiali!$E$2:$E$5000,MATCH($C643,DB_materiali!$A$2:$A$5000,0))&lt;=INDEX(DB_malas!$D$2:$D$5000,MATCH(J643,DB_malas!$A$2:$A$5000,0)),IF(INDEX(DB_materiali!$B$2:$B$5000,MATCH($C643,DB_materiali!$A$2:$A$5000,0))=INDEX(DB_malas!$B$2:$B$5000,MATCH(J643,DB_malas!$A$2:$A$5000,0)),"✔",tulkojums!$A$38),tulkojums!$A$39),tulkojums!$A$39))</f>
        <v/>
      </c>
      <c r="S643" s="2" t="str">
        <f>IF(ISBLANK(K643),"",IF(INDEX(DB_materiali!$E$2:$E$5000,MATCH($C643,DB_materiali!$A$2:$A$5000,0))&gt;=INDEX(DB_malas!$C$2:$C$5000,MATCH(K643,DB_malas!$A$2:$A$5000,0)),IF(INDEX(DB_materiali!$E$2:$E$5000,MATCH($C643,DB_materiali!$A$2:$A$5000,0))&lt;=INDEX(DB_malas!$D$2:$D$5000,MATCH(K643,DB_malas!$A$2:$A$5000,0)),IF(INDEX(DB_materiali!$B$2:$B$5000,MATCH($C643,DB_materiali!$A$2:$A$5000,0))=INDEX(DB_malas!$B$2:$B$5000,MATCH(K643,DB_malas!$A$2:$A$5000,0)),"✔",tulkojums!$A$38),tulkojums!$A$39),tulkojums!$A$39))</f>
        <v/>
      </c>
      <c r="T643" s="2"/>
      <c r="U643" s="2"/>
      <c r="V643" s="2"/>
      <c r="W643" s="2"/>
      <c r="X643" s="2"/>
      <c r="Y643" s="2"/>
      <c r="Z643" s="2"/>
    </row>
    <row r="644" spans="1:26" ht="15.75" customHeight="1">
      <c r="A644" s="17"/>
      <c r="B644" s="18"/>
      <c r="C644" s="19"/>
      <c r="D644" s="55"/>
      <c r="E644" s="55"/>
      <c r="F644" s="56"/>
      <c r="G644" s="57" t="str">
        <f>IF(ISBLANK(C644),"",
   IFERROR(
      IF(
         INDEX(DB_materiali!C$2:C$5000,
               MATCH(C644, DB_materiali!A$2:A$5000, 0)
         )="FALSE",
         "N",
         "Y"
      ),
   "")
)</f>
        <v/>
      </c>
      <c r="H644" s="20"/>
      <c r="I644" s="20"/>
      <c r="J644" s="20"/>
      <c r="K644" s="20"/>
      <c r="M644" s="2" t="str">
        <f>IF(ISBLANK(C644),"",IF(IFERROR(VLOOKUP(C644,DB_materiali!$A$2:$A$5000,1,FALSE),"Kļūda artikulā")=C644,"✔",tulkojums!A$42))</f>
        <v/>
      </c>
      <c r="N644" s="2" t="str">
        <f>IF(ISBLANK(C644),"",IF(ISNUMBER(F644)=TRUE,"✔",tulkojums!A$43))</f>
        <v/>
      </c>
      <c r="O644" s="2" t="str">
        <f>IF(ISBLANK(C644),"",IF(G644="Y","✔",IF(G644="X","✔",IF(G644="N","✔",tulkojums!A$44))))</f>
        <v/>
      </c>
      <c r="P644" s="2" t="str">
        <f>IF(ISBLANK(H644),"",IF(INDEX(DB_materiali!$E$2:$E$5000,MATCH($C644,DB_materiali!$A$2:$A$5000,0))&gt;=INDEX(DB_malas!$C$2:$C$5000,MATCH(H644,DB_malas!$A$2:$A$5000,0)),IF(INDEX(DB_materiali!$E$2:$E$5000,MATCH($C644,DB_materiali!$A$2:$A$5000,0))&lt;=INDEX(DB_malas!$D$2:$D$5000,MATCH(H644,DB_malas!$A$2:$A$5000,0)),IF(OR(INDEX(DB_materiali!$B$2:$B$5000,MATCH($C644,DB_materiali!$A$2:$A$5000,0))=INDEX(DB_malas!$B$2:$B$5000,MATCH(H644,DB_malas!$A$2:$A$5000,0)),$H644="ORG"),"✔",tulkojums!$A$38),tulkojums!$A$39),tulkojums!$A$39))</f>
        <v/>
      </c>
      <c r="Q644" s="2" t="str">
        <f>IF(ISBLANK(I644),"",IF(INDEX(DB_materiali!$E$2:$E$5000,MATCH($C644,DB_materiali!$A$2:$A$5000,0))&gt;=INDEX(DB_malas!$C$2:$C$5000,MATCH(I644,DB_malas!$A$2:$A$5000,0)),IF(INDEX(DB_materiali!$E$2:$E$5000,MATCH($C644,DB_materiali!$A$2:$A$5000,0))&lt;=INDEX(DB_malas!$D$2:$D$5000,MATCH(I644,DB_malas!$A$2:$A$5000,0)),IF(OR(INDEX(DB_materiali!$B$2:$B$5000,MATCH($C644,DB_materiali!$A$2:$A$5000,0))=INDEX(DB_malas!$B$2:$B$5000,MATCH(I644,DB_malas!$A$2:$A$5000,0)),$H644="ORG"),"✔",tulkojums!$A$38),tulkojums!$A$39),tulkojums!$A$39))</f>
        <v/>
      </c>
      <c r="R644" s="2" t="str">
        <f>IF(ISBLANK(J644),"",IF(INDEX(DB_materiali!$E$2:$E$5000,MATCH($C644,DB_materiali!$A$2:$A$5000,0))&gt;=INDEX(DB_malas!$C$2:$C$5000,MATCH(J644,DB_malas!$A$2:$A$5000,0)),IF(INDEX(DB_materiali!$E$2:$E$5000,MATCH($C644,DB_materiali!$A$2:$A$5000,0))&lt;=INDEX(DB_malas!$D$2:$D$5000,MATCH(J644,DB_malas!$A$2:$A$5000,0)),IF(INDEX(DB_materiali!$B$2:$B$5000,MATCH($C644,DB_materiali!$A$2:$A$5000,0))=INDEX(DB_malas!$B$2:$B$5000,MATCH(J644,DB_malas!$A$2:$A$5000,0)),"✔",tulkojums!$A$38),tulkojums!$A$39),tulkojums!$A$39))</f>
        <v/>
      </c>
      <c r="S644" s="2" t="str">
        <f>IF(ISBLANK(K644),"",IF(INDEX(DB_materiali!$E$2:$E$5000,MATCH($C644,DB_materiali!$A$2:$A$5000,0))&gt;=INDEX(DB_malas!$C$2:$C$5000,MATCH(K644,DB_malas!$A$2:$A$5000,0)),IF(INDEX(DB_materiali!$E$2:$E$5000,MATCH($C644,DB_materiali!$A$2:$A$5000,0))&lt;=INDEX(DB_malas!$D$2:$D$5000,MATCH(K644,DB_malas!$A$2:$A$5000,0)),IF(INDEX(DB_materiali!$B$2:$B$5000,MATCH($C644,DB_materiali!$A$2:$A$5000,0))=INDEX(DB_malas!$B$2:$B$5000,MATCH(K644,DB_malas!$A$2:$A$5000,0)),"✔",tulkojums!$A$38),tulkojums!$A$39),tulkojums!$A$39))</f>
        <v/>
      </c>
      <c r="T644" s="2"/>
      <c r="U644" s="2"/>
      <c r="V644" s="2"/>
      <c r="W644" s="2"/>
      <c r="X644" s="2"/>
      <c r="Y644" s="2"/>
      <c r="Z644" s="2"/>
    </row>
    <row r="645" spans="1:26" ht="15.75" customHeight="1">
      <c r="A645" s="17"/>
      <c r="B645" s="18"/>
      <c r="C645" s="19"/>
      <c r="D645" s="55"/>
      <c r="E645" s="55"/>
      <c r="F645" s="56"/>
      <c r="G645" s="57" t="str">
        <f>IF(ISBLANK(C645),"",
   IFERROR(
      IF(
         INDEX(DB_materiali!C$2:C$5000,
               MATCH(C645, DB_materiali!A$2:A$5000, 0)
         )="FALSE",
         "N",
         "Y"
      ),
   "")
)</f>
        <v/>
      </c>
      <c r="H645" s="20"/>
      <c r="I645" s="20"/>
      <c r="J645" s="20"/>
      <c r="K645" s="20"/>
      <c r="M645" s="2" t="str">
        <f>IF(ISBLANK(C645),"",IF(IFERROR(VLOOKUP(C645,DB_materiali!$A$2:$A$5000,1,FALSE),"Kļūda artikulā")=C645,"✔",tulkojums!A$42))</f>
        <v/>
      </c>
      <c r="N645" s="2" t="str">
        <f>IF(ISBLANK(C645),"",IF(ISNUMBER(F645)=TRUE,"✔",tulkojums!A$43))</f>
        <v/>
      </c>
      <c r="O645" s="2" t="str">
        <f>IF(ISBLANK(C645),"",IF(G645="Y","✔",IF(G645="X","✔",IF(G645="N","✔",tulkojums!A$44))))</f>
        <v/>
      </c>
      <c r="P645" s="2" t="str">
        <f>IF(ISBLANK(H645),"",IF(INDEX(DB_materiali!$E$2:$E$5000,MATCH($C645,DB_materiali!$A$2:$A$5000,0))&gt;=INDEX(DB_malas!$C$2:$C$5000,MATCH(H645,DB_malas!$A$2:$A$5000,0)),IF(INDEX(DB_materiali!$E$2:$E$5000,MATCH($C645,DB_materiali!$A$2:$A$5000,0))&lt;=INDEX(DB_malas!$D$2:$D$5000,MATCH(H645,DB_malas!$A$2:$A$5000,0)),IF(OR(INDEX(DB_materiali!$B$2:$B$5000,MATCH($C645,DB_materiali!$A$2:$A$5000,0))=INDEX(DB_malas!$B$2:$B$5000,MATCH(H645,DB_malas!$A$2:$A$5000,0)),$H645="ORG"),"✔",tulkojums!$A$38),tulkojums!$A$39),tulkojums!$A$39))</f>
        <v/>
      </c>
      <c r="Q645" s="2" t="str">
        <f>IF(ISBLANK(I645),"",IF(INDEX(DB_materiali!$E$2:$E$5000,MATCH($C645,DB_materiali!$A$2:$A$5000,0))&gt;=INDEX(DB_malas!$C$2:$C$5000,MATCH(I645,DB_malas!$A$2:$A$5000,0)),IF(INDEX(DB_materiali!$E$2:$E$5000,MATCH($C645,DB_materiali!$A$2:$A$5000,0))&lt;=INDEX(DB_malas!$D$2:$D$5000,MATCH(I645,DB_malas!$A$2:$A$5000,0)),IF(OR(INDEX(DB_materiali!$B$2:$B$5000,MATCH($C645,DB_materiali!$A$2:$A$5000,0))=INDEX(DB_malas!$B$2:$B$5000,MATCH(I645,DB_malas!$A$2:$A$5000,0)),$H645="ORG"),"✔",tulkojums!$A$38),tulkojums!$A$39),tulkojums!$A$39))</f>
        <v/>
      </c>
      <c r="R645" s="2" t="str">
        <f>IF(ISBLANK(J645),"",IF(INDEX(DB_materiali!$E$2:$E$5000,MATCH($C645,DB_materiali!$A$2:$A$5000,0))&gt;=INDEX(DB_malas!$C$2:$C$5000,MATCH(J645,DB_malas!$A$2:$A$5000,0)),IF(INDEX(DB_materiali!$E$2:$E$5000,MATCH($C645,DB_materiali!$A$2:$A$5000,0))&lt;=INDEX(DB_malas!$D$2:$D$5000,MATCH(J645,DB_malas!$A$2:$A$5000,0)),IF(INDEX(DB_materiali!$B$2:$B$5000,MATCH($C645,DB_materiali!$A$2:$A$5000,0))=INDEX(DB_malas!$B$2:$B$5000,MATCH(J645,DB_malas!$A$2:$A$5000,0)),"✔",tulkojums!$A$38),tulkojums!$A$39),tulkojums!$A$39))</f>
        <v/>
      </c>
      <c r="S645" s="2" t="str">
        <f>IF(ISBLANK(K645),"",IF(INDEX(DB_materiali!$E$2:$E$5000,MATCH($C645,DB_materiali!$A$2:$A$5000,0))&gt;=INDEX(DB_malas!$C$2:$C$5000,MATCH(K645,DB_malas!$A$2:$A$5000,0)),IF(INDEX(DB_materiali!$E$2:$E$5000,MATCH($C645,DB_materiali!$A$2:$A$5000,0))&lt;=INDEX(DB_malas!$D$2:$D$5000,MATCH(K645,DB_malas!$A$2:$A$5000,0)),IF(INDEX(DB_materiali!$B$2:$B$5000,MATCH($C645,DB_materiali!$A$2:$A$5000,0))=INDEX(DB_malas!$B$2:$B$5000,MATCH(K645,DB_malas!$A$2:$A$5000,0)),"✔",tulkojums!$A$38),tulkojums!$A$39),tulkojums!$A$39))</f>
        <v/>
      </c>
      <c r="T645" s="2"/>
      <c r="U645" s="2"/>
      <c r="V645" s="2"/>
      <c r="W645" s="2"/>
      <c r="X645" s="2"/>
      <c r="Y645" s="2"/>
      <c r="Z645" s="2"/>
    </row>
    <row r="646" spans="1:26" ht="15.75" customHeight="1">
      <c r="A646" s="17"/>
      <c r="B646" s="18"/>
      <c r="C646" s="19"/>
      <c r="D646" s="55"/>
      <c r="E646" s="55"/>
      <c r="F646" s="56"/>
      <c r="G646" s="57" t="str">
        <f>IF(ISBLANK(C646),"",
   IFERROR(
      IF(
         INDEX(DB_materiali!C$2:C$5000,
               MATCH(C646, DB_materiali!A$2:A$5000, 0)
         )="FALSE",
         "N",
         "Y"
      ),
   "")
)</f>
        <v/>
      </c>
      <c r="H646" s="20"/>
      <c r="I646" s="20"/>
      <c r="J646" s="20"/>
      <c r="K646" s="20"/>
      <c r="M646" s="2" t="str">
        <f>IF(ISBLANK(C646),"",IF(IFERROR(VLOOKUP(C646,DB_materiali!$A$2:$A$5000,1,FALSE),"Kļūda artikulā")=C646,"✔",tulkojums!A$42))</f>
        <v/>
      </c>
      <c r="N646" s="2" t="str">
        <f>IF(ISBLANK(C646),"",IF(ISNUMBER(F646)=TRUE,"✔",tulkojums!A$43))</f>
        <v/>
      </c>
      <c r="O646" s="2" t="str">
        <f>IF(ISBLANK(C646),"",IF(G646="Y","✔",IF(G646="X","✔",IF(G646="N","✔",tulkojums!A$44))))</f>
        <v/>
      </c>
      <c r="P646" s="2" t="str">
        <f>IF(ISBLANK(H646),"",IF(INDEX(DB_materiali!$E$2:$E$5000,MATCH($C646,DB_materiali!$A$2:$A$5000,0))&gt;=INDEX(DB_malas!$C$2:$C$5000,MATCH(H646,DB_malas!$A$2:$A$5000,0)),IF(INDEX(DB_materiali!$E$2:$E$5000,MATCH($C646,DB_materiali!$A$2:$A$5000,0))&lt;=INDEX(DB_malas!$D$2:$D$5000,MATCH(H646,DB_malas!$A$2:$A$5000,0)),IF(OR(INDEX(DB_materiali!$B$2:$B$5000,MATCH($C646,DB_materiali!$A$2:$A$5000,0))=INDEX(DB_malas!$B$2:$B$5000,MATCH(H646,DB_malas!$A$2:$A$5000,0)),$H646="ORG"),"✔",tulkojums!$A$38),tulkojums!$A$39),tulkojums!$A$39))</f>
        <v/>
      </c>
      <c r="Q646" s="2" t="str">
        <f>IF(ISBLANK(I646),"",IF(INDEX(DB_materiali!$E$2:$E$5000,MATCH($C646,DB_materiali!$A$2:$A$5000,0))&gt;=INDEX(DB_malas!$C$2:$C$5000,MATCH(I646,DB_malas!$A$2:$A$5000,0)),IF(INDEX(DB_materiali!$E$2:$E$5000,MATCH($C646,DB_materiali!$A$2:$A$5000,0))&lt;=INDEX(DB_malas!$D$2:$D$5000,MATCH(I646,DB_malas!$A$2:$A$5000,0)),IF(OR(INDEX(DB_materiali!$B$2:$B$5000,MATCH($C646,DB_materiali!$A$2:$A$5000,0))=INDEX(DB_malas!$B$2:$B$5000,MATCH(I646,DB_malas!$A$2:$A$5000,0)),$H646="ORG"),"✔",tulkojums!$A$38),tulkojums!$A$39),tulkojums!$A$39))</f>
        <v/>
      </c>
      <c r="R646" s="2" t="str">
        <f>IF(ISBLANK(J646),"",IF(INDEX(DB_materiali!$E$2:$E$5000,MATCH($C646,DB_materiali!$A$2:$A$5000,0))&gt;=INDEX(DB_malas!$C$2:$C$5000,MATCH(J646,DB_malas!$A$2:$A$5000,0)),IF(INDEX(DB_materiali!$E$2:$E$5000,MATCH($C646,DB_materiali!$A$2:$A$5000,0))&lt;=INDEX(DB_malas!$D$2:$D$5000,MATCH(J646,DB_malas!$A$2:$A$5000,0)),IF(INDEX(DB_materiali!$B$2:$B$5000,MATCH($C646,DB_materiali!$A$2:$A$5000,0))=INDEX(DB_malas!$B$2:$B$5000,MATCH(J646,DB_malas!$A$2:$A$5000,0)),"✔",tulkojums!$A$38),tulkojums!$A$39),tulkojums!$A$39))</f>
        <v/>
      </c>
      <c r="S646" s="2" t="str">
        <f>IF(ISBLANK(K646),"",IF(INDEX(DB_materiali!$E$2:$E$5000,MATCH($C646,DB_materiali!$A$2:$A$5000,0))&gt;=INDEX(DB_malas!$C$2:$C$5000,MATCH(K646,DB_malas!$A$2:$A$5000,0)),IF(INDEX(DB_materiali!$E$2:$E$5000,MATCH($C646,DB_materiali!$A$2:$A$5000,0))&lt;=INDEX(DB_malas!$D$2:$D$5000,MATCH(K646,DB_malas!$A$2:$A$5000,0)),IF(INDEX(DB_materiali!$B$2:$B$5000,MATCH($C646,DB_materiali!$A$2:$A$5000,0))=INDEX(DB_malas!$B$2:$B$5000,MATCH(K646,DB_malas!$A$2:$A$5000,0)),"✔",tulkojums!$A$38),tulkojums!$A$39),tulkojums!$A$39))</f>
        <v/>
      </c>
      <c r="T646" s="2"/>
      <c r="U646" s="2"/>
      <c r="V646" s="2"/>
      <c r="W646" s="2"/>
      <c r="X646" s="2"/>
      <c r="Y646" s="2"/>
      <c r="Z646" s="2"/>
    </row>
    <row r="647" spans="1:26" ht="15.75" customHeight="1">
      <c r="A647" s="17"/>
      <c r="B647" s="18"/>
      <c r="C647" s="19"/>
      <c r="D647" s="55"/>
      <c r="E647" s="55"/>
      <c r="F647" s="56"/>
      <c r="G647" s="57" t="str">
        <f>IF(ISBLANK(C647),"",
   IFERROR(
      IF(
         INDEX(DB_materiali!C$2:C$5000,
               MATCH(C647, DB_materiali!A$2:A$5000, 0)
         )="FALSE",
         "N",
         "Y"
      ),
   "")
)</f>
        <v/>
      </c>
      <c r="H647" s="20"/>
      <c r="I647" s="20"/>
      <c r="J647" s="20"/>
      <c r="K647" s="20"/>
      <c r="M647" s="2" t="str">
        <f>IF(ISBLANK(C647),"",IF(IFERROR(VLOOKUP(C647,DB_materiali!$A$2:$A$5000,1,FALSE),"Kļūda artikulā")=C647,"✔",tulkojums!A$42))</f>
        <v/>
      </c>
      <c r="N647" s="2" t="str">
        <f>IF(ISBLANK(C647),"",IF(ISNUMBER(F647)=TRUE,"✔",tulkojums!A$43))</f>
        <v/>
      </c>
      <c r="O647" s="2" t="str">
        <f>IF(ISBLANK(C647),"",IF(G647="Y","✔",IF(G647="X","✔",IF(G647="N","✔",tulkojums!A$44))))</f>
        <v/>
      </c>
      <c r="P647" s="2" t="str">
        <f>IF(ISBLANK(H647),"",IF(INDEX(DB_materiali!$E$2:$E$5000,MATCH($C647,DB_materiali!$A$2:$A$5000,0))&gt;=INDEX(DB_malas!$C$2:$C$5000,MATCH(H647,DB_malas!$A$2:$A$5000,0)),IF(INDEX(DB_materiali!$E$2:$E$5000,MATCH($C647,DB_materiali!$A$2:$A$5000,0))&lt;=INDEX(DB_malas!$D$2:$D$5000,MATCH(H647,DB_malas!$A$2:$A$5000,0)),IF(OR(INDEX(DB_materiali!$B$2:$B$5000,MATCH($C647,DB_materiali!$A$2:$A$5000,0))=INDEX(DB_malas!$B$2:$B$5000,MATCH(H647,DB_malas!$A$2:$A$5000,0)),$H647="ORG"),"✔",tulkojums!$A$38),tulkojums!$A$39),tulkojums!$A$39))</f>
        <v/>
      </c>
      <c r="Q647" s="2" t="str">
        <f>IF(ISBLANK(I647),"",IF(INDEX(DB_materiali!$E$2:$E$5000,MATCH($C647,DB_materiali!$A$2:$A$5000,0))&gt;=INDEX(DB_malas!$C$2:$C$5000,MATCH(I647,DB_malas!$A$2:$A$5000,0)),IF(INDEX(DB_materiali!$E$2:$E$5000,MATCH($C647,DB_materiali!$A$2:$A$5000,0))&lt;=INDEX(DB_malas!$D$2:$D$5000,MATCH(I647,DB_malas!$A$2:$A$5000,0)),IF(OR(INDEX(DB_materiali!$B$2:$B$5000,MATCH($C647,DB_materiali!$A$2:$A$5000,0))=INDEX(DB_malas!$B$2:$B$5000,MATCH(I647,DB_malas!$A$2:$A$5000,0)),$H647="ORG"),"✔",tulkojums!$A$38),tulkojums!$A$39),tulkojums!$A$39))</f>
        <v/>
      </c>
      <c r="R647" s="2" t="str">
        <f>IF(ISBLANK(J647),"",IF(INDEX(DB_materiali!$E$2:$E$5000,MATCH($C647,DB_materiali!$A$2:$A$5000,0))&gt;=INDEX(DB_malas!$C$2:$C$5000,MATCH(J647,DB_malas!$A$2:$A$5000,0)),IF(INDEX(DB_materiali!$E$2:$E$5000,MATCH($C647,DB_materiali!$A$2:$A$5000,0))&lt;=INDEX(DB_malas!$D$2:$D$5000,MATCH(J647,DB_malas!$A$2:$A$5000,0)),IF(INDEX(DB_materiali!$B$2:$B$5000,MATCH($C647,DB_materiali!$A$2:$A$5000,0))=INDEX(DB_malas!$B$2:$B$5000,MATCH(J647,DB_malas!$A$2:$A$5000,0)),"✔",tulkojums!$A$38),tulkojums!$A$39),tulkojums!$A$39))</f>
        <v/>
      </c>
      <c r="S647" s="2" t="str">
        <f>IF(ISBLANK(K647),"",IF(INDEX(DB_materiali!$E$2:$E$5000,MATCH($C647,DB_materiali!$A$2:$A$5000,0))&gt;=INDEX(DB_malas!$C$2:$C$5000,MATCH(K647,DB_malas!$A$2:$A$5000,0)),IF(INDEX(DB_materiali!$E$2:$E$5000,MATCH($C647,DB_materiali!$A$2:$A$5000,0))&lt;=INDEX(DB_malas!$D$2:$D$5000,MATCH(K647,DB_malas!$A$2:$A$5000,0)),IF(INDEX(DB_materiali!$B$2:$B$5000,MATCH($C647,DB_materiali!$A$2:$A$5000,0))=INDEX(DB_malas!$B$2:$B$5000,MATCH(K647,DB_malas!$A$2:$A$5000,0)),"✔",tulkojums!$A$38),tulkojums!$A$39),tulkojums!$A$39))</f>
        <v/>
      </c>
      <c r="T647" s="2"/>
      <c r="U647" s="2"/>
      <c r="V647" s="2"/>
      <c r="W647" s="2"/>
      <c r="X647" s="2"/>
      <c r="Y647" s="2"/>
      <c r="Z647" s="2"/>
    </row>
    <row r="648" spans="1:26" ht="15.75" customHeight="1">
      <c r="A648" s="17"/>
      <c r="B648" s="18"/>
      <c r="C648" s="19"/>
      <c r="D648" s="55"/>
      <c r="E648" s="55"/>
      <c r="F648" s="56"/>
      <c r="G648" s="57" t="str">
        <f>IF(ISBLANK(C648),"",
   IFERROR(
      IF(
         INDEX(DB_materiali!C$2:C$5000,
               MATCH(C648, DB_materiali!A$2:A$5000, 0)
         )="FALSE",
         "N",
         "Y"
      ),
   "")
)</f>
        <v/>
      </c>
      <c r="H648" s="20"/>
      <c r="I648" s="20"/>
      <c r="J648" s="20"/>
      <c r="K648" s="20"/>
      <c r="M648" s="2" t="str">
        <f>IF(ISBLANK(C648),"",IF(IFERROR(VLOOKUP(C648,DB_materiali!$A$2:$A$5000,1,FALSE),"Kļūda artikulā")=C648,"✔",tulkojums!A$42))</f>
        <v/>
      </c>
      <c r="N648" s="2" t="str">
        <f>IF(ISBLANK(C648),"",IF(ISNUMBER(F648)=TRUE,"✔",tulkojums!A$43))</f>
        <v/>
      </c>
      <c r="O648" s="2" t="str">
        <f>IF(ISBLANK(C648),"",IF(G648="Y","✔",IF(G648="X","✔",IF(G648="N","✔",tulkojums!A$44))))</f>
        <v/>
      </c>
      <c r="P648" s="2" t="str">
        <f>IF(ISBLANK(H648),"",IF(INDEX(DB_materiali!$E$2:$E$5000,MATCH($C648,DB_materiali!$A$2:$A$5000,0))&gt;=INDEX(DB_malas!$C$2:$C$5000,MATCH(H648,DB_malas!$A$2:$A$5000,0)),IF(INDEX(DB_materiali!$E$2:$E$5000,MATCH($C648,DB_materiali!$A$2:$A$5000,0))&lt;=INDEX(DB_malas!$D$2:$D$5000,MATCH(H648,DB_malas!$A$2:$A$5000,0)),IF(OR(INDEX(DB_materiali!$B$2:$B$5000,MATCH($C648,DB_materiali!$A$2:$A$5000,0))=INDEX(DB_malas!$B$2:$B$5000,MATCH(H648,DB_malas!$A$2:$A$5000,0)),$H648="ORG"),"✔",tulkojums!$A$38),tulkojums!$A$39),tulkojums!$A$39))</f>
        <v/>
      </c>
      <c r="Q648" s="2" t="str">
        <f>IF(ISBLANK(I648),"",IF(INDEX(DB_materiali!$E$2:$E$5000,MATCH($C648,DB_materiali!$A$2:$A$5000,0))&gt;=INDEX(DB_malas!$C$2:$C$5000,MATCH(I648,DB_malas!$A$2:$A$5000,0)),IF(INDEX(DB_materiali!$E$2:$E$5000,MATCH($C648,DB_materiali!$A$2:$A$5000,0))&lt;=INDEX(DB_malas!$D$2:$D$5000,MATCH(I648,DB_malas!$A$2:$A$5000,0)),IF(OR(INDEX(DB_materiali!$B$2:$B$5000,MATCH($C648,DB_materiali!$A$2:$A$5000,0))=INDEX(DB_malas!$B$2:$B$5000,MATCH(I648,DB_malas!$A$2:$A$5000,0)),$H648="ORG"),"✔",tulkojums!$A$38),tulkojums!$A$39),tulkojums!$A$39))</f>
        <v/>
      </c>
      <c r="R648" s="2" t="str">
        <f>IF(ISBLANK(J648),"",IF(INDEX(DB_materiali!$E$2:$E$5000,MATCH($C648,DB_materiali!$A$2:$A$5000,0))&gt;=INDEX(DB_malas!$C$2:$C$5000,MATCH(J648,DB_malas!$A$2:$A$5000,0)),IF(INDEX(DB_materiali!$E$2:$E$5000,MATCH($C648,DB_materiali!$A$2:$A$5000,0))&lt;=INDEX(DB_malas!$D$2:$D$5000,MATCH(J648,DB_malas!$A$2:$A$5000,0)),IF(INDEX(DB_materiali!$B$2:$B$5000,MATCH($C648,DB_materiali!$A$2:$A$5000,0))=INDEX(DB_malas!$B$2:$B$5000,MATCH(J648,DB_malas!$A$2:$A$5000,0)),"✔",tulkojums!$A$38),tulkojums!$A$39),tulkojums!$A$39))</f>
        <v/>
      </c>
      <c r="S648" s="2" t="str">
        <f>IF(ISBLANK(K648),"",IF(INDEX(DB_materiali!$E$2:$E$5000,MATCH($C648,DB_materiali!$A$2:$A$5000,0))&gt;=INDEX(DB_malas!$C$2:$C$5000,MATCH(K648,DB_malas!$A$2:$A$5000,0)),IF(INDEX(DB_materiali!$E$2:$E$5000,MATCH($C648,DB_materiali!$A$2:$A$5000,0))&lt;=INDEX(DB_malas!$D$2:$D$5000,MATCH(K648,DB_malas!$A$2:$A$5000,0)),IF(INDEX(DB_materiali!$B$2:$B$5000,MATCH($C648,DB_materiali!$A$2:$A$5000,0))=INDEX(DB_malas!$B$2:$B$5000,MATCH(K648,DB_malas!$A$2:$A$5000,0)),"✔",tulkojums!$A$38),tulkojums!$A$39),tulkojums!$A$39))</f>
        <v/>
      </c>
      <c r="T648" s="2"/>
      <c r="U648" s="2"/>
      <c r="V648" s="2"/>
      <c r="W648" s="2"/>
      <c r="X648" s="2"/>
      <c r="Y648" s="2"/>
      <c r="Z648" s="2"/>
    </row>
    <row r="649" spans="1:26" ht="15.75" customHeight="1">
      <c r="A649" s="17"/>
      <c r="B649" s="18"/>
      <c r="C649" s="19"/>
      <c r="D649" s="55"/>
      <c r="E649" s="55"/>
      <c r="F649" s="56"/>
      <c r="G649" s="57" t="str">
        <f>IF(ISBLANK(C649),"",
   IFERROR(
      IF(
         INDEX(DB_materiali!C$2:C$5000,
               MATCH(C649, DB_materiali!A$2:A$5000, 0)
         )="FALSE",
         "N",
         "Y"
      ),
   "")
)</f>
        <v/>
      </c>
      <c r="H649" s="20"/>
      <c r="I649" s="20"/>
      <c r="J649" s="20"/>
      <c r="K649" s="20"/>
      <c r="M649" s="2" t="str">
        <f>IF(ISBLANK(C649),"",IF(IFERROR(VLOOKUP(C649,DB_materiali!$A$2:$A$5000,1,FALSE),"Kļūda artikulā")=C649,"✔",tulkojums!A$42))</f>
        <v/>
      </c>
      <c r="N649" s="2" t="str">
        <f>IF(ISBLANK(C649),"",IF(ISNUMBER(F649)=TRUE,"✔",tulkojums!A$43))</f>
        <v/>
      </c>
      <c r="O649" s="2" t="str">
        <f>IF(ISBLANK(C649),"",IF(G649="Y","✔",IF(G649="X","✔",IF(G649="N","✔",tulkojums!A$44))))</f>
        <v/>
      </c>
      <c r="P649" s="2" t="str">
        <f>IF(ISBLANK(H649),"",IF(INDEX(DB_materiali!$E$2:$E$5000,MATCH($C649,DB_materiali!$A$2:$A$5000,0))&gt;=INDEX(DB_malas!$C$2:$C$5000,MATCH(H649,DB_malas!$A$2:$A$5000,0)),IF(INDEX(DB_materiali!$E$2:$E$5000,MATCH($C649,DB_materiali!$A$2:$A$5000,0))&lt;=INDEX(DB_malas!$D$2:$D$5000,MATCH(H649,DB_malas!$A$2:$A$5000,0)),IF(OR(INDEX(DB_materiali!$B$2:$B$5000,MATCH($C649,DB_materiali!$A$2:$A$5000,0))=INDEX(DB_malas!$B$2:$B$5000,MATCH(H649,DB_malas!$A$2:$A$5000,0)),$H649="ORG"),"✔",tulkojums!$A$38),tulkojums!$A$39),tulkojums!$A$39))</f>
        <v/>
      </c>
      <c r="Q649" s="2" t="str">
        <f>IF(ISBLANK(I649),"",IF(INDEX(DB_materiali!$E$2:$E$5000,MATCH($C649,DB_materiali!$A$2:$A$5000,0))&gt;=INDEX(DB_malas!$C$2:$C$5000,MATCH(I649,DB_malas!$A$2:$A$5000,0)),IF(INDEX(DB_materiali!$E$2:$E$5000,MATCH($C649,DB_materiali!$A$2:$A$5000,0))&lt;=INDEX(DB_malas!$D$2:$D$5000,MATCH(I649,DB_malas!$A$2:$A$5000,0)),IF(OR(INDEX(DB_materiali!$B$2:$B$5000,MATCH($C649,DB_materiali!$A$2:$A$5000,0))=INDEX(DB_malas!$B$2:$B$5000,MATCH(I649,DB_malas!$A$2:$A$5000,0)),$H649="ORG"),"✔",tulkojums!$A$38),tulkojums!$A$39),tulkojums!$A$39))</f>
        <v/>
      </c>
      <c r="R649" s="2" t="str">
        <f>IF(ISBLANK(J649),"",IF(INDEX(DB_materiali!$E$2:$E$5000,MATCH($C649,DB_materiali!$A$2:$A$5000,0))&gt;=INDEX(DB_malas!$C$2:$C$5000,MATCH(J649,DB_malas!$A$2:$A$5000,0)),IF(INDEX(DB_materiali!$E$2:$E$5000,MATCH($C649,DB_materiali!$A$2:$A$5000,0))&lt;=INDEX(DB_malas!$D$2:$D$5000,MATCH(J649,DB_malas!$A$2:$A$5000,0)),IF(INDEX(DB_materiali!$B$2:$B$5000,MATCH($C649,DB_materiali!$A$2:$A$5000,0))=INDEX(DB_malas!$B$2:$B$5000,MATCH(J649,DB_malas!$A$2:$A$5000,0)),"✔",tulkojums!$A$38),tulkojums!$A$39),tulkojums!$A$39))</f>
        <v/>
      </c>
      <c r="S649" s="2" t="str">
        <f>IF(ISBLANK(K649),"",IF(INDEX(DB_materiali!$E$2:$E$5000,MATCH($C649,DB_materiali!$A$2:$A$5000,0))&gt;=INDEX(DB_malas!$C$2:$C$5000,MATCH(K649,DB_malas!$A$2:$A$5000,0)),IF(INDEX(DB_materiali!$E$2:$E$5000,MATCH($C649,DB_materiali!$A$2:$A$5000,0))&lt;=INDEX(DB_malas!$D$2:$D$5000,MATCH(K649,DB_malas!$A$2:$A$5000,0)),IF(INDEX(DB_materiali!$B$2:$B$5000,MATCH($C649,DB_materiali!$A$2:$A$5000,0))=INDEX(DB_malas!$B$2:$B$5000,MATCH(K649,DB_malas!$A$2:$A$5000,0)),"✔",tulkojums!$A$38),tulkojums!$A$39),tulkojums!$A$39))</f>
        <v/>
      </c>
      <c r="T649" s="2"/>
      <c r="U649" s="2"/>
      <c r="V649" s="2"/>
      <c r="W649" s="2"/>
      <c r="X649" s="2"/>
      <c r="Y649" s="2"/>
      <c r="Z649" s="2"/>
    </row>
    <row r="650" spans="1:26" ht="15.75" customHeight="1">
      <c r="A650" s="17"/>
      <c r="B650" s="18"/>
      <c r="C650" s="19"/>
      <c r="D650" s="55"/>
      <c r="E650" s="55"/>
      <c r="F650" s="56"/>
      <c r="G650" s="57" t="str">
        <f>IF(ISBLANK(C650),"",
   IFERROR(
      IF(
         INDEX(DB_materiali!C$2:C$5000,
               MATCH(C650, DB_materiali!A$2:A$5000, 0)
         )="FALSE",
         "N",
         "Y"
      ),
   "")
)</f>
        <v/>
      </c>
      <c r="H650" s="20"/>
      <c r="I650" s="20"/>
      <c r="J650" s="20"/>
      <c r="K650" s="20"/>
      <c r="M650" s="2" t="str">
        <f>IF(ISBLANK(C650),"",IF(IFERROR(VLOOKUP(C650,DB_materiali!$A$2:$A$5000,1,FALSE),"Kļūda artikulā")=C650,"✔",tulkojums!A$42))</f>
        <v/>
      </c>
      <c r="N650" s="2" t="str">
        <f>IF(ISBLANK(C650),"",IF(ISNUMBER(F650)=TRUE,"✔",tulkojums!A$43))</f>
        <v/>
      </c>
      <c r="O650" s="2" t="str">
        <f>IF(ISBLANK(C650),"",IF(G650="Y","✔",IF(G650="X","✔",IF(G650="N","✔",tulkojums!A$44))))</f>
        <v/>
      </c>
      <c r="P650" s="2" t="str">
        <f>IF(ISBLANK(H650),"",IF(INDEX(DB_materiali!$E$2:$E$5000,MATCH($C650,DB_materiali!$A$2:$A$5000,0))&gt;=INDEX(DB_malas!$C$2:$C$5000,MATCH(H650,DB_malas!$A$2:$A$5000,0)),IF(INDEX(DB_materiali!$E$2:$E$5000,MATCH($C650,DB_materiali!$A$2:$A$5000,0))&lt;=INDEX(DB_malas!$D$2:$D$5000,MATCH(H650,DB_malas!$A$2:$A$5000,0)),IF(OR(INDEX(DB_materiali!$B$2:$B$5000,MATCH($C650,DB_materiali!$A$2:$A$5000,0))=INDEX(DB_malas!$B$2:$B$5000,MATCH(H650,DB_malas!$A$2:$A$5000,0)),$H650="ORG"),"✔",tulkojums!$A$38),tulkojums!$A$39),tulkojums!$A$39))</f>
        <v/>
      </c>
      <c r="Q650" s="2" t="str">
        <f>IF(ISBLANK(I650),"",IF(INDEX(DB_materiali!$E$2:$E$5000,MATCH($C650,DB_materiali!$A$2:$A$5000,0))&gt;=INDEX(DB_malas!$C$2:$C$5000,MATCH(I650,DB_malas!$A$2:$A$5000,0)),IF(INDEX(DB_materiali!$E$2:$E$5000,MATCH($C650,DB_materiali!$A$2:$A$5000,0))&lt;=INDEX(DB_malas!$D$2:$D$5000,MATCH(I650,DB_malas!$A$2:$A$5000,0)),IF(OR(INDEX(DB_materiali!$B$2:$B$5000,MATCH($C650,DB_materiali!$A$2:$A$5000,0))=INDEX(DB_malas!$B$2:$B$5000,MATCH(I650,DB_malas!$A$2:$A$5000,0)),$H650="ORG"),"✔",tulkojums!$A$38),tulkojums!$A$39),tulkojums!$A$39))</f>
        <v/>
      </c>
      <c r="R650" s="2" t="str">
        <f>IF(ISBLANK(J650),"",IF(INDEX(DB_materiali!$E$2:$E$5000,MATCH($C650,DB_materiali!$A$2:$A$5000,0))&gt;=INDEX(DB_malas!$C$2:$C$5000,MATCH(J650,DB_malas!$A$2:$A$5000,0)),IF(INDEX(DB_materiali!$E$2:$E$5000,MATCH($C650,DB_materiali!$A$2:$A$5000,0))&lt;=INDEX(DB_malas!$D$2:$D$5000,MATCH(J650,DB_malas!$A$2:$A$5000,0)),IF(INDEX(DB_materiali!$B$2:$B$5000,MATCH($C650,DB_materiali!$A$2:$A$5000,0))=INDEX(DB_malas!$B$2:$B$5000,MATCH(J650,DB_malas!$A$2:$A$5000,0)),"✔",tulkojums!$A$38),tulkojums!$A$39),tulkojums!$A$39))</f>
        <v/>
      </c>
      <c r="S650" s="2" t="str">
        <f>IF(ISBLANK(K650),"",IF(INDEX(DB_materiali!$E$2:$E$5000,MATCH($C650,DB_materiali!$A$2:$A$5000,0))&gt;=INDEX(DB_malas!$C$2:$C$5000,MATCH(K650,DB_malas!$A$2:$A$5000,0)),IF(INDEX(DB_materiali!$E$2:$E$5000,MATCH($C650,DB_materiali!$A$2:$A$5000,0))&lt;=INDEX(DB_malas!$D$2:$D$5000,MATCH(K650,DB_malas!$A$2:$A$5000,0)),IF(INDEX(DB_materiali!$B$2:$B$5000,MATCH($C650,DB_materiali!$A$2:$A$5000,0))=INDEX(DB_malas!$B$2:$B$5000,MATCH(K650,DB_malas!$A$2:$A$5000,0)),"✔",tulkojums!$A$38),tulkojums!$A$39),tulkojums!$A$39))</f>
        <v/>
      </c>
      <c r="T650" s="2"/>
      <c r="U650" s="2"/>
      <c r="V650" s="2"/>
      <c r="W650" s="2"/>
      <c r="X650" s="2"/>
      <c r="Y650" s="2"/>
      <c r="Z650" s="2"/>
    </row>
    <row r="651" spans="1:26" ht="15.75" customHeight="1">
      <c r="A651" s="17"/>
      <c r="B651" s="18"/>
      <c r="C651" s="19"/>
      <c r="D651" s="55"/>
      <c r="E651" s="55"/>
      <c r="F651" s="56"/>
      <c r="G651" s="57" t="str">
        <f>IF(ISBLANK(C651),"",
   IFERROR(
      IF(
         INDEX(DB_materiali!C$2:C$5000,
               MATCH(C651, DB_materiali!A$2:A$5000, 0)
         )="FALSE",
         "N",
         "Y"
      ),
   "")
)</f>
        <v/>
      </c>
      <c r="H651" s="20"/>
      <c r="I651" s="20"/>
      <c r="J651" s="20"/>
      <c r="K651" s="20"/>
      <c r="M651" s="2" t="str">
        <f>IF(ISBLANK(C651),"",IF(IFERROR(VLOOKUP(C651,DB_materiali!$A$2:$A$5000,1,FALSE),"Kļūda artikulā")=C651,"✔",tulkojums!A$42))</f>
        <v/>
      </c>
      <c r="N651" s="2" t="str">
        <f>IF(ISBLANK(C651),"",IF(ISNUMBER(F651)=TRUE,"✔",tulkojums!A$43))</f>
        <v/>
      </c>
      <c r="O651" s="2" t="str">
        <f>IF(ISBLANK(C651),"",IF(G651="Y","✔",IF(G651="X","✔",IF(G651="N","✔",tulkojums!A$44))))</f>
        <v/>
      </c>
      <c r="P651" s="2" t="str">
        <f>IF(ISBLANK(H651),"",IF(INDEX(DB_materiali!$E$2:$E$5000,MATCH($C651,DB_materiali!$A$2:$A$5000,0))&gt;=INDEX(DB_malas!$C$2:$C$5000,MATCH(H651,DB_malas!$A$2:$A$5000,0)),IF(INDEX(DB_materiali!$E$2:$E$5000,MATCH($C651,DB_materiali!$A$2:$A$5000,0))&lt;=INDEX(DB_malas!$D$2:$D$5000,MATCH(H651,DB_malas!$A$2:$A$5000,0)),IF(OR(INDEX(DB_materiali!$B$2:$B$5000,MATCH($C651,DB_materiali!$A$2:$A$5000,0))=INDEX(DB_malas!$B$2:$B$5000,MATCH(H651,DB_malas!$A$2:$A$5000,0)),$H651="ORG"),"✔",tulkojums!$A$38),tulkojums!$A$39),tulkojums!$A$39))</f>
        <v/>
      </c>
      <c r="Q651" s="2" t="str">
        <f>IF(ISBLANK(I651),"",IF(INDEX(DB_materiali!$E$2:$E$5000,MATCH($C651,DB_materiali!$A$2:$A$5000,0))&gt;=INDEX(DB_malas!$C$2:$C$5000,MATCH(I651,DB_malas!$A$2:$A$5000,0)),IF(INDEX(DB_materiali!$E$2:$E$5000,MATCH($C651,DB_materiali!$A$2:$A$5000,0))&lt;=INDEX(DB_malas!$D$2:$D$5000,MATCH(I651,DB_malas!$A$2:$A$5000,0)),IF(OR(INDEX(DB_materiali!$B$2:$B$5000,MATCH($C651,DB_materiali!$A$2:$A$5000,0))=INDEX(DB_malas!$B$2:$B$5000,MATCH(I651,DB_malas!$A$2:$A$5000,0)),$H651="ORG"),"✔",tulkojums!$A$38),tulkojums!$A$39),tulkojums!$A$39))</f>
        <v/>
      </c>
      <c r="R651" s="2" t="str">
        <f>IF(ISBLANK(J651),"",IF(INDEX(DB_materiali!$E$2:$E$5000,MATCH($C651,DB_materiali!$A$2:$A$5000,0))&gt;=INDEX(DB_malas!$C$2:$C$5000,MATCH(J651,DB_malas!$A$2:$A$5000,0)),IF(INDEX(DB_materiali!$E$2:$E$5000,MATCH($C651,DB_materiali!$A$2:$A$5000,0))&lt;=INDEX(DB_malas!$D$2:$D$5000,MATCH(J651,DB_malas!$A$2:$A$5000,0)),IF(INDEX(DB_materiali!$B$2:$B$5000,MATCH($C651,DB_materiali!$A$2:$A$5000,0))=INDEX(DB_malas!$B$2:$B$5000,MATCH(J651,DB_malas!$A$2:$A$5000,0)),"✔",tulkojums!$A$38),tulkojums!$A$39),tulkojums!$A$39))</f>
        <v/>
      </c>
      <c r="S651" s="2" t="str">
        <f>IF(ISBLANK(K651),"",IF(INDEX(DB_materiali!$E$2:$E$5000,MATCH($C651,DB_materiali!$A$2:$A$5000,0))&gt;=INDEX(DB_malas!$C$2:$C$5000,MATCH(K651,DB_malas!$A$2:$A$5000,0)),IF(INDEX(DB_materiali!$E$2:$E$5000,MATCH($C651,DB_materiali!$A$2:$A$5000,0))&lt;=INDEX(DB_malas!$D$2:$D$5000,MATCH(K651,DB_malas!$A$2:$A$5000,0)),IF(INDEX(DB_materiali!$B$2:$B$5000,MATCH($C651,DB_materiali!$A$2:$A$5000,0))=INDEX(DB_malas!$B$2:$B$5000,MATCH(K651,DB_malas!$A$2:$A$5000,0)),"✔",tulkojums!$A$38),tulkojums!$A$39),tulkojums!$A$39))</f>
        <v/>
      </c>
      <c r="T651" s="2"/>
      <c r="U651" s="2"/>
      <c r="V651" s="2"/>
      <c r="W651" s="2"/>
      <c r="X651" s="2"/>
      <c r="Y651" s="2"/>
      <c r="Z651" s="2"/>
    </row>
    <row r="652" spans="1:26" ht="15.75" customHeight="1">
      <c r="A652" s="17"/>
      <c r="B652" s="18"/>
      <c r="C652" s="19"/>
      <c r="D652" s="55"/>
      <c r="E652" s="55"/>
      <c r="F652" s="56"/>
      <c r="G652" s="57" t="str">
        <f>IF(ISBLANK(C652),"",
   IFERROR(
      IF(
         INDEX(DB_materiali!C$2:C$5000,
               MATCH(C652, DB_materiali!A$2:A$5000, 0)
         )="FALSE",
         "N",
         "Y"
      ),
   "")
)</f>
        <v/>
      </c>
      <c r="H652" s="20"/>
      <c r="I652" s="20"/>
      <c r="J652" s="20"/>
      <c r="K652" s="20"/>
      <c r="M652" s="2" t="str">
        <f>IF(ISBLANK(C652),"",IF(IFERROR(VLOOKUP(C652,DB_materiali!$A$2:$A$5000,1,FALSE),"Kļūda artikulā")=C652,"✔",tulkojums!A$42))</f>
        <v/>
      </c>
      <c r="N652" s="2" t="str">
        <f>IF(ISBLANK(C652),"",IF(ISNUMBER(F652)=TRUE,"✔",tulkojums!A$43))</f>
        <v/>
      </c>
      <c r="O652" s="2" t="str">
        <f>IF(ISBLANK(C652),"",IF(G652="Y","✔",IF(G652="X","✔",IF(G652="N","✔",tulkojums!A$44))))</f>
        <v/>
      </c>
      <c r="P652" s="2" t="str">
        <f>IF(ISBLANK(H652),"",IF(INDEX(DB_materiali!$E$2:$E$5000,MATCH($C652,DB_materiali!$A$2:$A$5000,0))&gt;=INDEX(DB_malas!$C$2:$C$5000,MATCH(H652,DB_malas!$A$2:$A$5000,0)),IF(INDEX(DB_materiali!$E$2:$E$5000,MATCH($C652,DB_materiali!$A$2:$A$5000,0))&lt;=INDEX(DB_malas!$D$2:$D$5000,MATCH(H652,DB_malas!$A$2:$A$5000,0)),IF(OR(INDEX(DB_materiali!$B$2:$B$5000,MATCH($C652,DB_materiali!$A$2:$A$5000,0))=INDEX(DB_malas!$B$2:$B$5000,MATCH(H652,DB_malas!$A$2:$A$5000,0)),$H652="ORG"),"✔",tulkojums!$A$38),tulkojums!$A$39),tulkojums!$A$39))</f>
        <v/>
      </c>
      <c r="Q652" s="2" t="str">
        <f>IF(ISBLANK(I652),"",IF(INDEX(DB_materiali!$E$2:$E$5000,MATCH($C652,DB_materiali!$A$2:$A$5000,0))&gt;=INDEX(DB_malas!$C$2:$C$5000,MATCH(I652,DB_malas!$A$2:$A$5000,0)),IF(INDEX(DB_materiali!$E$2:$E$5000,MATCH($C652,DB_materiali!$A$2:$A$5000,0))&lt;=INDEX(DB_malas!$D$2:$D$5000,MATCH(I652,DB_malas!$A$2:$A$5000,0)),IF(OR(INDEX(DB_materiali!$B$2:$B$5000,MATCH($C652,DB_materiali!$A$2:$A$5000,0))=INDEX(DB_malas!$B$2:$B$5000,MATCH(I652,DB_malas!$A$2:$A$5000,0)),$H652="ORG"),"✔",tulkojums!$A$38),tulkojums!$A$39),tulkojums!$A$39))</f>
        <v/>
      </c>
      <c r="R652" s="2" t="str">
        <f>IF(ISBLANK(J652),"",IF(INDEX(DB_materiali!$E$2:$E$5000,MATCH($C652,DB_materiali!$A$2:$A$5000,0))&gt;=INDEX(DB_malas!$C$2:$C$5000,MATCH(J652,DB_malas!$A$2:$A$5000,0)),IF(INDEX(DB_materiali!$E$2:$E$5000,MATCH($C652,DB_materiali!$A$2:$A$5000,0))&lt;=INDEX(DB_malas!$D$2:$D$5000,MATCH(J652,DB_malas!$A$2:$A$5000,0)),IF(INDEX(DB_materiali!$B$2:$B$5000,MATCH($C652,DB_materiali!$A$2:$A$5000,0))=INDEX(DB_malas!$B$2:$B$5000,MATCH(J652,DB_malas!$A$2:$A$5000,0)),"✔",tulkojums!$A$38),tulkojums!$A$39),tulkojums!$A$39))</f>
        <v/>
      </c>
      <c r="S652" s="2" t="str">
        <f>IF(ISBLANK(K652),"",IF(INDEX(DB_materiali!$E$2:$E$5000,MATCH($C652,DB_materiali!$A$2:$A$5000,0))&gt;=INDEX(DB_malas!$C$2:$C$5000,MATCH(K652,DB_malas!$A$2:$A$5000,0)),IF(INDEX(DB_materiali!$E$2:$E$5000,MATCH($C652,DB_materiali!$A$2:$A$5000,0))&lt;=INDEX(DB_malas!$D$2:$D$5000,MATCH(K652,DB_malas!$A$2:$A$5000,0)),IF(INDEX(DB_materiali!$B$2:$B$5000,MATCH($C652,DB_materiali!$A$2:$A$5000,0))=INDEX(DB_malas!$B$2:$B$5000,MATCH(K652,DB_malas!$A$2:$A$5000,0)),"✔",tulkojums!$A$38),tulkojums!$A$39),tulkojums!$A$39))</f>
        <v/>
      </c>
      <c r="T652" s="2"/>
      <c r="U652" s="2"/>
      <c r="V652" s="2"/>
      <c r="W652" s="2"/>
      <c r="X652" s="2"/>
      <c r="Y652" s="2"/>
      <c r="Z652" s="2"/>
    </row>
    <row r="653" spans="1:26" ht="15.75" customHeight="1">
      <c r="A653" s="17"/>
      <c r="B653" s="18"/>
      <c r="C653" s="19"/>
      <c r="D653" s="55"/>
      <c r="E653" s="55"/>
      <c r="F653" s="56"/>
      <c r="G653" s="57" t="str">
        <f>IF(ISBLANK(C653),"",
   IFERROR(
      IF(
         INDEX(DB_materiali!C$2:C$5000,
               MATCH(C653, DB_materiali!A$2:A$5000, 0)
         )="FALSE",
         "N",
         "Y"
      ),
   "")
)</f>
        <v/>
      </c>
      <c r="H653" s="20"/>
      <c r="I653" s="20"/>
      <c r="J653" s="20"/>
      <c r="K653" s="20"/>
      <c r="M653" s="2" t="str">
        <f>IF(ISBLANK(C653),"",IF(IFERROR(VLOOKUP(C653,DB_materiali!$A$2:$A$5000,1,FALSE),"Kļūda artikulā")=C653,"✔",tulkojums!A$42))</f>
        <v/>
      </c>
      <c r="N653" s="2" t="str">
        <f>IF(ISBLANK(C653),"",IF(ISNUMBER(F653)=TRUE,"✔",tulkojums!A$43))</f>
        <v/>
      </c>
      <c r="O653" s="2" t="str">
        <f>IF(ISBLANK(C653),"",IF(G653="Y","✔",IF(G653="X","✔",IF(G653="N","✔",tulkojums!A$44))))</f>
        <v/>
      </c>
      <c r="P653" s="2" t="str">
        <f>IF(ISBLANK(H653),"",IF(INDEX(DB_materiali!$E$2:$E$5000,MATCH($C653,DB_materiali!$A$2:$A$5000,0))&gt;=INDEX(DB_malas!$C$2:$C$5000,MATCH(H653,DB_malas!$A$2:$A$5000,0)),IF(INDEX(DB_materiali!$E$2:$E$5000,MATCH($C653,DB_materiali!$A$2:$A$5000,0))&lt;=INDEX(DB_malas!$D$2:$D$5000,MATCH(H653,DB_malas!$A$2:$A$5000,0)),IF(OR(INDEX(DB_materiali!$B$2:$B$5000,MATCH($C653,DB_materiali!$A$2:$A$5000,0))=INDEX(DB_malas!$B$2:$B$5000,MATCH(H653,DB_malas!$A$2:$A$5000,0)),$H653="ORG"),"✔",tulkojums!$A$38),tulkojums!$A$39),tulkojums!$A$39))</f>
        <v/>
      </c>
      <c r="Q653" s="2" t="str">
        <f>IF(ISBLANK(I653),"",IF(INDEX(DB_materiali!$E$2:$E$5000,MATCH($C653,DB_materiali!$A$2:$A$5000,0))&gt;=INDEX(DB_malas!$C$2:$C$5000,MATCH(I653,DB_malas!$A$2:$A$5000,0)),IF(INDEX(DB_materiali!$E$2:$E$5000,MATCH($C653,DB_materiali!$A$2:$A$5000,0))&lt;=INDEX(DB_malas!$D$2:$D$5000,MATCH(I653,DB_malas!$A$2:$A$5000,0)),IF(OR(INDEX(DB_materiali!$B$2:$B$5000,MATCH($C653,DB_materiali!$A$2:$A$5000,0))=INDEX(DB_malas!$B$2:$B$5000,MATCH(I653,DB_malas!$A$2:$A$5000,0)),$H653="ORG"),"✔",tulkojums!$A$38),tulkojums!$A$39),tulkojums!$A$39))</f>
        <v/>
      </c>
      <c r="R653" s="2" t="str">
        <f>IF(ISBLANK(J653),"",IF(INDEX(DB_materiali!$E$2:$E$5000,MATCH($C653,DB_materiali!$A$2:$A$5000,0))&gt;=INDEX(DB_malas!$C$2:$C$5000,MATCH(J653,DB_malas!$A$2:$A$5000,0)),IF(INDEX(DB_materiali!$E$2:$E$5000,MATCH($C653,DB_materiali!$A$2:$A$5000,0))&lt;=INDEX(DB_malas!$D$2:$D$5000,MATCH(J653,DB_malas!$A$2:$A$5000,0)),IF(INDEX(DB_materiali!$B$2:$B$5000,MATCH($C653,DB_materiali!$A$2:$A$5000,0))=INDEX(DB_malas!$B$2:$B$5000,MATCH(J653,DB_malas!$A$2:$A$5000,0)),"✔",tulkojums!$A$38),tulkojums!$A$39),tulkojums!$A$39))</f>
        <v/>
      </c>
      <c r="S653" s="2" t="str">
        <f>IF(ISBLANK(K653),"",IF(INDEX(DB_materiali!$E$2:$E$5000,MATCH($C653,DB_materiali!$A$2:$A$5000,0))&gt;=INDEX(DB_malas!$C$2:$C$5000,MATCH(K653,DB_malas!$A$2:$A$5000,0)),IF(INDEX(DB_materiali!$E$2:$E$5000,MATCH($C653,DB_materiali!$A$2:$A$5000,0))&lt;=INDEX(DB_malas!$D$2:$D$5000,MATCH(K653,DB_malas!$A$2:$A$5000,0)),IF(INDEX(DB_materiali!$B$2:$B$5000,MATCH($C653,DB_materiali!$A$2:$A$5000,0))=INDEX(DB_malas!$B$2:$B$5000,MATCH(K653,DB_malas!$A$2:$A$5000,0)),"✔",tulkojums!$A$38),tulkojums!$A$39),tulkojums!$A$39))</f>
        <v/>
      </c>
      <c r="T653" s="2"/>
      <c r="U653" s="2"/>
      <c r="V653" s="2"/>
      <c r="W653" s="2"/>
      <c r="X653" s="2"/>
      <c r="Y653" s="2"/>
      <c r="Z653" s="2"/>
    </row>
    <row r="654" spans="1:26" ht="15.75" customHeight="1">
      <c r="A654" s="17"/>
      <c r="B654" s="18"/>
      <c r="C654" s="19"/>
      <c r="D654" s="55"/>
      <c r="E654" s="55"/>
      <c r="F654" s="56"/>
      <c r="G654" s="57" t="str">
        <f>IF(ISBLANK(C654),"",
   IFERROR(
      IF(
         INDEX(DB_materiali!C$2:C$5000,
               MATCH(C654, DB_materiali!A$2:A$5000, 0)
         )="FALSE",
         "N",
         "Y"
      ),
   "")
)</f>
        <v/>
      </c>
      <c r="H654" s="20"/>
      <c r="I654" s="20"/>
      <c r="J654" s="20"/>
      <c r="K654" s="20"/>
      <c r="M654" s="2" t="str">
        <f>IF(ISBLANK(C654),"",IF(IFERROR(VLOOKUP(C654,DB_materiali!$A$2:$A$5000,1,FALSE),"Kļūda artikulā")=C654,"✔",tulkojums!A$42))</f>
        <v/>
      </c>
      <c r="N654" s="2" t="str">
        <f>IF(ISBLANK(C654),"",IF(ISNUMBER(F654)=TRUE,"✔",tulkojums!A$43))</f>
        <v/>
      </c>
      <c r="O654" s="2" t="str">
        <f>IF(ISBLANK(C654),"",IF(G654="Y","✔",IF(G654="X","✔",IF(G654="N","✔",tulkojums!A$44))))</f>
        <v/>
      </c>
      <c r="P654" s="2" t="str">
        <f>IF(ISBLANK(H654),"",IF(INDEX(DB_materiali!$E$2:$E$5000,MATCH($C654,DB_materiali!$A$2:$A$5000,0))&gt;=INDEX(DB_malas!$C$2:$C$5000,MATCH(H654,DB_malas!$A$2:$A$5000,0)),IF(INDEX(DB_materiali!$E$2:$E$5000,MATCH($C654,DB_materiali!$A$2:$A$5000,0))&lt;=INDEX(DB_malas!$D$2:$D$5000,MATCH(H654,DB_malas!$A$2:$A$5000,0)),IF(OR(INDEX(DB_materiali!$B$2:$B$5000,MATCH($C654,DB_materiali!$A$2:$A$5000,0))=INDEX(DB_malas!$B$2:$B$5000,MATCH(H654,DB_malas!$A$2:$A$5000,0)),$H654="ORG"),"✔",tulkojums!$A$38),tulkojums!$A$39),tulkojums!$A$39))</f>
        <v/>
      </c>
      <c r="Q654" s="2" t="str">
        <f>IF(ISBLANK(I654),"",IF(INDEX(DB_materiali!$E$2:$E$5000,MATCH($C654,DB_materiali!$A$2:$A$5000,0))&gt;=INDEX(DB_malas!$C$2:$C$5000,MATCH(I654,DB_malas!$A$2:$A$5000,0)),IF(INDEX(DB_materiali!$E$2:$E$5000,MATCH($C654,DB_materiali!$A$2:$A$5000,0))&lt;=INDEX(DB_malas!$D$2:$D$5000,MATCH(I654,DB_malas!$A$2:$A$5000,0)),IF(OR(INDEX(DB_materiali!$B$2:$B$5000,MATCH($C654,DB_materiali!$A$2:$A$5000,0))=INDEX(DB_malas!$B$2:$B$5000,MATCH(I654,DB_malas!$A$2:$A$5000,0)),$H654="ORG"),"✔",tulkojums!$A$38),tulkojums!$A$39),tulkojums!$A$39))</f>
        <v/>
      </c>
      <c r="R654" s="2" t="str">
        <f>IF(ISBLANK(J654),"",IF(INDEX(DB_materiali!$E$2:$E$5000,MATCH($C654,DB_materiali!$A$2:$A$5000,0))&gt;=INDEX(DB_malas!$C$2:$C$5000,MATCH(J654,DB_malas!$A$2:$A$5000,0)),IF(INDEX(DB_materiali!$E$2:$E$5000,MATCH($C654,DB_materiali!$A$2:$A$5000,0))&lt;=INDEX(DB_malas!$D$2:$D$5000,MATCH(J654,DB_malas!$A$2:$A$5000,0)),IF(INDEX(DB_materiali!$B$2:$B$5000,MATCH($C654,DB_materiali!$A$2:$A$5000,0))=INDEX(DB_malas!$B$2:$B$5000,MATCH(J654,DB_malas!$A$2:$A$5000,0)),"✔",tulkojums!$A$38),tulkojums!$A$39),tulkojums!$A$39))</f>
        <v/>
      </c>
      <c r="S654" s="2" t="str">
        <f>IF(ISBLANK(K654),"",IF(INDEX(DB_materiali!$E$2:$E$5000,MATCH($C654,DB_materiali!$A$2:$A$5000,0))&gt;=INDEX(DB_malas!$C$2:$C$5000,MATCH(K654,DB_malas!$A$2:$A$5000,0)),IF(INDEX(DB_materiali!$E$2:$E$5000,MATCH($C654,DB_materiali!$A$2:$A$5000,0))&lt;=INDEX(DB_malas!$D$2:$D$5000,MATCH(K654,DB_malas!$A$2:$A$5000,0)),IF(INDEX(DB_materiali!$B$2:$B$5000,MATCH($C654,DB_materiali!$A$2:$A$5000,0))=INDEX(DB_malas!$B$2:$B$5000,MATCH(K654,DB_malas!$A$2:$A$5000,0)),"✔",tulkojums!$A$38),tulkojums!$A$39),tulkojums!$A$39))</f>
        <v/>
      </c>
      <c r="T654" s="2"/>
      <c r="U654" s="2"/>
      <c r="V654" s="2"/>
      <c r="W654" s="2"/>
      <c r="X654" s="2"/>
      <c r="Y654" s="2"/>
      <c r="Z654" s="2"/>
    </row>
    <row r="655" spans="1:26" ht="15.75" customHeight="1">
      <c r="A655" s="17"/>
      <c r="B655" s="18"/>
      <c r="C655" s="19"/>
      <c r="D655" s="55"/>
      <c r="E655" s="55"/>
      <c r="F655" s="56"/>
      <c r="G655" s="57" t="str">
        <f>IF(ISBLANK(C655),"",
   IFERROR(
      IF(
         INDEX(DB_materiali!C$2:C$5000,
               MATCH(C655, DB_materiali!A$2:A$5000, 0)
         )="FALSE",
         "N",
         "Y"
      ),
   "")
)</f>
        <v/>
      </c>
      <c r="H655" s="20"/>
      <c r="I655" s="20"/>
      <c r="J655" s="20"/>
      <c r="K655" s="20"/>
      <c r="M655" s="2" t="str">
        <f>IF(ISBLANK(C655),"",IF(IFERROR(VLOOKUP(C655,DB_materiali!$A$2:$A$5000,1,FALSE),"Kļūda artikulā")=C655,"✔",tulkojums!A$42))</f>
        <v/>
      </c>
      <c r="N655" s="2" t="str">
        <f>IF(ISBLANK(C655),"",IF(ISNUMBER(F655)=TRUE,"✔",tulkojums!A$43))</f>
        <v/>
      </c>
      <c r="O655" s="2" t="str">
        <f>IF(ISBLANK(C655),"",IF(G655="Y","✔",IF(G655="X","✔",IF(G655="N","✔",tulkojums!A$44))))</f>
        <v/>
      </c>
      <c r="P655" s="2" t="str">
        <f>IF(ISBLANK(H655),"",IF(INDEX(DB_materiali!$E$2:$E$5000,MATCH($C655,DB_materiali!$A$2:$A$5000,0))&gt;=INDEX(DB_malas!$C$2:$C$5000,MATCH(H655,DB_malas!$A$2:$A$5000,0)),IF(INDEX(DB_materiali!$E$2:$E$5000,MATCH($C655,DB_materiali!$A$2:$A$5000,0))&lt;=INDEX(DB_malas!$D$2:$D$5000,MATCH(H655,DB_malas!$A$2:$A$5000,0)),IF(OR(INDEX(DB_materiali!$B$2:$B$5000,MATCH($C655,DB_materiali!$A$2:$A$5000,0))=INDEX(DB_malas!$B$2:$B$5000,MATCH(H655,DB_malas!$A$2:$A$5000,0)),$H655="ORG"),"✔",tulkojums!$A$38),tulkojums!$A$39),tulkojums!$A$39))</f>
        <v/>
      </c>
      <c r="Q655" s="2" t="str">
        <f>IF(ISBLANK(I655),"",IF(INDEX(DB_materiali!$E$2:$E$5000,MATCH($C655,DB_materiali!$A$2:$A$5000,0))&gt;=INDEX(DB_malas!$C$2:$C$5000,MATCH(I655,DB_malas!$A$2:$A$5000,0)),IF(INDEX(DB_materiali!$E$2:$E$5000,MATCH($C655,DB_materiali!$A$2:$A$5000,0))&lt;=INDEX(DB_malas!$D$2:$D$5000,MATCH(I655,DB_malas!$A$2:$A$5000,0)),IF(OR(INDEX(DB_materiali!$B$2:$B$5000,MATCH($C655,DB_materiali!$A$2:$A$5000,0))=INDEX(DB_malas!$B$2:$B$5000,MATCH(I655,DB_malas!$A$2:$A$5000,0)),$H655="ORG"),"✔",tulkojums!$A$38),tulkojums!$A$39),tulkojums!$A$39))</f>
        <v/>
      </c>
      <c r="R655" s="2" t="str">
        <f>IF(ISBLANK(J655),"",IF(INDEX(DB_materiali!$E$2:$E$5000,MATCH($C655,DB_materiali!$A$2:$A$5000,0))&gt;=INDEX(DB_malas!$C$2:$C$5000,MATCH(J655,DB_malas!$A$2:$A$5000,0)),IF(INDEX(DB_materiali!$E$2:$E$5000,MATCH($C655,DB_materiali!$A$2:$A$5000,0))&lt;=INDEX(DB_malas!$D$2:$D$5000,MATCH(J655,DB_malas!$A$2:$A$5000,0)),IF(INDEX(DB_materiali!$B$2:$B$5000,MATCH($C655,DB_materiali!$A$2:$A$5000,0))=INDEX(DB_malas!$B$2:$B$5000,MATCH(J655,DB_malas!$A$2:$A$5000,0)),"✔",tulkojums!$A$38),tulkojums!$A$39),tulkojums!$A$39))</f>
        <v/>
      </c>
      <c r="S655" s="2" t="str">
        <f>IF(ISBLANK(K655),"",IF(INDEX(DB_materiali!$E$2:$E$5000,MATCH($C655,DB_materiali!$A$2:$A$5000,0))&gt;=INDEX(DB_malas!$C$2:$C$5000,MATCH(K655,DB_malas!$A$2:$A$5000,0)),IF(INDEX(DB_materiali!$E$2:$E$5000,MATCH($C655,DB_materiali!$A$2:$A$5000,0))&lt;=INDEX(DB_malas!$D$2:$D$5000,MATCH(K655,DB_malas!$A$2:$A$5000,0)),IF(INDEX(DB_materiali!$B$2:$B$5000,MATCH($C655,DB_materiali!$A$2:$A$5000,0))=INDEX(DB_malas!$B$2:$B$5000,MATCH(K655,DB_malas!$A$2:$A$5000,0)),"✔",tulkojums!$A$38),tulkojums!$A$39),tulkojums!$A$39))</f>
        <v/>
      </c>
      <c r="T655" s="2"/>
      <c r="U655" s="2"/>
      <c r="V655" s="2"/>
      <c r="W655" s="2"/>
      <c r="X655" s="2"/>
      <c r="Y655" s="2"/>
      <c r="Z655" s="2"/>
    </row>
    <row r="656" spans="1:26" ht="15.75" customHeight="1">
      <c r="A656" s="17"/>
      <c r="B656" s="18"/>
      <c r="C656" s="19"/>
      <c r="D656" s="55"/>
      <c r="E656" s="55"/>
      <c r="F656" s="56"/>
      <c r="G656" s="57" t="str">
        <f>IF(ISBLANK(C656),"",
   IFERROR(
      IF(
         INDEX(DB_materiali!C$2:C$5000,
               MATCH(C656, DB_materiali!A$2:A$5000, 0)
         )="FALSE",
         "N",
         "Y"
      ),
   "")
)</f>
        <v/>
      </c>
      <c r="H656" s="20"/>
      <c r="I656" s="20"/>
      <c r="J656" s="20"/>
      <c r="K656" s="20"/>
      <c r="M656" s="2" t="str">
        <f>IF(ISBLANK(C656),"",IF(IFERROR(VLOOKUP(C656,DB_materiali!$A$2:$A$5000,1,FALSE),"Kļūda artikulā")=C656,"✔",tulkojums!A$42))</f>
        <v/>
      </c>
      <c r="N656" s="2" t="str">
        <f>IF(ISBLANK(C656),"",IF(ISNUMBER(F656)=TRUE,"✔",tulkojums!A$43))</f>
        <v/>
      </c>
      <c r="O656" s="2" t="str">
        <f>IF(ISBLANK(C656),"",IF(G656="Y","✔",IF(G656="X","✔",IF(G656="N","✔",tulkojums!A$44))))</f>
        <v/>
      </c>
      <c r="P656" s="2" t="str">
        <f>IF(ISBLANK(H656),"",IF(INDEX(DB_materiali!$E$2:$E$5000,MATCH($C656,DB_materiali!$A$2:$A$5000,0))&gt;=INDEX(DB_malas!$C$2:$C$5000,MATCH(H656,DB_malas!$A$2:$A$5000,0)),IF(INDEX(DB_materiali!$E$2:$E$5000,MATCH($C656,DB_materiali!$A$2:$A$5000,0))&lt;=INDEX(DB_malas!$D$2:$D$5000,MATCH(H656,DB_malas!$A$2:$A$5000,0)),IF(OR(INDEX(DB_materiali!$B$2:$B$5000,MATCH($C656,DB_materiali!$A$2:$A$5000,0))=INDEX(DB_malas!$B$2:$B$5000,MATCH(H656,DB_malas!$A$2:$A$5000,0)),$H656="ORG"),"✔",tulkojums!$A$38),tulkojums!$A$39),tulkojums!$A$39))</f>
        <v/>
      </c>
      <c r="Q656" s="2" t="str">
        <f>IF(ISBLANK(I656),"",IF(INDEX(DB_materiali!$E$2:$E$5000,MATCH($C656,DB_materiali!$A$2:$A$5000,0))&gt;=INDEX(DB_malas!$C$2:$C$5000,MATCH(I656,DB_malas!$A$2:$A$5000,0)),IF(INDEX(DB_materiali!$E$2:$E$5000,MATCH($C656,DB_materiali!$A$2:$A$5000,0))&lt;=INDEX(DB_malas!$D$2:$D$5000,MATCH(I656,DB_malas!$A$2:$A$5000,0)),IF(OR(INDEX(DB_materiali!$B$2:$B$5000,MATCH($C656,DB_materiali!$A$2:$A$5000,0))=INDEX(DB_malas!$B$2:$B$5000,MATCH(I656,DB_malas!$A$2:$A$5000,0)),$H656="ORG"),"✔",tulkojums!$A$38),tulkojums!$A$39),tulkojums!$A$39))</f>
        <v/>
      </c>
      <c r="R656" s="2" t="str">
        <f>IF(ISBLANK(J656),"",IF(INDEX(DB_materiali!$E$2:$E$5000,MATCH($C656,DB_materiali!$A$2:$A$5000,0))&gt;=INDEX(DB_malas!$C$2:$C$5000,MATCH(J656,DB_malas!$A$2:$A$5000,0)),IF(INDEX(DB_materiali!$E$2:$E$5000,MATCH($C656,DB_materiali!$A$2:$A$5000,0))&lt;=INDEX(DB_malas!$D$2:$D$5000,MATCH(J656,DB_malas!$A$2:$A$5000,0)),IF(INDEX(DB_materiali!$B$2:$B$5000,MATCH($C656,DB_materiali!$A$2:$A$5000,0))=INDEX(DB_malas!$B$2:$B$5000,MATCH(J656,DB_malas!$A$2:$A$5000,0)),"✔",tulkojums!$A$38),tulkojums!$A$39),tulkojums!$A$39))</f>
        <v/>
      </c>
      <c r="S656" s="2" t="str">
        <f>IF(ISBLANK(K656),"",IF(INDEX(DB_materiali!$E$2:$E$5000,MATCH($C656,DB_materiali!$A$2:$A$5000,0))&gt;=INDEX(DB_malas!$C$2:$C$5000,MATCH(K656,DB_malas!$A$2:$A$5000,0)),IF(INDEX(DB_materiali!$E$2:$E$5000,MATCH($C656,DB_materiali!$A$2:$A$5000,0))&lt;=INDEX(DB_malas!$D$2:$D$5000,MATCH(K656,DB_malas!$A$2:$A$5000,0)),IF(INDEX(DB_materiali!$B$2:$B$5000,MATCH($C656,DB_materiali!$A$2:$A$5000,0))=INDEX(DB_malas!$B$2:$B$5000,MATCH(K656,DB_malas!$A$2:$A$5000,0)),"✔",tulkojums!$A$38),tulkojums!$A$39),tulkojums!$A$39))</f>
        <v/>
      </c>
      <c r="T656" s="2"/>
      <c r="U656" s="2"/>
      <c r="V656" s="2"/>
      <c r="W656" s="2"/>
      <c r="X656" s="2"/>
      <c r="Y656" s="2"/>
      <c r="Z656" s="2"/>
    </row>
    <row r="657" spans="1:26" ht="15.75" customHeight="1">
      <c r="A657" s="17"/>
      <c r="B657" s="18"/>
      <c r="C657" s="19"/>
      <c r="D657" s="55"/>
      <c r="E657" s="55"/>
      <c r="F657" s="56"/>
      <c r="G657" s="57" t="str">
        <f>IF(ISBLANK(C657),"",
   IFERROR(
      IF(
         INDEX(DB_materiali!C$2:C$5000,
               MATCH(C657, DB_materiali!A$2:A$5000, 0)
         )="FALSE",
         "N",
         "Y"
      ),
   "")
)</f>
        <v/>
      </c>
      <c r="H657" s="20"/>
      <c r="I657" s="20"/>
      <c r="J657" s="20"/>
      <c r="K657" s="20"/>
      <c r="M657" s="2" t="str">
        <f>IF(ISBLANK(C657),"",IF(IFERROR(VLOOKUP(C657,DB_materiali!$A$2:$A$5000,1,FALSE),"Kļūda artikulā")=C657,"✔",tulkojums!A$42))</f>
        <v/>
      </c>
      <c r="N657" s="2" t="str">
        <f>IF(ISBLANK(C657),"",IF(ISNUMBER(F657)=TRUE,"✔",tulkojums!A$43))</f>
        <v/>
      </c>
      <c r="O657" s="2" t="str">
        <f>IF(ISBLANK(C657),"",IF(G657="Y","✔",IF(G657="X","✔",IF(G657="N","✔",tulkojums!A$44))))</f>
        <v/>
      </c>
      <c r="P657" s="2" t="str">
        <f>IF(ISBLANK(H657),"",IF(INDEX(DB_materiali!$E$2:$E$5000,MATCH($C657,DB_materiali!$A$2:$A$5000,0))&gt;=INDEX(DB_malas!$C$2:$C$5000,MATCH(H657,DB_malas!$A$2:$A$5000,0)),IF(INDEX(DB_materiali!$E$2:$E$5000,MATCH($C657,DB_materiali!$A$2:$A$5000,0))&lt;=INDEX(DB_malas!$D$2:$D$5000,MATCH(H657,DB_malas!$A$2:$A$5000,0)),IF(OR(INDEX(DB_materiali!$B$2:$B$5000,MATCH($C657,DB_materiali!$A$2:$A$5000,0))=INDEX(DB_malas!$B$2:$B$5000,MATCH(H657,DB_malas!$A$2:$A$5000,0)),$H657="ORG"),"✔",tulkojums!$A$38),tulkojums!$A$39),tulkojums!$A$39))</f>
        <v/>
      </c>
      <c r="Q657" s="2" t="str">
        <f>IF(ISBLANK(I657),"",IF(INDEX(DB_materiali!$E$2:$E$5000,MATCH($C657,DB_materiali!$A$2:$A$5000,0))&gt;=INDEX(DB_malas!$C$2:$C$5000,MATCH(I657,DB_malas!$A$2:$A$5000,0)),IF(INDEX(DB_materiali!$E$2:$E$5000,MATCH($C657,DB_materiali!$A$2:$A$5000,0))&lt;=INDEX(DB_malas!$D$2:$D$5000,MATCH(I657,DB_malas!$A$2:$A$5000,0)),IF(OR(INDEX(DB_materiali!$B$2:$B$5000,MATCH($C657,DB_materiali!$A$2:$A$5000,0))=INDEX(DB_malas!$B$2:$B$5000,MATCH(I657,DB_malas!$A$2:$A$5000,0)),$H657="ORG"),"✔",tulkojums!$A$38),tulkojums!$A$39),tulkojums!$A$39))</f>
        <v/>
      </c>
      <c r="R657" s="2" t="str">
        <f>IF(ISBLANK(J657),"",IF(INDEX(DB_materiali!$E$2:$E$5000,MATCH($C657,DB_materiali!$A$2:$A$5000,0))&gt;=INDEX(DB_malas!$C$2:$C$5000,MATCH(J657,DB_malas!$A$2:$A$5000,0)),IF(INDEX(DB_materiali!$E$2:$E$5000,MATCH($C657,DB_materiali!$A$2:$A$5000,0))&lt;=INDEX(DB_malas!$D$2:$D$5000,MATCH(J657,DB_malas!$A$2:$A$5000,0)),IF(INDEX(DB_materiali!$B$2:$B$5000,MATCH($C657,DB_materiali!$A$2:$A$5000,0))=INDEX(DB_malas!$B$2:$B$5000,MATCH(J657,DB_malas!$A$2:$A$5000,0)),"✔",tulkojums!$A$38),tulkojums!$A$39),tulkojums!$A$39))</f>
        <v/>
      </c>
      <c r="S657" s="2" t="str">
        <f>IF(ISBLANK(K657),"",IF(INDEX(DB_materiali!$E$2:$E$5000,MATCH($C657,DB_materiali!$A$2:$A$5000,0))&gt;=INDEX(DB_malas!$C$2:$C$5000,MATCH(K657,DB_malas!$A$2:$A$5000,0)),IF(INDEX(DB_materiali!$E$2:$E$5000,MATCH($C657,DB_materiali!$A$2:$A$5000,0))&lt;=INDEX(DB_malas!$D$2:$D$5000,MATCH(K657,DB_malas!$A$2:$A$5000,0)),IF(INDEX(DB_materiali!$B$2:$B$5000,MATCH($C657,DB_materiali!$A$2:$A$5000,0))=INDEX(DB_malas!$B$2:$B$5000,MATCH(K657,DB_malas!$A$2:$A$5000,0)),"✔",tulkojums!$A$38),tulkojums!$A$39),tulkojums!$A$39))</f>
        <v/>
      </c>
      <c r="T657" s="2"/>
      <c r="U657" s="2"/>
      <c r="V657" s="2"/>
      <c r="W657" s="2"/>
      <c r="X657" s="2"/>
      <c r="Y657" s="2"/>
      <c r="Z657" s="2"/>
    </row>
    <row r="658" spans="1:26" ht="15.75" customHeight="1">
      <c r="A658" s="17"/>
      <c r="B658" s="18"/>
      <c r="C658" s="19"/>
      <c r="D658" s="55"/>
      <c r="E658" s="55"/>
      <c r="F658" s="56"/>
      <c r="G658" s="57" t="str">
        <f>IF(ISBLANK(C658),"",
   IFERROR(
      IF(
         INDEX(DB_materiali!C$2:C$5000,
               MATCH(C658, DB_materiali!A$2:A$5000, 0)
         )="FALSE",
         "N",
         "Y"
      ),
   "")
)</f>
        <v/>
      </c>
      <c r="H658" s="20"/>
      <c r="I658" s="20"/>
      <c r="J658" s="20"/>
      <c r="K658" s="20"/>
      <c r="M658" s="2" t="str">
        <f>IF(ISBLANK(C658),"",IF(IFERROR(VLOOKUP(C658,DB_materiali!$A$2:$A$5000,1,FALSE),"Kļūda artikulā")=C658,"✔",tulkojums!A$42))</f>
        <v/>
      </c>
      <c r="N658" s="2" t="str">
        <f>IF(ISBLANK(C658),"",IF(ISNUMBER(F658)=TRUE,"✔",tulkojums!A$43))</f>
        <v/>
      </c>
      <c r="O658" s="2" t="str">
        <f>IF(ISBLANK(C658),"",IF(G658="Y","✔",IF(G658="X","✔",IF(G658="N","✔",tulkojums!A$44))))</f>
        <v/>
      </c>
      <c r="P658" s="2" t="str">
        <f>IF(ISBLANK(H658),"",IF(INDEX(DB_materiali!$E$2:$E$5000,MATCH($C658,DB_materiali!$A$2:$A$5000,0))&gt;=INDEX(DB_malas!$C$2:$C$5000,MATCH(H658,DB_malas!$A$2:$A$5000,0)),IF(INDEX(DB_materiali!$E$2:$E$5000,MATCH($C658,DB_materiali!$A$2:$A$5000,0))&lt;=INDEX(DB_malas!$D$2:$D$5000,MATCH(H658,DB_malas!$A$2:$A$5000,0)),IF(OR(INDEX(DB_materiali!$B$2:$B$5000,MATCH($C658,DB_materiali!$A$2:$A$5000,0))=INDEX(DB_malas!$B$2:$B$5000,MATCH(H658,DB_malas!$A$2:$A$5000,0)),$H658="ORG"),"✔",tulkojums!$A$38),tulkojums!$A$39),tulkojums!$A$39))</f>
        <v/>
      </c>
      <c r="Q658" s="2" t="str">
        <f>IF(ISBLANK(I658),"",IF(INDEX(DB_materiali!$E$2:$E$5000,MATCH($C658,DB_materiali!$A$2:$A$5000,0))&gt;=INDEX(DB_malas!$C$2:$C$5000,MATCH(I658,DB_malas!$A$2:$A$5000,0)),IF(INDEX(DB_materiali!$E$2:$E$5000,MATCH($C658,DB_materiali!$A$2:$A$5000,0))&lt;=INDEX(DB_malas!$D$2:$D$5000,MATCH(I658,DB_malas!$A$2:$A$5000,0)),IF(OR(INDEX(DB_materiali!$B$2:$B$5000,MATCH($C658,DB_materiali!$A$2:$A$5000,0))=INDEX(DB_malas!$B$2:$B$5000,MATCH(I658,DB_malas!$A$2:$A$5000,0)),$H658="ORG"),"✔",tulkojums!$A$38),tulkojums!$A$39),tulkojums!$A$39))</f>
        <v/>
      </c>
      <c r="R658" s="2" t="str">
        <f>IF(ISBLANK(J658),"",IF(INDEX(DB_materiali!$E$2:$E$5000,MATCH($C658,DB_materiali!$A$2:$A$5000,0))&gt;=INDEX(DB_malas!$C$2:$C$5000,MATCH(J658,DB_malas!$A$2:$A$5000,0)),IF(INDEX(DB_materiali!$E$2:$E$5000,MATCH($C658,DB_materiali!$A$2:$A$5000,0))&lt;=INDEX(DB_malas!$D$2:$D$5000,MATCH(J658,DB_malas!$A$2:$A$5000,0)),IF(INDEX(DB_materiali!$B$2:$B$5000,MATCH($C658,DB_materiali!$A$2:$A$5000,0))=INDEX(DB_malas!$B$2:$B$5000,MATCH(J658,DB_malas!$A$2:$A$5000,0)),"✔",tulkojums!$A$38),tulkojums!$A$39),tulkojums!$A$39))</f>
        <v/>
      </c>
      <c r="S658" s="2" t="str">
        <f>IF(ISBLANK(K658),"",IF(INDEX(DB_materiali!$E$2:$E$5000,MATCH($C658,DB_materiali!$A$2:$A$5000,0))&gt;=INDEX(DB_malas!$C$2:$C$5000,MATCH(K658,DB_malas!$A$2:$A$5000,0)),IF(INDEX(DB_materiali!$E$2:$E$5000,MATCH($C658,DB_materiali!$A$2:$A$5000,0))&lt;=INDEX(DB_malas!$D$2:$D$5000,MATCH(K658,DB_malas!$A$2:$A$5000,0)),IF(INDEX(DB_materiali!$B$2:$B$5000,MATCH($C658,DB_materiali!$A$2:$A$5000,0))=INDEX(DB_malas!$B$2:$B$5000,MATCH(K658,DB_malas!$A$2:$A$5000,0)),"✔",tulkojums!$A$38),tulkojums!$A$39),tulkojums!$A$39))</f>
        <v/>
      </c>
      <c r="T658" s="2"/>
      <c r="U658" s="2"/>
      <c r="V658" s="2"/>
      <c r="W658" s="2"/>
      <c r="X658" s="2"/>
      <c r="Y658" s="2"/>
      <c r="Z658" s="2"/>
    </row>
    <row r="659" spans="1:26" ht="15.75" customHeight="1">
      <c r="A659" s="17"/>
      <c r="B659" s="18"/>
      <c r="C659" s="19"/>
      <c r="D659" s="55"/>
      <c r="E659" s="55"/>
      <c r="F659" s="56"/>
      <c r="G659" s="57" t="str">
        <f>IF(ISBLANK(C659),"",
   IFERROR(
      IF(
         INDEX(DB_materiali!C$2:C$5000,
               MATCH(C659, DB_materiali!A$2:A$5000, 0)
         )="FALSE",
         "N",
         "Y"
      ),
   "")
)</f>
        <v/>
      </c>
      <c r="H659" s="20"/>
      <c r="I659" s="20"/>
      <c r="J659" s="20"/>
      <c r="K659" s="20"/>
      <c r="M659" s="2" t="str">
        <f>IF(ISBLANK(C659),"",IF(IFERROR(VLOOKUP(C659,DB_materiali!$A$2:$A$5000,1,FALSE),"Kļūda artikulā")=C659,"✔",tulkojums!A$42))</f>
        <v/>
      </c>
      <c r="N659" s="2" t="str">
        <f>IF(ISBLANK(C659),"",IF(ISNUMBER(F659)=TRUE,"✔",tulkojums!A$43))</f>
        <v/>
      </c>
      <c r="O659" s="2" t="str">
        <f>IF(ISBLANK(C659),"",IF(G659="Y","✔",IF(G659="X","✔",IF(G659="N","✔",tulkojums!A$44))))</f>
        <v/>
      </c>
      <c r="P659" s="2" t="str">
        <f>IF(ISBLANK(H659),"",IF(INDEX(DB_materiali!$E$2:$E$5000,MATCH($C659,DB_materiali!$A$2:$A$5000,0))&gt;=INDEX(DB_malas!$C$2:$C$5000,MATCH(H659,DB_malas!$A$2:$A$5000,0)),IF(INDEX(DB_materiali!$E$2:$E$5000,MATCH($C659,DB_materiali!$A$2:$A$5000,0))&lt;=INDEX(DB_malas!$D$2:$D$5000,MATCH(H659,DB_malas!$A$2:$A$5000,0)),IF(OR(INDEX(DB_materiali!$B$2:$B$5000,MATCH($C659,DB_materiali!$A$2:$A$5000,0))=INDEX(DB_malas!$B$2:$B$5000,MATCH(H659,DB_malas!$A$2:$A$5000,0)),$H659="ORG"),"✔",tulkojums!$A$38),tulkojums!$A$39),tulkojums!$A$39))</f>
        <v/>
      </c>
      <c r="Q659" s="2" t="str">
        <f>IF(ISBLANK(I659),"",IF(INDEX(DB_materiali!$E$2:$E$5000,MATCH($C659,DB_materiali!$A$2:$A$5000,0))&gt;=INDEX(DB_malas!$C$2:$C$5000,MATCH(I659,DB_malas!$A$2:$A$5000,0)),IF(INDEX(DB_materiali!$E$2:$E$5000,MATCH($C659,DB_materiali!$A$2:$A$5000,0))&lt;=INDEX(DB_malas!$D$2:$D$5000,MATCH(I659,DB_malas!$A$2:$A$5000,0)),IF(OR(INDEX(DB_materiali!$B$2:$B$5000,MATCH($C659,DB_materiali!$A$2:$A$5000,0))=INDEX(DB_malas!$B$2:$B$5000,MATCH(I659,DB_malas!$A$2:$A$5000,0)),$H659="ORG"),"✔",tulkojums!$A$38),tulkojums!$A$39),tulkojums!$A$39))</f>
        <v/>
      </c>
      <c r="R659" s="2" t="str">
        <f>IF(ISBLANK(J659),"",IF(INDEX(DB_materiali!$E$2:$E$5000,MATCH($C659,DB_materiali!$A$2:$A$5000,0))&gt;=INDEX(DB_malas!$C$2:$C$5000,MATCH(J659,DB_malas!$A$2:$A$5000,0)),IF(INDEX(DB_materiali!$E$2:$E$5000,MATCH($C659,DB_materiali!$A$2:$A$5000,0))&lt;=INDEX(DB_malas!$D$2:$D$5000,MATCH(J659,DB_malas!$A$2:$A$5000,0)),IF(INDEX(DB_materiali!$B$2:$B$5000,MATCH($C659,DB_materiali!$A$2:$A$5000,0))=INDEX(DB_malas!$B$2:$B$5000,MATCH(J659,DB_malas!$A$2:$A$5000,0)),"✔",tulkojums!$A$38),tulkojums!$A$39),tulkojums!$A$39))</f>
        <v/>
      </c>
      <c r="S659" s="2" t="str">
        <f>IF(ISBLANK(K659),"",IF(INDEX(DB_materiali!$E$2:$E$5000,MATCH($C659,DB_materiali!$A$2:$A$5000,0))&gt;=INDEX(DB_malas!$C$2:$C$5000,MATCH(K659,DB_malas!$A$2:$A$5000,0)),IF(INDEX(DB_materiali!$E$2:$E$5000,MATCH($C659,DB_materiali!$A$2:$A$5000,0))&lt;=INDEX(DB_malas!$D$2:$D$5000,MATCH(K659,DB_malas!$A$2:$A$5000,0)),IF(INDEX(DB_materiali!$B$2:$B$5000,MATCH($C659,DB_materiali!$A$2:$A$5000,0))=INDEX(DB_malas!$B$2:$B$5000,MATCH(K659,DB_malas!$A$2:$A$5000,0)),"✔",tulkojums!$A$38),tulkojums!$A$39),tulkojums!$A$39))</f>
        <v/>
      </c>
      <c r="T659" s="2"/>
      <c r="U659" s="2"/>
      <c r="V659" s="2"/>
      <c r="W659" s="2"/>
      <c r="X659" s="2"/>
      <c r="Y659" s="2"/>
      <c r="Z659" s="2"/>
    </row>
    <row r="660" spans="1:26" ht="15.75" customHeight="1">
      <c r="A660" s="17"/>
      <c r="B660" s="18"/>
      <c r="C660" s="19"/>
      <c r="D660" s="55"/>
      <c r="E660" s="55"/>
      <c r="F660" s="56"/>
      <c r="G660" s="57" t="str">
        <f>IF(ISBLANK(C660),"",
   IFERROR(
      IF(
         INDEX(DB_materiali!C$2:C$5000,
               MATCH(C660, DB_materiali!A$2:A$5000, 0)
         )="FALSE",
         "N",
         "Y"
      ),
   "")
)</f>
        <v/>
      </c>
      <c r="H660" s="20"/>
      <c r="I660" s="20"/>
      <c r="J660" s="20"/>
      <c r="K660" s="20"/>
      <c r="M660" s="2" t="str">
        <f>IF(ISBLANK(C660),"",IF(IFERROR(VLOOKUP(C660,DB_materiali!$A$2:$A$5000,1,FALSE),"Kļūda artikulā")=C660,"✔",tulkojums!A$42))</f>
        <v/>
      </c>
      <c r="N660" s="2" t="str">
        <f>IF(ISBLANK(C660),"",IF(ISNUMBER(F660)=TRUE,"✔",tulkojums!A$43))</f>
        <v/>
      </c>
      <c r="O660" s="2" t="str">
        <f>IF(ISBLANK(C660),"",IF(G660="Y","✔",IF(G660="X","✔",IF(G660="N","✔",tulkojums!A$44))))</f>
        <v/>
      </c>
      <c r="P660" s="2" t="str">
        <f>IF(ISBLANK(H660),"",IF(INDEX(DB_materiali!$E$2:$E$5000,MATCH($C660,DB_materiali!$A$2:$A$5000,0))&gt;=INDEX(DB_malas!$C$2:$C$5000,MATCH(H660,DB_malas!$A$2:$A$5000,0)),IF(INDEX(DB_materiali!$E$2:$E$5000,MATCH($C660,DB_materiali!$A$2:$A$5000,0))&lt;=INDEX(DB_malas!$D$2:$D$5000,MATCH(H660,DB_malas!$A$2:$A$5000,0)),IF(OR(INDEX(DB_materiali!$B$2:$B$5000,MATCH($C660,DB_materiali!$A$2:$A$5000,0))=INDEX(DB_malas!$B$2:$B$5000,MATCH(H660,DB_malas!$A$2:$A$5000,0)),$H660="ORG"),"✔",tulkojums!$A$38),tulkojums!$A$39),tulkojums!$A$39))</f>
        <v/>
      </c>
      <c r="Q660" s="2" t="str">
        <f>IF(ISBLANK(I660),"",IF(INDEX(DB_materiali!$E$2:$E$5000,MATCH($C660,DB_materiali!$A$2:$A$5000,0))&gt;=INDEX(DB_malas!$C$2:$C$5000,MATCH(I660,DB_malas!$A$2:$A$5000,0)),IF(INDEX(DB_materiali!$E$2:$E$5000,MATCH($C660,DB_materiali!$A$2:$A$5000,0))&lt;=INDEX(DB_malas!$D$2:$D$5000,MATCH(I660,DB_malas!$A$2:$A$5000,0)),IF(OR(INDEX(DB_materiali!$B$2:$B$5000,MATCH($C660,DB_materiali!$A$2:$A$5000,0))=INDEX(DB_malas!$B$2:$B$5000,MATCH(I660,DB_malas!$A$2:$A$5000,0)),$H660="ORG"),"✔",tulkojums!$A$38),tulkojums!$A$39),tulkojums!$A$39))</f>
        <v/>
      </c>
      <c r="R660" s="2" t="str">
        <f>IF(ISBLANK(J660),"",IF(INDEX(DB_materiali!$E$2:$E$5000,MATCH($C660,DB_materiali!$A$2:$A$5000,0))&gt;=INDEX(DB_malas!$C$2:$C$5000,MATCH(J660,DB_malas!$A$2:$A$5000,0)),IF(INDEX(DB_materiali!$E$2:$E$5000,MATCH($C660,DB_materiali!$A$2:$A$5000,0))&lt;=INDEX(DB_malas!$D$2:$D$5000,MATCH(J660,DB_malas!$A$2:$A$5000,0)),IF(INDEX(DB_materiali!$B$2:$B$5000,MATCH($C660,DB_materiali!$A$2:$A$5000,0))=INDEX(DB_malas!$B$2:$B$5000,MATCH(J660,DB_malas!$A$2:$A$5000,0)),"✔",tulkojums!$A$38),tulkojums!$A$39),tulkojums!$A$39))</f>
        <v/>
      </c>
      <c r="S660" s="2" t="str">
        <f>IF(ISBLANK(K660),"",IF(INDEX(DB_materiali!$E$2:$E$5000,MATCH($C660,DB_materiali!$A$2:$A$5000,0))&gt;=INDEX(DB_malas!$C$2:$C$5000,MATCH(K660,DB_malas!$A$2:$A$5000,0)),IF(INDEX(DB_materiali!$E$2:$E$5000,MATCH($C660,DB_materiali!$A$2:$A$5000,0))&lt;=INDEX(DB_malas!$D$2:$D$5000,MATCH(K660,DB_malas!$A$2:$A$5000,0)),IF(INDEX(DB_materiali!$B$2:$B$5000,MATCH($C660,DB_materiali!$A$2:$A$5000,0))=INDEX(DB_malas!$B$2:$B$5000,MATCH(K660,DB_malas!$A$2:$A$5000,0)),"✔",tulkojums!$A$38),tulkojums!$A$39),tulkojums!$A$39))</f>
        <v/>
      </c>
      <c r="T660" s="2"/>
      <c r="U660" s="2"/>
      <c r="V660" s="2"/>
      <c r="W660" s="2"/>
      <c r="X660" s="2"/>
      <c r="Y660" s="2"/>
      <c r="Z660" s="2"/>
    </row>
    <row r="661" spans="1:26" ht="15.75" customHeight="1">
      <c r="A661" s="17"/>
      <c r="B661" s="18"/>
      <c r="C661" s="19"/>
      <c r="D661" s="55"/>
      <c r="E661" s="55"/>
      <c r="F661" s="56"/>
      <c r="G661" s="57" t="str">
        <f>IF(ISBLANK(C661),"",
   IFERROR(
      IF(
         INDEX(DB_materiali!C$2:C$5000,
               MATCH(C661, DB_materiali!A$2:A$5000, 0)
         )="FALSE",
         "N",
         "Y"
      ),
   "")
)</f>
        <v/>
      </c>
      <c r="H661" s="20"/>
      <c r="I661" s="20"/>
      <c r="J661" s="20"/>
      <c r="K661" s="20"/>
      <c r="M661" s="2" t="str">
        <f>IF(ISBLANK(C661),"",IF(IFERROR(VLOOKUP(C661,DB_materiali!$A$2:$A$5000,1,FALSE),"Kļūda artikulā")=C661,"✔",tulkojums!A$42))</f>
        <v/>
      </c>
      <c r="N661" s="2" t="str">
        <f>IF(ISBLANK(C661),"",IF(ISNUMBER(F661)=TRUE,"✔",tulkojums!A$43))</f>
        <v/>
      </c>
      <c r="O661" s="2" t="str">
        <f>IF(ISBLANK(C661),"",IF(G661="Y","✔",IF(G661="X","✔",IF(G661="N","✔",tulkojums!A$44))))</f>
        <v/>
      </c>
      <c r="P661" s="2" t="str">
        <f>IF(ISBLANK(H661),"",IF(INDEX(DB_materiali!$E$2:$E$5000,MATCH($C661,DB_materiali!$A$2:$A$5000,0))&gt;=INDEX(DB_malas!$C$2:$C$5000,MATCH(H661,DB_malas!$A$2:$A$5000,0)),IF(INDEX(DB_materiali!$E$2:$E$5000,MATCH($C661,DB_materiali!$A$2:$A$5000,0))&lt;=INDEX(DB_malas!$D$2:$D$5000,MATCH(H661,DB_malas!$A$2:$A$5000,0)),IF(OR(INDEX(DB_materiali!$B$2:$B$5000,MATCH($C661,DB_materiali!$A$2:$A$5000,0))=INDEX(DB_malas!$B$2:$B$5000,MATCH(H661,DB_malas!$A$2:$A$5000,0)),$H661="ORG"),"✔",tulkojums!$A$38),tulkojums!$A$39),tulkojums!$A$39))</f>
        <v/>
      </c>
      <c r="Q661" s="2" t="str">
        <f>IF(ISBLANK(I661),"",IF(INDEX(DB_materiali!$E$2:$E$5000,MATCH($C661,DB_materiali!$A$2:$A$5000,0))&gt;=INDEX(DB_malas!$C$2:$C$5000,MATCH(I661,DB_malas!$A$2:$A$5000,0)),IF(INDEX(DB_materiali!$E$2:$E$5000,MATCH($C661,DB_materiali!$A$2:$A$5000,0))&lt;=INDEX(DB_malas!$D$2:$D$5000,MATCH(I661,DB_malas!$A$2:$A$5000,0)),IF(OR(INDEX(DB_materiali!$B$2:$B$5000,MATCH($C661,DB_materiali!$A$2:$A$5000,0))=INDEX(DB_malas!$B$2:$B$5000,MATCH(I661,DB_malas!$A$2:$A$5000,0)),$H661="ORG"),"✔",tulkojums!$A$38),tulkojums!$A$39),tulkojums!$A$39))</f>
        <v/>
      </c>
      <c r="R661" s="2" t="str">
        <f>IF(ISBLANK(J661),"",IF(INDEX(DB_materiali!$E$2:$E$5000,MATCH($C661,DB_materiali!$A$2:$A$5000,0))&gt;=INDEX(DB_malas!$C$2:$C$5000,MATCH(J661,DB_malas!$A$2:$A$5000,0)),IF(INDEX(DB_materiali!$E$2:$E$5000,MATCH($C661,DB_materiali!$A$2:$A$5000,0))&lt;=INDEX(DB_malas!$D$2:$D$5000,MATCH(J661,DB_malas!$A$2:$A$5000,0)),IF(INDEX(DB_materiali!$B$2:$B$5000,MATCH($C661,DB_materiali!$A$2:$A$5000,0))=INDEX(DB_malas!$B$2:$B$5000,MATCH(J661,DB_malas!$A$2:$A$5000,0)),"✔",tulkojums!$A$38),tulkojums!$A$39),tulkojums!$A$39))</f>
        <v/>
      </c>
      <c r="S661" s="2" t="str">
        <f>IF(ISBLANK(K661),"",IF(INDEX(DB_materiali!$E$2:$E$5000,MATCH($C661,DB_materiali!$A$2:$A$5000,0))&gt;=INDEX(DB_malas!$C$2:$C$5000,MATCH(K661,DB_malas!$A$2:$A$5000,0)),IF(INDEX(DB_materiali!$E$2:$E$5000,MATCH($C661,DB_materiali!$A$2:$A$5000,0))&lt;=INDEX(DB_malas!$D$2:$D$5000,MATCH(K661,DB_malas!$A$2:$A$5000,0)),IF(INDEX(DB_materiali!$B$2:$B$5000,MATCH($C661,DB_materiali!$A$2:$A$5000,0))=INDEX(DB_malas!$B$2:$B$5000,MATCH(K661,DB_malas!$A$2:$A$5000,0)),"✔",tulkojums!$A$38),tulkojums!$A$39),tulkojums!$A$39))</f>
        <v/>
      </c>
      <c r="T661" s="2"/>
      <c r="U661" s="2"/>
      <c r="V661" s="2"/>
      <c r="W661" s="2"/>
      <c r="X661" s="2"/>
      <c r="Y661" s="2"/>
      <c r="Z661" s="2"/>
    </row>
    <row r="662" spans="1:26" ht="15.75" customHeight="1">
      <c r="A662" s="17"/>
      <c r="B662" s="18"/>
      <c r="C662" s="19"/>
      <c r="D662" s="55"/>
      <c r="E662" s="55"/>
      <c r="F662" s="56"/>
      <c r="G662" s="57" t="str">
        <f>IF(ISBLANK(C662),"",
   IFERROR(
      IF(
         INDEX(DB_materiali!C$2:C$5000,
               MATCH(C662, DB_materiali!A$2:A$5000, 0)
         )="FALSE",
         "N",
         "Y"
      ),
   "")
)</f>
        <v/>
      </c>
      <c r="H662" s="20"/>
      <c r="I662" s="20"/>
      <c r="J662" s="20"/>
      <c r="K662" s="20"/>
      <c r="M662" s="2" t="str">
        <f>IF(ISBLANK(C662),"",IF(IFERROR(VLOOKUP(C662,DB_materiali!$A$2:$A$5000,1,FALSE),"Kļūda artikulā")=C662,"✔",tulkojums!A$42))</f>
        <v/>
      </c>
      <c r="N662" s="2" t="str">
        <f>IF(ISBLANK(C662),"",IF(ISNUMBER(F662)=TRUE,"✔",tulkojums!A$43))</f>
        <v/>
      </c>
      <c r="O662" s="2" t="str">
        <f>IF(ISBLANK(C662),"",IF(G662="Y","✔",IF(G662="X","✔",IF(G662="N","✔",tulkojums!A$44))))</f>
        <v/>
      </c>
      <c r="P662" s="2" t="str">
        <f>IF(ISBLANK(H662),"",IF(INDEX(DB_materiali!$E$2:$E$5000,MATCH($C662,DB_materiali!$A$2:$A$5000,0))&gt;=INDEX(DB_malas!$C$2:$C$5000,MATCH(H662,DB_malas!$A$2:$A$5000,0)),IF(INDEX(DB_materiali!$E$2:$E$5000,MATCH($C662,DB_materiali!$A$2:$A$5000,0))&lt;=INDEX(DB_malas!$D$2:$D$5000,MATCH(H662,DB_malas!$A$2:$A$5000,0)),IF(OR(INDEX(DB_materiali!$B$2:$B$5000,MATCH($C662,DB_materiali!$A$2:$A$5000,0))=INDEX(DB_malas!$B$2:$B$5000,MATCH(H662,DB_malas!$A$2:$A$5000,0)),$H662="ORG"),"✔",tulkojums!$A$38),tulkojums!$A$39),tulkojums!$A$39))</f>
        <v/>
      </c>
      <c r="Q662" s="2" t="str">
        <f>IF(ISBLANK(I662),"",IF(INDEX(DB_materiali!$E$2:$E$5000,MATCH($C662,DB_materiali!$A$2:$A$5000,0))&gt;=INDEX(DB_malas!$C$2:$C$5000,MATCH(I662,DB_malas!$A$2:$A$5000,0)),IF(INDEX(DB_materiali!$E$2:$E$5000,MATCH($C662,DB_materiali!$A$2:$A$5000,0))&lt;=INDEX(DB_malas!$D$2:$D$5000,MATCH(I662,DB_malas!$A$2:$A$5000,0)),IF(OR(INDEX(DB_materiali!$B$2:$B$5000,MATCH($C662,DB_materiali!$A$2:$A$5000,0))=INDEX(DB_malas!$B$2:$B$5000,MATCH(I662,DB_malas!$A$2:$A$5000,0)),$H662="ORG"),"✔",tulkojums!$A$38),tulkojums!$A$39),tulkojums!$A$39))</f>
        <v/>
      </c>
      <c r="R662" s="2" t="str">
        <f>IF(ISBLANK(J662),"",IF(INDEX(DB_materiali!$E$2:$E$5000,MATCH($C662,DB_materiali!$A$2:$A$5000,0))&gt;=INDEX(DB_malas!$C$2:$C$5000,MATCH(J662,DB_malas!$A$2:$A$5000,0)),IF(INDEX(DB_materiali!$E$2:$E$5000,MATCH($C662,DB_materiali!$A$2:$A$5000,0))&lt;=INDEX(DB_malas!$D$2:$D$5000,MATCH(J662,DB_malas!$A$2:$A$5000,0)),IF(INDEX(DB_materiali!$B$2:$B$5000,MATCH($C662,DB_materiali!$A$2:$A$5000,0))=INDEX(DB_malas!$B$2:$B$5000,MATCH(J662,DB_malas!$A$2:$A$5000,0)),"✔",tulkojums!$A$38),tulkojums!$A$39),tulkojums!$A$39))</f>
        <v/>
      </c>
      <c r="S662" s="2" t="str">
        <f>IF(ISBLANK(K662),"",IF(INDEX(DB_materiali!$E$2:$E$5000,MATCH($C662,DB_materiali!$A$2:$A$5000,0))&gt;=INDEX(DB_malas!$C$2:$C$5000,MATCH(K662,DB_malas!$A$2:$A$5000,0)),IF(INDEX(DB_materiali!$E$2:$E$5000,MATCH($C662,DB_materiali!$A$2:$A$5000,0))&lt;=INDEX(DB_malas!$D$2:$D$5000,MATCH(K662,DB_malas!$A$2:$A$5000,0)),IF(INDEX(DB_materiali!$B$2:$B$5000,MATCH($C662,DB_materiali!$A$2:$A$5000,0))=INDEX(DB_malas!$B$2:$B$5000,MATCH(K662,DB_malas!$A$2:$A$5000,0)),"✔",tulkojums!$A$38),tulkojums!$A$39),tulkojums!$A$39))</f>
        <v/>
      </c>
      <c r="T662" s="2"/>
      <c r="U662" s="2"/>
      <c r="V662" s="2"/>
      <c r="W662" s="2"/>
      <c r="X662" s="2"/>
      <c r="Y662" s="2"/>
      <c r="Z662" s="2"/>
    </row>
    <row r="663" spans="1:26" ht="15.75" customHeight="1">
      <c r="A663" s="17"/>
      <c r="B663" s="18"/>
      <c r="C663" s="19"/>
      <c r="D663" s="55"/>
      <c r="E663" s="55"/>
      <c r="F663" s="56"/>
      <c r="G663" s="57" t="str">
        <f>IF(ISBLANK(C663),"",
   IFERROR(
      IF(
         INDEX(DB_materiali!C$2:C$5000,
               MATCH(C663, DB_materiali!A$2:A$5000, 0)
         )="FALSE",
         "N",
         "Y"
      ),
   "")
)</f>
        <v/>
      </c>
      <c r="H663" s="20"/>
      <c r="I663" s="20"/>
      <c r="J663" s="20"/>
      <c r="K663" s="20"/>
      <c r="M663" s="2" t="str">
        <f>IF(ISBLANK(C663),"",IF(IFERROR(VLOOKUP(C663,DB_materiali!$A$2:$A$5000,1,FALSE),"Kļūda artikulā")=C663,"✔",tulkojums!A$42))</f>
        <v/>
      </c>
      <c r="N663" s="2" t="str">
        <f>IF(ISBLANK(C663),"",IF(ISNUMBER(F663)=TRUE,"✔",tulkojums!A$43))</f>
        <v/>
      </c>
      <c r="O663" s="2" t="str">
        <f>IF(ISBLANK(C663),"",IF(G663="Y","✔",IF(G663="X","✔",IF(G663="N","✔",tulkojums!A$44))))</f>
        <v/>
      </c>
      <c r="P663" s="2" t="str">
        <f>IF(ISBLANK(H663),"",IF(INDEX(DB_materiali!$E$2:$E$5000,MATCH($C663,DB_materiali!$A$2:$A$5000,0))&gt;=INDEX(DB_malas!$C$2:$C$5000,MATCH(H663,DB_malas!$A$2:$A$5000,0)),IF(INDEX(DB_materiali!$E$2:$E$5000,MATCH($C663,DB_materiali!$A$2:$A$5000,0))&lt;=INDEX(DB_malas!$D$2:$D$5000,MATCH(H663,DB_malas!$A$2:$A$5000,0)),IF(OR(INDEX(DB_materiali!$B$2:$B$5000,MATCH($C663,DB_materiali!$A$2:$A$5000,0))=INDEX(DB_malas!$B$2:$B$5000,MATCH(H663,DB_malas!$A$2:$A$5000,0)),$H663="ORG"),"✔",tulkojums!$A$38),tulkojums!$A$39),tulkojums!$A$39))</f>
        <v/>
      </c>
      <c r="Q663" s="2" t="str">
        <f>IF(ISBLANK(I663),"",IF(INDEX(DB_materiali!$E$2:$E$5000,MATCH($C663,DB_materiali!$A$2:$A$5000,0))&gt;=INDEX(DB_malas!$C$2:$C$5000,MATCH(I663,DB_malas!$A$2:$A$5000,0)),IF(INDEX(DB_materiali!$E$2:$E$5000,MATCH($C663,DB_materiali!$A$2:$A$5000,0))&lt;=INDEX(DB_malas!$D$2:$D$5000,MATCH(I663,DB_malas!$A$2:$A$5000,0)),IF(OR(INDEX(DB_materiali!$B$2:$B$5000,MATCH($C663,DB_materiali!$A$2:$A$5000,0))=INDEX(DB_malas!$B$2:$B$5000,MATCH(I663,DB_malas!$A$2:$A$5000,0)),$H663="ORG"),"✔",tulkojums!$A$38),tulkojums!$A$39),tulkojums!$A$39))</f>
        <v/>
      </c>
      <c r="R663" s="2" t="str">
        <f>IF(ISBLANK(J663),"",IF(INDEX(DB_materiali!$E$2:$E$5000,MATCH($C663,DB_materiali!$A$2:$A$5000,0))&gt;=INDEX(DB_malas!$C$2:$C$5000,MATCH(J663,DB_malas!$A$2:$A$5000,0)),IF(INDEX(DB_materiali!$E$2:$E$5000,MATCH($C663,DB_materiali!$A$2:$A$5000,0))&lt;=INDEX(DB_malas!$D$2:$D$5000,MATCH(J663,DB_malas!$A$2:$A$5000,0)),IF(INDEX(DB_materiali!$B$2:$B$5000,MATCH($C663,DB_materiali!$A$2:$A$5000,0))=INDEX(DB_malas!$B$2:$B$5000,MATCH(J663,DB_malas!$A$2:$A$5000,0)),"✔",tulkojums!$A$38),tulkojums!$A$39),tulkojums!$A$39))</f>
        <v/>
      </c>
      <c r="S663" s="2" t="str">
        <f>IF(ISBLANK(K663),"",IF(INDEX(DB_materiali!$E$2:$E$5000,MATCH($C663,DB_materiali!$A$2:$A$5000,0))&gt;=INDEX(DB_malas!$C$2:$C$5000,MATCH(K663,DB_malas!$A$2:$A$5000,0)),IF(INDEX(DB_materiali!$E$2:$E$5000,MATCH($C663,DB_materiali!$A$2:$A$5000,0))&lt;=INDEX(DB_malas!$D$2:$D$5000,MATCH(K663,DB_malas!$A$2:$A$5000,0)),IF(INDEX(DB_materiali!$B$2:$B$5000,MATCH($C663,DB_materiali!$A$2:$A$5000,0))=INDEX(DB_malas!$B$2:$B$5000,MATCH(K663,DB_malas!$A$2:$A$5000,0)),"✔",tulkojums!$A$38),tulkojums!$A$39),tulkojums!$A$39))</f>
        <v/>
      </c>
      <c r="T663" s="2"/>
      <c r="U663" s="2"/>
      <c r="V663" s="2"/>
      <c r="W663" s="2"/>
      <c r="X663" s="2"/>
      <c r="Y663" s="2"/>
      <c r="Z663" s="2"/>
    </row>
    <row r="664" spans="1:26" ht="15.75" customHeight="1">
      <c r="A664" s="17"/>
      <c r="B664" s="18"/>
      <c r="C664" s="19"/>
      <c r="D664" s="55"/>
      <c r="E664" s="55"/>
      <c r="F664" s="56"/>
      <c r="G664" s="57" t="str">
        <f>IF(ISBLANK(C664),"",
   IFERROR(
      IF(
         INDEX(DB_materiali!C$2:C$5000,
               MATCH(C664, DB_materiali!A$2:A$5000, 0)
         )="FALSE",
         "N",
         "Y"
      ),
   "")
)</f>
        <v/>
      </c>
      <c r="H664" s="20"/>
      <c r="I664" s="20"/>
      <c r="J664" s="20"/>
      <c r="K664" s="20"/>
      <c r="M664" s="2" t="str">
        <f>IF(ISBLANK(C664),"",IF(IFERROR(VLOOKUP(C664,DB_materiali!$A$2:$A$5000,1,FALSE),"Kļūda artikulā")=C664,"✔",tulkojums!A$42))</f>
        <v/>
      </c>
      <c r="N664" s="2" t="str">
        <f>IF(ISBLANK(C664),"",IF(ISNUMBER(F664)=TRUE,"✔",tulkojums!A$43))</f>
        <v/>
      </c>
      <c r="O664" s="2" t="str">
        <f>IF(ISBLANK(C664),"",IF(G664="Y","✔",IF(G664="X","✔",IF(G664="N","✔",tulkojums!A$44))))</f>
        <v/>
      </c>
      <c r="P664" s="2" t="str">
        <f>IF(ISBLANK(H664),"",IF(INDEX(DB_materiali!$E$2:$E$5000,MATCH($C664,DB_materiali!$A$2:$A$5000,0))&gt;=INDEX(DB_malas!$C$2:$C$5000,MATCH(H664,DB_malas!$A$2:$A$5000,0)),IF(INDEX(DB_materiali!$E$2:$E$5000,MATCH($C664,DB_materiali!$A$2:$A$5000,0))&lt;=INDEX(DB_malas!$D$2:$D$5000,MATCH(H664,DB_malas!$A$2:$A$5000,0)),IF(OR(INDEX(DB_materiali!$B$2:$B$5000,MATCH($C664,DB_materiali!$A$2:$A$5000,0))=INDEX(DB_malas!$B$2:$B$5000,MATCH(H664,DB_malas!$A$2:$A$5000,0)),$H664="ORG"),"✔",tulkojums!$A$38),tulkojums!$A$39),tulkojums!$A$39))</f>
        <v/>
      </c>
      <c r="Q664" s="2" t="str">
        <f>IF(ISBLANK(I664),"",IF(INDEX(DB_materiali!$E$2:$E$5000,MATCH($C664,DB_materiali!$A$2:$A$5000,0))&gt;=INDEX(DB_malas!$C$2:$C$5000,MATCH(I664,DB_malas!$A$2:$A$5000,0)),IF(INDEX(DB_materiali!$E$2:$E$5000,MATCH($C664,DB_materiali!$A$2:$A$5000,0))&lt;=INDEX(DB_malas!$D$2:$D$5000,MATCH(I664,DB_malas!$A$2:$A$5000,0)),IF(OR(INDEX(DB_materiali!$B$2:$B$5000,MATCH($C664,DB_materiali!$A$2:$A$5000,0))=INDEX(DB_malas!$B$2:$B$5000,MATCH(I664,DB_malas!$A$2:$A$5000,0)),$H664="ORG"),"✔",tulkojums!$A$38),tulkojums!$A$39),tulkojums!$A$39))</f>
        <v/>
      </c>
      <c r="R664" s="2" t="str">
        <f>IF(ISBLANK(J664),"",IF(INDEX(DB_materiali!$E$2:$E$5000,MATCH($C664,DB_materiali!$A$2:$A$5000,0))&gt;=INDEX(DB_malas!$C$2:$C$5000,MATCH(J664,DB_malas!$A$2:$A$5000,0)),IF(INDEX(DB_materiali!$E$2:$E$5000,MATCH($C664,DB_materiali!$A$2:$A$5000,0))&lt;=INDEX(DB_malas!$D$2:$D$5000,MATCH(J664,DB_malas!$A$2:$A$5000,0)),IF(INDEX(DB_materiali!$B$2:$B$5000,MATCH($C664,DB_materiali!$A$2:$A$5000,0))=INDEX(DB_malas!$B$2:$B$5000,MATCH(J664,DB_malas!$A$2:$A$5000,0)),"✔",tulkojums!$A$38),tulkojums!$A$39),tulkojums!$A$39))</f>
        <v/>
      </c>
      <c r="S664" s="2" t="str">
        <f>IF(ISBLANK(K664),"",IF(INDEX(DB_materiali!$E$2:$E$5000,MATCH($C664,DB_materiali!$A$2:$A$5000,0))&gt;=INDEX(DB_malas!$C$2:$C$5000,MATCH(K664,DB_malas!$A$2:$A$5000,0)),IF(INDEX(DB_materiali!$E$2:$E$5000,MATCH($C664,DB_materiali!$A$2:$A$5000,0))&lt;=INDEX(DB_malas!$D$2:$D$5000,MATCH(K664,DB_malas!$A$2:$A$5000,0)),IF(INDEX(DB_materiali!$B$2:$B$5000,MATCH($C664,DB_materiali!$A$2:$A$5000,0))=INDEX(DB_malas!$B$2:$B$5000,MATCH(K664,DB_malas!$A$2:$A$5000,0)),"✔",tulkojums!$A$38),tulkojums!$A$39),tulkojums!$A$39))</f>
        <v/>
      </c>
      <c r="T664" s="2"/>
      <c r="U664" s="2"/>
      <c r="V664" s="2"/>
      <c r="W664" s="2"/>
      <c r="X664" s="2"/>
      <c r="Y664" s="2"/>
      <c r="Z664" s="2"/>
    </row>
    <row r="665" spans="1:26" ht="15.75" customHeight="1">
      <c r="A665" s="17"/>
      <c r="B665" s="18"/>
      <c r="C665" s="19"/>
      <c r="D665" s="55"/>
      <c r="E665" s="55"/>
      <c r="F665" s="56"/>
      <c r="G665" s="57" t="str">
        <f>IF(ISBLANK(C665),"",
   IFERROR(
      IF(
         INDEX(DB_materiali!C$2:C$5000,
               MATCH(C665, DB_materiali!A$2:A$5000, 0)
         )="FALSE",
         "N",
         "Y"
      ),
   "")
)</f>
        <v/>
      </c>
      <c r="H665" s="20"/>
      <c r="I665" s="20"/>
      <c r="J665" s="20"/>
      <c r="K665" s="20"/>
      <c r="M665" s="2" t="str">
        <f>IF(ISBLANK(C665),"",IF(IFERROR(VLOOKUP(C665,DB_materiali!$A$2:$A$5000,1,FALSE),"Kļūda artikulā")=C665,"✔",tulkojums!A$42))</f>
        <v/>
      </c>
      <c r="N665" s="2" t="str">
        <f>IF(ISBLANK(C665),"",IF(ISNUMBER(F665)=TRUE,"✔",tulkojums!A$43))</f>
        <v/>
      </c>
      <c r="O665" s="2" t="str">
        <f>IF(ISBLANK(C665),"",IF(G665="Y","✔",IF(G665="X","✔",IF(G665="N","✔",tulkojums!A$44))))</f>
        <v/>
      </c>
      <c r="P665" s="2" t="str">
        <f>IF(ISBLANK(H665),"",IF(INDEX(DB_materiali!$E$2:$E$5000,MATCH($C665,DB_materiali!$A$2:$A$5000,0))&gt;=INDEX(DB_malas!$C$2:$C$5000,MATCH(H665,DB_malas!$A$2:$A$5000,0)),IF(INDEX(DB_materiali!$E$2:$E$5000,MATCH($C665,DB_materiali!$A$2:$A$5000,0))&lt;=INDEX(DB_malas!$D$2:$D$5000,MATCH(H665,DB_malas!$A$2:$A$5000,0)),IF(OR(INDEX(DB_materiali!$B$2:$B$5000,MATCH($C665,DB_materiali!$A$2:$A$5000,0))=INDEX(DB_malas!$B$2:$B$5000,MATCH(H665,DB_malas!$A$2:$A$5000,0)),$H665="ORG"),"✔",tulkojums!$A$38),tulkojums!$A$39),tulkojums!$A$39))</f>
        <v/>
      </c>
      <c r="Q665" s="2" t="str">
        <f>IF(ISBLANK(I665),"",IF(INDEX(DB_materiali!$E$2:$E$5000,MATCH($C665,DB_materiali!$A$2:$A$5000,0))&gt;=INDEX(DB_malas!$C$2:$C$5000,MATCH(I665,DB_malas!$A$2:$A$5000,0)),IF(INDEX(DB_materiali!$E$2:$E$5000,MATCH($C665,DB_materiali!$A$2:$A$5000,0))&lt;=INDEX(DB_malas!$D$2:$D$5000,MATCH(I665,DB_malas!$A$2:$A$5000,0)),IF(OR(INDEX(DB_materiali!$B$2:$B$5000,MATCH($C665,DB_materiali!$A$2:$A$5000,0))=INDEX(DB_malas!$B$2:$B$5000,MATCH(I665,DB_malas!$A$2:$A$5000,0)),$H665="ORG"),"✔",tulkojums!$A$38),tulkojums!$A$39),tulkojums!$A$39))</f>
        <v/>
      </c>
      <c r="R665" s="2" t="str">
        <f>IF(ISBLANK(J665),"",IF(INDEX(DB_materiali!$E$2:$E$5000,MATCH($C665,DB_materiali!$A$2:$A$5000,0))&gt;=INDEX(DB_malas!$C$2:$C$5000,MATCH(J665,DB_malas!$A$2:$A$5000,0)),IF(INDEX(DB_materiali!$E$2:$E$5000,MATCH($C665,DB_materiali!$A$2:$A$5000,0))&lt;=INDEX(DB_malas!$D$2:$D$5000,MATCH(J665,DB_malas!$A$2:$A$5000,0)),IF(INDEX(DB_materiali!$B$2:$B$5000,MATCH($C665,DB_materiali!$A$2:$A$5000,0))=INDEX(DB_malas!$B$2:$B$5000,MATCH(J665,DB_malas!$A$2:$A$5000,0)),"✔",tulkojums!$A$38),tulkojums!$A$39),tulkojums!$A$39))</f>
        <v/>
      </c>
      <c r="S665" s="2" t="str">
        <f>IF(ISBLANK(K665),"",IF(INDEX(DB_materiali!$E$2:$E$5000,MATCH($C665,DB_materiali!$A$2:$A$5000,0))&gt;=INDEX(DB_malas!$C$2:$C$5000,MATCH(K665,DB_malas!$A$2:$A$5000,0)),IF(INDEX(DB_materiali!$E$2:$E$5000,MATCH($C665,DB_materiali!$A$2:$A$5000,0))&lt;=INDEX(DB_malas!$D$2:$D$5000,MATCH(K665,DB_malas!$A$2:$A$5000,0)),IF(INDEX(DB_materiali!$B$2:$B$5000,MATCH($C665,DB_materiali!$A$2:$A$5000,0))=INDEX(DB_malas!$B$2:$B$5000,MATCH(K665,DB_malas!$A$2:$A$5000,0)),"✔",tulkojums!$A$38),tulkojums!$A$39),tulkojums!$A$39))</f>
        <v/>
      </c>
      <c r="T665" s="2"/>
      <c r="U665" s="2"/>
      <c r="V665" s="2"/>
      <c r="W665" s="2"/>
      <c r="X665" s="2"/>
      <c r="Y665" s="2"/>
      <c r="Z665" s="2"/>
    </row>
    <row r="666" spans="1:26" ht="15.75" customHeight="1">
      <c r="A666" s="17"/>
      <c r="B666" s="18"/>
      <c r="C666" s="19"/>
      <c r="D666" s="55"/>
      <c r="E666" s="55"/>
      <c r="F666" s="56"/>
      <c r="G666" s="57" t="str">
        <f>IF(ISBLANK(C666),"",
   IFERROR(
      IF(
         INDEX(DB_materiali!C$2:C$5000,
               MATCH(C666, DB_materiali!A$2:A$5000, 0)
         )="FALSE",
         "N",
         "Y"
      ),
   "")
)</f>
        <v/>
      </c>
      <c r="H666" s="20"/>
      <c r="I666" s="20"/>
      <c r="J666" s="20"/>
      <c r="K666" s="20"/>
      <c r="M666" s="2" t="str">
        <f>IF(ISBLANK(C666),"",IF(IFERROR(VLOOKUP(C666,DB_materiali!$A$2:$A$5000,1,FALSE),"Kļūda artikulā")=C666,"✔",tulkojums!A$42))</f>
        <v/>
      </c>
      <c r="N666" s="2" t="str">
        <f>IF(ISBLANK(C666),"",IF(ISNUMBER(F666)=TRUE,"✔",tulkojums!A$43))</f>
        <v/>
      </c>
      <c r="O666" s="2" t="str">
        <f>IF(ISBLANK(C666),"",IF(G666="Y","✔",IF(G666="X","✔",IF(G666="N","✔",tulkojums!A$44))))</f>
        <v/>
      </c>
      <c r="P666" s="2" t="str">
        <f>IF(ISBLANK(H666),"",IF(INDEX(DB_materiali!$E$2:$E$5000,MATCH($C666,DB_materiali!$A$2:$A$5000,0))&gt;=INDEX(DB_malas!$C$2:$C$5000,MATCH(H666,DB_malas!$A$2:$A$5000,0)),IF(INDEX(DB_materiali!$E$2:$E$5000,MATCH($C666,DB_materiali!$A$2:$A$5000,0))&lt;=INDEX(DB_malas!$D$2:$D$5000,MATCH(H666,DB_malas!$A$2:$A$5000,0)),IF(OR(INDEX(DB_materiali!$B$2:$B$5000,MATCH($C666,DB_materiali!$A$2:$A$5000,0))=INDEX(DB_malas!$B$2:$B$5000,MATCH(H666,DB_malas!$A$2:$A$5000,0)),$H666="ORG"),"✔",tulkojums!$A$38),tulkojums!$A$39),tulkojums!$A$39))</f>
        <v/>
      </c>
      <c r="Q666" s="2" t="str">
        <f>IF(ISBLANK(I666),"",IF(INDEX(DB_materiali!$E$2:$E$5000,MATCH($C666,DB_materiali!$A$2:$A$5000,0))&gt;=INDEX(DB_malas!$C$2:$C$5000,MATCH(I666,DB_malas!$A$2:$A$5000,0)),IF(INDEX(DB_materiali!$E$2:$E$5000,MATCH($C666,DB_materiali!$A$2:$A$5000,0))&lt;=INDEX(DB_malas!$D$2:$D$5000,MATCH(I666,DB_malas!$A$2:$A$5000,0)),IF(OR(INDEX(DB_materiali!$B$2:$B$5000,MATCH($C666,DB_materiali!$A$2:$A$5000,0))=INDEX(DB_malas!$B$2:$B$5000,MATCH(I666,DB_malas!$A$2:$A$5000,0)),$H666="ORG"),"✔",tulkojums!$A$38),tulkojums!$A$39),tulkojums!$A$39))</f>
        <v/>
      </c>
      <c r="R666" s="2" t="str">
        <f>IF(ISBLANK(J666),"",IF(INDEX(DB_materiali!$E$2:$E$5000,MATCH($C666,DB_materiali!$A$2:$A$5000,0))&gt;=INDEX(DB_malas!$C$2:$C$5000,MATCH(J666,DB_malas!$A$2:$A$5000,0)),IF(INDEX(DB_materiali!$E$2:$E$5000,MATCH($C666,DB_materiali!$A$2:$A$5000,0))&lt;=INDEX(DB_malas!$D$2:$D$5000,MATCH(J666,DB_malas!$A$2:$A$5000,0)),IF(INDEX(DB_materiali!$B$2:$B$5000,MATCH($C666,DB_materiali!$A$2:$A$5000,0))=INDEX(DB_malas!$B$2:$B$5000,MATCH(J666,DB_malas!$A$2:$A$5000,0)),"✔",tulkojums!$A$38),tulkojums!$A$39),tulkojums!$A$39))</f>
        <v/>
      </c>
      <c r="S666" s="2" t="str">
        <f>IF(ISBLANK(K666),"",IF(INDEX(DB_materiali!$E$2:$E$5000,MATCH($C666,DB_materiali!$A$2:$A$5000,0))&gt;=INDEX(DB_malas!$C$2:$C$5000,MATCH(K666,DB_malas!$A$2:$A$5000,0)),IF(INDEX(DB_materiali!$E$2:$E$5000,MATCH($C666,DB_materiali!$A$2:$A$5000,0))&lt;=INDEX(DB_malas!$D$2:$D$5000,MATCH(K666,DB_malas!$A$2:$A$5000,0)),IF(INDEX(DB_materiali!$B$2:$B$5000,MATCH($C666,DB_materiali!$A$2:$A$5000,0))=INDEX(DB_malas!$B$2:$B$5000,MATCH(K666,DB_malas!$A$2:$A$5000,0)),"✔",tulkojums!$A$38),tulkojums!$A$39),tulkojums!$A$39))</f>
        <v/>
      </c>
      <c r="T666" s="2"/>
      <c r="U666" s="2"/>
      <c r="V666" s="2"/>
      <c r="W666" s="2"/>
      <c r="X666" s="2"/>
      <c r="Y666" s="2"/>
      <c r="Z666" s="2"/>
    </row>
    <row r="667" spans="1:26" ht="15.75" customHeight="1">
      <c r="A667" s="17"/>
      <c r="B667" s="18"/>
      <c r="C667" s="19"/>
      <c r="D667" s="55"/>
      <c r="E667" s="55"/>
      <c r="F667" s="56"/>
      <c r="G667" s="57" t="str">
        <f>IF(ISBLANK(C667),"",
   IFERROR(
      IF(
         INDEX(DB_materiali!C$2:C$5000,
               MATCH(C667, DB_materiali!A$2:A$5000, 0)
         )="FALSE",
         "N",
         "Y"
      ),
   "")
)</f>
        <v/>
      </c>
      <c r="H667" s="20"/>
      <c r="I667" s="20"/>
      <c r="J667" s="20"/>
      <c r="K667" s="20"/>
      <c r="M667" s="2" t="str">
        <f>IF(ISBLANK(C667),"",IF(IFERROR(VLOOKUP(C667,DB_materiali!$A$2:$A$5000,1,FALSE),"Kļūda artikulā")=C667,"✔",tulkojums!A$42))</f>
        <v/>
      </c>
      <c r="N667" s="2" t="str">
        <f>IF(ISBLANK(C667),"",IF(ISNUMBER(F667)=TRUE,"✔",tulkojums!A$43))</f>
        <v/>
      </c>
      <c r="O667" s="2" t="str">
        <f>IF(ISBLANK(C667),"",IF(G667="Y","✔",IF(G667="X","✔",IF(G667="N","✔",tulkojums!A$44))))</f>
        <v/>
      </c>
      <c r="P667" s="2" t="str">
        <f>IF(ISBLANK(H667),"",IF(INDEX(DB_materiali!$E$2:$E$5000,MATCH($C667,DB_materiali!$A$2:$A$5000,0))&gt;=INDEX(DB_malas!$C$2:$C$5000,MATCH(H667,DB_malas!$A$2:$A$5000,0)),IF(INDEX(DB_materiali!$E$2:$E$5000,MATCH($C667,DB_materiali!$A$2:$A$5000,0))&lt;=INDEX(DB_malas!$D$2:$D$5000,MATCH(H667,DB_malas!$A$2:$A$5000,0)),IF(OR(INDEX(DB_materiali!$B$2:$B$5000,MATCH($C667,DB_materiali!$A$2:$A$5000,0))=INDEX(DB_malas!$B$2:$B$5000,MATCH(H667,DB_malas!$A$2:$A$5000,0)),$H667="ORG"),"✔",tulkojums!$A$38),tulkojums!$A$39),tulkojums!$A$39))</f>
        <v/>
      </c>
      <c r="Q667" s="2" t="str">
        <f>IF(ISBLANK(I667),"",IF(INDEX(DB_materiali!$E$2:$E$5000,MATCH($C667,DB_materiali!$A$2:$A$5000,0))&gt;=INDEX(DB_malas!$C$2:$C$5000,MATCH(I667,DB_malas!$A$2:$A$5000,0)),IF(INDEX(DB_materiali!$E$2:$E$5000,MATCH($C667,DB_materiali!$A$2:$A$5000,0))&lt;=INDEX(DB_malas!$D$2:$D$5000,MATCH(I667,DB_malas!$A$2:$A$5000,0)),IF(OR(INDEX(DB_materiali!$B$2:$B$5000,MATCH($C667,DB_materiali!$A$2:$A$5000,0))=INDEX(DB_malas!$B$2:$B$5000,MATCH(I667,DB_malas!$A$2:$A$5000,0)),$H667="ORG"),"✔",tulkojums!$A$38),tulkojums!$A$39),tulkojums!$A$39))</f>
        <v/>
      </c>
      <c r="R667" s="2" t="str">
        <f>IF(ISBLANK(J667),"",IF(INDEX(DB_materiali!$E$2:$E$5000,MATCH($C667,DB_materiali!$A$2:$A$5000,0))&gt;=INDEX(DB_malas!$C$2:$C$5000,MATCH(J667,DB_malas!$A$2:$A$5000,0)),IF(INDEX(DB_materiali!$E$2:$E$5000,MATCH($C667,DB_materiali!$A$2:$A$5000,0))&lt;=INDEX(DB_malas!$D$2:$D$5000,MATCH(J667,DB_malas!$A$2:$A$5000,0)),IF(INDEX(DB_materiali!$B$2:$B$5000,MATCH($C667,DB_materiali!$A$2:$A$5000,0))=INDEX(DB_malas!$B$2:$B$5000,MATCH(J667,DB_malas!$A$2:$A$5000,0)),"✔",tulkojums!$A$38),tulkojums!$A$39),tulkojums!$A$39))</f>
        <v/>
      </c>
      <c r="S667" s="2" t="str">
        <f>IF(ISBLANK(K667),"",IF(INDEX(DB_materiali!$E$2:$E$5000,MATCH($C667,DB_materiali!$A$2:$A$5000,0))&gt;=INDEX(DB_malas!$C$2:$C$5000,MATCH(K667,DB_malas!$A$2:$A$5000,0)),IF(INDEX(DB_materiali!$E$2:$E$5000,MATCH($C667,DB_materiali!$A$2:$A$5000,0))&lt;=INDEX(DB_malas!$D$2:$D$5000,MATCH(K667,DB_malas!$A$2:$A$5000,0)),IF(INDEX(DB_materiali!$B$2:$B$5000,MATCH($C667,DB_materiali!$A$2:$A$5000,0))=INDEX(DB_malas!$B$2:$B$5000,MATCH(K667,DB_malas!$A$2:$A$5000,0)),"✔",tulkojums!$A$38),tulkojums!$A$39),tulkojums!$A$39))</f>
        <v/>
      </c>
      <c r="T667" s="2"/>
      <c r="U667" s="2"/>
      <c r="V667" s="2"/>
      <c r="W667" s="2"/>
      <c r="X667" s="2"/>
      <c r="Y667" s="2"/>
      <c r="Z667" s="2"/>
    </row>
    <row r="668" spans="1:26" ht="15.75" customHeight="1">
      <c r="A668" s="17"/>
      <c r="B668" s="18"/>
      <c r="C668" s="19"/>
      <c r="D668" s="55"/>
      <c r="E668" s="55"/>
      <c r="F668" s="56"/>
      <c r="G668" s="57" t="str">
        <f>IF(ISBLANK(C668),"",
   IFERROR(
      IF(
         INDEX(DB_materiali!C$2:C$5000,
               MATCH(C668, DB_materiali!A$2:A$5000, 0)
         )="FALSE",
         "N",
         "Y"
      ),
   "")
)</f>
        <v/>
      </c>
      <c r="H668" s="20"/>
      <c r="I668" s="20"/>
      <c r="J668" s="20"/>
      <c r="K668" s="20"/>
      <c r="M668" s="2" t="str">
        <f>IF(ISBLANK(C668),"",IF(IFERROR(VLOOKUP(C668,DB_materiali!$A$2:$A$5000,1,FALSE),"Kļūda artikulā")=C668,"✔",tulkojums!A$42))</f>
        <v/>
      </c>
      <c r="N668" s="2" t="str">
        <f>IF(ISBLANK(C668),"",IF(ISNUMBER(F668)=TRUE,"✔",tulkojums!A$43))</f>
        <v/>
      </c>
      <c r="O668" s="2" t="str">
        <f>IF(ISBLANK(C668),"",IF(G668="Y","✔",IF(G668="X","✔",IF(G668="N","✔",tulkojums!A$44))))</f>
        <v/>
      </c>
      <c r="P668" s="2" t="str">
        <f>IF(ISBLANK(H668),"",IF(INDEX(DB_materiali!$E$2:$E$5000,MATCH($C668,DB_materiali!$A$2:$A$5000,0))&gt;=INDEX(DB_malas!$C$2:$C$5000,MATCH(H668,DB_malas!$A$2:$A$5000,0)),IF(INDEX(DB_materiali!$E$2:$E$5000,MATCH($C668,DB_materiali!$A$2:$A$5000,0))&lt;=INDEX(DB_malas!$D$2:$D$5000,MATCH(H668,DB_malas!$A$2:$A$5000,0)),IF(OR(INDEX(DB_materiali!$B$2:$B$5000,MATCH($C668,DB_materiali!$A$2:$A$5000,0))=INDEX(DB_malas!$B$2:$B$5000,MATCH(H668,DB_malas!$A$2:$A$5000,0)),$H668="ORG"),"✔",tulkojums!$A$38),tulkojums!$A$39),tulkojums!$A$39))</f>
        <v/>
      </c>
      <c r="Q668" s="2" t="str">
        <f>IF(ISBLANK(I668),"",IF(INDEX(DB_materiali!$E$2:$E$5000,MATCH($C668,DB_materiali!$A$2:$A$5000,0))&gt;=INDEX(DB_malas!$C$2:$C$5000,MATCH(I668,DB_malas!$A$2:$A$5000,0)),IF(INDEX(DB_materiali!$E$2:$E$5000,MATCH($C668,DB_materiali!$A$2:$A$5000,0))&lt;=INDEX(DB_malas!$D$2:$D$5000,MATCH(I668,DB_malas!$A$2:$A$5000,0)),IF(OR(INDEX(DB_materiali!$B$2:$B$5000,MATCH($C668,DB_materiali!$A$2:$A$5000,0))=INDEX(DB_malas!$B$2:$B$5000,MATCH(I668,DB_malas!$A$2:$A$5000,0)),$H668="ORG"),"✔",tulkojums!$A$38),tulkojums!$A$39),tulkojums!$A$39))</f>
        <v/>
      </c>
      <c r="R668" s="2" t="str">
        <f>IF(ISBLANK(J668),"",IF(INDEX(DB_materiali!$E$2:$E$5000,MATCH($C668,DB_materiali!$A$2:$A$5000,0))&gt;=INDEX(DB_malas!$C$2:$C$5000,MATCH(J668,DB_malas!$A$2:$A$5000,0)),IF(INDEX(DB_materiali!$E$2:$E$5000,MATCH($C668,DB_materiali!$A$2:$A$5000,0))&lt;=INDEX(DB_malas!$D$2:$D$5000,MATCH(J668,DB_malas!$A$2:$A$5000,0)),IF(INDEX(DB_materiali!$B$2:$B$5000,MATCH($C668,DB_materiali!$A$2:$A$5000,0))=INDEX(DB_malas!$B$2:$B$5000,MATCH(J668,DB_malas!$A$2:$A$5000,0)),"✔",tulkojums!$A$38),tulkojums!$A$39),tulkojums!$A$39))</f>
        <v/>
      </c>
      <c r="S668" s="2" t="str">
        <f>IF(ISBLANK(K668),"",IF(INDEX(DB_materiali!$E$2:$E$5000,MATCH($C668,DB_materiali!$A$2:$A$5000,0))&gt;=INDEX(DB_malas!$C$2:$C$5000,MATCH(K668,DB_malas!$A$2:$A$5000,0)),IF(INDEX(DB_materiali!$E$2:$E$5000,MATCH($C668,DB_materiali!$A$2:$A$5000,0))&lt;=INDEX(DB_malas!$D$2:$D$5000,MATCH(K668,DB_malas!$A$2:$A$5000,0)),IF(INDEX(DB_materiali!$B$2:$B$5000,MATCH($C668,DB_materiali!$A$2:$A$5000,0))=INDEX(DB_malas!$B$2:$B$5000,MATCH(K668,DB_malas!$A$2:$A$5000,0)),"✔",tulkojums!$A$38),tulkojums!$A$39),tulkojums!$A$39))</f>
        <v/>
      </c>
      <c r="T668" s="2"/>
      <c r="U668" s="2"/>
      <c r="V668" s="2"/>
      <c r="W668" s="2"/>
      <c r="X668" s="2"/>
      <c r="Y668" s="2"/>
      <c r="Z668" s="2"/>
    </row>
    <row r="669" spans="1:26" ht="15.75" customHeight="1">
      <c r="A669" s="17"/>
      <c r="B669" s="18"/>
      <c r="C669" s="19"/>
      <c r="D669" s="55"/>
      <c r="E669" s="55"/>
      <c r="F669" s="56"/>
      <c r="G669" s="57" t="str">
        <f>IF(ISBLANK(C669),"",
   IFERROR(
      IF(
         INDEX(DB_materiali!C$2:C$5000,
               MATCH(C669, DB_materiali!A$2:A$5000, 0)
         )="FALSE",
         "N",
         "Y"
      ),
   "")
)</f>
        <v/>
      </c>
      <c r="H669" s="20"/>
      <c r="I669" s="20"/>
      <c r="J669" s="20"/>
      <c r="K669" s="20"/>
      <c r="M669" s="2" t="str">
        <f>IF(ISBLANK(C669),"",IF(IFERROR(VLOOKUP(C669,DB_materiali!$A$2:$A$5000,1,FALSE),"Kļūda artikulā")=C669,"✔",tulkojums!A$42))</f>
        <v/>
      </c>
      <c r="N669" s="2" t="str">
        <f>IF(ISBLANK(C669),"",IF(ISNUMBER(F669)=TRUE,"✔",tulkojums!A$43))</f>
        <v/>
      </c>
      <c r="O669" s="2" t="str">
        <f>IF(ISBLANK(C669),"",IF(G669="Y","✔",IF(G669="X","✔",IF(G669="N","✔",tulkojums!A$44))))</f>
        <v/>
      </c>
      <c r="P669" s="2" t="str">
        <f>IF(ISBLANK(H669),"",IF(INDEX(DB_materiali!$E$2:$E$5000,MATCH($C669,DB_materiali!$A$2:$A$5000,0))&gt;=INDEX(DB_malas!$C$2:$C$5000,MATCH(H669,DB_malas!$A$2:$A$5000,0)),IF(INDEX(DB_materiali!$E$2:$E$5000,MATCH($C669,DB_materiali!$A$2:$A$5000,0))&lt;=INDEX(DB_malas!$D$2:$D$5000,MATCH(H669,DB_malas!$A$2:$A$5000,0)),IF(OR(INDEX(DB_materiali!$B$2:$B$5000,MATCH($C669,DB_materiali!$A$2:$A$5000,0))=INDEX(DB_malas!$B$2:$B$5000,MATCH(H669,DB_malas!$A$2:$A$5000,0)),$H669="ORG"),"✔",tulkojums!$A$38),tulkojums!$A$39),tulkojums!$A$39))</f>
        <v/>
      </c>
      <c r="Q669" s="2" t="str">
        <f>IF(ISBLANK(I669),"",IF(INDEX(DB_materiali!$E$2:$E$5000,MATCH($C669,DB_materiali!$A$2:$A$5000,0))&gt;=INDEX(DB_malas!$C$2:$C$5000,MATCH(I669,DB_malas!$A$2:$A$5000,0)),IF(INDEX(DB_materiali!$E$2:$E$5000,MATCH($C669,DB_materiali!$A$2:$A$5000,0))&lt;=INDEX(DB_malas!$D$2:$D$5000,MATCH(I669,DB_malas!$A$2:$A$5000,0)),IF(OR(INDEX(DB_materiali!$B$2:$B$5000,MATCH($C669,DB_materiali!$A$2:$A$5000,0))=INDEX(DB_malas!$B$2:$B$5000,MATCH(I669,DB_malas!$A$2:$A$5000,0)),$H669="ORG"),"✔",tulkojums!$A$38),tulkojums!$A$39),tulkojums!$A$39))</f>
        <v/>
      </c>
      <c r="R669" s="2" t="str">
        <f>IF(ISBLANK(J669),"",IF(INDEX(DB_materiali!$E$2:$E$5000,MATCH($C669,DB_materiali!$A$2:$A$5000,0))&gt;=INDEX(DB_malas!$C$2:$C$5000,MATCH(J669,DB_malas!$A$2:$A$5000,0)),IF(INDEX(DB_materiali!$E$2:$E$5000,MATCH($C669,DB_materiali!$A$2:$A$5000,0))&lt;=INDEX(DB_malas!$D$2:$D$5000,MATCH(J669,DB_malas!$A$2:$A$5000,0)),IF(INDEX(DB_materiali!$B$2:$B$5000,MATCH($C669,DB_materiali!$A$2:$A$5000,0))=INDEX(DB_malas!$B$2:$B$5000,MATCH(J669,DB_malas!$A$2:$A$5000,0)),"✔",tulkojums!$A$38),tulkojums!$A$39),tulkojums!$A$39))</f>
        <v/>
      </c>
      <c r="S669" s="2" t="str">
        <f>IF(ISBLANK(K669),"",IF(INDEX(DB_materiali!$E$2:$E$5000,MATCH($C669,DB_materiali!$A$2:$A$5000,0))&gt;=INDEX(DB_malas!$C$2:$C$5000,MATCH(K669,DB_malas!$A$2:$A$5000,0)),IF(INDEX(DB_materiali!$E$2:$E$5000,MATCH($C669,DB_materiali!$A$2:$A$5000,0))&lt;=INDEX(DB_malas!$D$2:$D$5000,MATCH(K669,DB_malas!$A$2:$A$5000,0)),IF(INDEX(DB_materiali!$B$2:$B$5000,MATCH($C669,DB_materiali!$A$2:$A$5000,0))=INDEX(DB_malas!$B$2:$B$5000,MATCH(K669,DB_malas!$A$2:$A$5000,0)),"✔",tulkojums!$A$38),tulkojums!$A$39),tulkojums!$A$39))</f>
        <v/>
      </c>
      <c r="T669" s="2"/>
      <c r="U669" s="2"/>
      <c r="V669" s="2"/>
      <c r="W669" s="2"/>
      <c r="X669" s="2"/>
      <c r="Y669" s="2"/>
      <c r="Z669" s="2"/>
    </row>
    <row r="670" spans="1:26" ht="15.75" customHeight="1">
      <c r="A670" s="17"/>
      <c r="B670" s="18"/>
      <c r="C670" s="19"/>
      <c r="D670" s="55"/>
      <c r="E670" s="55"/>
      <c r="F670" s="56"/>
      <c r="G670" s="57" t="str">
        <f>IF(ISBLANK(C670),"",
   IFERROR(
      IF(
         INDEX(DB_materiali!C$2:C$5000,
               MATCH(C670, DB_materiali!A$2:A$5000, 0)
         )="FALSE",
         "N",
         "Y"
      ),
   "")
)</f>
        <v/>
      </c>
      <c r="H670" s="20"/>
      <c r="I670" s="20"/>
      <c r="J670" s="20"/>
      <c r="K670" s="20"/>
      <c r="M670" s="2" t="str">
        <f>IF(ISBLANK(C670),"",IF(IFERROR(VLOOKUP(C670,DB_materiali!$A$2:$A$5000,1,FALSE),"Kļūda artikulā")=C670,"✔",tulkojums!A$42))</f>
        <v/>
      </c>
      <c r="N670" s="2" t="str">
        <f>IF(ISBLANK(C670),"",IF(ISNUMBER(F670)=TRUE,"✔",tulkojums!A$43))</f>
        <v/>
      </c>
      <c r="O670" s="2" t="str">
        <f>IF(ISBLANK(C670),"",IF(G670="Y","✔",IF(G670="X","✔",IF(G670="N","✔",tulkojums!A$44))))</f>
        <v/>
      </c>
      <c r="P670" s="2" t="str">
        <f>IF(ISBLANK(H670),"",IF(INDEX(DB_materiali!$E$2:$E$5000,MATCH($C670,DB_materiali!$A$2:$A$5000,0))&gt;=INDEX(DB_malas!$C$2:$C$5000,MATCH(H670,DB_malas!$A$2:$A$5000,0)),IF(INDEX(DB_materiali!$E$2:$E$5000,MATCH($C670,DB_materiali!$A$2:$A$5000,0))&lt;=INDEX(DB_malas!$D$2:$D$5000,MATCH(H670,DB_malas!$A$2:$A$5000,0)),IF(OR(INDEX(DB_materiali!$B$2:$B$5000,MATCH($C670,DB_materiali!$A$2:$A$5000,0))=INDEX(DB_malas!$B$2:$B$5000,MATCH(H670,DB_malas!$A$2:$A$5000,0)),$H670="ORG"),"✔",tulkojums!$A$38),tulkojums!$A$39),tulkojums!$A$39))</f>
        <v/>
      </c>
      <c r="Q670" s="2" t="str">
        <f>IF(ISBLANK(I670),"",IF(INDEX(DB_materiali!$E$2:$E$5000,MATCH($C670,DB_materiali!$A$2:$A$5000,0))&gt;=INDEX(DB_malas!$C$2:$C$5000,MATCH(I670,DB_malas!$A$2:$A$5000,0)),IF(INDEX(DB_materiali!$E$2:$E$5000,MATCH($C670,DB_materiali!$A$2:$A$5000,0))&lt;=INDEX(DB_malas!$D$2:$D$5000,MATCH(I670,DB_malas!$A$2:$A$5000,0)),IF(OR(INDEX(DB_materiali!$B$2:$B$5000,MATCH($C670,DB_materiali!$A$2:$A$5000,0))=INDEX(DB_malas!$B$2:$B$5000,MATCH(I670,DB_malas!$A$2:$A$5000,0)),$H670="ORG"),"✔",tulkojums!$A$38),tulkojums!$A$39),tulkojums!$A$39))</f>
        <v/>
      </c>
      <c r="R670" s="2" t="str">
        <f>IF(ISBLANK(J670),"",IF(INDEX(DB_materiali!$E$2:$E$5000,MATCH($C670,DB_materiali!$A$2:$A$5000,0))&gt;=INDEX(DB_malas!$C$2:$C$5000,MATCH(J670,DB_malas!$A$2:$A$5000,0)),IF(INDEX(DB_materiali!$E$2:$E$5000,MATCH($C670,DB_materiali!$A$2:$A$5000,0))&lt;=INDEX(DB_malas!$D$2:$D$5000,MATCH(J670,DB_malas!$A$2:$A$5000,0)),IF(INDEX(DB_materiali!$B$2:$B$5000,MATCH($C670,DB_materiali!$A$2:$A$5000,0))=INDEX(DB_malas!$B$2:$B$5000,MATCH(J670,DB_malas!$A$2:$A$5000,0)),"✔",tulkojums!$A$38),tulkojums!$A$39),tulkojums!$A$39))</f>
        <v/>
      </c>
      <c r="S670" s="2" t="str">
        <f>IF(ISBLANK(K670),"",IF(INDEX(DB_materiali!$E$2:$E$5000,MATCH($C670,DB_materiali!$A$2:$A$5000,0))&gt;=INDEX(DB_malas!$C$2:$C$5000,MATCH(K670,DB_malas!$A$2:$A$5000,0)),IF(INDEX(DB_materiali!$E$2:$E$5000,MATCH($C670,DB_materiali!$A$2:$A$5000,0))&lt;=INDEX(DB_malas!$D$2:$D$5000,MATCH(K670,DB_malas!$A$2:$A$5000,0)),IF(INDEX(DB_materiali!$B$2:$B$5000,MATCH($C670,DB_materiali!$A$2:$A$5000,0))=INDEX(DB_malas!$B$2:$B$5000,MATCH(K670,DB_malas!$A$2:$A$5000,0)),"✔",tulkojums!$A$38),tulkojums!$A$39),tulkojums!$A$39))</f>
        <v/>
      </c>
      <c r="T670" s="2"/>
      <c r="U670" s="2"/>
      <c r="V670" s="2"/>
      <c r="W670" s="2"/>
      <c r="X670" s="2"/>
      <c r="Y670" s="2"/>
      <c r="Z670" s="2"/>
    </row>
    <row r="671" spans="1:26" ht="15.75" customHeight="1">
      <c r="A671" s="17"/>
      <c r="B671" s="18"/>
      <c r="C671" s="19"/>
      <c r="D671" s="55"/>
      <c r="E671" s="55"/>
      <c r="F671" s="56"/>
      <c r="G671" s="57" t="str">
        <f>IF(ISBLANK(C671),"",
   IFERROR(
      IF(
         INDEX(DB_materiali!C$2:C$5000,
               MATCH(C671, DB_materiali!A$2:A$5000, 0)
         )="FALSE",
         "N",
         "Y"
      ),
   "")
)</f>
        <v/>
      </c>
      <c r="H671" s="20"/>
      <c r="I671" s="20"/>
      <c r="J671" s="20"/>
      <c r="K671" s="20"/>
      <c r="M671" s="2" t="str">
        <f>IF(ISBLANK(C671),"",IF(IFERROR(VLOOKUP(C671,DB_materiali!$A$2:$A$5000,1,FALSE),"Kļūda artikulā")=C671,"✔",tulkojums!A$42))</f>
        <v/>
      </c>
      <c r="N671" s="2" t="str">
        <f>IF(ISBLANK(C671),"",IF(ISNUMBER(F671)=TRUE,"✔",tulkojums!A$43))</f>
        <v/>
      </c>
      <c r="O671" s="2" t="str">
        <f>IF(ISBLANK(C671),"",IF(G671="Y","✔",IF(G671="X","✔",IF(G671="N","✔",tulkojums!A$44))))</f>
        <v/>
      </c>
      <c r="P671" s="2" t="str">
        <f>IF(ISBLANK(H671),"",IF(INDEX(DB_materiali!$E$2:$E$5000,MATCH($C671,DB_materiali!$A$2:$A$5000,0))&gt;=INDEX(DB_malas!$C$2:$C$5000,MATCH(H671,DB_malas!$A$2:$A$5000,0)),IF(INDEX(DB_materiali!$E$2:$E$5000,MATCH($C671,DB_materiali!$A$2:$A$5000,0))&lt;=INDEX(DB_malas!$D$2:$D$5000,MATCH(H671,DB_malas!$A$2:$A$5000,0)),IF(OR(INDEX(DB_materiali!$B$2:$B$5000,MATCH($C671,DB_materiali!$A$2:$A$5000,0))=INDEX(DB_malas!$B$2:$B$5000,MATCH(H671,DB_malas!$A$2:$A$5000,0)),$H671="ORG"),"✔",tulkojums!$A$38),tulkojums!$A$39),tulkojums!$A$39))</f>
        <v/>
      </c>
      <c r="Q671" s="2" t="str">
        <f>IF(ISBLANK(I671),"",IF(INDEX(DB_materiali!$E$2:$E$5000,MATCH($C671,DB_materiali!$A$2:$A$5000,0))&gt;=INDEX(DB_malas!$C$2:$C$5000,MATCH(I671,DB_malas!$A$2:$A$5000,0)),IF(INDEX(DB_materiali!$E$2:$E$5000,MATCH($C671,DB_materiali!$A$2:$A$5000,0))&lt;=INDEX(DB_malas!$D$2:$D$5000,MATCH(I671,DB_malas!$A$2:$A$5000,0)),IF(OR(INDEX(DB_materiali!$B$2:$B$5000,MATCH($C671,DB_materiali!$A$2:$A$5000,0))=INDEX(DB_malas!$B$2:$B$5000,MATCH(I671,DB_malas!$A$2:$A$5000,0)),$H671="ORG"),"✔",tulkojums!$A$38),tulkojums!$A$39),tulkojums!$A$39))</f>
        <v/>
      </c>
      <c r="R671" s="2" t="str">
        <f>IF(ISBLANK(J671),"",IF(INDEX(DB_materiali!$E$2:$E$5000,MATCH($C671,DB_materiali!$A$2:$A$5000,0))&gt;=INDEX(DB_malas!$C$2:$C$5000,MATCH(J671,DB_malas!$A$2:$A$5000,0)),IF(INDEX(DB_materiali!$E$2:$E$5000,MATCH($C671,DB_materiali!$A$2:$A$5000,0))&lt;=INDEX(DB_malas!$D$2:$D$5000,MATCH(J671,DB_malas!$A$2:$A$5000,0)),IF(INDEX(DB_materiali!$B$2:$B$5000,MATCH($C671,DB_materiali!$A$2:$A$5000,0))=INDEX(DB_malas!$B$2:$B$5000,MATCH(J671,DB_malas!$A$2:$A$5000,0)),"✔",tulkojums!$A$38),tulkojums!$A$39),tulkojums!$A$39))</f>
        <v/>
      </c>
      <c r="S671" s="2" t="str">
        <f>IF(ISBLANK(K671),"",IF(INDEX(DB_materiali!$E$2:$E$5000,MATCH($C671,DB_materiali!$A$2:$A$5000,0))&gt;=INDEX(DB_malas!$C$2:$C$5000,MATCH(K671,DB_malas!$A$2:$A$5000,0)),IF(INDEX(DB_materiali!$E$2:$E$5000,MATCH($C671,DB_materiali!$A$2:$A$5000,0))&lt;=INDEX(DB_malas!$D$2:$D$5000,MATCH(K671,DB_malas!$A$2:$A$5000,0)),IF(INDEX(DB_materiali!$B$2:$B$5000,MATCH($C671,DB_materiali!$A$2:$A$5000,0))=INDEX(DB_malas!$B$2:$B$5000,MATCH(K671,DB_malas!$A$2:$A$5000,0)),"✔",tulkojums!$A$38),tulkojums!$A$39),tulkojums!$A$39))</f>
        <v/>
      </c>
      <c r="T671" s="2"/>
      <c r="U671" s="2"/>
      <c r="V671" s="2"/>
      <c r="W671" s="2"/>
      <c r="X671" s="2"/>
      <c r="Y671" s="2"/>
      <c r="Z671" s="2"/>
    </row>
    <row r="672" spans="1:26" ht="15.75" customHeight="1">
      <c r="A672" s="17"/>
      <c r="B672" s="18"/>
      <c r="C672" s="19"/>
      <c r="D672" s="55"/>
      <c r="E672" s="55"/>
      <c r="F672" s="56"/>
      <c r="G672" s="57" t="str">
        <f>IF(ISBLANK(C672),"",
   IFERROR(
      IF(
         INDEX(DB_materiali!C$2:C$5000,
               MATCH(C672, DB_materiali!A$2:A$5000, 0)
         )="FALSE",
         "N",
         "Y"
      ),
   "")
)</f>
        <v/>
      </c>
      <c r="H672" s="20"/>
      <c r="I672" s="20"/>
      <c r="J672" s="20"/>
      <c r="K672" s="20"/>
      <c r="M672" s="2" t="str">
        <f>IF(ISBLANK(C672),"",IF(IFERROR(VLOOKUP(C672,DB_materiali!$A$2:$A$5000,1,FALSE),"Kļūda artikulā")=C672,"✔",tulkojums!A$42))</f>
        <v/>
      </c>
      <c r="N672" s="2" t="str">
        <f>IF(ISBLANK(C672),"",IF(ISNUMBER(F672)=TRUE,"✔",tulkojums!A$43))</f>
        <v/>
      </c>
      <c r="O672" s="2" t="str">
        <f>IF(ISBLANK(C672),"",IF(G672="Y","✔",IF(G672="X","✔",IF(G672="N","✔",tulkojums!A$44))))</f>
        <v/>
      </c>
      <c r="P672" s="2" t="str">
        <f>IF(ISBLANK(H672),"",IF(INDEX(DB_materiali!$E$2:$E$5000,MATCH($C672,DB_materiali!$A$2:$A$5000,0))&gt;=INDEX(DB_malas!$C$2:$C$5000,MATCH(H672,DB_malas!$A$2:$A$5000,0)),IF(INDEX(DB_materiali!$E$2:$E$5000,MATCH($C672,DB_materiali!$A$2:$A$5000,0))&lt;=INDEX(DB_malas!$D$2:$D$5000,MATCH(H672,DB_malas!$A$2:$A$5000,0)),IF(OR(INDEX(DB_materiali!$B$2:$B$5000,MATCH($C672,DB_materiali!$A$2:$A$5000,0))=INDEX(DB_malas!$B$2:$B$5000,MATCH(H672,DB_malas!$A$2:$A$5000,0)),$H672="ORG"),"✔",tulkojums!$A$38),tulkojums!$A$39),tulkojums!$A$39))</f>
        <v/>
      </c>
      <c r="Q672" s="2" t="str">
        <f>IF(ISBLANK(I672),"",IF(INDEX(DB_materiali!$E$2:$E$5000,MATCH($C672,DB_materiali!$A$2:$A$5000,0))&gt;=INDEX(DB_malas!$C$2:$C$5000,MATCH(I672,DB_malas!$A$2:$A$5000,0)),IF(INDEX(DB_materiali!$E$2:$E$5000,MATCH($C672,DB_materiali!$A$2:$A$5000,0))&lt;=INDEX(DB_malas!$D$2:$D$5000,MATCH(I672,DB_malas!$A$2:$A$5000,0)),IF(OR(INDEX(DB_materiali!$B$2:$B$5000,MATCH($C672,DB_materiali!$A$2:$A$5000,0))=INDEX(DB_malas!$B$2:$B$5000,MATCH(I672,DB_malas!$A$2:$A$5000,0)),$H672="ORG"),"✔",tulkojums!$A$38),tulkojums!$A$39),tulkojums!$A$39))</f>
        <v/>
      </c>
      <c r="R672" s="2" t="str">
        <f>IF(ISBLANK(J672),"",IF(INDEX(DB_materiali!$E$2:$E$5000,MATCH($C672,DB_materiali!$A$2:$A$5000,0))&gt;=INDEX(DB_malas!$C$2:$C$5000,MATCH(J672,DB_malas!$A$2:$A$5000,0)),IF(INDEX(DB_materiali!$E$2:$E$5000,MATCH($C672,DB_materiali!$A$2:$A$5000,0))&lt;=INDEX(DB_malas!$D$2:$D$5000,MATCH(J672,DB_malas!$A$2:$A$5000,0)),IF(INDEX(DB_materiali!$B$2:$B$5000,MATCH($C672,DB_materiali!$A$2:$A$5000,0))=INDEX(DB_malas!$B$2:$B$5000,MATCH(J672,DB_malas!$A$2:$A$5000,0)),"✔",tulkojums!$A$38),tulkojums!$A$39),tulkojums!$A$39))</f>
        <v/>
      </c>
      <c r="S672" s="2" t="str">
        <f>IF(ISBLANK(K672),"",IF(INDEX(DB_materiali!$E$2:$E$5000,MATCH($C672,DB_materiali!$A$2:$A$5000,0))&gt;=INDEX(DB_malas!$C$2:$C$5000,MATCH(K672,DB_malas!$A$2:$A$5000,0)),IF(INDEX(DB_materiali!$E$2:$E$5000,MATCH($C672,DB_materiali!$A$2:$A$5000,0))&lt;=INDEX(DB_malas!$D$2:$D$5000,MATCH(K672,DB_malas!$A$2:$A$5000,0)),IF(INDEX(DB_materiali!$B$2:$B$5000,MATCH($C672,DB_materiali!$A$2:$A$5000,0))=INDEX(DB_malas!$B$2:$B$5000,MATCH(K672,DB_malas!$A$2:$A$5000,0)),"✔",tulkojums!$A$38),tulkojums!$A$39),tulkojums!$A$39))</f>
        <v/>
      </c>
      <c r="T672" s="2"/>
      <c r="U672" s="2"/>
      <c r="V672" s="2"/>
      <c r="W672" s="2"/>
      <c r="X672" s="2"/>
      <c r="Y672" s="2"/>
      <c r="Z672" s="2"/>
    </row>
    <row r="673" spans="1:26" ht="15.75" customHeight="1">
      <c r="A673" s="17"/>
      <c r="B673" s="18"/>
      <c r="C673" s="19"/>
      <c r="D673" s="55"/>
      <c r="E673" s="55"/>
      <c r="F673" s="56"/>
      <c r="G673" s="57" t="str">
        <f>IF(ISBLANK(C673),"",
   IFERROR(
      IF(
         INDEX(DB_materiali!C$2:C$5000,
               MATCH(C673, DB_materiali!A$2:A$5000, 0)
         )="FALSE",
         "N",
         "Y"
      ),
   "")
)</f>
        <v/>
      </c>
      <c r="H673" s="20"/>
      <c r="I673" s="20"/>
      <c r="J673" s="20"/>
      <c r="K673" s="20"/>
      <c r="M673" s="2" t="str">
        <f>IF(ISBLANK(C673),"",IF(IFERROR(VLOOKUP(C673,DB_materiali!$A$2:$A$5000,1,FALSE),"Kļūda artikulā")=C673,"✔",tulkojums!A$42))</f>
        <v/>
      </c>
      <c r="N673" s="2" t="str">
        <f>IF(ISBLANK(C673),"",IF(ISNUMBER(F673)=TRUE,"✔",tulkojums!A$43))</f>
        <v/>
      </c>
      <c r="O673" s="2" t="str">
        <f>IF(ISBLANK(C673),"",IF(G673="Y","✔",IF(G673="X","✔",IF(G673="N","✔",tulkojums!A$44))))</f>
        <v/>
      </c>
      <c r="P673" s="2" t="str">
        <f>IF(ISBLANK(H673),"",IF(INDEX(DB_materiali!$E$2:$E$5000,MATCH($C673,DB_materiali!$A$2:$A$5000,0))&gt;=INDEX(DB_malas!$C$2:$C$5000,MATCH(H673,DB_malas!$A$2:$A$5000,0)),IF(INDEX(DB_materiali!$E$2:$E$5000,MATCH($C673,DB_materiali!$A$2:$A$5000,0))&lt;=INDEX(DB_malas!$D$2:$D$5000,MATCH(H673,DB_malas!$A$2:$A$5000,0)),IF(OR(INDEX(DB_materiali!$B$2:$B$5000,MATCH($C673,DB_materiali!$A$2:$A$5000,0))=INDEX(DB_malas!$B$2:$B$5000,MATCH(H673,DB_malas!$A$2:$A$5000,0)),$H673="ORG"),"✔",tulkojums!$A$38),tulkojums!$A$39),tulkojums!$A$39))</f>
        <v/>
      </c>
      <c r="Q673" s="2" t="str">
        <f>IF(ISBLANK(I673),"",IF(INDEX(DB_materiali!$E$2:$E$5000,MATCH($C673,DB_materiali!$A$2:$A$5000,0))&gt;=INDEX(DB_malas!$C$2:$C$5000,MATCH(I673,DB_malas!$A$2:$A$5000,0)),IF(INDEX(DB_materiali!$E$2:$E$5000,MATCH($C673,DB_materiali!$A$2:$A$5000,0))&lt;=INDEX(DB_malas!$D$2:$D$5000,MATCH(I673,DB_malas!$A$2:$A$5000,0)),IF(OR(INDEX(DB_materiali!$B$2:$B$5000,MATCH($C673,DB_materiali!$A$2:$A$5000,0))=INDEX(DB_malas!$B$2:$B$5000,MATCH(I673,DB_malas!$A$2:$A$5000,0)),$H673="ORG"),"✔",tulkojums!$A$38),tulkojums!$A$39),tulkojums!$A$39))</f>
        <v/>
      </c>
      <c r="R673" s="2" t="str">
        <f>IF(ISBLANK(J673),"",IF(INDEX(DB_materiali!$E$2:$E$5000,MATCH($C673,DB_materiali!$A$2:$A$5000,0))&gt;=INDEX(DB_malas!$C$2:$C$5000,MATCH(J673,DB_malas!$A$2:$A$5000,0)),IF(INDEX(DB_materiali!$E$2:$E$5000,MATCH($C673,DB_materiali!$A$2:$A$5000,0))&lt;=INDEX(DB_malas!$D$2:$D$5000,MATCH(J673,DB_malas!$A$2:$A$5000,0)),IF(INDEX(DB_materiali!$B$2:$B$5000,MATCH($C673,DB_materiali!$A$2:$A$5000,0))=INDEX(DB_malas!$B$2:$B$5000,MATCH(J673,DB_malas!$A$2:$A$5000,0)),"✔",tulkojums!$A$38),tulkojums!$A$39),tulkojums!$A$39))</f>
        <v/>
      </c>
      <c r="S673" s="2" t="str">
        <f>IF(ISBLANK(K673),"",IF(INDEX(DB_materiali!$E$2:$E$5000,MATCH($C673,DB_materiali!$A$2:$A$5000,0))&gt;=INDEX(DB_malas!$C$2:$C$5000,MATCH(K673,DB_malas!$A$2:$A$5000,0)),IF(INDEX(DB_materiali!$E$2:$E$5000,MATCH($C673,DB_materiali!$A$2:$A$5000,0))&lt;=INDEX(DB_malas!$D$2:$D$5000,MATCH(K673,DB_malas!$A$2:$A$5000,0)),IF(INDEX(DB_materiali!$B$2:$B$5000,MATCH($C673,DB_materiali!$A$2:$A$5000,0))=INDEX(DB_malas!$B$2:$B$5000,MATCH(K673,DB_malas!$A$2:$A$5000,0)),"✔",tulkojums!$A$38),tulkojums!$A$39),tulkojums!$A$39))</f>
        <v/>
      </c>
      <c r="T673" s="2"/>
      <c r="U673" s="2"/>
      <c r="V673" s="2"/>
      <c r="W673" s="2"/>
      <c r="X673" s="2"/>
      <c r="Y673" s="2"/>
      <c r="Z673" s="2"/>
    </row>
    <row r="674" spans="1:26" ht="15.75" customHeight="1">
      <c r="A674" s="17"/>
      <c r="B674" s="18"/>
      <c r="C674" s="19"/>
      <c r="D674" s="55"/>
      <c r="E674" s="55"/>
      <c r="F674" s="56"/>
      <c r="G674" s="57" t="str">
        <f>IF(ISBLANK(C674),"",
   IFERROR(
      IF(
         INDEX(DB_materiali!C$2:C$5000,
               MATCH(C674, DB_materiali!A$2:A$5000, 0)
         )="FALSE",
         "N",
         "Y"
      ),
   "")
)</f>
        <v/>
      </c>
      <c r="H674" s="20"/>
      <c r="I674" s="20"/>
      <c r="J674" s="20"/>
      <c r="K674" s="20"/>
      <c r="M674" s="2" t="str">
        <f>IF(ISBLANK(C674),"",IF(IFERROR(VLOOKUP(C674,DB_materiali!$A$2:$A$5000,1,FALSE),"Kļūda artikulā")=C674,"✔",tulkojums!A$42))</f>
        <v/>
      </c>
      <c r="N674" s="2" t="str">
        <f>IF(ISBLANK(C674),"",IF(ISNUMBER(F674)=TRUE,"✔",tulkojums!A$43))</f>
        <v/>
      </c>
      <c r="O674" s="2" t="str">
        <f>IF(ISBLANK(C674),"",IF(G674="Y","✔",IF(G674="X","✔",IF(G674="N","✔",tulkojums!A$44))))</f>
        <v/>
      </c>
      <c r="P674" s="2" t="str">
        <f>IF(ISBLANK(H674),"",IF(INDEX(DB_materiali!$E$2:$E$5000,MATCH($C674,DB_materiali!$A$2:$A$5000,0))&gt;=INDEX(DB_malas!$C$2:$C$5000,MATCH(H674,DB_malas!$A$2:$A$5000,0)),IF(INDEX(DB_materiali!$E$2:$E$5000,MATCH($C674,DB_materiali!$A$2:$A$5000,0))&lt;=INDEX(DB_malas!$D$2:$D$5000,MATCH(H674,DB_malas!$A$2:$A$5000,0)),IF(OR(INDEX(DB_materiali!$B$2:$B$5000,MATCH($C674,DB_materiali!$A$2:$A$5000,0))=INDEX(DB_malas!$B$2:$B$5000,MATCH(H674,DB_malas!$A$2:$A$5000,0)),$H674="ORG"),"✔",tulkojums!$A$38),tulkojums!$A$39),tulkojums!$A$39))</f>
        <v/>
      </c>
      <c r="Q674" s="2" t="str">
        <f>IF(ISBLANK(I674),"",IF(INDEX(DB_materiali!$E$2:$E$5000,MATCH($C674,DB_materiali!$A$2:$A$5000,0))&gt;=INDEX(DB_malas!$C$2:$C$5000,MATCH(I674,DB_malas!$A$2:$A$5000,0)),IF(INDEX(DB_materiali!$E$2:$E$5000,MATCH($C674,DB_materiali!$A$2:$A$5000,0))&lt;=INDEX(DB_malas!$D$2:$D$5000,MATCH(I674,DB_malas!$A$2:$A$5000,0)),IF(OR(INDEX(DB_materiali!$B$2:$B$5000,MATCH($C674,DB_materiali!$A$2:$A$5000,0))=INDEX(DB_malas!$B$2:$B$5000,MATCH(I674,DB_malas!$A$2:$A$5000,0)),$H674="ORG"),"✔",tulkojums!$A$38),tulkojums!$A$39),tulkojums!$A$39))</f>
        <v/>
      </c>
      <c r="R674" s="2" t="str">
        <f>IF(ISBLANK(J674),"",IF(INDEX(DB_materiali!$E$2:$E$5000,MATCH($C674,DB_materiali!$A$2:$A$5000,0))&gt;=INDEX(DB_malas!$C$2:$C$5000,MATCH(J674,DB_malas!$A$2:$A$5000,0)),IF(INDEX(DB_materiali!$E$2:$E$5000,MATCH($C674,DB_materiali!$A$2:$A$5000,0))&lt;=INDEX(DB_malas!$D$2:$D$5000,MATCH(J674,DB_malas!$A$2:$A$5000,0)),IF(INDEX(DB_materiali!$B$2:$B$5000,MATCH($C674,DB_materiali!$A$2:$A$5000,0))=INDEX(DB_malas!$B$2:$B$5000,MATCH(J674,DB_malas!$A$2:$A$5000,0)),"✔",tulkojums!$A$38),tulkojums!$A$39),tulkojums!$A$39))</f>
        <v/>
      </c>
      <c r="S674" s="2" t="str">
        <f>IF(ISBLANK(K674),"",IF(INDEX(DB_materiali!$E$2:$E$5000,MATCH($C674,DB_materiali!$A$2:$A$5000,0))&gt;=INDEX(DB_malas!$C$2:$C$5000,MATCH(K674,DB_malas!$A$2:$A$5000,0)),IF(INDEX(DB_materiali!$E$2:$E$5000,MATCH($C674,DB_materiali!$A$2:$A$5000,0))&lt;=INDEX(DB_malas!$D$2:$D$5000,MATCH(K674,DB_malas!$A$2:$A$5000,0)),IF(INDEX(DB_materiali!$B$2:$B$5000,MATCH($C674,DB_materiali!$A$2:$A$5000,0))=INDEX(DB_malas!$B$2:$B$5000,MATCH(K674,DB_malas!$A$2:$A$5000,0)),"✔",tulkojums!$A$38),tulkojums!$A$39),tulkojums!$A$39))</f>
        <v/>
      </c>
      <c r="T674" s="2"/>
      <c r="U674" s="2"/>
      <c r="V674" s="2"/>
      <c r="W674" s="2"/>
      <c r="X674" s="2"/>
      <c r="Y674" s="2"/>
      <c r="Z674" s="2"/>
    </row>
    <row r="675" spans="1:26" ht="15.75" customHeight="1">
      <c r="A675" s="17"/>
      <c r="B675" s="18"/>
      <c r="C675" s="19"/>
      <c r="D675" s="55"/>
      <c r="E675" s="55"/>
      <c r="F675" s="56"/>
      <c r="G675" s="57" t="str">
        <f>IF(ISBLANK(C675),"",
   IFERROR(
      IF(
         INDEX(DB_materiali!C$2:C$5000,
               MATCH(C675, DB_materiali!A$2:A$5000, 0)
         )="FALSE",
         "N",
         "Y"
      ),
   "")
)</f>
        <v/>
      </c>
      <c r="H675" s="20"/>
      <c r="I675" s="20"/>
      <c r="J675" s="20"/>
      <c r="K675" s="20"/>
      <c r="M675" s="2" t="str">
        <f>IF(ISBLANK(C675),"",IF(IFERROR(VLOOKUP(C675,DB_materiali!$A$2:$A$5000,1,FALSE),"Kļūda artikulā")=C675,"✔",tulkojums!A$42))</f>
        <v/>
      </c>
      <c r="N675" s="2" t="str">
        <f>IF(ISBLANK(C675),"",IF(ISNUMBER(F675)=TRUE,"✔",tulkojums!A$43))</f>
        <v/>
      </c>
      <c r="O675" s="2" t="str">
        <f>IF(ISBLANK(C675),"",IF(G675="Y","✔",IF(G675="X","✔",IF(G675="N","✔",tulkojums!A$44))))</f>
        <v/>
      </c>
      <c r="P675" s="2" t="str">
        <f>IF(ISBLANK(H675),"",IF(INDEX(DB_materiali!$E$2:$E$5000,MATCH($C675,DB_materiali!$A$2:$A$5000,0))&gt;=INDEX(DB_malas!$C$2:$C$5000,MATCH(H675,DB_malas!$A$2:$A$5000,0)),IF(INDEX(DB_materiali!$E$2:$E$5000,MATCH($C675,DB_materiali!$A$2:$A$5000,0))&lt;=INDEX(DB_malas!$D$2:$D$5000,MATCH(H675,DB_malas!$A$2:$A$5000,0)),IF(OR(INDEX(DB_materiali!$B$2:$B$5000,MATCH($C675,DB_materiali!$A$2:$A$5000,0))=INDEX(DB_malas!$B$2:$B$5000,MATCH(H675,DB_malas!$A$2:$A$5000,0)),$H675="ORG"),"✔",tulkojums!$A$38),tulkojums!$A$39),tulkojums!$A$39))</f>
        <v/>
      </c>
      <c r="Q675" s="2" t="str">
        <f>IF(ISBLANK(I675),"",IF(INDEX(DB_materiali!$E$2:$E$5000,MATCH($C675,DB_materiali!$A$2:$A$5000,0))&gt;=INDEX(DB_malas!$C$2:$C$5000,MATCH(I675,DB_malas!$A$2:$A$5000,0)),IF(INDEX(DB_materiali!$E$2:$E$5000,MATCH($C675,DB_materiali!$A$2:$A$5000,0))&lt;=INDEX(DB_malas!$D$2:$D$5000,MATCH(I675,DB_malas!$A$2:$A$5000,0)),IF(OR(INDEX(DB_materiali!$B$2:$B$5000,MATCH($C675,DB_materiali!$A$2:$A$5000,0))=INDEX(DB_malas!$B$2:$B$5000,MATCH(I675,DB_malas!$A$2:$A$5000,0)),$H675="ORG"),"✔",tulkojums!$A$38),tulkojums!$A$39),tulkojums!$A$39))</f>
        <v/>
      </c>
      <c r="R675" s="2" t="str">
        <f>IF(ISBLANK(J675),"",IF(INDEX(DB_materiali!$E$2:$E$5000,MATCH($C675,DB_materiali!$A$2:$A$5000,0))&gt;=INDEX(DB_malas!$C$2:$C$5000,MATCH(J675,DB_malas!$A$2:$A$5000,0)),IF(INDEX(DB_materiali!$E$2:$E$5000,MATCH($C675,DB_materiali!$A$2:$A$5000,0))&lt;=INDEX(DB_malas!$D$2:$D$5000,MATCH(J675,DB_malas!$A$2:$A$5000,0)),IF(INDEX(DB_materiali!$B$2:$B$5000,MATCH($C675,DB_materiali!$A$2:$A$5000,0))=INDEX(DB_malas!$B$2:$B$5000,MATCH(J675,DB_malas!$A$2:$A$5000,0)),"✔",tulkojums!$A$38),tulkojums!$A$39),tulkojums!$A$39))</f>
        <v/>
      </c>
      <c r="S675" s="2" t="str">
        <f>IF(ISBLANK(K675),"",IF(INDEX(DB_materiali!$E$2:$E$5000,MATCH($C675,DB_materiali!$A$2:$A$5000,0))&gt;=INDEX(DB_malas!$C$2:$C$5000,MATCH(K675,DB_malas!$A$2:$A$5000,0)),IF(INDEX(DB_materiali!$E$2:$E$5000,MATCH($C675,DB_materiali!$A$2:$A$5000,0))&lt;=INDEX(DB_malas!$D$2:$D$5000,MATCH(K675,DB_malas!$A$2:$A$5000,0)),IF(INDEX(DB_materiali!$B$2:$B$5000,MATCH($C675,DB_materiali!$A$2:$A$5000,0))=INDEX(DB_malas!$B$2:$B$5000,MATCH(K675,DB_malas!$A$2:$A$5000,0)),"✔",tulkojums!$A$38),tulkojums!$A$39),tulkojums!$A$39))</f>
        <v/>
      </c>
      <c r="T675" s="2"/>
      <c r="U675" s="2"/>
      <c r="V675" s="2"/>
      <c r="W675" s="2"/>
      <c r="X675" s="2"/>
      <c r="Y675" s="2"/>
      <c r="Z675" s="2"/>
    </row>
    <row r="676" spans="1:26" ht="15.75" customHeight="1">
      <c r="A676" s="17"/>
      <c r="B676" s="18"/>
      <c r="C676" s="19"/>
      <c r="D676" s="55"/>
      <c r="E676" s="55"/>
      <c r="F676" s="56"/>
      <c r="G676" s="57" t="str">
        <f>IF(ISBLANK(C676),"",
   IFERROR(
      IF(
         INDEX(DB_materiali!C$2:C$5000,
               MATCH(C676, DB_materiali!A$2:A$5000, 0)
         )="FALSE",
         "N",
         "Y"
      ),
   "")
)</f>
        <v/>
      </c>
      <c r="H676" s="20"/>
      <c r="I676" s="20"/>
      <c r="J676" s="20"/>
      <c r="K676" s="20"/>
      <c r="M676" s="2" t="str">
        <f>IF(ISBLANK(C676),"",IF(IFERROR(VLOOKUP(C676,DB_materiali!$A$2:$A$5000,1,FALSE),"Kļūda artikulā")=C676,"✔",tulkojums!A$42))</f>
        <v/>
      </c>
      <c r="N676" s="2" t="str">
        <f>IF(ISBLANK(C676),"",IF(ISNUMBER(F676)=TRUE,"✔",tulkojums!A$43))</f>
        <v/>
      </c>
      <c r="O676" s="2" t="str">
        <f>IF(ISBLANK(C676),"",IF(G676="Y","✔",IF(G676="X","✔",IF(G676="N","✔",tulkojums!A$44))))</f>
        <v/>
      </c>
      <c r="P676" s="2" t="str">
        <f>IF(ISBLANK(H676),"",IF(INDEX(DB_materiali!$E$2:$E$5000,MATCH($C676,DB_materiali!$A$2:$A$5000,0))&gt;=INDEX(DB_malas!$C$2:$C$5000,MATCH(H676,DB_malas!$A$2:$A$5000,0)),IF(INDEX(DB_materiali!$E$2:$E$5000,MATCH($C676,DB_materiali!$A$2:$A$5000,0))&lt;=INDEX(DB_malas!$D$2:$D$5000,MATCH(H676,DB_malas!$A$2:$A$5000,0)),IF(OR(INDEX(DB_materiali!$B$2:$B$5000,MATCH($C676,DB_materiali!$A$2:$A$5000,0))=INDEX(DB_malas!$B$2:$B$5000,MATCH(H676,DB_malas!$A$2:$A$5000,0)),$H676="ORG"),"✔",tulkojums!$A$38),tulkojums!$A$39),tulkojums!$A$39))</f>
        <v/>
      </c>
      <c r="Q676" s="2" t="str">
        <f>IF(ISBLANK(I676),"",IF(INDEX(DB_materiali!$E$2:$E$5000,MATCH($C676,DB_materiali!$A$2:$A$5000,0))&gt;=INDEX(DB_malas!$C$2:$C$5000,MATCH(I676,DB_malas!$A$2:$A$5000,0)),IF(INDEX(DB_materiali!$E$2:$E$5000,MATCH($C676,DB_materiali!$A$2:$A$5000,0))&lt;=INDEX(DB_malas!$D$2:$D$5000,MATCH(I676,DB_malas!$A$2:$A$5000,0)),IF(OR(INDEX(DB_materiali!$B$2:$B$5000,MATCH($C676,DB_materiali!$A$2:$A$5000,0))=INDEX(DB_malas!$B$2:$B$5000,MATCH(I676,DB_malas!$A$2:$A$5000,0)),$H676="ORG"),"✔",tulkojums!$A$38),tulkojums!$A$39),tulkojums!$A$39))</f>
        <v/>
      </c>
      <c r="R676" s="2" t="str">
        <f>IF(ISBLANK(J676),"",IF(INDEX(DB_materiali!$E$2:$E$5000,MATCH($C676,DB_materiali!$A$2:$A$5000,0))&gt;=INDEX(DB_malas!$C$2:$C$5000,MATCH(J676,DB_malas!$A$2:$A$5000,0)),IF(INDEX(DB_materiali!$E$2:$E$5000,MATCH($C676,DB_materiali!$A$2:$A$5000,0))&lt;=INDEX(DB_malas!$D$2:$D$5000,MATCH(J676,DB_malas!$A$2:$A$5000,0)),IF(INDEX(DB_materiali!$B$2:$B$5000,MATCH($C676,DB_materiali!$A$2:$A$5000,0))=INDEX(DB_malas!$B$2:$B$5000,MATCH(J676,DB_malas!$A$2:$A$5000,0)),"✔",tulkojums!$A$38),tulkojums!$A$39),tulkojums!$A$39))</f>
        <v/>
      </c>
      <c r="S676" s="2" t="str">
        <f>IF(ISBLANK(K676),"",IF(INDEX(DB_materiali!$E$2:$E$5000,MATCH($C676,DB_materiali!$A$2:$A$5000,0))&gt;=INDEX(DB_malas!$C$2:$C$5000,MATCH(K676,DB_malas!$A$2:$A$5000,0)),IF(INDEX(DB_materiali!$E$2:$E$5000,MATCH($C676,DB_materiali!$A$2:$A$5000,0))&lt;=INDEX(DB_malas!$D$2:$D$5000,MATCH(K676,DB_malas!$A$2:$A$5000,0)),IF(INDEX(DB_materiali!$B$2:$B$5000,MATCH($C676,DB_materiali!$A$2:$A$5000,0))=INDEX(DB_malas!$B$2:$B$5000,MATCH(K676,DB_malas!$A$2:$A$5000,0)),"✔",tulkojums!$A$38),tulkojums!$A$39),tulkojums!$A$39))</f>
        <v/>
      </c>
      <c r="T676" s="2"/>
      <c r="U676" s="2"/>
      <c r="V676" s="2"/>
      <c r="W676" s="2"/>
      <c r="X676" s="2"/>
      <c r="Y676" s="2"/>
      <c r="Z676" s="2"/>
    </row>
    <row r="677" spans="1:26" ht="15.75" customHeight="1">
      <c r="A677" s="17"/>
      <c r="B677" s="18"/>
      <c r="C677" s="19"/>
      <c r="D677" s="55"/>
      <c r="E677" s="55"/>
      <c r="F677" s="56"/>
      <c r="G677" s="57" t="str">
        <f>IF(ISBLANK(C677),"",
   IFERROR(
      IF(
         INDEX(DB_materiali!C$2:C$5000,
               MATCH(C677, DB_materiali!A$2:A$5000, 0)
         )="FALSE",
         "N",
         "Y"
      ),
   "")
)</f>
        <v/>
      </c>
      <c r="H677" s="20"/>
      <c r="I677" s="20"/>
      <c r="J677" s="20"/>
      <c r="K677" s="20"/>
      <c r="M677" s="2" t="str">
        <f>IF(ISBLANK(C677),"",IF(IFERROR(VLOOKUP(C677,DB_materiali!$A$2:$A$5000,1,FALSE),"Kļūda artikulā")=C677,"✔",tulkojums!A$42))</f>
        <v/>
      </c>
      <c r="N677" s="2" t="str">
        <f>IF(ISBLANK(C677),"",IF(ISNUMBER(F677)=TRUE,"✔",tulkojums!A$43))</f>
        <v/>
      </c>
      <c r="O677" s="2" t="str">
        <f>IF(ISBLANK(C677),"",IF(G677="Y","✔",IF(G677="X","✔",IF(G677="N","✔",tulkojums!A$44))))</f>
        <v/>
      </c>
      <c r="P677" s="2" t="str">
        <f>IF(ISBLANK(H677),"",IF(INDEX(DB_materiali!$E$2:$E$5000,MATCH($C677,DB_materiali!$A$2:$A$5000,0))&gt;=INDEX(DB_malas!$C$2:$C$5000,MATCH(H677,DB_malas!$A$2:$A$5000,0)),IF(INDEX(DB_materiali!$E$2:$E$5000,MATCH($C677,DB_materiali!$A$2:$A$5000,0))&lt;=INDEX(DB_malas!$D$2:$D$5000,MATCH(H677,DB_malas!$A$2:$A$5000,0)),IF(OR(INDEX(DB_materiali!$B$2:$B$5000,MATCH($C677,DB_materiali!$A$2:$A$5000,0))=INDEX(DB_malas!$B$2:$B$5000,MATCH(H677,DB_malas!$A$2:$A$5000,0)),$H677="ORG"),"✔",tulkojums!$A$38),tulkojums!$A$39),tulkojums!$A$39))</f>
        <v/>
      </c>
      <c r="Q677" s="2" t="str">
        <f>IF(ISBLANK(I677),"",IF(INDEX(DB_materiali!$E$2:$E$5000,MATCH($C677,DB_materiali!$A$2:$A$5000,0))&gt;=INDEX(DB_malas!$C$2:$C$5000,MATCH(I677,DB_malas!$A$2:$A$5000,0)),IF(INDEX(DB_materiali!$E$2:$E$5000,MATCH($C677,DB_materiali!$A$2:$A$5000,0))&lt;=INDEX(DB_malas!$D$2:$D$5000,MATCH(I677,DB_malas!$A$2:$A$5000,0)),IF(OR(INDEX(DB_materiali!$B$2:$B$5000,MATCH($C677,DB_materiali!$A$2:$A$5000,0))=INDEX(DB_malas!$B$2:$B$5000,MATCH(I677,DB_malas!$A$2:$A$5000,0)),$H677="ORG"),"✔",tulkojums!$A$38),tulkojums!$A$39),tulkojums!$A$39))</f>
        <v/>
      </c>
      <c r="R677" s="2" t="str">
        <f>IF(ISBLANK(J677),"",IF(INDEX(DB_materiali!$E$2:$E$5000,MATCH($C677,DB_materiali!$A$2:$A$5000,0))&gt;=INDEX(DB_malas!$C$2:$C$5000,MATCH(J677,DB_malas!$A$2:$A$5000,0)),IF(INDEX(DB_materiali!$E$2:$E$5000,MATCH($C677,DB_materiali!$A$2:$A$5000,0))&lt;=INDEX(DB_malas!$D$2:$D$5000,MATCH(J677,DB_malas!$A$2:$A$5000,0)),IF(INDEX(DB_materiali!$B$2:$B$5000,MATCH($C677,DB_materiali!$A$2:$A$5000,0))=INDEX(DB_malas!$B$2:$B$5000,MATCH(J677,DB_malas!$A$2:$A$5000,0)),"✔",tulkojums!$A$38),tulkojums!$A$39),tulkojums!$A$39))</f>
        <v/>
      </c>
      <c r="S677" s="2" t="str">
        <f>IF(ISBLANK(K677),"",IF(INDEX(DB_materiali!$E$2:$E$5000,MATCH($C677,DB_materiali!$A$2:$A$5000,0))&gt;=INDEX(DB_malas!$C$2:$C$5000,MATCH(K677,DB_malas!$A$2:$A$5000,0)),IF(INDEX(DB_materiali!$E$2:$E$5000,MATCH($C677,DB_materiali!$A$2:$A$5000,0))&lt;=INDEX(DB_malas!$D$2:$D$5000,MATCH(K677,DB_malas!$A$2:$A$5000,0)),IF(INDEX(DB_materiali!$B$2:$B$5000,MATCH($C677,DB_materiali!$A$2:$A$5000,0))=INDEX(DB_malas!$B$2:$B$5000,MATCH(K677,DB_malas!$A$2:$A$5000,0)),"✔",tulkojums!$A$38),tulkojums!$A$39),tulkojums!$A$39))</f>
        <v/>
      </c>
      <c r="T677" s="2"/>
      <c r="U677" s="2"/>
      <c r="V677" s="2"/>
      <c r="W677" s="2"/>
      <c r="X677" s="2"/>
      <c r="Y677" s="2"/>
      <c r="Z677" s="2"/>
    </row>
    <row r="678" spans="1:26" ht="15.75" customHeight="1">
      <c r="A678" s="17"/>
      <c r="B678" s="18"/>
      <c r="C678" s="19"/>
      <c r="D678" s="55"/>
      <c r="E678" s="55"/>
      <c r="F678" s="56"/>
      <c r="G678" s="57" t="str">
        <f>IF(ISBLANK(C678),"",
   IFERROR(
      IF(
         INDEX(DB_materiali!C$2:C$5000,
               MATCH(C678, DB_materiali!A$2:A$5000, 0)
         )="FALSE",
         "N",
         "Y"
      ),
   "")
)</f>
        <v/>
      </c>
      <c r="H678" s="20"/>
      <c r="I678" s="20"/>
      <c r="J678" s="20"/>
      <c r="K678" s="20"/>
      <c r="M678" s="2" t="str">
        <f>IF(ISBLANK(C678),"",IF(IFERROR(VLOOKUP(C678,DB_materiali!$A$2:$A$5000,1,FALSE),"Kļūda artikulā")=C678,"✔",tulkojums!A$42))</f>
        <v/>
      </c>
      <c r="N678" s="2" t="str">
        <f>IF(ISBLANK(C678),"",IF(ISNUMBER(F678)=TRUE,"✔",tulkojums!A$43))</f>
        <v/>
      </c>
      <c r="O678" s="2" t="str">
        <f>IF(ISBLANK(C678),"",IF(G678="Y","✔",IF(G678="X","✔",IF(G678="N","✔",tulkojums!A$44))))</f>
        <v/>
      </c>
      <c r="P678" s="2" t="str">
        <f>IF(ISBLANK(H678),"",IF(INDEX(DB_materiali!$E$2:$E$5000,MATCH($C678,DB_materiali!$A$2:$A$5000,0))&gt;=INDEX(DB_malas!$C$2:$C$5000,MATCH(H678,DB_malas!$A$2:$A$5000,0)),IF(INDEX(DB_materiali!$E$2:$E$5000,MATCH($C678,DB_materiali!$A$2:$A$5000,0))&lt;=INDEX(DB_malas!$D$2:$D$5000,MATCH(H678,DB_malas!$A$2:$A$5000,0)),IF(OR(INDEX(DB_materiali!$B$2:$B$5000,MATCH($C678,DB_materiali!$A$2:$A$5000,0))=INDEX(DB_malas!$B$2:$B$5000,MATCH(H678,DB_malas!$A$2:$A$5000,0)),$H678="ORG"),"✔",tulkojums!$A$38),tulkojums!$A$39),tulkojums!$A$39))</f>
        <v/>
      </c>
      <c r="Q678" s="2" t="str">
        <f>IF(ISBLANK(I678),"",IF(INDEX(DB_materiali!$E$2:$E$5000,MATCH($C678,DB_materiali!$A$2:$A$5000,0))&gt;=INDEX(DB_malas!$C$2:$C$5000,MATCH(I678,DB_malas!$A$2:$A$5000,0)),IF(INDEX(DB_materiali!$E$2:$E$5000,MATCH($C678,DB_materiali!$A$2:$A$5000,0))&lt;=INDEX(DB_malas!$D$2:$D$5000,MATCH(I678,DB_malas!$A$2:$A$5000,0)),IF(OR(INDEX(DB_materiali!$B$2:$B$5000,MATCH($C678,DB_materiali!$A$2:$A$5000,0))=INDEX(DB_malas!$B$2:$B$5000,MATCH(I678,DB_malas!$A$2:$A$5000,0)),$H678="ORG"),"✔",tulkojums!$A$38),tulkojums!$A$39),tulkojums!$A$39))</f>
        <v/>
      </c>
      <c r="R678" s="2" t="str">
        <f>IF(ISBLANK(J678),"",IF(INDEX(DB_materiali!$E$2:$E$5000,MATCH($C678,DB_materiali!$A$2:$A$5000,0))&gt;=INDEX(DB_malas!$C$2:$C$5000,MATCH(J678,DB_malas!$A$2:$A$5000,0)),IF(INDEX(DB_materiali!$E$2:$E$5000,MATCH($C678,DB_materiali!$A$2:$A$5000,0))&lt;=INDEX(DB_malas!$D$2:$D$5000,MATCH(J678,DB_malas!$A$2:$A$5000,0)),IF(INDEX(DB_materiali!$B$2:$B$5000,MATCH($C678,DB_materiali!$A$2:$A$5000,0))=INDEX(DB_malas!$B$2:$B$5000,MATCH(J678,DB_malas!$A$2:$A$5000,0)),"✔",tulkojums!$A$38),tulkojums!$A$39),tulkojums!$A$39))</f>
        <v/>
      </c>
      <c r="S678" s="2" t="str">
        <f>IF(ISBLANK(K678),"",IF(INDEX(DB_materiali!$E$2:$E$5000,MATCH($C678,DB_materiali!$A$2:$A$5000,0))&gt;=INDEX(DB_malas!$C$2:$C$5000,MATCH(K678,DB_malas!$A$2:$A$5000,0)),IF(INDEX(DB_materiali!$E$2:$E$5000,MATCH($C678,DB_materiali!$A$2:$A$5000,0))&lt;=INDEX(DB_malas!$D$2:$D$5000,MATCH(K678,DB_malas!$A$2:$A$5000,0)),IF(INDEX(DB_materiali!$B$2:$B$5000,MATCH($C678,DB_materiali!$A$2:$A$5000,0))=INDEX(DB_malas!$B$2:$B$5000,MATCH(K678,DB_malas!$A$2:$A$5000,0)),"✔",tulkojums!$A$38),tulkojums!$A$39),tulkojums!$A$39))</f>
        <v/>
      </c>
      <c r="T678" s="2"/>
      <c r="U678" s="2"/>
      <c r="V678" s="2"/>
      <c r="W678" s="2"/>
      <c r="X678" s="2"/>
      <c r="Y678" s="2"/>
      <c r="Z678" s="2"/>
    </row>
    <row r="679" spans="1:26" ht="15.75" customHeight="1">
      <c r="A679" s="17"/>
      <c r="B679" s="18"/>
      <c r="C679" s="19"/>
      <c r="D679" s="55"/>
      <c r="E679" s="55"/>
      <c r="F679" s="56"/>
      <c r="G679" s="57" t="str">
        <f>IF(ISBLANK(C679),"",
   IFERROR(
      IF(
         INDEX(DB_materiali!C$2:C$5000,
               MATCH(C679, DB_materiali!A$2:A$5000, 0)
         )="FALSE",
         "N",
         "Y"
      ),
   "")
)</f>
        <v/>
      </c>
      <c r="H679" s="20"/>
      <c r="I679" s="20"/>
      <c r="J679" s="20"/>
      <c r="K679" s="20"/>
      <c r="M679" s="2" t="str">
        <f>IF(ISBLANK(C679),"",IF(IFERROR(VLOOKUP(C679,DB_materiali!$A$2:$A$5000,1,FALSE),"Kļūda artikulā")=C679,"✔",tulkojums!A$42))</f>
        <v/>
      </c>
      <c r="N679" s="2" t="str">
        <f>IF(ISBLANK(C679),"",IF(ISNUMBER(F679)=TRUE,"✔",tulkojums!A$43))</f>
        <v/>
      </c>
      <c r="O679" s="2" t="str">
        <f>IF(ISBLANK(C679),"",IF(G679="Y","✔",IF(G679="X","✔",IF(G679="N","✔",tulkojums!A$44))))</f>
        <v/>
      </c>
      <c r="P679" s="2" t="str">
        <f>IF(ISBLANK(H679),"",IF(INDEX(DB_materiali!$E$2:$E$5000,MATCH($C679,DB_materiali!$A$2:$A$5000,0))&gt;=INDEX(DB_malas!$C$2:$C$5000,MATCH(H679,DB_malas!$A$2:$A$5000,0)),IF(INDEX(DB_materiali!$E$2:$E$5000,MATCH($C679,DB_materiali!$A$2:$A$5000,0))&lt;=INDEX(DB_malas!$D$2:$D$5000,MATCH(H679,DB_malas!$A$2:$A$5000,0)),IF(OR(INDEX(DB_materiali!$B$2:$B$5000,MATCH($C679,DB_materiali!$A$2:$A$5000,0))=INDEX(DB_malas!$B$2:$B$5000,MATCH(H679,DB_malas!$A$2:$A$5000,0)),$H679="ORG"),"✔",tulkojums!$A$38),tulkojums!$A$39),tulkojums!$A$39))</f>
        <v/>
      </c>
      <c r="Q679" s="2" t="str">
        <f>IF(ISBLANK(I679),"",IF(INDEX(DB_materiali!$E$2:$E$5000,MATCH($C679,DB_materiali!$A$2:$A$5000,0))&gt;=INDEX(DB_malas!$C$2:$C$5000,MATCH(I679,DB_malas!$A$2:$A$5000,0)),IF(INDEX(DB_materiali!$E$2:$E$5000,MATCH($C679,DB_materiali!$A$2:$A$5000,0))&lt;=INDEX(DB_malas!$D$2:$D$5000,MATCH(I679,DB_malas!$A$2:$A$5000,0)),IF(OR(INDEX(DB_materiali!$B$2:$B$5000,MATCH($C679,DB_materiali!$A$2:$A$5000,0))=INDEX(DB_malas!$B$2:$B$5000,MATCH(I679,DB_malas!$A$2:$A$5000,0)),$H679="ORG"),"✔",tulkojums!$A$38),tulkojums!$A$39),tulkojums!$A$39))</f>
        <v/>
      </c>
      <c r="R679" s="2" t="str">
        <f>IF(ISBLANK(J679),"",IF(INDEX(DB_materiali!$E$2:$E$5000,MATCH($C679,DB_materiali!$A$2:$A$5000,0))&gt;=INDEX(DB_malas!$C$2:$C$5000,MATCH(J679,DB_malas!$A$2:$A$5000,0)),IF(INDEX(DB_materiali!$E$2:$E$5000,MATCH($C679,DB_materiali!$A$2:$A$5000,0))&lt;=INDEX(DB_malas!$D$2:$D$5000,MATCH(J679,DB_malas!$A$2:$A$5000,0)),IF(INDEX(DB_materiali!$B$2:$B$5000,MATCH($C679,DB_materiali!$A$2:$A$5000,0))=INDEX(DB_malas!$B$2:$B$5000,MATCH(J679,DB_malas!$A$2:$A$5000,0)),"✔",tulkojums!$A$38),tulkojums!$A$39),tulkojums!$A$39))</f>
        <v/>
      </c>
      <c r="S679" s="2" t="str">
        <f>IF(ISBLANK(K679),"",IF(INDEX(DB_materiali!$E$2:$E$5000,MATCH($C679,DB_materiali!$A$2:$A$5000,0))&gt;=INDEX(DB_malas!$C$2:$C$5000,MATCH(K679,DB_malas!$A$2:$A$5000,0)),IF(INDEX(DB_materiali!$E$2:$E$5000,MATCH($C679,DB_materiali!$A$2:$A$5000,0))&lt;=INDEX(DB_malas!$D$2:$D$5000,MATCH(K679,DB_malas!$A$2:$A$5000,0)),IF(INDEX(DB_materiali!$B$2:$B$5000,MATCH($C679,DB_materiali!$A$2:$A$5000,0))=INDEX(DB_malas!$B$2:$B$5000,MATCH(K679,DB_malas!$A$2:$A$5000,0)),"✔",tulkojums!$A$38),tulkojums!$A$39),tulkojums!$A$39))</f>
        <v/>
      </c>
      <c r="T679" s="2"/>
      <c r="U679" s="2"/>
      <c r="V679" s="2"/>
      <c r="W679" s="2"/>
      <c r="X679" s="2"/>
      <c r="Y679" s="2"/>
      <c r="Z679" s="2"/>
    </row>
    <row r="680" spans="1:26" ht="15.75" customHeight="1">
      <c r="A680" s="17"/>
      <c r="B680" s="18"/>
      <c r="C680" s="19"/>
      <c r="D680" s="55"/>
      <c r="E680" s="55"/>
      <c r="F680" s="56"/>
      <c r="G680" s="57" t="str">
        <f>IF(ISBLANK(C680),"",
   IFERROR(
      IF(
         INDEX(DB_materiali!C$2:C$5000,
               MATCH(C680, DB_materiali!A$2:A$5000, 0)
         )="FALSE",
         "N",
         "Y"
      ),
   "")
)</f>
        <v/>
      </c>
      <c r="H680" s="20"/>
      <c r="I680" s="20"/>
      <c r="J680" s="20"/>
      <c r="K680" s="20"/>
      <c r="M680" s="2" t="str">
        <f>IF(ISBLANK(C680),"",IF(IFERROR(VLOOKUP(C680,DB_materiali!$A$2:$A$5000,1,FALSE),"Kļūda artikulā")=C680,"✔",tulkojums!A$42))</f>
        <v/>
      </c>
      <c r="N680" s="2" t="str">
        <f>IF(ISBLANK(C680),"",IF(ISNUMBER(F680)=TRUE,"✔",tulkojums!A$43))</f>
        <v/>
      </c>
      <c r="O680" s="2" t="str">
        <f>IF(ISBLANK(C680),"",IF(G680="Y","✔",IF(G680="X","✔",IF(G680="N","✔",tulkojums!A$44))))</f>
        <v/>
      </c>
      <c r="P680" s="2" t="str">
        <f>IF(ISBLANK(H680),"",IF(INDEX(DB_materiali!$E$2:$E$5000,MATCH($C680,DB_materiali!$A$2:$A$5000,0))&gt;=INDEX(DB_malas!$C$2:$C$5000,MATCH(H680,DB_malas!$A$2:$A$5000,0)),IF(INDEX(DB_materiali!$E$2:$E$5000,MATCH($C680,DB_materiali!$A$2:$A$5000,0))&lt;=INDEX(DB_malas!$D$2:$D$5000,MATCH(H680,DB_malas!$A$2:$A$5000,0)),IF(OR(INDEX(DB_materiali!$B$2:$B$5000,MATCH($C680,DB_materiali!$A$2:$A$5000,0))=INDEX(DB_malas!$B$2:$B$5000,MATCH(H680,DB_malas!$A$2:$A$5000,0)),$H680="ORG"),"✔",tulkojums!$A$38),tulkojums!$A$39),tulkojums!$A$39))</f>
        <v/>
      </c>
      <c r="Q680" s="2" t="str">
        <f>IF(ISBLANK(I680),"",IF(INDEX(DB_materiali!$E$2:$E$5000,MATCH($C680,DB_materiali!$A$2:$A$5000,0))&gt;=INDEX(DB_malas!$C$2:$C$5000,MATCH(I680,DB_malas!$A$2:$A$5000,0)),IF(INDEX(DB_materiali!$E$2:$E$5000,MATCH($C680,DB_materiali!$A$2:$A$5000,0))&lt;=INDEX(DB_malas!$D$2:$D$5000,MATCH(I680,DB_malas!$A$2:$A$5000,0)),IF(OR(INDEX(DB_materiali!$B$2:$B$5000,MATCH($C680,DB_materiali!$A$2:$A$5000,0))=INDEX(DB_malas!$B$2:$B$5000,MATCH(I680,DB_malas!$A$2:$A$5000,0)),$H680="ORG"),"✔",tulkojums!$A$38),tulkojums!$A$39),tulkojums!$A$39))</f>
        <v/>
      </c>
      <c r="R680" s="2" t="str">
        <f>IF(ISBLANK(J680),"",IF(INDEX(DB_materiali!$E$2:$E$5000,MATCH($C680,DB_materiali!$A$2:$A$5000,0))&gt;=INDEX(DB_malas!$C$2:$C$5000,MATCH(J680,DB_malas!$A$2:$A$5000,0)),IF(INDEX(DB_materiali!$E$2:$E$5000,MATCH($C680,DB_materiali!$A$2:$A$5000,0))&lt;=INDEX(DB_malas!$D$2:$D$5000,MATCH(J680,DB_malas!$A$2:$A$5000,0)),IF(INDEX(DB_materiali!$B$2:$B$5000,MATCH($C680,DB_materiali!$A$2:$A$5000,0))=INDEX(DB_malas!$B$2:$B$5000,MATCH(J680,DB_malas!$A$2:$A$5000,0)),"✔",tulkojums!$A$38),tulkojums!$A$39),tulkojums!$A$39))</f>
        <v/>
      </c>
      <c r="S680" s="2" t="str">
        <f>IF(ISBLANK(K680),"",IF(INDEX(DB_materiali!$E$2:$E$5000,MATCH($C680,DB_materiali!$A$2:$A$5000,0))&gt;=INDEX(DB_malas!$C$2:$C$5000,MATCH(K680,DB_malas!$A$2:$A$5000,0)),IF(INDEX(DB_materiali!$E$2:$E$5000,MATCH($C680,DB_materiali!$A$2:$A$5000,0))&lt;=INDEX(DB_malas!$D$2:$D$5000,MATCH(K680,DB_malas!$A$2:$A$5000,0)),IF(INDEX(DB_materiali!$B$2:$B$5000,MATCH($C680,DB_materiali!$A$2:$A$5000,0))=INDEX(DB_malas!$B$2:$B$5000,MATCH(K680,DB_malas!$A$2:$A$5000,0)),"✔",tulkojums!$A$38),tulkojums!$A$39),tulkojums!$A$39))</f>
        <v/>
      </c>
      <c r="T680" s="2"/>
      <c r="U680" s="2"/>
      <c r="V680" s="2"/>
      <c r="W680" s="2"/>
      <c r="X680" s="2"/>
      <c r="Y680" s="2"/>
      <c r="Z680" s="2"/>
    </row>
    <row r="681" spans="1:26" ht="15.75" customHeight="1">
      <c r="A681" s="17"/>
      <c r="B681" s="18"/>
      <c r="C681" s="19"/>
      <c r="D681" s="55"/>
      <c r="E681" s="55"/>
      <c r="F681" s="56"/>
      <c r="G681" s="57" t="str">
        <f>IF(ISBLANK(C681),"",
   IFERROR(
      IF(
         INDEX(DB_materiali!C$2:C$5000,
               MATCH(C681, DB_materiali!A$2:A$5000, 0)
         )="FALSE",
         "N",
         "Y"
      ),
   "")
)</f>
        <v/>
      </c>
      <c r="H681" s="20"/>
      <c r="I681" s="20"/>
      <c r="J681" s="20"/>
      <c r="K681" s="20"/>
      <c r="M681" s="2" t="str">
        <f>IF(ISBLANK(C681),"",IF(IFERROR(VLOOKUP(C681,DB_materiali!$A$2:$A$5000,1,FALSE),"Kļūda artikulā")=C681,"✔",tulkojums!A$42))</f>
        <v/>
      </c>
      <c r="N681" s="2" t="str">
        <f>IF(ISBLANK(C681),"",IF(ISNUMBER(F681)=TRUE,"✔",tulkojums!A$43))</f>
        <v/>
      </c>
      <c r="O681" s="2" t="str">
        <f>IF(ISBLANK(C681),"",IF(G681="Y","✔",IF(G681="X","✔",IF(G681="N","✔",tulkojums!A$44))))</f>
        <v/>
      </c>
      <c r="P681" s="2" t="str">
        <f>IF(ISBLANK(H681),"",IF(INDEX(DB_materiali!$E$2:$E$5000,MATCH($C681,DB_materiali!$A$2:$A$5000,0))&gt;=INDEX(DB_malas!$C$2:$C$5000,MATCH(H681,DB_malas!$A$2:$A$5000,0)),IF(INDEX(DB_materiali!$E$2:$E$5000,MATCH($C681,DB_materiali!$A$2:$A$5000,0))&lt;=INDEX(DB_malas!$D$2:$D$5000,MATCH(H681,DB_malas!$A$2:$A$5000,0)),IF(OR(INDEX(DB_materiali!$B$2:$B$5000,MATCH($C681,DB_materiali!$A$2:$A$5000,0))=INDEX(DB_malas!$B$2:$B$5000,MATCH(H681,DB_malas!$A$2:$A$5000,0)),$H681="ORG"),"✔",tulkojums!$A$38),tulkojums!$A$39),tulkojums!$A$39))</f>
        <v/>
      </c>
      <c r="Q681" s="2" t="str">
        <f>IF(ISBLANK(I681),"",IF(INDEX(DB_materiali!$E$2:$E$5000,MATCH($C681,DB_materiali!$A$2:$A$5000,0))&gt;=INDEX(DB_malas!$C$2:$C$5000,MATCH(I681,DB_malas!$A$2:$A$5000,0)),IF(INDEX(DB_materiali!$E$2:$E$5000,MATCH($C681,DB_materiali!$A$2:$A$5000,0))&lt;=INDEX(DB_malas!$D$2:$D$5000,MATCH(I681,DB_malas!$A$2:$A$5000,0)),IF(OR(INDEX(DB_materiali!$B$2:$B$5000,MATCH($C681,DB_materiali!$A$2:$A$5000,0))=INDEX(DB_malas!$B$2:$B$5000,MATCH(I681,DB_malas!$A$2:$A$5000,0)),$H681="ORG"),"✔",tulkojums!$A$38),tulkojums!$A$39),tulkojums!$A$39))</f>
        <v/>
      </c>
      <c r="R681" s="2" t="str">
        <f>IF(ISBLANK(J681),"",IF(INDEX(DB_materiali!$E$2:$E$5000,MATCH($C681,DB_materiali!$A$2:$A$5000,0))&gt;=INDEX(DB_malas!$C$2:$C$5000,MATCH(J681,DB_malas!$A$2:$A$5000,0)),IF(INDEX(DB_materiali!$E$2:$E$5000,MATCH($C681,DB_materiali!$A$2:$A$5000,0))&lt;=INDEX(DB_malas!$D$2:$D$5000,MATCH(J681,DB_malas!$A$2:$A$5000,0)),IF(INDEX(DB_materiali!$B$2:$B$5000,MATCH($C681,DB_materiali!$A$2:$A$5000,0))=INDEX(DB_malas!$B$2:$B$5000,MATCH(J681,DB_malas!$A$2:$A$5000,0)),"✔",tulkojums!$A$38),tulkojums!$A$39),tulkojums!$A$39))</f>
        <v/>
      </c>
      <c r="S681" s="2" t="str">
        <f>IF(ISBLANK(K681),"",IF(INDEX(DB_materiali!$E$2:$E$5000,MATCH($C681,DB_materiali!$A$2:$A$5000,0))&gt;=INDEX(DB_malas!$C$2:$C$5000,MATCH(K681,DB_malas!$A$2:$A$5000,0)),IF(INDEX(DB_materiali!$E$2:$E$5000,MATCH($C681,DB_materiali!$A$2:$A$5000,0))&lt;=INDEX(DB_malas!$D$2:$D$5000,MATCH(K681,DB_malas!$A$2:$A$5000,0)),IF(INDEX(DB_materiali!$B$2:$B$5000,MATCH($C681,DB_materiali!$A$2:$A$5000,0))=INDEX(DB_malas!$B$2:$B$5000,MATCH(K681,DB_malas!$A$2:$A$5000,0)),"✔",tulkojums!$A$38),tulkojums!$A$39),tulkojums!$A$39))</f>
        <v/>
      </c>
      <c r="T681" s="2"/>
      <c r="U681" s="2"/>
      <c r="V681" s="2"/>
      <c r="W681" s="2"/>
      <c r="X681" s="2"/>
      <c r="Y681" s="2"/>
      <c r="Z681" s="2"/>
    </row>
    <row r="682" spans="1:26" ht="15.75" customHeight="1">
      <c r="A682" s="17"/>
      <c r="B682" s="18"/>
      <c r="C682" s="19"/>
      <c r="D682" s="55"/>
      <c r="E682" s="55"/>
      <c r="F682" s="56"/>
      <c r="G682" s="57" t="str">
        <f>IF(ISBLANK(C682),"",
   IFERROR(
      IF(
         INDEX(DB_materiali!C$2:C$5000,
               MATCH(C682, DB_materiali!A$2:A$5000, 0)
         )="FALSE",
         "N",
         "Y"
      ),
   "")
)</f>
        <v/>
      </c>
      <c r="H682" s="20"/>
      <c r="I682" s="20"/>
      <c r="J682" s="20"/>
      <c r="K682" s="20"/>
      <c r="M682" s="2" t="str">
        <f>IF(ISBLANK(C682),"",IF(IFERROR(VLOOKUP(C682,DB_materiali!$A$2:$A$5000,1,FALSE),"Kļūda artikulā")=C682,"✔",tulkojums!A$42))</f>
        <v/>
      </c>
      <c r="N682" s="2" t="str">
        <f>IF(ISBLANK(C682),"",IF(ISNUMBER(F682)=TRUE,"✔",tulkojums!A$43))</f>
        <v/>
      </c>
      <c r="O682" s="2" t="str">
        <f>IF(ISBLANK(C682),"",IF(G682="Y","✔",IF(G682="X","✔",IF(G682="N","✔",tulkojums!A$44))))</f>
        <v/>
      </c>
      <c r="P682" s="2" t="str">
        <f>IF(ISBLANK(H682),"",IF(INDEX(DB_materiali!$E$2:$E$5000,MATCH($C682,DB_materiali!$A$2:$A$5000,0))&gt;=INDEX(DB_malas!$C$2:$C$5000,MATCH(H682,DB_malas!$A$2:$A$5000,0)),IF(INDEX(DB_materiali!$E$2:$E$5000,MATCH($C682,DB_materiali!$A$2:$A$5000,0))&lt;=INDEX(DB_malas!$D$2:$D$5000,MATCH(H682,DB_malas!$A$2:$A$5000,0)),IF(OR(INDEX(DB_materiali!$B$2:$B$5000,MATCH($C682,DB_materiali!$A$2:$A$5000,0))=INDEX(DB_malas!$B$2:$B$5000,MATCH(H682,DB_malas!$A$2:$A$5000,0)),$H682="ORG"),"✔",tulkojums!$A$38),tulkojums!$A$39),tulkojums!$A$39))</f>
        <v/>
      </c>
      <c r="Q682" s="2" t="str">
        <f>IF(ISBLANK(I682),"",IF(INDEX(DB_materiali!$E$2:$E$5000,MATCH($C682,DB_materiali!$A$2:$A$5000,0))&gt;=INDEX(DB_malas!$C$2:$C$5000,MATCH(I682,DB_malas!$A$2:$A$5000,0)),IF(INDEX(DB_materiali!$E$2:$E$5000,MATCH($C682,DB_materiali!$A$2:$A$5000,0))&lt;=INDEX(DB_malas!$D$2:$D$5000,MATCH(I682,DB_malas!$A$2:$A$5000,0)),IF(OR(INDEX(DB_materiali!$B$2:$B$5000,MATCH($C682,DB_materiali!$A$2:$A$5000,0))=INDEX(DB_malas!$B$2:$B$5000,MATCH(I682,DB_malas!$A$2:$A$5000,0)),$H682="ORG"),"✔",tulkojums!$A$38),tulkojums!$A$39),tulkojums!$A$39))</f>
        <v/>
      </c>
      <c r="R682" s="2" t="str">
        <f>IF(ISBLANK(J682),"",IF(INDEX(DB_materiali!$E$2:$E$5000,MATCH($C682,DB_materiali!$A$2:$A$5000,0))&gt;=INDEX(DB_malas!$C$2:$C$5000,MATCH(J682,DB_malas!$A$2:$A$5000,0)),IF(INDEX(DB_materiali!$E$2:$E$5000,MATCH($C682,DB_materiali!$A$2:$A$5000,0))&lt;=INDEX(DB_malas!$D$2:$D$5000,MATCH(J682,DB_malas!$A$2:$A$5000,0)),IF(INDEX(DB_materiali!$B$2:$B$5000,MATCH($C682,DB_materiali!$A$2:$A$5000,0))=INDEX(DB_malas!$B$2:$B$5000,MATCH(J682,DB_malas!$A$2:$A$5000,0)),"✔",tulkojums!$A$38),tulkojums!$A$39),tulkojums!$A$39))</f>
        <v/>
      </c>
      <c r="S682" s="2" t="str">
        <f>IF(ISBLANK(K682),"",IF(INDEX(DB_materiali!$E$2:$E$5000,MATCH($C682,DB_materiali!$A$2:$A$5000,0))&gt;=INDEX(DB_malas!$C$2:$C$5000,MATCH(K682,DB_malas!$A$2:$A$5000,0)),IF(INDEX(DB_materiali!$E$2:$E$5000,MATCH($C682,DB_materiali!$A$2:$A$5000,0))&lt;=INDEX(DB_malas!$D$2:$D$5000,MATCH(K682,DB_malas!$A$2:$A$5000,0)),IF(INDEX(DB_materiali!$B$2:$B$5000,MATCH($C682,DB_materiali!$A$2:$A$5000,0))=INDEX(DB_malas!$B$2:$B$5000,MATCH(K682,DB_malas!$A$2:$A$5000,0)),"✔",tulkojums!$A$38),tulkojums!$A$39),tulkojums!$A$39))</f>
        <v/>
      </c>
      <c r="T682" s="2"/>
      <c r="U682" s="2"/>
      <c r="V682" s="2"/>
      <c r="W682" s="2"/>
      <c r="X682" s="2"/>
      <c r="Y682" s="2"/>
      <c r="Z682" s="2"/>
    </row>
    <row r="683" spans="1:26" ht="15.75" customHeight="1">
      <c r="A683" s="17"/>
      <c r="B683" s="18"/>
      <c r="C683" s="19"/>
      <c r="D683" s="55"/>
      <c r="E683" s="55"/>
      <c r="F683" s="56"/>
      <c r="G683" s="57" t="str">
        <f>IF(ISBLANK(C683),"",
   IFERROR(
      IF(
         INDEX(DB_materiali!C$2:C$5000,
               MATCH(C683, DB_materiali!A$2:A$5000, 0)
         )="FALSE",
         "N",
         "Y"
      ),
   "")
)</f>
        <v/>
      </c>
      <c r="H683" s="20"/>
      <c r="I683" s="20"/>
      <c r="J683" s="20"/>
      <c r="K683" s="20"/>
      <c r="M683" s="2" t="str">
        <f>IF(ISBLANK(C683),"",IF(IFERROR(VLOOKUP(C683,DB_materiali!$A$2:$A$5000,1,FALSE),"Kļūda artikulā")=C683,"✔",tulkojums!A$42))</f>
        <v/>
      </c>
      <c r="N683" s="2" t="str">
        <f>IF(ISBLANK(C683),"",IF(ISNUMBER(F683)=TRUE,"✔",tulkojums!A$43))</f>
        <v/>
      </c>
      <c r="O683" s="2" t="str">
        <f>IF(ISBLANK(C683),"",IF(G683="Y","✔",IF(G683="X","✔",IF(G683="N","✔",tulkojums!A$44))))</f>
        <v/>
      </c>
      <c r="P683" s="2" t="str">
        <f>IF(ISBLANK(H683),"",IF(INDEX(DB_materiali!$E$2:$E$5000,MATCH($C683,DB_materiali!$A$2:$A$5000,0))&gt;=INDEX(DB_malas!$C$2:$C$5000,MATCH(H683,DB_malas!$A$2:$A$5000,0)),IF(INDEX(DB_materiali!$E$2:$E$5000,MATCH($C683,DB_materiali!$A$2:$A$5000,0))&lt;=INDEX(DB_malas!$D$2:$D$5000,MATCH(H683,DB_malas!$A$2:$A$5000,0)),IF(OR(INDEX(DB_materiali!$B$2:$B$5000,MATCH($C683,DB_materiali!$A$2:$A$5000,0))=INDEX(DB_malas!$B$2:$B$5000,MATCH(H683,DB_malas!$A$2:$A$5000,0)),$H683="ORG"),"✔",tulkojums!$A$38),tulkojums!$A$39),tulkojums!$A$39))</f>
        <v/>
      </c>
      <c r="Q683" s="2" t="str">
        <f>IF(ISBLANK(I683),"",IF(INDEX(DB_materiali!$E$2:$E$5000,MATCH($C683,DB_materiali!$A$2:$A$5000,0))&gt;=INDEX(DB_malas!$C$2:$C$5000,MATCH(I683,DB_malas!$A$2:$A$5000,0)),IF(INDEX(DB_materiali!$E$2:$E$5000,MATCH($C683,DB_materiali!$A$2:$A$5000,0))&lt;=INDEX(DB_malas!$D$2:$D$5000,MATCH(I683,DB_malas!$A$2:$A$5000,0)),IF(OR(INDEX(DB_materiali!$B$2:$B$5000,MATCH($C683,DB_materiali!$A$2:$A$5000,0))=INDEX(DB_malas!$B$2:$B$5000,MATCH(I683,DB_malas!$A$2:$A$5000,0)),$H683="ORG"),"✔",tulkojums!$A$38),tulkojums!$A$39),tulkojums!$A$39))</f>
        <v/>
      </c>
      <c r="R683" s="2" t="str">
        <f>IF(ISBLANK(J683),"",IF(INDEX(DB_materiali!$E$2:$E$5000,MATCH($C683,DB_materiali!$A$2:$A$5000,0))&gt;=INDEX(DB_malas!$C$2:$C$5000,MATCH(J683,DB_malas!$A$2:$A$5000,0)),IF(INDEX(DB_materiali!$E$2:$E$5000,MATCH($C683,DB_materiali!$A$2:$A$5000,0))&lt;=INDEX(DB_malas!$D$2:$D$5000,MATCH(J683,DB_malas!$A$2:$A$5000,0)),IF(INDEX(DB_materiali!$B$2:$B$5000,MATCH($C683,DB_materiali!$A$2:$A$5000,0))=INDEX(DB_malas!$B$2:$B$5000,MATCH(J683,DB_malas!$A$2:$A$5000,0)),"✔",tulkojums!$A$38),tulkojums!$A$39),tulkojums!$A$39))</f>
        <v/>
      </c>
      <c r="S683" s="2" t="str">
        <f>IF(ISBLANK(K683),"",IF(INDEX(DB_materiali!$E$2:$E$5000,MATCH($C683,DB_materiali!$A$2:$A$5000,0))&gt;=INDEX(DB_malas!$C$2:$C$5000,MATCH(K683,DB_malas!$A$2:$A$5000,0)),IF(INDEX(DB_materiali!$E$2:$E$5000,MATCH($C683,DB_materiali!$A$2:$A$5000,0))&lt;=INDEX(DB_malas!$D$2:$D$5000,MATCH(K683,DB_malas!$A$2:$A$5000,0)),IF(INDEX(DB_materiali!$B$2:$B$5000,MATCH($C683,DB_materiali!$A$2:$A$5000,0))=INDEX(DB_malas!$B$2:$B$5000,MATCH(K683,DB_malas!$A$2:$A$5000,0)),"✔",tulkojums!$A$38),tulkojums!$A$39),tulkojums!$A$39))</f>
        <v/>
      </c>
      <c r="T683" s="2"/>
      <c r="U683" s="2"/>
      <c r="V683" s="2"/>
      <c r="W683" s="2"/>
      <c r="X683" s="2"/>
      <c r="Y683" s="2"/>
      <c r="Z683" s="2"/>
    </row>
    <row r="684" spans="1:26" ht="15.75" customHeight="1">
      <c r="A684" s="17"/>
      <c r="B684" s="18"/>
      <c r="C684" s="19"/>
      <c r="D684" s="55"/>
      <c r="E684" s="55"/>
      <c r="F684" s="56"/>
      <c r="G684" s="57" t="str">
        <f>IF(ISBLANK(C684),"",
   IFERROR(
      IF(
         INDEX(DB_materiali!C$2:C$5000,
               MATCH(C684, DB_materiali!A$2:A$5000, 0)
         )="FALSE",
         "N",
         "Y"
      ),
   "")
)</f>
        <v/>
      </c>
      <c r="H684" s="20"/>
      <c r="I684" s="20"/>
      <c r="J684" s="20"/>
      <c r="K684" s="20"/>
      <c r="M684" s="2" t="str">
        <f>IF(ISBLANK(C684),"",IF(IFERROR(VLOOKUP(C684,DB_materiali!$A$2:$A$5000,1,FALSE),"Kļūda artikulā")=C684,"✔",tulkojums!A$42))</f>
        <v/>
      </c>
      <c r="N684" s="2" t="str">
        <f>IF(ISBLANK(C684),"",IF(ISNUMBER(F684)=TRUE,"✔",tulkojums!A$43))</f>
        <v/>
      </c>
      <c r="O684" s="2" t="str">
        <f>IF(ISBLANK(C684),"",IF(G684="Y","✔",IF(G684="X","✔",IF(G684="N","✔",tulkojums!A$44))))</f>
        <v/>
      </c>
      <c r="P684" s="2" t="str">
        <f>IF(ISBLANK(H684),"",IF(INDEX(DB_materiali!$E$2:$E$5000,MATCH($C684,DB_materiali!$A$2:$A$5000,0))&gt;=INDEX(DB_malas!$C$2:$C$5000,MATCH(H684,DB_malas!$A$2:$A$5000,0)),IF(INDEX(DB_materiali!$E$2:$E$5000,MATCH($C684,DB_materiali!$A$2:$A$5000,0))&lt;=INDEX(DB_malas!$D$2:$D$5000,MATCH(H684,DB_malas!$A$2:$A$5000,0)),IF(OR(INDEX(DB_materiali!$B$2:$B$5000,MATCH($C684,DB_materiali!$A$2:$A$5000,0))=INDEX(DB_malas!$B$2:$B$5000,MATCH(H684,DB_malas!$A$2:$A$5000,0)),$H684="ORG"),"✔",tulkojums!$A$38),tulkojums!$A$39),tulkojums!$A$39))</f>
        <v/>
      </c>
      <c r="Q684" s="2" t="str">
        <f>IF(ISBLANK(I684),"",IF(INDEX(DB_materiali!$E$2:$E$5000,MATCH($C684,DB_materiali!$A$2:$A$5000,0))&gt;=INDEX(DB_malas!$C$2:$C$5000,MATCH(I684,DB_malas!$A$2:$A$5000,0)),IF(INDEX(DB_materiali!$E$2:$E$5000,MATCH($C684,DB_materiali!$A$2:$A$5000,0))&lt;=INDEX(DB_malas!$D$2:$D$5000,MATCH(I684,DB_malas!$A$2:$A$5000,0)),IF(OR(INDEX(DB_materiali!$B$2:$B$5000,MATCH($C684,DB_materiali!$A$2:$A$5000,0))=INDEX(DB_malas!$B$2:$B$5000,MATCH(I684,DB_malas!$A$2:$A$5000,0)),$H684="ORG"),"✔",tulkojums!$A$38),tulkojums!$A$39),tulkojums!$A$39))</f>
        <v/>
      </c>
      <c r="R684" s="2" t="str">
        <f>IF(ISBLANK(J684),"",IF(INDEX(DB_materiali!$E$2:$E$5000,MATCH($C684,DB_materiali!$A$2:$A$5000,0))&gt;=INDEX(DB_malas!$C$2:$C$5000,MATCH(J684,DB_malas!$A$2:$A$5000,0)),IF(INDEX(DB_materiali!$E$2:$E$5000,MATCH($C684,DB_materiali!$A$2:$A$5000,0))&lt;=INDEX(DB_malas!$D$2:$D$5000,MATCH(J684,DB_malas!$A$2:$A$5000,0)),IF(INDEX(DB_materiali!$B$2:$B$5000,MATCH($C684,DB_materiali!$A$2:$A$5000,0))=INDEX(DB_malas!$B$2:$B$5000,MATCH(J684,DB_malas!$A$2:$A$5000,0)),"✔",tulkojums!$A$38),tulkojums!$A$39),tulkojums!$A$39))</f>
        <v/>
      </c>
      <c r="S684" s="2" t="str">
        <f>IF(ISBLANK(K684),"",IF(INDEX(DB_materiali!$E$2:$E$5000,MATCH($C684,DB_materiali!$A$2:$A$5000,0))&gt;=INDEX(DB_malas!$C$2:$C$5000,MATCH(K684,DB_malas!$A$2:$A$5000,0)),IF(INDEX(DB_materiali!$E$2:$E$5000,MATCH($C684,DB_materiali!$A$2:$A$5000,0))&lt;=INDEX(DB_malas!$D$2:$D$5000,MATCH(K684,DB_malas!$A$2:$A$5000,0)),IF(INDEX(DB_materiali!$B$2:$B$5000,MATCH($C684,DB_materiali!$A$2:$A$5000,0))=INDEX(DB_malas!$B$2:$B$5000,MATCH(K684,DB_malas!$A$2:$A$5000,0)),"✔",tulkojums!$A$38),tulkojums!$A$39),tulkojums!$A$39))</f>
        <v/>
      </c>
      <c r="T684" s="2"/>
      <c r="U684" s="2"/>
      <c r="V684" s="2"/>
      <c r="W684" s="2"/>
      <c r="X684" s="2"/>
      <c r="Y684" s="2"/>
      <c r="Z684" s="2"/>
    </row>
    <row r="685" spans="1:26" ht="15.75" customHeight="1">
      <c r="A685" s="17"/>
      <c r="B685" s="18"/>
      <c r="C685" s="19"/>
      <c r="D685" s="55"/>
      <c r="E685" s="55"/>
      <c r="F685" s="56"/>
      <c r="G685" s="57" t="str">
        <f>IF(ISBLANK(C685),"",
   IFERROR(
      IF(
         INDEX(DB_materiali!C$2:C$5000,
               MATCH(C685, DB_materiali!A$2:A$5000, 0)
         )="FALSE",
         "N",
         "Y"
      ),
   "")
)</f>
        <v/>
      </c>
      <c r="H685" s="20"/>
      <c r="I685" s="20"/>
      <c r="J685" s="20"/>
      <c r="K685" s="20"/>
      <c r="M685" s="2" t="str">
        <f>IF(ISBLANK(C685),"",IF(IFERROR(VLOOKUP(C685,DB_materiali!$A$2:$A$5000,1,FALSE),"Kļūda artikulā")=C685,"✔",tulkojums!A$42))</f>
        <v/>
      </c>
      <c r="N685" s="2" t="str">
        <f>IF(ISBLANK(C685),"",IF(ISNUMBER(F685)=TRUE,"✔",tulkojums!A$43))</f>
        <v/>
      </c>
      <c r="O685" s="2" t="str">
        <f>IF(ISBLANK(C685),"",IF(G685="Y","✔",IF(G685="X","✔",IF(G685="N","✔",tulkojums!A$44))))</f>
        <v/>
      </c>
      <c r="P685" s="2" t="str">
        <f>IF(ISBLANK(H685),"",IF(INDEX(DB_materiali!$E$2:$E$5000,MATCH($C685,DB_materiali!$A$2:$A$5000,0))&gt;=INDEX(DB_malas!$C$2:$C$5000,MATCH(H685,DB_malas!$A$2:$A$5000,0)),IF(INDEX(DB_materiali!$E$2:$E$5000,MATCH($C685,DB_materiali!$A$2:$A$5000,0))&lt;=INDEX(DB_malas!$D$2:$D$5000,MATCH(H685,DB_malas!$A$2:$A$5000,0)),IF(OR(INDEX(DB_materiali!$B$2:$B$5000,MATCH($C685,DB_materiali!$A$2:$A$5000,0))=INDEX(DB_malas!$B$2:$B$5000,MATCH(H685,DB_malas!$A$2:$A$5000,0)),$H685="ORG"),"✔",tulkojums!$A$38),tulkojums!$A$39),tulkojums!$A$39))</f>
        <v/>
      </c>
      <c r="Q685" s="2" t="str">
        <f>IF(ISBLANK(I685),"",IF(INDEX(DB_materiali!$E$2:$E$5000,MATCH($C685,DB_materiali!$A$2:$A$5000,0))&gt;=INDEX(DB_malas!$C$2:$C$5000,MATCH(I685,DB_malas!$A$2:$A$5000,0)),IF(INDEX(DB_materiali!$E$2:$E$5000,MATCH($C685,DB_materiali!$A$2:$A$5000,0))&lt;=INDEX(DB_malas!$D$2:$D$5000,MATCH(I685,DB_malas!$A$2:$A$5000,0)),IF(OR(INDEX(DB_materiali!$B$2:$B$5000,MATCH($C685,DB_materiali!$A$2:$A$5000,0))=INDEX(DB_malas!$B$2:$B$5000,MATCH(I685,DB_malas!$A$2:$A$5000,0)),$H685="ORG"),"✔",tulkojums!$A$38),tulkojums!$A$39),tulkojums!$A$39))</f>
        <v/>
      </c>
      <c r="R685" s="2" t="str">
        <f>IF(ISBLANK(J685),"",IF(INDEX(DB_materiali!$E$2:$E$5000,MATCH($C685,DB_materiali!$A$2:$A$5000,0))&gt;=INDEX(DB_malas!$C$2:$C$5000,MATCH(J685,DB_malas!$A$2:$A$5000,0)),IF(INDEX(DB_materiali!$E$2:$E$5000,MATCH($C685,DB_materiali!$A$2:$A$5000,0))&lt;=INDEX(DB_malas!$D$2:$D$5000,MATCH(J685,DB_malas!$A$2:$A$5000,0)),IF(INDEX(DB_materiali!$B$2:$B$5000,MATCH($C685,DB_materiali!$A$2:$A$5000,0))=INDEX(DB_malas!$B$2:$B$5000,MATCH(J685,DB_malas!$A$2:$A$5000,0)),"✔",tulkojums!$A$38),tulkojums!$A$39),tulkojums!$A$39))</f>
        <v/>
      </c>
      <c r="S685" s="2" t="str">
        <f>IF(ISBLANK(K685),"",IF(INDEX(DB_materiali!$E$2:$E$5000,MATCH($C685,DB_materiali!$A$2:$A$5000,0))&gt;=INDEX(DB_malas!$C$2:$C$5000,MATCH(K685,DB_malas!$A$2:$A$5000,0)),IF(INDEX(DB_materiali!$E$2:$E$5000,MATCH($C685,DB_materiali!$A$2:$A$5000,0))&lt;=INDEX(DB_malas!$D$2:$D$5000,MATCH(K685,DB_malas!$A$2:$A$5000,0)),IF(INDEX(DB_materiali!$B$2:$B$5000,MATCH($C685,DB_materiali!$A$2:$A$5000,0))=INDEX(DB_malas!$B$2:$B$5000,MATCH(K685,DB_malas!$A$2:$A$5000,0)),"✔",tulkojums!$A$38),tulkojums!$A$39),tulkojums!$A$39))</f>
        <v/>
      </c>
      <c r="T685" s="2"/>
      <c r="U685" s="2"/>
      <c r="V685" s="2"/>
      <c r="W685" s="2"/>
      <c r="X685" s="2"/>
      <c r="Y685" s="2"/>
      <c r="Z685" s="2"/>
    </row>
    <row r="686" spans="1:26" ht="15.75" customHeight="1">
      <c r="A686" s="17"/>
      <c r="B686" s="18"/>
      <c r="C686" s="19"/>
      <c r="D686" s="55"/>
      <c r="E686" s="55"/>
      <c r="F686" s="56"/>
      <c r="G686" s="57" t="str">
        <f>IF(ISBLANK(C686),"",
   IFERROR(
      IF(
         INDEX(DB_materiali!C$2:C$5000,
               MATCH(C686, DB_materiali!A$2:A$5000, 0)
         )="FALSE",
         "N",
         "Y"
      ),
   "")
)</f>
        <v/>
      </c>
      <c r="H686" s="20"/>
      <c r="I686" s="20"/>
      <c r="J686" s="20"/>
      <c r="K686" s="20"/>
      <c r="M686" s="2" t="str">
        <f>IF(ISBLANK(C686),"",IF(IFERROR(VLOOKUP(C686,DB_materiali!$A$2:$A$5000,1,FALSE),"Kļūda artikulā")=C686,"✔",tulkojums!A$42))</f>
        <v/>
      </c>
      <c r="N686" s="2" t="str">
        <f>IF(ISBLANK(C686),"",IF(ISNUMBER(F686)=TRUE,"✔",tulkojums!A$43))</f>
        <v/>
      </c>
      <c r="O686" s="2" t="str">
        <f>IF(ISBLANK(C686),"",IF(G686="Y","✔",IF(G686="X","✔",IF(G686="N","✔",tulkojums!A$44))))</f>
        <v/>
      </c>
      <c r="P686" s="2" t="str">
        <f>IF(ISBLANK(H686),"",IF(INDEX(DB_materiali!$E$2:$E$5000,MATCH($C686,DB_materiali!$A$2:$A$5000,0))&gt;=INDEX(DB_malas!$C$2:$C$5000,MATCH(H686,DB_malas!$A$2:$A$5000,0)),IF(INDEX(DB_materiali!$E$2:$E$5000,MATCH($C686,DB_materiali!$A$2:$A$5000,0))&lt;=INDEX(DB_malas!$D$2:$D$5000,MATCH(H686,DB_malas!$A$2:$A$5000,0)),IF(OR(INDEX(DB_materiali!$B$2:$B$5000,MATCH($C686,DB_materiali!$A$2:$A$5000,0))=INDEX(DB_malas!$B$2:$B$5000,MATCH(H686,DB_malas!$A$2:$A$5000,0)),$H686="ORG"),"✔",tulkojums!$A$38),tulkojums!$A$39),tulkojums!$A$39))</f>
        <v/>
      </c>
      <c r="Q686" s="2" t="str">
        <f>IF(ISBLANK(I686),"",IF(INDEX(DB_materiali!$E$2:$E$5000,MATCH($C686,DB_materiali!$A$2:$A$5000,0))&gt;=INDEX(DB_malas!$C$2:$C$5000,MATCH(I686,DB_malas!$A$2:$A$5000,0)),IF(INDEX(DB_materiali!$E$2:$E$5000,MATCH($C686,DB_materiali!$A$2:$A$5000,0))&lt;=INDEX(DB_malas!$D$2:$D$5000,MATCH(I686,DB_malas!$A$2:$A$5000,0)),IF(OR(INDEX(DB_materiali!$B$2:$B$5000,MATCH($C686,DB_materiali!$A$2:$A$5000,0))=INDEX(DB_malas!$B$2:$B$5000,MATCH(I686,DB_malas!$A$2:$A$5000,0)),$H686="ORG"),"✔",tulkojums!$A$38),tulkojums!$A$39),tulkojums!$A$39))</f>
        <v/>
      </c>
      <c r="R686" s="2" t="str">
        <f>IF(ISBLANK(J686),"",IF(INDEX(DB_materiali!$E$2:$E$5000,MATCH($C686,DB_materiali!$A$2:$A$5000,0))&gt;=INDEX(DB_malas!$C$2:$C$5000,MATCH(J686,DB_malas!$A$2:$A$5000,0)),IF(INDEX(DB_materiali!$E$2:$E$5000,MATCH($C686,DB_materiali!$A$2:$A$5000,0))&lt;=INDEX(DB_malas!$D$2:$D$5000,MATCH(J686,DB_malas!$A$2:$A$5000,0)),IF(INDEX(DB_materiali!$B$2:$B$5000,MATCH($C686,DB_materiali!$A$2:$A$5000,0))=INDEX(DB_malas!$B$2:$B$5000,MATCH(J686,DB_malas!$A$2:$A$5000,0)),"✔",tulkojums!$A$38),tulkojums!$A$39),tulkojums!$A$39))</f>
        <v/>
      </c>
      <c r="S686" s="2" t="str">
        <f>IF(ISBLANK(K686),"",IF(INDEX(DB_materiali!$E$2:$E$5000,MATCH($C686,DB_materiali!$A$2:$A$5000,0))&gt;=INDEX(DB_malas!$C$2:$C$5000,MATCH(K686,DB_malas!$A$2:$A$5000,0)),IF(INDEX(DB_materiali!$E$2:$E$5000,MATCH($C686,DB_materiali!$A$2:$A$5000,0))&lt;=INDEX(DB_malas!$D$2:$D$5000,MATCH(K686,DB_malas!$A$2:$A$5000,0)),IF(INDEX(DB_materiali!$B$2:$B$5000,MATCH($C686,DB_materiali!$A$2:$A$5000,0))=INDEX(DB_malas!$B$2:$B$5000,MATCH(K686,DB_malas!$A$2:$A$5000,0)),"✔",tulkojums!$A$38),tulkojums!$A$39),tulkojums!$A$39))</f>
        <v/>
      </c>
      <c r="T686" s="2"/>
      <c r="U686" s="2"/>
      <c r="V686" s="2"/>
      <c r="W686" s="2"/>
      <c r="X686" s="2"/>
      <c r="Y686" s="2"/>
      <c r="Z686" s="2"/>
    </row>
    <row r="687" spans="1:26" ht="15.75" customHeight="1">
      <c r="A687" s="17"/>
      <c r="B687" s="18"/>
      <c r="C687" s="19"/>
      <c r="D687" s="55"/>
      <c r="E687" s="55"/>
      <c r="F687" s="56"/>
      <c r="G687" s="57" t="str">
        <f>IF(ISBLANK(C687),"",
   IFERROR(
      IF(
         INDEX(DB_materiali!C$2:C$5000,
               MATCH(C687, DB_materiali!A$2:A$5000, 0)
         )="FALSE",
         "N",
         "Y"
      ),
   "")
)</f>
        <v/>
      </c>
      <c r="H687" s="20"/>
      <c r="I687" s="20"/>
      <c r="J687" s="20"/>
      <c r="K687" s="20"/>
      <c r="M687" s="2" t="str">
        <f>IF(ISBLANK(C687),"",IF(IFERROR(VLOOKUP(C687,DB_materiali!$A$2:$A$5000,1,FALSE),"Kļūda artikulā")=C687,"✔",tulkojums!A$42))</f>
        <v/>
      </c>
      <c r="N687" s="2" t="str">
        <f>IF(ISBLANK(C687),"",IF(ISNUMBER(F687)=TRUE,"✔",tulkojums!A$43))</f>
        <v/>
      </c>
      <c r="O687" s="2" t="str">
        <f>IF(ISBLANK(C687),"",IF(G687="Y","✔",IF(G687="X","✔",IF(G687="N","✔",tulkojums!A$44))))</f>
        <v/>
      </c>
      <c r="P687" s="2" t="str">
        <f>IF(ISBLANK(H687),"",IF(INDEX(DB_materiali!$E$2:$E$5000,MATCH($C687,DB_materiali!$A$2:$A$5000,0))&gt;=INDEX(DB_malas!$C$2:$C$5000,MATCH(H687,DB_malas!$A$2:$A$5000,0)),IF(INDEX(DB_materiali!$E$2:$E$5000,MATCH($C687,DB_materiali!$A$2:$A$5000,0))&lt;=INDEX(DB_malas!$D$2:$D$5000,MATCH(H687,DB_malas!$A$2:$A$5000,0)),IF(OR(INDEX(DB_materiali!$B$2:$B$5000,MATCH($C687,DB_materiali!$A$2:$A$5000,0))=INDEX(DB_malas!$B$2:$B$5000,MATCH(H687,DB_malas!$A$2:$A$5000,0)),$H687="ORG"),"✔",tulkojums!$A$38),tulkojums!$A$39),tulkojums!$A$39))</f>
        <v/>
      </c>
      <c r="Q687" s="2" t="str">
        <f>IF(ISBLANK(I687),"",IF(INDEX(DB_materiali!$E$2:$E$5000,MATCH($C687,DB_materiali!$A$2:$A$5000,0))&gt;=INDEX(DB_malas!$C$2:$C$5000,MATCH(I687,DB_malas!$A$2:$A$5000,0)),IF(INDEX(DB_materiali!$E$2:$E$5000,MATCH($C687,DB_materiali!$A$2:$A$5000,0))&lt;=INDEX(DB_malas!$D$2:$D$5000,MATCH(I687,DB_malas!$A$2:$A$5000,0)),IF(OR(INDEX(DB_materiali!$B$2:$B$5000,MATCH($C687,DB_materiali!$A$2:$A$5000,0))=INDEX(DB_malas!$B$2:$B$5000,MATCH(I687,DB_malas!$A$2:$A$5000,0)),$H687="ORG"),"✔",tulkojums!$A$38),tulkojums!$A$39),tulkojums!$A$39))</f>
        <v/>
      </c>
      <c r="R687" s="2" t="str">
        <f>IF(ISBLANK(J687),"",IF(INDEX(DB_materiali!$E$2:$E$5000,MATCH($C687,DB_materiali!$A$2:$A$5000,0))&gt;=INDEX(DB_malas!$C$2:$C$5000,MATCH(J687,DB_malas!$A$2:$A$5000,0)),IF(INDEX(DB_materiali!$E$2:$E$5000,MATCH($C687,DB_materiali!$A$2:$A$5000,0))&lt;=INDEX(DB_malas!$D$2:$D$5000,MATCH(J687,DB_malas!$A$2:$A$5000,0)),IF(INDEX(DB_materiali!$B$2:$B$5000,MATCH($C687,DB_materiali!$A$2:$A$5000,0))=INDEX(DB_malas!$B$2:$B$5000,MATCH(J687,DB_malas!$A$2:$A$5000,0)),"✔",tulkojums!$A$38),tulkojums!$A$39),tulkojums!$A$39))</f>
        <v/>
      </c>
      <c r="S687" s="2" t="str">
        <f>IF(ISBLANK(K687),"",IF(INDEX(DB_materiali!$E$2:$E$5000,MATCH($C687,DB_materiali!$A$2:$A$5000,0))&gt;=INDEX(DB_malas!$C$2:$C$5000,MATCH(K687,DB_malas!$A$2:$A$5000,0)),IF(INDEX(DB_materiali!$E$2:$E$5000,MATCH($C687,DB_materiali!$A$2:$A$5000,0))&lt;=INDEX(DB_malas!$D$2:$D$5000,MATCH(K687,DB_malas!$A$2:$A$5000,0)),IF(INDEX(DB_materiali!$B$2:$B$5000,MATCH($C687,DB_materiali!$A$2:$A$5000,0))=INDEX(DB_malas!$B$2:$B$5000,MATCH(K687,DB_malas!$A$2:$A$5000,0)),"✔",tulkojums!$A$38),tulkojums!$A$39),tulkojums!$A$39))</f>
        <v/>
      </c>
      <c r="T687" s="2"/>
      <c r="U687" s="2"/>
      <c r="V687" s="2"/>
      <c r="W687" s="2"/>
      <c r="X687" s="2"/>
      <c r="Y687" s="2"/>
      <c r="Z687" s="2"/>
    </row>
    <row r="688" spans="1:26" ht="15.75" customHeight="1">
      <c r="A688" s="17"/>
      <c r="B688" s="18"/>
      <c r="C688" s="19"/>
      <c r="D688" s="55"/>
      <c r="E688" s="55"/>
      <c r="F688" s="56"/>
      <c r="G688" s="57" t="str">
        <f>IF(ISBLANK(C688),"",
   IFERROR(
      IF(
         INDEX(DB_materiali!C$2:C$5000,
               MATCH(C688, DB_materiali!A$2:A$5000, 0)
         )="FALSE",
         "N",
         "Y"
      ),
   "")
)</f>
        <v/>
      </c>
      <c r="H688" s="20"/>
      <c r="I688" s="20"/>
      <c r="J688" s="20"/>
      <c r="K688" s="20"/>
      <c r="M688" s="2" t="str">
        <f>IF(ISBLANK(C688),"",IF(IFERROR(VLOOKUP(C688,DB_materiali!$A$2:$A$5000,1,FALSE),"Kļūda artikulā")=C688,"✔",tulkojums!A$42))</f>
        <v/>
      </c>
      <c r="N688" s="2" t="str">
        <f>IF(ISBLANK(C688),"",IF(ISNUMBER(F688)=TRUE,"✔",tulkojums!A$43))</f>
        <v/>
      </c>
      <c r="O688" s="2" t="str">
        <f>IF(ISBLANK(C688),"",IF(G688="Y","✔",IF(G688="X","✔",IF(G688="N","✔",tulkojums!A$44))))</f>
        <v/>
      </c>
      <c r="P688" s="2" t="str">
        <f>IF(ISBLANK(H688),"",IF(INDEX(DB_materiali!$E$2:$E$5000,MATCH($C688,DB_materiali!$A$2:$A$5000,0))&gt;=INDEX(DB_malas!$C$2:$C$5000,MATCH(H688,DB_malas!$A$2:$A$5000,0)),IF(INDEX(DB_materiali!$E$2:$E$5000,MATCH($C688,DB_materiali!$A$2:$A$5000,0))&lt;=INDEX(DB_malas!$D$2:$D$5000,MATCH(H688,DB_malas!$A$2:$A$5000,0)),IF(OR(INDEX(DB_materiali!$B$2:$B$5000,MATCH($C688,DB_materiali!$A$2:$A$5000,0))=INDEX(DB_malas!$B$2:$B$5000,MATCH(H688,DB_malas!$A$2:$A$5000,0)),$H688="ORG"),"✔",tulkojums!$A$38),tulkojums!$A$39),tulkojums!$A$39))</f>
        <v/>
      </c>
      <c r="Q688" s="2" t="str">
        <f>IF(ISBLANK(I688),"",IF(INDEX(DB_materiali!$E$2:$E$5000,MATCH($C688,DB_materiali!$A$2:$A$5000,0))&gt;=INDEX(DB_malas!$C$2:$C$5000,MATCH(I688,DB_malas!$A$2:$A$5000,0)),IF(INDEX(DB_materiali!$E$2:$E$5000,MATCH($C688,DB_materiali!$A$2:$A$5000,0))&lt;=INDEX(DB_malas!$D$2:$D$5000,MATCH(I688,DB_malas!$A$2:$A$5000,0)),IF(OR(INDEX(DB_materiali!$B$2:$B$5000,MATCH($C688,DB_materiali!$A$2:$A$5000,0))=INDEX(DB_malas!$B$2:$B$5000,MATCH(I688,DB_malas!$A$2:$A$5000,0)),$H688="ORG"),"✔",tulkojums!$A$38),tulkojums!$A$39),tulkojums!$A$39))</f>
        <v/>
      </c>
      <c r="R688" s="2" t="str">
        <f>IF(ISBLANK(J688),"",IF(INDEX(DB_materiali!$E$2:$E$5000,MATCH($C688,DB_materiali!$A$2:$A$5000,0))&gt;=INDEX(DB_malas!$C$2:$C$5000,MATCH(J688,DB_malas!$A$2:$A$5000,0)),IF(INDEX(DB_materiali!$E$2:$E$5000,MATCH($C688,DB_materiali!$A$2:$A$5000,0))&lt;=INDEX(DB_malas!$D$2:$D$5000,MATCH(J688,DB_malas!$A$2:$A$5000,0)),IF(INDEX(DB_materiali!$B$2:$B$5000,MATCH($C688,DB_materiali!$A$2:$A$5000,0))=INDEX(DB_malas!$B$2:$B$5000,MATCH(J688,DB_malas!$A$2:$A$5000,0)),"✔",tulkojums!$A$38),tulkojums!$A$39),tulkojums!$A$39))</f>
        <v/>
      </c>
      <c r="S688" s="2" t="str">
        <f>IF(ISBLANK(K688),"",IF(INDEX(DB_materiali!$E$2:$E$5000,MATCH($C688,DB_materiali!$A$2:$A$5000,0))&gt;=INDEX(DB_malas!$C$2:$C$5000,MATCH(K688,DB_malas!$A$2:$A$5000,0)),IF(INDEX(DB_materiali!$E$2:$E$5000,MATCH($C688,DB_materiali!$A$2:$A$5000,0))&lt;=INDEX(DB_malas!$D$2:$D$5000,MATCH(K688,DB_malas!$A$2:$A$5000,0)),IF(INDEX(DB_materiali!$B$2:$B$5000,MATCH($C688,DB_materiali!$A$2:$A$5000,0))=INDEX(DB_malas!$B$2:$B$5000,MATCH(K688,DB_malas!$A$2:$A$5000,0)),"✔",tulkojums!$A$38),tulkojums!$A$39),tulkojums!$A$39))</f>
        <v/>
      </c>
      <c r="T688" s="2"/>
      <c r="U688" s="2"/>
      <c r="V688" s="2"/>
      <c r="W688" s="2"/>
      <c r="X688" s="2"/>
      <c r="Y688" s="2"/>
      <c r="Z688" s="2"/>
    </row>
    <row r="689" spans="1:26" ht="15.75" customHeight="1">
      <c r="A689" s="17"/>
      <c r="B689" s="18"/>
      <c r="C689" s="19"/>
      <c r="D689" s="55"/>
      <c r="E689" s="55"/>
      <c r="F689" s="56"/>
      <c r="G689" s="57" t="str">
        <f>IF(ISBLANK(C689),"",
   IFERROR(
      IF(
         INDEX(DB_materiali!C$2:C$5000,
               MATCH(C689, DB_materiali!A$2:A$5000, 0)
         )="FALSE",
         "N",
         "Y"
      ),
   "")
)</f>
        <v/>
      </c>
      <c r="H689" s="20"/>
      <c r="I689" s="20"/>
      <c r="J689" s="20"/>
      <c r="K689" s="20"/>
      <c r="M689" s="2" t="str">
        <f>IF(ISBLANK(C689),"",IF(IFERROR(VLOOKUP(C689,DB_materiali!$A$2:$A$5000,1,FALSE),"Kļūda artikulā")=C689,"✔",tulkojums!A$42))</f>
        <v/>
      </c>
      <c r="N689" s="2" t="str">
        <f>IF(ISBLANK(C689),"",IF(ISNUMBER(F689)=TRUE,"✔",tulkojums!A$43))</f>
        <v/>
      </c>
      <c r="O689" s="2" t="str">
        <f>IF(ISBLANK(C689),"",IF(G689="Y","✔",IF(G689="X","✔",IF(G689="N","✔",tulkojums!A$44))))</f>
        <v/>
      </c>
      <c r="P689" s="2" t="str">
        <f>IF(ISBLANK(H689),"",IF(INDEX(DB_materiali!$E$2:$E$5000,MATCH($C689,DB_materiali!$A$2:$A$5000,0))&gt;=INDEX(DB_malas!$C$2:$C$5000,MATCH(H689,DB_malas!$A$2:$A$5000,0)),IF(INDEX(DB_materiali!$E$2:$E$5000,MATCH($C689,DB_materiali!$A$2:$A$5000,0))&lt;=INDEX(DB_malas!$D$2:$D$5000,MATCH(H689,DB_malas!$A$2:$A$5000,0)),IF(OR(INDEX(DB_materiali!$B$2:$B$5000,MATCH($C689,DB_materiali!$A$2:$A$5000,0))=INDEX(DB_malas!$B$2:$B$5000,MATCH(H689,DB_malas!$A$2:$A$5000,0)),$H689="ORG"),"✔",tulkojums!$A$38),tulkojums!$A$39),tulkojums!$A$39))</f>
        <v/>
      </c>
      <c r="Q689" s="2" t="str">
        <f>IF(ISBLANK(I689),"",IF(INDEX(DB_materiali!$E$2:$E$5000,MATCH($C689,DB_materiali!$A$2:$A$5000,0))&gt;=INDEX(DB_malas!$C$2:$C$5000,MATCH(I689,DB_malas!$A$2:$A$5000,0)),IF(INDEX(DB_materiali!$E$2:$E$5000,MATCH($C689,DB_materiali!$A$2:$A$5000,0))&lt;=INDEX(DB_malas!$D$2:$D$5000,MATCH(I689,DB_malas!$A$2:$A$5000,0)),IF(OR(INDEX(DB_materiali!$B$2:$B$5000,MATCH($C689,DB_materiali!$A$2:$A$5000,0))=INDEX(DB_malas!$B$2:$B$5000,MATCH(I689,DB_malas!$A$2:$A$5000,0)),$H689="ORG"),"✔",tulkojums!$A$38),tulkojums!$A$39),tulkojums!$A$39))</f>
        <v/>
      </c>
      <c r="R689" s="2" t="str">
        <f>IF(ISBLANK(J689),"",IF(INDEX(DB_materiali!$E$2:$E$5000,MATCH($C689,DB_materiali!$A$2:$A$5000,0))&gt;=INDEX(DB_malas!$C$2:$C$5000,MATCH(J689,DB_malas!$A$2:$A$5000,0)),IF(INDEX(DB_materiali!$E$2:$E$5000,MATCH($C689,DB_materiali!$A$2:$A$5000,0))&lt;=INDEX(DB_malas!$D$2:$D$5000,MATCH(J689,DB_malas!$A$2:$A$5000,0)),IF(INDEX(DB_materiali!$B$2:$B$5000,MATCH($C689,DB_materiali!$A$2:$A$5000,0))=INDEX(DB_malas!$B$2:$B$5000,MATCH(J689,DB_malas!$A$2:$A$5000,0)),"✔",tulkojums!$A$38),tulkojums!$A$39),tulkojums!$A$39))</f>
        <v/>
      </c>
      <c r="S689" s="2" t="str">
        <f>IF(ISBLANK(K689),"",IF(INDEX(DB_materiali!$E$2:$E$5000,MATCH($C689,DB_materiali!$A$2:$A$5000,0))&gt;=INDEX(DB_malas!$C$2:$C$5000,MATCH(K689,DB_malas!$A$2:$A$5000,0)),IF(INDEX(DB_materiali!$E$2:$E$5000,MATCH($C689,DB_materiali!$A$2:$A$5000,0))&lt;=INDEX(DB_malas!$D$2:$D$5000,MATCH(K689,DB_malas!$A$2:$A$5000,0)),IF(INDEX(DB_materiali!$B$2:$B$5000,MATCH($C689,DB_materiali!$A$2:$A$5000,0))=INDEX(DB_malas!$B$2:$B$5000,MATCH(K689,DB_malas!$A$2:$A$5000,0)),"✔",tulkojums!$A$38),tulkojums!$A$39),tulkojums!$A$39))</f>
        <v/>
      </c>
      <c r="T689" s="2"/>
      <c r="U689" s="2"/>
      <c r="V689" s="2"/>
      <c r="W689" s="2"/>
      <c r="X689" s="2"/>
      <c r="Y689" s="2"/>
      <c r="Z689" s="2"/>
    </row>
    <row r="690" spans="1:26" ht="15.75" customHeight="1">
      <c r="A690" s="17"/>
      <c r="B690" s="18"/>
      <c r="C690" s="19"/>
      <c r="D690" s="55"/>
      <c r="E690" s="55"/>
      <c r="F690" s="56"/>
      <c r="G690" s="57" t="str">
        <f>IF(ISBLANK(C690),"",
   IFERROR(
      IF(
         INDEX(DB_materiali!C$2:C$5000,
               MATCH(C690, DB_materiali!A$2:A$5000, 0)
         )="FALSE",
         "N",
         "Y"
      ),
   "")
)</f>
        <v/>
      </c>
      <c r="H690" s="20"/>
      <c r="I690" s="20"/>
      <c r="J690" s="20"/>
      <c r="K690" s="20"/>
      <c r="M690" s="2" t="str">
        <f>IF(ISBLANK(C690),"",IF(IFERROR(VLOOKUP(C690,DB_materiali!$A$2:$A$5000,1,FALSE),"Kļūda artikulā")=C690,"✔",tulkojums!A$42))</f>
        <v/>
      </c>
      <c r="N690" s="2" t="str">
        <f>IF(ISBLANK(C690),"",IF(ISNUMBER(F690)=TRUE,"✔",tulkojums!A$43))</f>
        <v/>
      </c>
      <c r="O690" s="2" t="str">
        <f>IF(ISBLANK(C690),"",IF(G690="Y","✔",IF(G690="X","✔",IF(G690="N","✔",tulkojums!A$44))))</f>
        <v/>
      </c>
      <c r="P690" s="2" t="str">
        <f>IF(ISBLANK(H690),"",IF(INDEX(DB_materiali!$E$2:$E$5000,MATCH($C690,DB_materiali!$A$2:$A$5000,0))&gt;=INDEX(DB_malas!$C$2:$C$5000,MATCH(H690,DB_malas!$A$2:$A$5000,0)),IF(INDEX(DB_materiali!$E$2:$E$5000,MATCH($C690,DB_materiali!$A$2:$A$5000,0))&lt;=INDEX(DB_malas!$D$2:$D$5000,MATCH(H690,DB_malas!$A$2:$A$5000,0)),IF(OR(INDEX(DB_materiali!$B$2:$B$5000,MATCH($C690,DB_materiali!$A$2:$A$5000,0))=INDEX(DB_malas!$B$2:$B$5000,MATCH(H690,DB_malas!$A$2:$A$5000,0)),$H690="ORG"),"✔",tulkojums!$A$38),tulkojums!$A$39),tulkojums!$A$39))</f>
        <v/>
      </c>
      <c r="Q690" s="2" t="str">
        <f>IF(ISBLANK(I690),"",IF(INDEX(DB_materiali!$E$2:$E$5000,MATCH($C690,DB_materiali!$A$2:$A$5000,0))&gt;=INDEX(DB_malas!$C$2:$C$5000,MATCH(I690,DB_malas!$A$2:$A$5000,0)),IF(INDEX(DB_materiali!$E$2:$E$5000,MATCH($C690,DB_materiali!$A$2:$A$5000,0))&lt;=INDEX(DB_malas!$D$2:$D$5000,MATCH(I690,DB_malas!$A$2:$A$5000,0)),IF(OR(INDEX(DB_materiali!$B$2:$B$5000,MATCH($C690,DB_materiali!$A$2:$A$5000,0))=INDEX(DB_malas!$B$2:$B$5000,MATCH(I690,DB_malas!$A$2:$A$5000,0)),$H690="ORG"),"✔",tulkojums!$A$38),tulkojums!$A$39),tulkojums!$A$39))</f>
        <v/>
      </c>
      <c r="R690" s="2" t="str">
        <f>IF(ISBLANK(J690),"",IF(INDEX(DB_materiali!$E$2:$E$5000,MATCH($C690,DB_materiali!$A$2:$A$5000,0))&gt;=INDEX(DB_malas!$C$2:$C$5000,MATCH(J690,DB_malas!$A$2:$A$5000,0)),IF(INDEX(DB_materiali!$E$2:$E$5000,MATCH($C690,DB_materiali!$A$2:$A$5000,0))&lt;=INDEX(DB_malas!$D$2:$D$5000,MATCH(J690,DB_malas!$A$2:$A$5000,0)),IF(INDEX(DB_materiali!$B$2:$B$5000,MATCH($C690,DB_materiali!$A$2:$A$5000,0))=INDEX(DB_malas!$B$2:$B$5000,MATCH(J690,DB_malas!$A$2:$A$5000,0)),"✔",tulkojums!$A$38),tulkojums!$A$39),tulkojums!$A$39))</f>
        <v/>
      </c>
      <c r="S690" s="2" t="str">
        <f>IF(ISBLANK(K690),"",IF(INDEX(DB_materiali!$E$2:$E$5000,MATCH($C690,DB_materiali!$A$2:$A$5000,0))&gt;=INDEX(DB_malas!$C$2:$C$5000,MATCH(K690,DB_malas!$A$2:$A$5000,0)),IF(INDEX(DB_materiali!$E$2:$E$5000,MATCH($C690,DB_materiali!$A$2:$A$5000,0))&lt;=INDEX(DB_malas!$D$2:$D$5000,MATCH(K690,DB_malas!$A$2:$A$5000,0)),IF(INDEX(DB_materiali!$B$2:$B$5000,MATCH($C690,DB_materiali!$A$2:$A$5000,0))=INDEX(DB_malas!$B$2:$B$5000,MATCH(K690,DB_malas!$A$2:$A$5000,0)),"✔",tulkojums!$A$38),tulkojums!$A$39),tulkojums!$A$39))</f>
        <v/>
      </c>
      <c r="T690" s="2"/>
      <c r="U690" s="2"/>
      <c r="V690" s="2"/>
      <c r="W690" s="2"/>
      <c r="X690" s="2"/>
      <c r="Y690" s="2"/>
      <c r="Z690" s="2"/>
    </row>
    <row r="691" spans="1:26" ht="15.75" customHeight="1">
      <c r="A691" s="17"/>
      <c r="B691" s="18"/>
      <c r="C691" s="19"/>
      <c r="D691" s="55"/>
      <c r="E691" s="55"/>
      <c r="F691" s="56"/>
      <c r="G691" s="57" t="str">
        <f>IF(ISBLANK(C691),"",
   IFERROR(
      IF(
         INDEX(DB_materiali!C$2:C$5000,
               MATCH(C691, DB_materiali!A$2:A$5000, 0)
         )="FALSE",
         "N",
         "Y"
      ),
   "")
)</f>
        <v/>
      </c>
      <c r="H691" s="20"/>
      <c r="I691" s="20"/>
      <c r="J691" s="20"/>
      <c r="K691" s="20"/>
      <c r="M691" s="2" t="str">
        <f>IF(ISBLANK(C691),"",IF(IFERROR(VLOOKUP(C691,DB_materiali!$A$2:$A$5000,1,FALSE),"Kļūda artikulā")=C691,"✔",tulkojums!A$42))</f>
        <v/>
      </c>
      <c r="N691" s="2" t="str">
        <f>IF(ISBLANK(C691),"",IF(ISNUMBER(F691)=TRUE,"✔",tulkojums!A$43))</f>
        <v/>
      </c>
      <c r="O691" s="2" t="str">
        <f>IF(ISBLANK(C691),"",IF(G691="Y","✔",IF(G691="X","✔",IF(G691="N","✔",tulkojums!A$44))))</f>
        <v/>
      </c>
      <c r="P691" s="2" t="str">
        <f>IF(ISBLANK(H691),"",IF(INDEX(DB_materiali!$E$2:$E$5000,MATCH($C691,DB_materiali!$A$2:$A$5000,0))&gt;=INDEX(DB_malas!$C$2:$C$5000,MATCH(H691,DB_malas!$A$2:$A$5000,0)),IF(INDEX(DB_materiali!$E$2:$E$5000,MATCH($C691,DB_materiali!$A$2:$A$5000,0))&lt;=INDEX(DB_malas!$D$2:$D$5000,MATCH(H691,DB_malas!$A$2:$A$5000,0)),IF(OR(INDEX(DB_materiali!$B$2:$B$5000,MATCH($C691,DB_materiali!$A$2:$A$5000,0))=INDEX(DB_malas!$B$2:$B$5000,MATCH(H691,DB_malas!$A$2:$A$5000,0)),$H691="ORG"),"✔",tulkojums!$A$38),tulkojums!$A$39),tulkojums!$A$39))</f>
        <v/>
      </c>
      <c r="Q691" s="2" t="str">
        <f>IF(ISBLANK(I691),"",IF(INDEX(DB_materiali!$E$2:$E$5000,MATCH($C691,DB_materiali!$A$2:$A$5000,0))&gt;=INDEX(DB_malas!$C$2:$C$5000,MATCH(I691,DB_malas!$A$2:$A$5000,0)),IF(INDEX(DB_materiali!$E$2:$E$5000,MATCH($C691,DB_materiali!$A$2:$A$5000,0))&lt;=INDEX(DB_malas!$D$2:$D$5000,MATCH(I691,DB_malas!$A$2:$A$5000,0)),IF(OR(INDEX(DB_materiali!$B$2:$B$5000,MATCH($C691,DB_materiali!$A$2:$A$5000,0))=INDEX(DB_malas!$B$2:$B$5000,MATCH(I691,DB_malas!$A$2:$A$5000,0)),$H691="ORG"),"✔",tulkojums!$A$38),tulkojums!$A$39),tulkojums!$A$39))</f>
        <v/>
      </c>
      <c r="R691" s="2" t="str">
        <f>IF(ISBLANK(J691),"",IF(INDEX(DB_materiali!$E$2:$E$5000,MATCH($C691,DB_materiali!$A$2:$A$5000,0))&gt;=INDEX(DB_malas!$C$2:$C$5000,MATCH(J691,DB_malas!$A$2:$A$5000,0)),IF(INDEX(DB_materiali!$E$2:$E$5000,MATCH($C691,DB_materiali!$A$2:$A$5000,0))&lt;=INDEX(DB_malas!$D$2:$D$5000,MATCH(J691,DB_malas!$A$2:$A$5000,0)),IF(INDEX(DB_materiali!$B$2:$B$5000,MATCH($C691,DB_materiali!$A$2:$A$5000,0))=INDEX(DB_malas!$B$2:$B$5000,MATCH(J691,DB_malas!$A$2:$A$5000,0)),"✔",tulkojums!$A$38),tulkojums!$A$39),tulkojums!$A$39))</f>
        <v/>
      </c>
      <c r="S691" s="2" t="str">
        <f>IF(ISBLANK(K691),"",IF(INDEX(DB_materiali!$E$2:$E$5000,MATCH($C691,DB_materiali!$A$2:$A$5000,0))&gt;=INDEX(DB_malas!$C$2:$C$5000,MATCH(K691,DB_malas!$A$2:$A$5000,0)),IF(INDEX(DB_materiali!$E$2:$E$5000,MATCH($C691,DB_materiali!$A$2:$A$5000,0))&lt;=INDEX(DB_malas!$D$2:$D$5000,MATCH(K691,DB_malas!$A$2:$A$5000,0)),IF(INDEX(DB_materiali!$B$2:$B$5000,MATCH($C691,DB_materiali!$A$2:$A$5000,0))=INDEX(DB_malas!$B$2:$B$5000,MATCH(K691,DB_malas!$A$2:$A$5000,0)),"✔",tulkojums!$A$38),tulkojums!$A$39),tulkojums!$A$39))</f>
        <v/>
      </c>
      <c r="T691" s="2"/>
      <c r="U691" s="2"/>
      <c r="V691" s="2"/>
      <c r="W691" s="2"/>
      <c r="X691" s="2"/>
      <c r="Y691" s="2"/>
      <c r="Z691" s="2"/>
    </row>
    <row r="692" spans="1:26" ht="15.75" customHeight="1">
      <c r="A692" s="17"/>
      <c r="B692" s="18"/>
      <c r="C692" s="19"/>
      <c r="D692" s="55"/>
      <c r="E692" s="55"/>
      <c r="F692" s="56"/>
      <c r="G692" s="57" t="str">
        <f>IF(ISBLANK(C692),"",
   IFERROR(
      IF(
         INDEX(DB_materiali!C$2:C$5000,
               MATCH(C692, DB_materiali!A$2:A$5000, 0)
         )="FALSE",
         "N",
         "Y"
      ),
   "")
)</f>
        <v/>
      </c>
      <c r="H692" s="20"/>
      <c r="I692" s="20"/>
      <c r="J692" s="20"/>
      <c r="K692" s="20"/>
      <c r="M692" s="2" t="str">
        <f>IF(ISBLANK(C692),"",IF(IFERROR(VLOOKUP(C692,DB_materiali!$A$2:$A$5000,1,FALSE),"Kļūda artikulā")=C692,"✔",tulkojums!A$42))</f>
        <v/>
      </c>
      <c r="N692" s="2" t="str">
        <f>IF(ISBLANK(C692),"",IF(ISNUMBER(F692)=TRUE,"✔",tulkojums!A$43))</f>
        <v/>
      </c>
      <c r="O692" s="2" t="str">
        <f>IF(ISBLANK(C692),"",IF(G692="Y","✔",IF(G692="X","✔",IF(G692="N","✔",tulkojums!A$44))))</f>
        <v/>
      </c>
      <c r="P692" s="2" t="str">
        <f>IF(ISBLANK(H692),"",IF(INDEX(DB_materiali!$E$2:$E$5000,MATCH($C692,DB_materiali!$A$2:$A$5000,0))&gt;=INDEX(DB_malas!$C$2:$C$5000,MATCH(H692,DB_malas!$A$2:$A$5000,0)),IF(INDEX(DB_materiali!$E$2:$E$5000,MATCH($C692,DB_materiali!$A$2:$A$5000,0))&lt;=INDEX(DB_malas!$D$2:$D$5000,MATCH(H692,DB_malas!$A$2:$A$5000,0)),IF(OR(INDEX(DB_materiali!$B$2:$B$5000,MATCH($C692,DB_materiali!$A$2:$A$5000,0))=INDEX(DB_malas!$B$2:$B$5000,MATCH(H692,DB_malas!$A$2:$A$5000,0)),$H692="ORG"),"✔",tulkojums!$A$38),tulkojums!$A$39),tulkojums!$A$39))</f>
        <v/>
      </c>
      <c r="Q692" s="2" t="str">
        <f>IF(ISBLANK(I692),"",IF(INDEX(DB_materiali!$E$2:$E$5000,MATCH($C692,DB_materiali!$A$2:$A$5000,0))&gt;=INDEX(DB_malas!$C$2:$C$5000,MATCH(I692,DB_malas!$A$2:$A$5000,0)),IF(INDEX(DB_materiali!$E$2:$E$5000,MATCH($C692,DB_materiali!$A$2:$A$5000,0))&lt;=INDEX(DB_malas!$D$2:$D$5000,MATCH(I692,DB_malas!$A$2:$A$5000,0)),IF(OR(INDEX(DB_materiali!$B$2:$B$5000,MATCH($C692,DB_materiali!$A$2:$A$5000,0))=INDEX(DB_malas!$B$2:$B$5000,MATCH(I692,DB_malas!$A$2:$A$5000,0)),$H692="ORG"),"✔",tulkojums!$A$38),tulkojums!$A$39),tulkojums!$A$39))</f>
        <v/>
      </c>
      <c r="R692" s="2" t="str">
        <f>IF(ISBLANK(J692),"",IF(INDEX(DB_materiali!$E$2:$E$5000,MATCH($C692,DB_materiali!$A$2:$A$5000,0))&gt;=INDEX(DB_malas!$C$2:$C$5000,MATCH(J692,DB_malas!$A$2:$A$5000,0)),IF(INDEX(DB_materiali!$E$2:$E$5000,MATCH($C692,DB_materiali!$A$2:$A$5000,0))&lt;=INDEX(DB_malas!$D$2:$D$5000,MATCH(J692,DB_malas!$A$2:$A$5000,0)),IF(INDEX(DB_materiali!$B$2:$B$5000,MATCH($C692,DB_materiali!$A$2:$A$5000,0))=INDEX(DB_malas!$B$2:$B$5000,MATCH(J692,DB_malas!$A$2:$A$5000,0)),"✔",tulkojums!$A$38),tulkojums!$A$39),tulkojums!$A$39))</f>
        <v/>
      </c>
      <c r="S692" s="2" t="str">
        <f>IF(ISBLANK(K692),"",IF(INDEX(DB_materiali!$E$2:$E$5000,MATCH($C692,DB_materiali!$A$2:$A$5000,0))&gt;=INDEX(DB_malas!$C$2:$C$5000,MATCH(K692,DB_malas!$A$2:$A$5000,0)),IF(INDEX(DB_materiali!$E$2:$E$5000,MATCH($C692,DB_materiali!$A$2:$A$5000,0))&lt;=INDEX(DB_malas!$D$2:$D$5000,MATCH(K692,DB_malas!$A$2:$A$5000,0)),IF(INDEX(DB_materiali!$B$2:$B$5000,MATCH($C692,DB_materiali!$A$2:$A$5000,0))=INDEX(DB_malas!$B$2:$B$5000,MATCH(K692,DB_malas!$A$2:$A$5000,0)),"✔",tulkojums!$A$38),tulkojums!$A$39),tulkojums!$A$39))</f>
        <v/>
      </c>
      <c r="T692" s="2"/>
      <c r="U692" s="2"/>
      <c r="V692" s="2"/>
      <c r="W692" s="2"/>
      <c r="X692" s="2"/>
      <c r="Y692" s="2"/>
      <c r="Z692" s="2"/>
    </row>
    <row r="693" spans="1:26" ht="15.75" customHeight="1">
      <c r="A693" s="17"/>
      <c r="B693" s="18"/>
      <c r="C693" s="19"/>
      <c r="D693" s="55"/>
      <c r="E693" s="55"/>
      <c r="F693" s="56"/>
      <c r="G693" s="57" t="str">
        <f>IF(ISBLANK(C693),"",
   IFERROR(
      IF(
         INDEX(DB_materiali!C$2:C$5000,
               MATCH(C693, DB_materiali!A$2:A$5000, 0)
         )="FALSE",
         "N",
         "Y"
      ),
   "")
)</f>
        <v/>
      </c>
      <c r="H693" s="20"/>
      <c r="I693" s="20"/>
      <c r="J693" s="20"/>
      <c r="K693" s="20"/>
      <c r="M693" s="2" t="str">
        <f>IF(ISBLANK(C693),"",IF(IFERROR(VLOOKUP(C693,DB_materiali!$A$2:$A$5000,1,FALSE),"Kļūda artikulā")=C693,"✔",tulkojums!A$42))</f>
        <v/>
      </c>
      <c r="N693" s="2" t="str">
        <f>IF(ISBLANK(C693),"",IF(ISNUMBER(F693)=TRUE,"✔",tulkojums!A$43))</f>
        <v/>
      </c>
      <c r="O693" s="2" t="str">
        <f>IF(ISBLANK(C693),"",IF(G693="Y","✔",IF(G693="X","✔",IF(G693="N","✔",tulkojums!A$44))))</f>
        <v/>
      </c>
      <c r="P693" s="2" t="str">
        <f>IF(ISBLANK(H693),"",IF(INDEX(DB_materiali!$E$2:$E$5000,MATCH($C693,DB_materiali!$A$2:$A$5000,0))&gt;=INDEX(DB_malas!$C$2:$C$5000,MATCH(H693,DB_malas!$A$2:$A$5000,0)),IF(INDEX(DB_materiali!$E$2:$E$5000,MATCH($C693,DB_materiali!$A$2:$A$5000,0))&lt;=INDEX(DB_malas!$D$2:$D$5000,MATCH(H693,DB_malas!$A$2:$A$5000,0)),IF(OR(INDEX(DB_materiali!$B$2:$B$5000,MATCH($C693,DB_materiali!$A$2:$A$5000,0))=INDEX(DB_malas!$B$2:$B$5000,MATCH(H693,DB_malas!$A$2:$A$5000,0)),$H693="ORG"),"✔",tulkojums!$A$38),tulkojums!$A$39),tulkojums!$A$39))</f>
        <v/>
      </c>
      <c r="Q693" s="2" t="str">
        <f>IF(ISBLANK(I693),"",IF(INDEX(DB_materiali!$E$2:$E$5000,MATCH($C693,DB_materiali!$A$2:$A$5000,0))&gt;=INDEX(DB_malas!$C$2:$C$5000,MATCH(I693,DB_malas!$A$2:$A$5000,0)),IF(INDEX(DB_materiali!$E$2:$E$5000,MATCH($C693,DB_materiali!$A$2:$A$5000,0))&lt;=INDEX(DB_malas!$D$2:$D$5000,MATCH(I693,DB_malas!$A$2:$A$5000,0)),IF(OR(INDEX(DB_materiali!$B$2:$B$5000,MATCH($C693,DB_materiali!$A$2:$A$5000,0))=INDEX(DB_malas!$B$2:$B$5000,MATCH(I693,DB_malas!$A$2:$A$5000,0)),$H693="ORG"),"✔",tulkojums!$A$38),tulkojums!$A$39),tulkojums!$A$39))</f>
        <v/>
      </c>
      <c r="R693" s="2" t="str">
        <f>IF(ISBLANK(J693),"",IF(INDEX(DB_materiali!$E$2:$E$5000,MATCH($C693,DB_materiali!$A$2:$A$5000,0))&gt;=INDEX(DB_malas!$C$2:$C$5000,MATCH(J693,DB_malas!$A$2:$A$5000,0)),IF(INDEX(DB_materiali!$E$2:$E$5000,MATCH($C693,DB_materiali!$A$2:$A$5000,0))&lt;=INDEX(DB_malas!$D$2:$D$5000,MATCH(J693,DB_malas!$A$2:$A$5000,0)),IF(INDEX(DB_materiali!$B$2:$B$5000,MATCH($C693,DB_materiali!$A$2:$A$5000,0))=INDEX(DB_malas!$B$2:$B$5000,MATCH(J693,DB_malas!$A$2:$A$5000,0)),"✔",tulkojums!$A$38),tulkojums!$A$39),tulkojums!$A$39))</f>
        <v/>
      </c>
      <c r="S693" s="2" t="str">
        <f>IF(ISBLANK(K693),"",IF(INDEX(DB_materiali!$E$2:$E$5000,MATCH($C693,DB_materiali!$A$2:$A$5000,0))&gt;=INDEX(DB_malas!$C$2:$C$5000,MATCH(K693,DB_malas!$A$2:$A$5000,0)),IF(INDEX(DB_materiali!$E$2:$E$5000,MATCH($C693,DB_materiali!$A$2:$A$5000,0))&lt;=INDEX(DB_malas!$D$2:$D$5000,MATCH(K693,DB_malas!$A$2:$A$5000,0)),IF(INDEX(DB_materiali!$B$2:$B$5000,MATCH($C693,DB_materiali!$A$2:$A$5000,0))=INDEX(DB_malas!$B$2:$B$5000,MATCH(K693,DB_malas!$A$2:$A$5000,0)),"✔",tulkojums!$A$38),tulkojums!$A$39),tulkojums!$A$39))</f>
        <v/>
      </c>
      <c r="T693" s="2"/>
      <c r="U693" s="2"/>
      <c r="V693" s="2"/>
      <c r="W693" s="2"/>
      <c r="X693" s="2"/>
      <c r="Y693" s="2"/>
      <c r="Z693" s="2"/>
    </row>
    <row r="694" spans="1:26" ht="15.75" customHeight="1">
      <c r="A694" s="17"/>
      <c r="B694" s="18"/>
      <c r="C694" s="19"/>
      <c r="D694" s="55"/>
      <c r="E694" s="55"/>
      <c r="F694" s="56"/>
      <c r="G694" s="57" t="str">
        <f>IF(ISBLANK(C694),"",
   IFERROR(
      IF(
         INDEX(DB_materiali!C$2:C$5000,
               MATCH(C694, DB_materiali!A$2:A$5000, 0)
         )="FALSE",
         "N",
         "Y"
      ),
   "")
)</f>
        <v/>
      </c>
      <c r="H694" s="20"/>
      <c r="I694" s="20"/>
      <c r="J694" s="20"/>
      <c r="K694" s="20"/>
      <c r="M694" s="2" t="str">
        <f>IF(ISBLANK(C694),"",IF(IFERROR(VLOOKUP(C694,DB_materiali!$A$2:$A$5000,1,FALSE),"Kļūda artikulā")=C694,"✔",tulkojums!A$42))</f>
        <v/>
      </c>
      <c r="N694" s="2" t="str">
        <f>IF(ISBLANK(C694),"",IF(ISNUMBER(F694)=TRUE,"✔",tulkojums!A$43))</f>
        <v/>
      </c>
      <c r="O694" s="2" t="str">
        <f>IF(ISBLANK(C694),"",IF(G694="Y","✔",IF(G694="X","✔",IF(G694="N","✔",tulkojums!A$44))))</f>
        <v/>
      </c>
      <c r="P694" s="2" t="str">
        <f>IF(ISBLANK(H694),"",IF(INDEX(DB_materiali!$E$2:$E$5000,MATCH($C694,DB_materiali!$A$2:$A$5000,0))&gt;=INDEX(DB_malas!$C$2:$C$5000,MATCH(H694,DB_malas!$A$2:$A$5000,0)),IF(INDEX(DB_materiali!$E$2:$E$5000,MATCH($C694,DB_materiali!$A$2:$A$5000,0))&lt;=INDEX(DB_malas!$D$2:$D$5000,MATCH(H694,DB_malas!$A$2:$A$5000,0)),IF(OR(INDEX(DB_materiali!$B$2:$B$5000,MATCH($C694,DB_materiali!$A$2:$A$5000,0))=INDEX(DB_malas!$B$2:$B$5000,MATCH(H694,DB_malas!$A$2:$A$5000,0)),$H694="ORG"),"✔",tulkojums!$A$38),tulkojums!$A$39),tulkojums!$A$39))</f>
        <v/>
      </c>
      <c r="Q694" s="2" t="str">
        <f>IF(ISBLANK(I694),"",IF(INDEX(DB_materiali!$E$2:$E$5000,MATCH($C694,DB_materiali!$A$2:$A$5000,0))&gt;=INDEX(DB_malas!$C$2:$C$5000,MATCH(I694,DB_malas!$A$2:$A$5000,0)),IF(INDEX(DB_materiali!$E$2:$E$5000,MATCH($C694,DB_materiali!$A$2:$A$5000,0))&lt;=INDEX(DB_malas!$D$2:$D$5000,MATCH(I694,DB_malas!$A$2:$A$5000,0)),IF(OR(INDEX(DB_materiali!$B$2:$B$5000,MATCH($C694,DB_materiali!$A$2:$A$5000,0))=INDEX(DB_malas!$B$2:$B$5000,MATCH(I694,DB_malas!$A$2:$A$5000,0)),$H694="ORG"),"✔",tulkojums!$A$38),tulkojums!$A$39),tulkojums!$A$39))</f>
        <v/>
      </c>
      <c r="R694" s="2" t="str">
        <f>IF(ISBLANK(J694),"",IF(INDEX(DB_materiali!$E$2:$E$5000,MATCH($C694,DB_materiali!$A$2:$A$5000,0))&gt;=INDEX(DB_malas!$C$2:$C$5000,MATCH(J694,DB_malas!$A$2:$A$5000,0)),IF(INDEX(DB_materiali!$E$2:$E$5000,MATCH($C694,DB_materiali!$A$2:$A$5000,0))&lt;=INDEX(DB_malas!$D$2:$D$5000,MATCH(J694,DB_malas!$A$2:$A$5000,0)),IF(INDEX(DB_materiali!$B$2:$B$5000,MATCH($C694,DB_materiali!$A$2:$A$5000,0))=INDEX(DB_malas!$B$2:$B$5000,MATCH(J694,DB_malas!$A$2:$A$5000,0)),"✔",tulkojums!$A$38),tulkojums!$A$39),tulkojums!$A$39))</f>
        <v/>
      </c>
      <c r="S694" s="2" t="str">
        <f>IF(ISBLANK(K694),"",IF(INDEX(DB_materiali!$E$2:$E$5000,MATCH($C694,DB_materiali!$A$2:$A$5000,0))&gt;=INDEX(DB_malas!$C$2:$C$5000,MATCH(K694,DB_malas!$A$2:$A$5000,0)),IF(INDEX(DB_materiali!$E$2:$E$5000,MATCH($C694,DB_materiali!$A$2:$A$5000,0))&lt;=INDEX(DB_malas!$D$2:$D$5000,MATCH(K694,DB_malas!$A$2:$A$5000,0)),IF(INDEX(DB_materiali!$B$2:$B$5000,MATCH($C694,DB_materiali!$A$2:$A$5000,0))=INDEX(DB_malas!$B$2:$B$5000,MATCH(K694,DB_malas!$A$2:$A$5000,0)),"✔",tulkojums!$A$38),tulkojums!$A$39),tulkojums!$A$39))</f>
        <v/>
      </c>
      <c r="T694" s="2"/>
      <c r="U694" s="2"/>
      <c r="V694" s="2"/>
      <c r="W694" s="2"/>
      <c r="X694" s="2"/>
      <c r="Y694" s="2"/>
      <c r="Z694" s="2"/>
    </row>
    <row r="695" spans="1:26" ht="15.75" customHeight="1">
      <c r="A695" s="17"/>
      <c r="B695" s="18"/>
      <c r="C695" s="19"/>
      <c r="D695" s="55"/>
      <c r="E695" s="55"/>
      <c r="F695" s="56"/>
      <c r="G695" s="57" t="str">
        <f>IF(ISBLANK(C695),"",
   IFERROR(
      IF(
         INDEX(DB_materiali!C$2:C$5000,
               MATCH(C695, DB_materiali!A$2:A$5000, 0)
         )="FALSE",
         "N",
         "Y"
      ),
   "")
)</f>
        <v/>
      </c>
      <c r="H695" s="20"/>
      <c r="I695" s="20"/>
      <c r="J695" s="20"/>
      <c r="K695" s="20"/>
      <c r="M695" s="2" t="str">
        <f>IF(ISBLANK(C695),"",IF(IFERROR(VLOOKUP(C695,DB_materiali!$A$2:$A$5000,1,FALSE),"Kļūda artikulā")=C695,"✔",tulkojums!A$42))</f>
        <v/>
      </c>
      <c r="N695" s="2" t="str">
        <f>IF(ISBLANK(C695),"",IF(ISNUMBER(F695)=TRUE,"✔",tulkojums!A$43))</f>
        <v/>
      </c>
      <c r="O695" s="2" t="str">
        <f>IF(ISBLANK(C695),"",IF(G695="Y","✔",IF(G695="X","✔",IF(G695="N","✔",tulkojums!A$44))))</f>
        <v/>
      </c>
      <c r="P695" s="2" t="str">
        <f>IF(ISBLANK(H695),"",IF(INDEX(DB_materiali!$E$2:$E$5000,MATCH($C695,DB_materiali!$A$2:$A$5000,0))&gt;=INDEX(DB_malas!$C$2:$C$5000,MATCH(H695,DB_malas!$A$2:$A$5000,0)),IF(INDEX(DB_materiali!$E$2:$E$5000,MATCH($C695,DB_materiali!$A$2:$A$5000,0))&lt;=INDEX(DB_malas!$D$2:$D$5000,MATCH(H695,DB_malas!$A$2:$A$5000,0)),IF(OR(INDEX(DB_materiali!$B$2:$B$5000,MATCH($C695,DB_materiali!$A$2:$A$5000,0))=INDEX(DB_malas!$B$2:$B$5000,MATCH(H695,DB_malas!$A$2:$A$5000,0)),$H695="ORG"),"✔",tulkojums!$A$38),tulkojums!$A$39),tulkojums!$A$39))</f>
        <v/>
      </c>
      <c r="Q695" s="2" t="str">
        <f>IF(ISBLANK(I695),"",IF(INDEX(DB_materiali!$E$2:$E$5000,MATCH($C695,DB_materiali!$A$2:$A$5000,0))&gt;=INDEX(DB_malas!$C$2:$C$5000,MATCH(I695,DB_malas!$A$2:$A$5000,0)),IF(INDEX(DB_materiali!$E$2:$E$5000,MATCH($C695,DB_materiali!$A$2:$A$5000,0))&lt;=INDEX(DB_malas!$D$2:$D$5000,MATCH(I695,DB_malas!$A$2:$A$5000,0)),IF(OR(INDEX(DB_materiali!$B$2:$B$5000,MATCH($C695,DB_materiali!$A$2:$A$5000,0))=INDEX(DB_malas!$B$2:$B$5000,MATCH(I695,DB_malas!$A$2:$A$5000,0)),$H695="ORG"),"✔",tulkojums!$A$38),tulkojums!$A$39),tulkojums!$A$39))</f>
        <v/>
      </c>
      <c r="R695" s="2" t="str">
        <f>IF(ISBLANK(J695),"",IF(INDEX(DB_materiali!$E$2:$E$5000,MATCH($C695,DB_materiali!$A$2:$A$5000,0))&gt;=INDEX(DB_malas!$C$2:$C$5000,MATCH(J695,DB_malas!$A$2:$A$5000,0)),IF(INDEX(DB_materiali!$E$2:$E$5000,MATCH($C695,DB_materiali!$A$2:$A$5000,0))&lt;=INDEX(DB_malas!$D$2:$D$5000,MATCH(J695,DB_malas!$A$2:$A$5000,0)),IF(INDEX(DB_materiali!$B$2:$B$5000,MATCH($C695,DB_materiali!$A$2:$A$5000,0))=INDEX(DB_malas!$B$2:$B$5000,MATCH(J695,DB_malas!$A$2:$A$5000,0)),"✔",tulkojums!$A$38),tulkojums!$A$39),tulkojums!$A$39))</f>
        <v/>
      </c>
      <c r="S695" s="2" t="str">
        <f>IF(ISBLANK(K695),"",IF(INDEX(DB_materiali!$E$2:$E$5000,MATCH($C695,DB_materiali!$A$2:$A$5000,0))&gt;=INDEX(DB_malas!$C$2:$C$5000,MATCH(K695,DB_malas!$A$2:$A$5000,0)),IF(INDEX(DB_materiali!$E$2:$E$5000,MATCH($C695,DB_materiali!$A$2:$A$5000,0))&lt;=INDEX(DB_malas!$D$2:$D$5000,MATCH(K695,DB_malas!$A$2:$A$5000,0)),IF(INDEX(DB_materiali!$B$2:$B$5000,MATCH($C695,DB_materiali!$A$2:$A$5000,0))=INDEX(DB_malas!$B$2:$B$5000,MATCH(K695,DB_malas!$A$2:$A$5000,0)),"✔",tulkojums!$A$38),tulkojums!$A$39),tulkojums!$A$39))</f>
        <v/>
      </c>
      <c r="T695" s="2"/>
      <c r="U695" s="2"/>
      <c r="V695" s="2"/>
      <c r="W695" s="2"/>
      <c r="X695" s="2"/>
      <c r="Y695" s="2"/>
      <c r="Z695" s="2"/>
    </row>
    <row r="696" spans="1:26" ht="15.75" customHeight="1">
      <c r="A696" s="17"/>
      <c r="B696" s="18"/>
      <c r="C696" s="19"/>
      <c r="D696" s="55"/>
      <c r="E696" s="55"/>
      <c r="F696" s="56"/>
      <c r="G696" s="57" t="str">
        <f>IF(ISBLANK(C696),"",
   IFERROR(
      IF(
         INDEX(DB_materiali!C$2:C$5000,
               MATCH(C696, DB_materiali!A$2:A$5000, 0)
         )="FALSE",
         "N",
         "Y"
      ),
   "")
)</f>
        <v/>
      </c>
      <c r="H696" s="20"/>
      <c r="I696" s="20"/>
      <c r="J696" s="20"/>
      <c r="K696" s="20"/>
      <c r="M696" s="2" t="str">
        <f>IF(ISBLANK(C696),"",IF(IFERROR(VLOOKUP(C696,DB_materiali!$A$2:$A$5000,1,FALSE),"Kļūda artikulā")=C696,"✔",tulkojums!A$42))</f>
        <v/>
      </c>
      <c r="N696" s="2" t="str">
        <f>IF(ISBLANK(C696),"",IF(ISNUMBER(F696)=TRUE,"✔",tulkojums!A$43))</f>
        <v/>
      </c>
      <c r="O696" s="2" t="str">
        <f>IF(ISBLANK(C696),"",IF(G696="Y","✔",IF(G696="X","✔",IF(G696="N","✔",tulkojums!A$44))))</f>
        <v/>
      </c>
      <c r="P696" s="2" t="str">
        <f>IF(ISBLANK(H696),"",IF(INDEX(DB_materiali!$E$2:$E$5000,MATCH($C696,DB_materiali!$A$2:$A$5000,0))&gt;=INDEX(DB_malas!$C$2:$C$5000,MATCH(H696,DB_malas!$A$2:$A$5000,0)),IF(INDEX(DB_materiali!$E$2:$E$5000,MATCH($C696,DB_materiali!$A$2:$A$5000,0))&lt;=INDEX(DB_malas!$D$2:$D$5000,MATCH(H696,DB_malas!$A$2:$A$5000,0)),IF(OR(INDEX(DB_materiali!$B$2:$B$5000,MATCH($C696,DB_materiali!$A$2:$A$5000,0))=INDEX(DB_malas!$B$2:$B$5000,MATCH(H696,DB_malas!$A$2:$A$5000,0)),$H696="ORG"),"✔",tulkojums!$A$38),tulkojums!$A$39),tulkojums!$A$39))</f>
        <v/>
      </c>
      <c r="Q696" s="2" t="str">
        <f>IF(ISBLANK(I696),"",IF(INDEX(DB_materiali!$E$2:$E$5000,MATCH($C696,DB_materiali!$A$2:$A$5000,0))&gt;=INDEX(DB_malas!$C$2:$C$5000,MATCH(I696,DB_malas!$A$2:$A$5000,0)),IF(INDEX(DB_materiali!$E$2:$E$5000,MATCH($C696,DB_materiali!$A$2:$A$5000,0))&lt;=INDEX(DB_malas!$D$2:$D$5000,MATCH(I696,DB_malas!$A$2:$A$5000,0)),IF(OR(INDEX(DB_materiali!$B$2:$B$5000,MATCH($C696,DB_materiali!$A$2:$A$5000,0))=INDEX(DB_malas!$B$2:$B$5000,MATCH(I696,DB_malas!$A$2:$A$5000,0)),$H696="ORG"),"✔",tulkojums!$A$38),tulkojums!$A$39),tulkojums!$A$39))</f>
        <v/>
      </c>
      <c r="R696" s="2" t="str">
        <f>IF(ISBLANK(J696),"",IF(INDEX(DB_materiali!$E$2:$E$5000,MATCH($C696,DB_materiali!$A$2:$A$5000,0))&gt;=INDEX(DB_malas!$C$2:$C$5000,MATCH(J696,DB_malas!$A$2:$A$5000,0)),IF(INDEX(DB_materiali!$E$2:$E$5000,MATCH($C696,DB_materiali!$A$2:$A$5000,0))&lt;=INDEX(DB_malas!$D$2:$D$5000,MATCH(J696,DB_malas!$A$2:$A$5000,0)),IF(INDEX(DB_materiali!$B$2:$B$5000,MATCH($C696,DB_materiali!$A$2:$A$5000,0))=INDEX(DB_malas!$B$2:$B$5000,MATCH(J696,DB_malas!$A$2:$A$5000,0)),"✔",tulkojums!$A$38),tulkojums!$A$39),tulkojums!$A$39))</f>
        <v/>
      </c>
      <c r="S696" s="2" t="str">
        <f>IF(ISBLANK(K696),"",IF(INDEX(DB_materiali!$E$2:$E$5000,MATCH($C696,DB_materiali!$A$2:$A$5000,0))&gt;=INDEX(DB_malas!$C$2:$C$5000,MATCH(K696,DB_malas!$A$2:$A$5000,0)),IF(INDEX(DB_materiali!$E$2:$E$5000,MATCH($C696,DB_materiali!$A$2:$A$5000,0))&lt;=INDEX(DB_malas!$D$2:$D$5000,MATCH(K696,DB_malas!$A$2:$A$5000,0)),IF(INDEX(DB_materiali!$B$2:$B$5000,MATCH($C696,DB_materiali!$A$2:$A$5000,0))=INDEX(DB_malas!$B$2:$B$5000,MATCH(K696,DB_malas!$A$2:$A$5000,0)),"✔",tulkojums!$A$38),tulkojums!$A$39),tulkojums!$A$39))</f>
        <v/>
      </c>
      <c r="T696" s="2"/>
      <c r="U696" s="2"/>
      <c r="V696" s="2"/>
      <c r="W696" s="2"/>
      <c r="X696" s="2"/>
      <c r="Y696" s="2"/>
      <c r="Z696" s="2"/>
    </row>
    <row r="697" spans="1:26" ht="15.75" customHeight="1">
      <c r="A697" s="17"/>
      <c r="B697" s="18"/>
      <c r="C697" s="19"/>
      <c r="D697" s="55"/>
      <c r="E697" s="55"/>
      <c r="F697" s="56"/>
      <c r="G697" s="57" t="str">
        <f>IF(ISBLANK(C697),"",
   IFERROR(
      IF(
         INDEX(DB_materiali!C$2:C$5000,
               MATCH(C697, DB_materiali!A$2:A$5000, 0)
         )="FALSE",
         "N",
         "Y"
      ),
   "")
)</f>
        <v/>
      </c>
      <c r="H697" s="20"/>
      <c r="I697" s="20"/>
      <c r="J697" s="20"/>
      <c r="K697" s="20"/>
      <c r="M697" s="2" t="str">
        <f>IF(ISBLANK(C697),"",IF(IFERROR(VLOOKUP(C697,DB_materiali!$A$2:$A$5000,1,FALSE),"Kļūda artikulā")=C697,"✔",tulkojums!A$42))</f>
        <v/>
      </c>
      <c r="N697" s="2" t="str">
        <f>IF(ISBLANK(C697),"",IF(ISNUMBER(F697)=TRUE,"✔",tulkojums!A$43))</f>
        <v/>
      </c>
      <c r="O697" s="2" t="str">
        <f>IF(ISBLANK(C697),"",IF(G697="Y","✔",IF(G697="X","✔",IF(G697="N","✔",tulkojums!A$44))))</f>
        <v/>
      </c>
      <c r="P697" s="2" t="str">
        <f>IF(ISBLANK(H697),"",IF(INDEX(DB_materiali!$E$2:$E$5000,MATCH($C697,DB_materiali!$A$2:$A$5000,0))&gt;=INDEX(DB_malas!$C$2:$C$5000,MATCH(H697,DB_malas!$A$2:$A$5000,0)),IF(INDEX(DB_materiali!$E$2:$E$5000,MATCH($C697,DB_materiali!$A$2:$A$5000,0))&lt;=INDEX(DB_malas!$D$2:$D$5000,MATCH(H697,DB_malas!$A$2:$A$5000,0)),IF(OR(INDEX(DB_materiali!$B$2:$B$5000,MATCH($C697,DB_materiali!$A$2:$A$5000,0))=INDEX(DB_malas!$B$2:$B$5000,MATCH(H697,DB_malas!$A$2:$A$5000,0)),$H697="ORG"),"✔",tulkojums!$A$38),tulkojums!$A$39),tulkojums!$A$39))</f>
        <v/>
      </c>
      <c r="Q697" s="2" t="str">
        <f>IF(ISBLANK(I697),"",IF(INDEX(DB_materiali!$E$2:$E$5000,MATCH($C697,DB_materiali!$A$2:$A$5000,0))&gt;=INDEX(DB_malas!$C$2:$C$5000,MATCH(I697,DB_malas!$A$2:$A$5000,0)),IF(INDEX(DB_materiali!$E$2:$E$5000,MATCH($C697,DB_materiali!$A$2:$A$5000,0))&lt;=INDEX(DB_malas!$D$2:$D$5000,MATCH(I697,DB_malas!$A$2:$A$5000,0)),IF(OR(INDEX(DB_materiali!$B$2:$B$5000,MATCH($C697,DB_materiali!$A$2:$A$5000,0))=INDEX(DB_malas!$B$2:$B$5000,MATCH(I697,DB_malas!$A$2:$A$5000,0)),$H697="ORG"),"✔",tulkojums!$A$38),tulkojums!$A$39),tulkojums!$A$39))</f>
        <v/>
      </c>
      <c r="R697" s="2" t="str">
        <f>IF(ISBLANK(J697),"",IF(INDEX(DB_materiali!$E$2:$E$5000,MATCH($C697,DB_materiali!$A$2:$A$5000,0))&gt;=INDEX(DB_malas!$C$2:$C$5000,MATCH(J697,DB_malas!$A$2:$A$5000,0)),IF(INDEX(DB_materiali!$E$2:$E$5000,MATCH($C697,DB_materiali!$A$2:$A$5000,0))&lt;=INDEX(DB_malas!$D$2:$D$5000,MATCH(J697,DB_malas!$A$2:$A$5000,0)),IF(INDEX(DB_materiali!$B$2:$B$5000,MATCH($C697,DB_materiali!$A$2:$A$5000,0))=INDEX(DB_malas!$B$2:$B$5000,MATCH(J697,DB_malas!$A$2:$A$5000,0)),"✔",tulkojums!$A$38),tulkojums!$A$39),tulkojums!$A$39))</f>
        <v/>
      </c>
      <c r="S697" s="2" t="str">
        <f>IF(ISBLANK(K697),"",IF(INDEX(DB_materiali!$E$2:$E$5000,MATCH($C697,DB_materiali!$A$2:$A$5000,0))&gt;=INDEX(DB_malas!$C$2:$C$5000,MATCH(K697,DB_malas!$A$2:$A$5000,0)),IF(INDEX(DB_materiali!$E$2:$E$5000,MATCH($C697,DB_materiali!$A$2:$A$5000,0))&lt;=INDEX(DB_malas!$D$2:$D$5000,MATCH(K697,DB_malas!$A$2:$A$5000,0)),IF(INDEX(DB_materiali!$B$2:$B$5000,MATCH($C697,DB_materiali!$A$2:$A$5000,0))=INDEX(DB_malas!$B$2:$B$5000,MATCH(K697,DB_malas!$A$2:$A$5000,0)),"✔",tulkojums!$A$38),tulkojums!$A$39),tulkojums!$A$39))</f>
        <v/>
      </c>
      <c r="T697" s="2"/>
      <c r="U697" s="2"/>
      <c r="V697" s="2"/>
      <c r="W697" s="2"/>
      <c r="X697" s="2"/>
      <c r="Y697" s="2"/>
      <c r="Z697" s="2"/>
    </row>
    <row r="698" spans="1:26" ht="15.75" customHeight="1">
      <c r="A698" s="17"/>
      <c r="B698" s="18"/>
      <c r="C698" s="19"/>
      <c r="D698" s="55"/>
      <c r="E698" s="55"/>
      <c r="F698" s="56"/>
      <c r="G698" s="57" t="str">
        <f>IF(ISBLANK(C698),"",
   IFERROR(
      IF(
         INDEX(DB_materiali!C$2:C$5000,
               MATCH(C698, DB_materiali!A$2:A$5000, 0)
         )="FALSE",
         "N",
         "Y"
      ),
   "")
)</f>
        <v/>
      </c>
      <c r="H698" s="20"/>
      <c r="I698" s="20"/>
      <c r="J698" s="20"/>
      <c r="K698" s="20"/>
      <c r="M698" s="2" t="str">
        <f>IF(ISBLANK(C698),"",IF(IFERROR(VLOOKUP(C698,DB_materiali!$A$2:$A$5000,1,FALSE),"Kļūda artikulā")=C698,"✔",tulkojums!A$42))</f>
        <v/>
      </c>
      <c r="N698" s="2" t="str">
        <f>IF(ISBLANK(C698),"",IF(ISNUMBER(F698)=TRUE,"✔",tulkojums!A$43))</f>
        <v/>
      </c>
      <c r="O698" s="2" t="str">
        <f>IF(ISBLANK(C698),"",IF(G698="Y","✔",IF(G698="X","✔",IF(G698="N","✔",tulkojums!A$44))))</f>
        <v/>
      </c>
      <c r="P698" s="2" t="str">
        <f>IF(ISBLANK(H698),"",IF(INDEX(DB_materiali!$E$2:$E$5000,MATCH($C698,DB_materiali!$A$2:$A$5000,0))&gt;=INDEX(DB_malas!$C$2:$C$5000,MATCH(H698,DB_malas!$A$2:$A$5000,0)),IF(INDEX(DB_materiali!$E$2:$E$5000,MATCH($C698,DB_materiali!$A$2:$A$5000,0))&lt;=INDEX(DB_malas!$D$2:$D$5000,MATCH(H698,DB_malas!$A$2:$A$5000,0)),IF(OR(INDEX(DB_materiali!$B$2:$B$5000,MATCH($C698,DB_materiali!$A$2:$A$5000,0))=INDEX(DB_malas!$B$2:$B$5000,MATCH(H698,DB_malas!$A$2:$A$5000,0)),$H698="ORG"),"✔",tulkojums!$A$38),tulkojums!$A$39),tulkojums!$A$39))</f>
        <v/>
      </c>
      <c r="Q698" s="2" t="str">
        <f>IF(ISBLANK(I698),"",IF(INDEX(DB_materiali!$E$2:$E$5000,MATCH($C698,DB_materiali!$A$2:$A$5000,0))&gt;=INDEX(DB_malas!$C$2:$C$5000,MATCH(I698,DB_malas!$A$2:$A$5000,0)),IF(INDEX(DB_materiali!$E$2:$E$5000,MATCH($C698,DB_materiali!$A$2:$A$5000,0))&lt;=INDEX(DB_malas!$D$2:$D$5000,MATCH(I698,DB_malas!$A$2:$A$5000,0)),IF(OR(INDEX(DB_materiali!$B$2:$B$5000,MATCH($C698,DB_materiali!$A$2:$A$5000,0))=INDEX(DB_malas!$B$2:$B$5000,MATCH(I698,DB_malas!$A$2:$A$5000,0)),$H698="ORG"),"✔",tulkojums!$A$38),tulkojums!$A$39),tulkojums!$A$39))</f>
        <v/>
      </c>
      <c r="R698" s="2" t="str">
        <f>IF(ISBLANK(J698),"",IF(INDEX(DB_materiali!$E$2:$E$5000,MATCH($C698,DB_materiali!$A$2:$A$5000,0))&gt;=INDEX(DB_malas!$C$2:$C$5000,MATCH(J698,DB_malas!$A$2:$A$5000,0)),IF(INDEX(DB_materiali!$E$2:$E$5000,MATCH($C698,DB_materiali!$A$2:$A$5000,0))&lt;=INDEX(DB_malas!$D$2:$D$5000,MATCH(J698,DB_malas!$A$2:$A$5000,0)),IF(INDEX(DB_materiali!$B$2:$B$5000,MATCH($C698,DB_materiali!$A$2:$A$5000,0))=INDEX(DB_malas!$B$2:$B$5000,MATCH(J698,DB_malas!$A$2:$A$5000,0)),"✔",tulkojums!$A$38),tulkojums!$A$39),tulkojums!$A$39))</f>
        <v/>
      </c>
      <c r="S698" s="2" t="str">
        <f>IF(ISBLANK(K698),"",IF(INDEX(DB_materiali!$E$2:$E$5000,MATCH($C698,DB_materiali!$A$2:$A$5000,0))&gt;=INDEX(DB_malas!$C$2:$C$5000,MATCH(K698,DB_malas!$A$2:$A$5000,0)),IF(INDEX(DB_materiali!$E$2:$E$5000,MATCH($C698,DB_materiali!$A$2:$A$5000,0))&lt;=INDEX(DB_malas!$D$2:$D$5000,MATCH(K698,DB_malas!$A$2:$A$5000,0)),IF(INDEX(DB_materiali!$B$2:$B$5000,MATCH($C698,DB_materiali!$A$2:$A$5000,0))=INDEX(DB_malas!$B$2:$B$5000,MATCH(K698,DB_malas!$A$2:$A$5000,0)),"✔",tulkojums!$A$38),tulkojums!$A$39),tulkojums!$A$39))</f>
        <v/>
      </c>
      <c r="T698" s="2"/>
      <c r="U698" s="2"/>
      <c r="V698" s="2"/>
      <c r="W698" s="2"/>
      <c r="X698" s="2"/>
      <c r="Y698" s="2"/>
      <c r="Z698" s="2"/>
    </row>
    <row r="699" spans="1:26" ht="15.75" customHeight="1">
      <c r="A699" s="17"/>
      <c r="B699" s="18"/>
      <c r="C699" s="19"/>
      <c r="D699" s="55"/>
      <c r="E699" s="55"/>
      <c r="F699" s="56"/>
      <c r="G699" s="57" t="str">
        <f>IF(ISBLANK(C699),"",
   IFERROR(
      IF(
         INDEX(DB_materiali!C$2:C$5000,
               MATCH(C699, DB_materiali!A$2:A$5000, 0)
         )="FALSE",
         "N",
         "Y"
      ),
   "")
)</f>
        <v/>
      </c>
      <c r="H699" s="20"/>
      <c r="I699" s="20"/>
      <c r="J699" s="20"/>
      <c r="K699" s="20"/>
      <c r="M699" s="2" t="str">
        <f>IF(ISBLANK(C699),"",IF(IFERROR(VLOOKUP(C699,DB_materiali!$A$2:$A$5000,1,FALSE),"Kļūda artikulā")=C699,"✔",tulkojums!A$42))</f>
        <v/>
      </c>
      <c r="N699" s="2" t="str">
        <f>IF(ISBLANK(C699),"",IF(ISNUMBER(F699)=TRUE,"✔",tulkojums!A$43))</f>
        <v/>
      </c>
      <c r="O699" s="2" t="str">
        <f>IF(ISBLANK(C699),"",IF(G699="Y","✔",IF(G699="X","✔",IF(G699="N","✔",tulkojums!A$44))))</f>
        <v/>
      </c>
      <c r="P699" s="2" t="str">
        <f>IF(ISBLANK(H699),"",IF(INDEX(DB_materiali!$E$2:$E$5000,MATCH($C699,DB_materiali!$A$2:$A$5000,0))&gt;=INDEX(DB_malas!$C$2:$C$5000,MATCH(H699,DB_malas!$A$2:$A$5000,0)),IF(INDEX(DB_materiali!$E$2:$E$5000,MATCH($C699,DB_materiali!$A$2:$A$5000,0))&lt;=INDEX(DB_malas!$D$2:$D$5000,MATCH(H699,DB_malas!$A$2:$A$5000,0)),IF(OR(INDEX(DB_materiali!$B$2:$B$5000,MATCH($C699,DB_materiali!$A$2:$A$5000,0))=INDEX(DB_malas!$B$2:$B$5000,MATCH(H699,DB_malas!$A$2:$A$5000,0)),$H699="ORG"),"✔",tulkojums!$A$38),tulkojums!$A$39),tulkojums!$A$39))</f>
        <v/>
      </c>
      <c r="Q699" s="2" t="str">
        <f>IF(ISBLANK(I699),"",IF(INDEX(DB_materiali!$E$2:$E$5000,MATCH($C699,DB_materiali!$A$2:$A$5000,0))&gt;=INDEX(DB_malas!$C$2:$C$5000,MATCH(I699,DB_malas!$A$2:$A$5000,0)),IF(INDEX(DB_materiali!$E$2:$E$5000,MATCH($C699,DB_materiali!$A$2:$A$5000,0))&lt;=INDEX(DB_malas!$D$2:$D$5000,MATCH(I699,DB_malas!$A$2:$A$5000,0)),IF(OR(INDEX(DB_materiali!$B$2:$B$5000,MATCH($C699,DB_materiali!$A$2:$A$5000,0))=INDEX(DB_malas!$B$2:$B$5000,MATCH(I699,DB_malas!$A$2:$A$5000,0)),$H699="ORG"),"✔",tulkojums!$A$38),tulkojums!$A$39),tulkojums!$A$39))</f>
        <v/>
      </c>
      <c r="R699" s="2" t="str">
        <f>IF(ISBLANK(J699),"",IF(INDEX(DB_materiali!$E$2:$E$5000,MATCH($C699,DB_materiali!$A$2:$A$5000,0))&gt;=INDEX(DB_malas!$C$2:$C$5000,MATCH(J699,DB_malas!$A$2:$A$5000,0)),IF(INDEX(DB_materiali!$E$2:$E$5000,MATCH($C699,DB_materiali!$A$2:$A$5000,0))&lt;=INDEX(DB_malas!$D$2:$D$5000,MATCH(J699,DB_malas!$A$2:$A$5000,0)),IF(INDEX(DB_materiali!$B$2:$B$5000,MATCH($C699,DB_materiali!$A$2:$A$5000,0))=INDEX(DB_malas!$B$2:$B$5000,MATCH(J699,DB_malas!$A$2:$A$5000,0)),"✔",tulkojums!$A$38),tulkojums!$A$39),tulkojums!$A$39))</f>
        <v/>
      </c>
      <c r="S699" s="2" t="str">
        <f>IF(ISBLANK(K699),"",IF(INDEX(DB_materiali!$E$2:$E$5000,MATCH($C699,DB_materiali!$A$2:$A$5000,0))&gt;=INDEX(DB_malas!$C$2:$C$5000,MATCH(K699,DB_malas!$A$2:$A$5000,0)),IF(INDEX(DB_materiali!$E$2:$E$5000,MATCH($C699,DB_materiali!$A$2:$A$5000,0))&lt;=INDEX(DB_malas!$D$2:$D$5000,MATCH(K699,DB_malas!$A$2:$A$5000,0)),IF(INDEX(DB_materiali!$B$2:$B$5000,MATCH($C699,DB_materiali!$A$2:$A$5000,0))=INDEX(DB_malas!$B$2:$B$5000,MATCH(K699,DB_malas!$A$2:$A$5000,0)),"✔",tulkojums!$A$38),tulkojums!$A$39),tulkojums!$A$39))</f>
        <v/>
      </c>
      <c r="T699" s="2"/>
      <c r="U699" s="2"/>
      <c r="V699" s="2"/>
      <c r="W699" s="2"/>
      <c r="X699" s="2"/>
      <c r="Y699" s="2"/>
      <c r="Z699" s="2"/>
    </row>
    <row r="700" spans="1:26" ht="15.75" customHeight="1">
      <c r="A700" s="17"/>
      <c r="B700" s="18"/>
      <c r="C700" s="19"/>
      <c r="D700" s="55"/>
      <c r="E700" s="55"/>
      <c r="F700" s="56"/>
      <c r="G700" s="57" t="str">
        <f>IF(ISBLANK(C700),"",
   IFERROR(
      IF(
         INDEX(DB_materiali!C$2:C$5000,
               MATCH(C700, DB_materiali!A$2:A$5000, 0)
         )="FALSE",
         "N",
         "Y"
      ),
   "")
)</f>
        <v/>
      </c>
      <c r="H700" s="20"/>
      <c r="I700" s="20"/>
      <c r="J700" s="20"/>
      <c r="K700" s="20"/>
      <c r="M700" s="2" t="str">
        <f>IF(ISBLANK(C700),"",IF(IFERROR(VLOOKUP(C700,DB_materiali!$A$2:$A$5000,1,FALSE),"Kļūda artikulā")=C700,"✔",tulkojums!A$42))</f>
        <v/>
      </c>
      <c r="N700" s="2" t="str">
        <f>IF(ISBLANK(C700),"",IF(ISNUMBER(F700)=TRUE,"✔",tulkojums!A$43))</f>
        <v/>
      </c>
      <c r="O700" s="2" t="str">
        <f>IF(ISBLANK(C700),"",IF(G700="Y","✔",IF(G700="X","✔",IF(G700="N","✔",tulkojums!A$44))))</f>
        <v/>
      </c>
      <c r="P700" s="2" t="str">
        <f>IF(ISBLANK(H700),"",IF(INDEX(DB_materiali!$E$2:$E$5000,MATCH($C700,DB_materiali!$A$2:$A$5000,0))&gt;=INDEX(DB_malas!$C$2:$C$5000,MATCH(H700,DB_malas!$A$2:$A$5000,0)),IF(INDEX(DB_materiali!$E$2:$E$5000,MATCH($C700,DB_materiali!$A$2:$A$5000,0))&lt;=INDEX(DB_malas!$D$2:$D$5000,MATCH(H700,DB_malas!$A$2:$A$5000,0)),IF(OR(INDEX(DB_materiali!$B$2:$B$5000,MATCH($C700,DB_materiali!$A$2:$A$5000,0))=INDEX(DB_malas!$B$2:$B$5000,MATCH(H700,DB_malas!$A$2:$A$5000,0)),$H700="ORG"),"✔",tulkojums!$A$38),tulkojums!$A$39),tulkojums!$A$39))</f>
        <v/>
      </c>
      <c r="Q700" s="2" t="str">
        <f>IF(ISBLANK(I700),"",IF(INDEX(DB_materiali!$E$2:$E$5000,MATCH($C700,DB_materiali!$A$2:$A$5000,0))&gt;=INDEX(DB_malas!$C$2:$C$5000,MATCH(I700,DB_malas!$A$2:$A$5000,0)),IF(INDEX(DB_materiali!$E$2:$E$5000,MATCH($C700,DB_materiali!$A$2:$A$5000,0))&lt;=INDEX(DB_malas!$D$2:$D$5000,MATCH(I700,DB_malas!$A$2:$A$5000,0)),IF(OR(INDEX(DB_materiali!$B$2:$B$5000,MATCH($C700,DB_materiali!$A$2:$A$5000,0))=INDEX(DB_malas!$B$2:$B$5000,MATCH(I700,DB_malas!$A$2:$A$5000,0)),$H700="ORG"),"✔",tulkojums!$A$38),tulkojums!$A$39),tulkojums!$A$39))</f>
        <v/>
      </c>
      <c r="R700" s="2" t="str">
        <f>IF(ISBLANK(J700),"",IF(INDEX(DB_materiali!$E$2:$E$5000,MATCH($C700,DB_materiali!$A$2:$A$5000,0))&gt;=INDEX(DB_malas!$C$2:$C$5000,MATCH(J700,DB_malas!$A$2:$A$5000,0)),IF(INDEX(DB_materiali!$E$2:$E$5000,MATCH($C700,DB_materiali!$A$2:$A$5000,0))&lt;=INDEX(DB_malas!$D$2:$D$5000,MATCH(J700,DB_malas!$A$2:$A$5000,0)),IF(INDEX(DB_materiali!$B$2:$B$5000,MATCH($C700,DB_materiali!$A$2:$A$5000,0))=INDEX(DB_malas!$B$2:$B$5000,MATCH(J700,DB_malas!$A$2:$A$5000,0)),"✔",tulkojums!$A$38),tulkojums!$A$39),tulkojums!$A$39))</f>
        <v/>
      </c>
      <c r="S700" s="2" t="str">
        <f>IF(ISBLANK(K700),"",IF(INDEX(DB_materiali!$E$2:$E$5000,MATCH($C700,DB_materiali!$A$2:$A$5000,0))&gt;=INDEX(DB_malas!$C$2:$C$5000,MATCH(K700,DB_malas!$A$2:$A$5000,0)),IF(INDEX(DB_materiali!$E$2:$E$5000,MATCH($C700,DB_materiali!$A$2:$A$5000,0))&lt;=INDEX(DB_malas!$D$2:$D$5000,MATCH(K700,DB_malas!$A$2:$A$5000,0)),IF(INDEX(DB_materiali!$B$2:$B$5000,MATCH($C700,DB_materiali!$A$2:$A$5000,0))=INDEX(DB_malas!$B$2:$B$5000,MATCH(K700,DB_malas!$A$2:$A$5000,0)),"✔",tulkojums!$A$38),tulkojums!$A$39),tulkojums!$A$39))</f>
        <v/>
      </c>
      <c r="T700" s="2"/>
      <c r="U700" s="2"/>
      <c r="V700" s="2"/>
      <c r="W700" s="2"/>
      <c r="X700" s="2"/>
      <c r="Y700" s="2"/>
      <c r="Z700" s="2"/>
    </row>
    <row r="701" spans="1:26" ht="15.75" customHeight="1">
      <c r="A701" s="17"/>
      <c r="B701" s="18"/>
      <c r="C701" s="19"/>
      <c r="D701" s="55"/>
      <c r="E701" s="55"/>
      <c r="F701" s="56"/>
      <c r="G701" s="57" t="str">
        <f>IF(ISBLANK(C701),"",
   IFERROR(
      IF(
         INDEX(DB_materiali!C$2:C$5000,
               MATCH(C701, DB_materiali!A$2:A$5000, 0)
         )="FALSE",
         "N",
         "Y"
      ),
   "")
)</f>
        <v/>
      </c>
      <c r="H701" s="20"/>
      <c r="I701" s="20"/>
      <c r="J701" s="20"/>
      <c r="K701" s="20"/>
      <c r="M701" s="2" t="str">
        <f>IF(ISBLANK(C701),"",IF(IFERROR(VLOOKUP(C701,DB_materiali!$A$2:$A$5000,1,FALSE),"Kļūda artikulā")=C701,"✔",tulkojums!A$42))</f>
        <v/>
      </c>
      <c r="N701" s="2" t="str">
        <f>IF(ISBLANK(C701),"",IF(ISNUMBER(F701)=TRUE,"✔",tulkojums!A$43))</f>
        <v/>
      </c>
      <c r="O701" s="2" t="str">
        <f>IF(ISBLANK(C701),"",IF(G701="Y","✔",IF(G701="X","✔",IF(G701="N","✔",tulkojums!A$44))))</f>
        <v/>
      </c>
      <c r="P701" s="2" t="str">
        <f>IF(ISBLANK(H701),"",IF(INDEX(DB_materiali!$E$2:$E$5000,MATCH($C701,DB_materiali!$A$2:$A$5000,0))&gt;=INDEX(DB_malas!$C$2:$C$5000,MATCH(H701,DB_malas!$A$2:$A$5000,0)),IF(INDEX(DB_materiali!$E$2:$E$5000,MATCH($C701,DB_materiali!$A$2:$A$5000,0))&lt;=INDEX(DB_malas!$D$2:$D$5000,MATCH(H701,DB_malas!$A$2:$A$5000,0)),IF(OR(INDEX(DB_materiali!$B$2:$B$5000,MATCH($C701,DB_materiali!$A$2:$A$5000,0))=INDEX(DB_malas!$B$2:$B$5000,MATCH(H701,DB_malas!$A$2:$A$5000,0)),$H701="ORG"),"✔",tulkojums!$A$38),tulkojums!$A$39),tulkojums!$A$39))</f>
        <v/>
      </c>
      <c r="Q701" s="2" t="str">
        <f>IF(ISBLANK(I701),"",IF(INDEX(DB_materiali!$E$2:$E$5000,MATCH($C701,DB_materiali!$A$2:$A$5000,0))&gt;=INDEX(DB_malas!$C$2:$C$5000,MATCH(I701,DB_malas!$A$2:$A$5000,0)),IF(INDEX(DB_materiali!$E$2:$E$5000,MATCH($C701,DB_materiali!$A$2:$A$5000,0))&lt;=INDEX(DB_malas!$D$2:$D$5000,MATCH(I701,DB_malas!$A$2:$A$5000,0)),IF(OR(INDEX(DB_materiali!$B$2:$B$5000,MATCH($C701,DB_materiali!$A$2:$A$5000,0))=INDEX(DB_malas!$B$2:$B$5000,MATCH(I701,DB_malas!$A$2:$A$5000,0)),$H701="ORG"),"✔",tulkojums!$A$38),tulkojums!$A$39),tulkojums!$A$39))</f>
        <v/>
      </c>
      <c r="R701" s="2" t="str">
        <f>IF(ISBLANK(J701),"",IF(INDEX(DB_materiali!$E$2:$E$5000,MATCH($C701,DB_materiali!$A$2:$A$5000,0))&gt;=INDEX(DB_malas!$C$2:$C$5000,MATCH(J701,DB_malas!$A$2:$A$5000,0)),IF(INDEX(DB_materiali!$E$2:$E$5000,MATCH($C701,DB_materiali!$A$2:$A$5000,0))&lt;=INDEX(DB_malas!$D$2:$D$5000,MATCH(J701,DB_malas!$A$2:$A$5000,0)),IF(INDEX(DB_materiali!$B$2:$B$5000,MATCH($C701,DB_materiali!$A$2:$A$5000,0))=INDEX(DB_malas!$B$2:$B$5000,MATCH(J701,DB_malas!$A$2:$A$5000,0)),"✔",tulkojums!$A$38),tulkojums!$A$39),tulkojums!$A$39))</f>
        <v/>
      </c>
      <c r="S701" s="2" t="str">
        <f>IF(ISBLANK(K701),"",IF(INDEX(DB_materiali!$E$2:$E$5000,MATCH($C701,DB_materiali!$A$2:$A$5000,0))&gt;=INDEX(DB_malas!$C$2:$C$5000,MATCH(K701,DB_malas!$A$2:$A$5000,0)),IF(INDEX(DB_materiali!$E$2:$E$5000,MATCH($C701,DB_materiali!$A$2:$A$5000,0))&lt;=INDEX(DB_malas!$D$2:$D$5000,MATCH(K701,DB_malas!$A$2:$A$5000,0)),IF(INDEX(DB_materiali!$B$2:$B$5000,MATCH($C701,DB_materiali!$A$2:$A$5000,0))=INDEX(DB_malas!$B$2:$B$5000,MATCH(K701,DB_malas!$A$2:$A$5000,0)),"✔",tulkojums!$A$38),tulkojums!$A$39),tulkojums!$A$39))</f>
        <v/>
      </c>
      <c r="T701" s="2"/>
      <c r="U701" s="2"/>
      <c r="V701" s="2"/>
      <c r="W701" s="2"/>
      <c r="X701" s="2"/>
      <c r="Y701" s="2"/>
      <c r="Z701" s="2"/>
    </row>
    <row r="702" spans="1:26" ht="15.75" customHeight="1">
      <c r="A702" s="17"/>
      <c r="B702" s="18"/>
      <c r="C702" s="19"/>
      <c r="D702" s="55"/>
      <c r="E702" s="55"/>
      <c r="F702" s="56"/>
      <c r="G702" s="57" t="str">
        <f>IF(ISBLANK(C702),"",
   IFERROR(
      IF(
         INDEX(DB_materiali!C$2:C$5000,
               MATCH(C702, DB_materiali!A$2:A$5000, 0)
         )="FALSE",
         "N",
         "Y"
      ),
   "")
)</f>
        <v/>
      </c>
      <c r="H702" s="20"/>
      <c r="I702" s="20"/>
      <c r="J702" s="20"/>
      <c r="K702" s="20"/>
      <c r="M702" s="2" t="str">
        <f>IF(ISBLANK(C702),"",IF(IFERROR(VLOOKUP(C702,DB_materiali!$A$2:$A$5000,1,FALSE),"Kļūda artikulā")=C702,"✔",tulkojums!A$42))</f>
        <v/>
      </c>
      <c r="N702" s="2" t="str">
        <f>IF(ISBLANK(C702),"",IF(ISNUMBER(F702)=TRUE,"✔",tulkojums!A$43))</f>
        <v/>
      </c>
      <c r="O702" s="2" t="str">
        <f>IF(ISBLANK(C702),"",IF(G702="Y","✔",IF(G702="X","✔",IF(G702="N","✔",tulkojums!A$44))))</f>
        <v/>
      </c>
      <c r="P702" s="2" t="str">
        <f>IF(ISBLANK(H702),"",IF(INDEX(DB_materiali!$E$2:$E$5000,MATCH($C702,DB_materiali!$A$2:$A$5000,0))&gt;=INDEX(DB_malas!$C$2:$C$5000,MATCH(H702,DB_malas!$A$2:$A$5000,0)),IF(INDEX(DB_materiali!$E$2:$E$5000,MATCH($C702,DB_materiali!$A$2:$A$5000,0))&lt;=INDEX(DB_malas!$D$2:$D$5000,MATCH(H702,DB_malas!$A$2:$A$5000,0)),IF(OR(INDEX(DB_materiali!$B$2:$B$5000,MATCH($C702,DB_materiali!$A$2:$A$5000,0))=INDEX(DB_malas!$B$2:$B$5000,MATCH(H702,DB_malas!$A$2:$A$5000,0)),$H702="ORG"),"✔",tulkojums!$A$38),tulkojums!$A$39),tulkojums!$A$39))</f>
        <v/>
      </c>
      <c r="Q702" s="2" t="str">
        <f>IF(ISBLANK(I702),"",IF(INDEX(DB_materiali!$E$2:$E$5000,MATCH($C702,DB_materiali!$A$2:$A$5000,0))&gt;=INDEX(DB_malas!$C$2:$C$5000,MATCH(I702,DB_malas!$A$2:$A$5000,0)),IF(INDEX(DB_materiali!$E$2:$E$5000,MATCH($C702,DB_materiali!$A$2:$A$5000,0))&lt;=INDEX(DB_malas!$D$2:$D$5000,MATCH(I702,DB_malas!$A$2:$A$5000,0)),IF(OR(INDEX(DB_materiali!$B$2:$B$5000,MATCH($C702,DB_materiali!$A$2:$A$5000,0))=INDEX(DB_malas!$B$2:$B$5000,MATCH(I702,DB_malas!$A$2:$A$5000,0)),$H702="ORG"),"✔",tulkojums!$A$38),tulkojums!$A$39),tulkojums!$A$39))</f>
        <v/>
      </c>
      <c r="R702" s="2" t="str">
        <f>IF(ISBLANK(J702),"",IF(INDEX(DB_materiali!$E$2:$E$5000,MATCH($C702,DB_materiali!$A$2:$A$5000,0))&gt;=INDEX(DB_malas!$C$2:$C$5000,MATCH(J702,DB_malas!$A$2:$A$5000,0)),IF(INDEX(DB_materiali!$E$2:$E$5000,MATCH($C702,DB_materiali!$A$2:$A$5000,0))&lt;=INDEX(DB_malas!$D$2:$D$5000,MATCH(J702,DB_malas!$A$2:$A$5000,0)),IF(INDEX(DB_materiali!$B$2:$B$5000,MATCH($C702,DB_materiali!$A$2:$A$5000,0))=INDEX(DB_malas!$B$2:$B$5000,MATCH(J702,DB_malas!$A$2:$A$5000,0)),"✔",tulkojums!$A$38),tulkojums!$A$39),tulkojums!$A$39))</f>
        <v/>
      </c>
      <c r="S702" s="2" t="str">
        <f>IF(ISBLANK(K702),"",IF(INDEX(DB_materiali!$E$2:$E$5000,MATCH($C702,DB_materiali!$A$2:$A$5000,0))&gt;=INDEX(DB_malas!$C$2:$C$5000,MATCH(K702,DB_malas!$A$2:$A$5000,0)),IF(INDEX(DB_materiali!$E$2:$E$5000,MATCH($C702,DB_materiali!$A$2:$A$5000,0))&lt;=INDEX(DB_malas!$D$2:$D$5000,MATCH(K702,DB_malas!$A$2:$A$5000,0)),IF(INDEX(DB_materiali!$B$2:$B$5000,MATCH($C702,DB_materiali!$A$2:$A$5000,0))=INDEX(DB_malas!$B$2:$B$5000,MATCH(K702,DB_malas!$A$2:$A$5000,0)),"✔",tulkojums!$A$38),tulkojums!$A$39),tulkojums!$A$39))</f>
        <v/>
      </c>
      <c r="T702" s="2"/>
      <c r="U702" s="2"/>
      <c r="V702" s="2"/>
      <c r="W702" s="2"/>
      <c r="X702" s="2"/>
      <c r="Y702" s="2"/>
      <c r="Z702" s="2"/>
    </row>
    <row r="703" spans="1:26" ht="15.75" customHeight="1">
      <c r="A703" s="17"/>
      <c r="B703" s="18"/>
      <c r="C703" s="19"/>
      <c r="D703" s="55"/>
      <c r="E703" s="55"/>
      <c r="F703" s="56"/>
      <c r="G703" s="57" t="str">
        <f>IF(ISBLANK(C703),"",
   IFERROR(
      IF(
         INDEX(DB_materiali!C$2:C$5000,
               MATCH(C703, DB_materiali!A$2:A$5000, 0)
         )="FALSE",
         "N",
         "Y"
      ),
   "")
)</f>
        <v/>
      </c>
      <c r="H703" s="20"/>
      <c r="I703" s="20"/>
      <c r="J703" s="20"/>
      <c r="K703" s="20"/>
      <c r="M703" s="2" t="str">
        <f>IF(ISBLANK(C703),"",IF(IFERROR(VLOOKUP(C703,DB_materiali!$A$2:$A$5000,1,FALSE),"Kļūda artikulā")=C703,"✔",tulkojums!A$42))</f>
        <v/>
      </c>
      <c r="N703" s="2" t="str">
        <f>IF(ISBLANK(C703),"",IF(ISNUMBER(F703)=TRUE,"✔",tulkojums!A$43))</f>
        <v/>
      </c>
      <c r="O703" s="2" t="str">
        <f>IF(ISBLANK(C703),"",IF(G703="Y","✔",IF(G703="X","✔",IF(G703="N","✔",tulkojums!A$44))))</f>
        <v/>
      </c>
      <c r="P703" s="2" t="str">
        <f>IF(ISBLANK(H703),"",IF(INDEX(DB_materiali!$E$2:$E$5000,MATCH($C703,DB_materiali!$A$2:$A$5000,0))&gt;=INDEX(DB_malas!$C$2:$C$5000,MATCH(H703,DB_malas!$A$2:$A$5000,0)),IF(INDEX(DB_materiali!$E$2:$E$5000,MATCH($C703,DB_materiali!$A$2:$A$5000,0))&lt;=INDEX(DB_malas!$D$2:$D$5000,MATCH(H703,DB_malas!$A$2:$A$5000,0)),IF(OR(INDEX(DB_materiali!$B$2:$B$5000,MATCH($C703,DB_materiali!$A$2:$A$5000,0))=INDEX(DB_malas!$B$2:$B$5000,MATCH(H703,DB_malas!$A$2:$A$5000,0)),$H703="ORG"),"✔",tulkojums!$A$38),tulkojums!$A$39),tulkojums!$A$39))</f>
        <v/>
      </c>
      <c r="Q703" s="2" t="str">
        <f>IF(ISBLANK(I703),"",IF(INDEX(DB_materiali!$E$2:$E$5000,MATCH($C703,DB_materiali!$A$2:$A$5000,0))&gt;=INDEX(DB_malas!$C$2:$C$5000,MATCH(I703,DB_malas!$A$2:$A$5000,0)),IF(INDEX(DB_materiali!$E$2:$E$5000,MATCH($C703,DB_materiali!$A$2:$A$5000,0))&lt;=INDEX(DB_malas!$D$2:$D$5000,MATCH(I703,DB_malas!$A$2:$A$5000,0)),IF(OR(INDEX(DB_materiali!$B$2:$B$5000,MATCH($C703,DB_materiali!$A$2:$A$5000,0))=INDEX(DB_malas!$B$2:$B$5000,MATCH(I703,DB_malas!$A$2:$A$5000,0)),$H703="ORG"),"✔",tulkojums!$A$38),tulkojums!$A$39),tulkojums!$A$39))</f>
        <v/>
      </c>
      <c r="R703" s="2" t="str">
        <f>IF(ISBLANK(J703),"",IF(INDEX(DB_materiali!$E$2:$E$5000,MATCH($C703,DB_materiali!$A$2:$A$5000,0))&gt;=INDEX(DB_malas!$C$2:$C$5000,MATCH(J703,DB_malas!$A$2:$A$5000,0)),IF(INDEX(DB_materiali!$E$2:$E$5000,MATCH($C703,DB_materiali!$A$2:$A$5000,0))&lt;=INDEX(DB_malas!$D$2:$D$5000,MATCH(J703,DB_malas!$A$2:$A$5000,0)),IF(INDEX(DB_materiali!$B$2:$B$5000,MATCH($C703,DB_materiali!$A$2:$A$5000,0))=INDEX(DB_malas!$B$2:$B$5000,MATCH(J703,DB_malas!$A$2:$A$5000,0)),"✔",tulkojums!$A$38),tulkojums!$A$39),tulkojums!$A$39))</f>
        <v/>
      </c>
      <c r="S703" s="2" t="str">
        <f>IF(ISBLANK(K703),"",IF(INDEX(DB_materiali!$E$2:$E$5000,MATCH($C703,DB_materiali!$A$2:$A$5000,0))&gt;=INDEX(DB_malas!$C$2:$C$5000,MATCH(K703,DB_malas!$A$2:$A$5000,0)),IF(INDEX(DB_materiali!$E$2:$E$5000,MATCH($C703,DB_materiali!$A$2:$A$5000,0))&lt;=INDEX(DB_malas!$D$2:$D$5000,MATCH(K703,DB_malas!$A$2:$A$5000,0)),IF(INDEX(DB_materiali!$B$2:$B$5000,MATCH($C703,DB_materiali!$A$2:$A$5000,0))=INDEX(DB_malas!$B$2:$B$5000,MATCH(K703,DB_malas!$A$2:$A$5000,0)),"✔",tulkojums!$A$38),tulkojums!$A$39),tulkojums!$A$39))</f>
        <v/>
      </c>
      <c r="T703" s="2"/>
      <c r="U703" s="2"/>
      <c r="V703" s="2"/>
      <c r="W703" s="2"/>
      <c r="X703" s="2"/>
      <c r="Y703" s="2"/>
      <c r="Z703" s="2"/>
    </row>
    <row r="704" spans="1:26" ht="15.75" customHeight="1">
      <c r="A704" s="17"/>
      <c r="B704" s="18"/>
      <c r="C704" s="19"/>
      <c r="D704" s="55"/>
      <c r="E704" s="55"/>
      <c r="F704" s="56"/>
      <c r="G704" s="57" t="str">
        <f>IF(ISBLANK(C704),"",
   IFERROR(
      IF(
         INDEX(DB_materiali!C$2:C$5000,
               MATCH(C704, DB_materiali!A$2:A$5000, 0)
         )="FALSE",
         "N",
         "Y"
      ),
   "")
)</f>
        <v/>
      </c>
      <c r="H704" s="20"/>
      <c r="I704" s="20"/>
      <c r="J704" s="20"/>
      <c r="K704" s="20"/>
      <c r="M704" s="2" t="str">
        <f>IF(ISBLANK(C704),"",IF(IFERROR(VLOOKUP(C704,DB_materiali!$A$2:$A$5000,1,FALSE),"Kļūda artikulā")=C704,"✔",tulkojums!A$42))</f>
        <v/>
      </c>
      <c r="N704" s="2" t="str">
        <f>IF(ISBLANK(C704),"",IF(ISNUMBER(F704)=TRUE,"✔",tulkojums!A$43))</f>
        <v/>
      </c>
      <c r="O704" s="2" t="str">
        <f>IF(ISBLANK(C704),"",IF(G704="Y","✔",IF(G704="X","✔",IF(G704="N","✔",tulkojums!A$44))))</f>
        <v/>
      </c>
      <c r="P704" s="2" t="str">
        <f>IF(ISBLANK(H704),"",IF(INDEX(DB_materiali!$E$2:$E$5000,MATCH($C704,DB_materiali!$A$2:$A$5000,0))&gt;=INDEX(DB_malas!$C$2:$C$5000,MATCH(H704,DB_malas!$A$2:$A$5000,0)),IF(INDEX(DB_materiali!$E$2:$E$5000,MATCH($C704,DB_materiali!$A$2:$A$5000,0))&lt;=INDEX(DB_malas!$D$2:$D$5000,MATCH(H704,DB_malas!$A$2:$A$5000,0)),IF(OR(INDEX(DB_materiali!$B$2:$B$5000,MATCH($C704,DB_materiali!$A$2:$A$5000,0))=INDEX(DB_malas!$B$2:$B$5000,MATCH(H704,DB_malas!$A$2:$A$5000,0)),$H704="ORG"),"✔",tulkojums!$A$38),tulkojums!$A$39),tulkojums!$A$39))</f>
        <v/>
      </c>
      <c r="Q704" s="2" t="str">
        <f>IF(ISBLANK(I704),"",IF(INDEX(DB_materiali!$E$2:$E$5000,MATCH($C704,DB_materiali!$A$2:$A$5000,0))&gt;=INDEX(DB_malas!$C$2:$C$5000,MATCH(I704,DB_malas!$A$2:$A$5000,0)),IF(INDEX(DB_materiali!$E$2:$E$5000,MATCH($C704,DB_materiali!$A$2:$A$5000,0))&lt;=INDEX(DB_malas!$D$2:$D$5000,MATCH(I704,DB_malas!$A$2:$A$5000,0)),IF(OR(INDEX(DB_materiali!$B$2:$B$5000,MATCH($C704,DB_materiali!$A$2:$A$5000,0))=INDEX(DB_malas!$B$2:$B$5000,MATCH(I704,DB_malas!$A$2:$A$5000,0)),$H704="ORG"),"✔",tulkojums!$A$38),tulkojums!$A$39),tulkojums!$A$39))</f>
        <v/>
      </c>
      <c r="R704" s="2" t="str">
        <f>IF(ISBLANK(J704),"",IF(INDEX(DB_materiali!$E$2:$E$5000,MATCH($C704,DB_materiali!$A$2:$A$5000,0))&gt;=INDEX(DB_malas!$C$2:$C$5000,MATCH(J704,DB_malas!$A$2:$A$5000,0)),IF(INDEX(DB_materiali!$E$2:$E$5000,MATCH($C704,DB_materiali!$A$2:$A$5000,0))&lt;=INDEX(DB_malas!$D$2:$D$5000,MATCH(J704,DB_malas!$A$2:$A$5000,0)),IF(INDEX(DB_materiali!$B$2:$B$5000,MATCH($C704,DB_materiali!$A$2:$A$5000,0))=INDEX(DB_malas!$B$2:$B$5000,MATCH(J704,DB_malas!$A$2:$A$5000,0)),"✔",tulkojums!$A$38),tulkojums!$A$39),tulkojums!$A$39))</f>
        <v/>
      </c>
      <c r="S704" s="2" t="str">
        <f>IF(ISBLANK(K704),"",IF(INDEX(DB_materiali!$E$2:$E$5000,MATCH($C704,DB_materiali!$A$2:$A$5000,0))&gt;=INDEX(DB_malas!$C$2:$C$5000,MATCH(K704,DB_malas!$A$2:$A$5000,0)),IF(INDEX(DB_materiali!$E$2:$E$5000,MATCH($C704,DB_materiali!$A$2:$A$5000,0))&lt;=INDEX(DB_malas!$D$2:$D$5000,MATCH(K704,DB_malas!$A$2:$A$5000,0)),IF(INDEX(DB_materiali!$B$2:$B$5000,MATCH($C704,DB_materiali!$A$2:$A$5000,0))=INDEX(DB_malas!$B$2:$B$5000,MATCH(K704,DB_malas!$A$2:$A$5000,0)),"✔",tulkojums!$A$38),tulkojums!$A$39),tulkojums!$A$39))</f>
        <v/>
      </c>
      <c r="T704" s="2"/>
      <c r="U704" s="2"/>
      <c r="V704" s="2"/>
      <c r="W704" s="2"/>
      <c r="X704" s="2"/>
      <c r="Y704" s="2"/>
      <c r="Z704" s="2"/>
    </row>
    <row r="705" spans="1:26" ht="15.75" customHeight="1">
      <c r="A705" s="17"/>
      <c r="B705" s="18"/>
      <c r="C705" s="19"/>
      <c r="D705" s="55"/>
      <c r="E705" s="55"/>
      <c r="F705" s="56"/>
      <c r="G705" s="57" t="str">
        <f>IF(ISBLANK(C705),"",
   IFERROR(
      IF(
         INDEX(DB_materiali!C$2:C$5000,
               MATCH(C705, DB_materiali!A$2:A$5000, 0)
         )="FALSE",
         "N",
         "Y"
      ),
   "")
)</f>
        <v/>
      </c>
      <c r="H705" s="20"/>
      <c r="I705" s="20"/>
      <c r="J705" s="20"/>
      <c r="K705" s="20"/>
      <c r="M705" s="2" t="str">
        <f>IF(ISBLANK(C705),"",IF(IFERROR(VLOOKUP(C705,DB_materiali!$A$2:$A$5000,1,FALSE),"Kļūda artikulā")=C705,"✔",tulkojums!A$42))</f>
        <v/>
      </c>
      <c r="N705" s="2" t="str">
        <f>IF(ISBLANK(C705),"",IF(ISNUMBER(F705)=TRUE,"✔",tulkojums!A$43))</f>
        <v/>
      </c>
      <c r="O705" s="2" t="str">
        <f>IF(ISBLANK(C705),"",IF(G705="Y","✔",IF(G705="X","✔",IF(G705="N","✔",tulkojums!A$44))))</f>
        <v/>
      </c>
      <c r="P705" s="2" t="str">
        <f>IF(ISBLANK(H705),"",IF(INDEX(DB_materiali!$E$2:$E$5000,MATCH($C705,DB_materiali!$A$2:$A$5000,0))&gt;=INDEX(DB_malas!$C$2:$C$5000,MATCH(H705,DB_malas!$A$2:$A$5000,0)),IF(INDEX(DB_materiali!$E$2:$E$5000,MATCH($C705,DB_materiali!$A$2:$A$5000,0))&lt;=INDEX(DB_malas!$D$2:$D$5000,MATCH(H705,DB_malas!$A$2:$A$5000,0)),IF(OR(INDEX(DB_materiali!$B$2:$B$5000,MATCH($C705,DB_materiali!$A$2:$A$5000,0))=INDEX(DB_malas!$B$2:$B$5000,MATCH(H705,DB_malas!$A$2:$A$5000,0)),$H705="ORG"),"✔",tulkojums!$A$38),tulkojums!$A$39),tulkojums!$A$39))</f>
        <v/>
      </c>
      <c r="Q705" s="2" t="str">
        <f>IF(ISBLANK(I705),"",IF(INDEX(DB_materiali!$E$2:$E$5000,MATCH($C705,DB_materiali!$A$2:$A$5000,0))&gt;=INDEX(DB_malas!$C$2:$C$5000,MATCH(I705,DB_malas!$A$2:$A$5000,0)),IF(INDEX(DB_materiali!$E$2:$E$5000,MATCH($C705,DB_materiali!$A$2:$A$5000,0))&lt;=INDEX(DB_malas!$D$2:$D$5000,MATCH(I705,DB_malas!$A$2:$A$5000,0)),IF(OR(INDEX(DB_materiali!$B$2:$B$5000,MATCH($C705,DB_materiali!$A$2:$A$5000,0))=INDEX(DB_malas!$B$2:$B$5000,MATCH(I705,DB_malas!$A$2:$A$5000,0)),$H705="ORG"),"✔",tulkojums!$A$38),tulkojums!$A$39),tulkojums!$A$39))</f>
        <v/>
      </c>
      <c r="R705" s="2" t="str">
        <f>IF(ISBLANK(J705),"",IF(INDEX(DB_materiali!$E$2:$E$5000,MATCH($C705,DB_materiali!$A$2:$A$5000,0))&gt;=INDEX(DB_malas!$C$2:$C$5000,MATCH(J705,DB_malas!$A$2:$A$5000,0)),IF(INDEX(DB_materiali!$E$2:$E$5000,MATCH($C705,DB_materiali!$A$2:$A$5000,0))&lt;=INDEX(DB_malas!$D$2:$D$5000,MATCH(J705,DB_malas!$A$2:$A$5000,0)),IF(INDEX(DB_materiali!$B$2:$B$5000,MATCH($C705,DB_materiali!$A$2:$A$5000,0))=INDEX(DB_malas!$B$2:$B$5000,MATCH(J705,DB_malas!$A$2:$A$5000,0)),"✔",tulkojums!$A$38),tulkojums!$A$39),tulkojums!$A$39))</f>
        <v/>
      </c>
      <c r="S705" s="2" t="str">
        <f>IF(ISBLANK(K705),"",IF(INDEX(DB_materiali!$E$2:$E$5000,MATCH($C705,DB_materiali!$A$2:$A$5000,0))&gt;=INDEX(DB_malas!$C$2:$C$5000,MATCH(K705,DB_malas!$A$2:$A$5000,0)),IF(INDEX(DB_materiali!$E$2:$E$5000,MATCH($C705,DB_materiali!$A$2:$A$5000,0))&lt;=INDEX(DB_malas!$D$2:$D$5000,MATCH(K705,DB_malas!$A$2:$A$5000,0)),IF(INDEX(DB_materiali!$B$2:$B$5000,MATCH($C705,DB_materiali!$A$2:$A$5000,0))=INDEX(DB_malas!$B$2:$B$5000,MATCH(K705,DB_malas!$A$2:$A$5000,0)),"✔",tulkojums!$A$38),tulkojums!$A$39),tulkojums!$A$39))</f>
        <v/>
      </c>
      <c r="T705" s="2"/>
      <c r="U705" s="2"/>
      <c r="V705" s="2"/>
      <c r="W705" s="2"/>
      <c r="X705" s="2"/>
      <c r="Y705" s="2"/>
      <c r="Z705" s="2"/>
    </row>
    <row r="706" spans="1:26" ht="15.75" customHeight="1">
      <c r="A706" s="17"/>
      <c r="B706" s="18"/>
      <c r="C706" s="19"/>
      <c r="D706" s="55"/>
      <c r="E706" s="55"/>
      <c r="F706" s="56"/>
      <c r="G706" s="57" t="str">
        <f>IF(ISBLANK(C706),"",
   IFERROR(
      IF(
         INDEX(DB_materiali!C$2:C$5000,
               MATCH(C706, DB_materiali!A$2:A$5000, 0)
         )="FALSE",
         "N",
         "Y"
      ),
   "")
)</f>
        <v/>
      </c>
      <c r="H706" s="20"/>
      <c r="I706" s="20"/>
      <c r="J706" s="20"/>
      <c r="K706" s="20"/>
      <c r="M706" s="2" t="str">
        <f>IF(ISBLANK(C706),"",IF(IFERROR(VLOOKUP(C706,DB_materiali!$A$2:$A$5000,1,FALSE),"Kļūda artikulā")=C706,"✔",tulkojums!A$42))</f>
        <v/>
      </c>
      <c r="N706" s="2" t="str">
        <f>IF(ISBLANK(C706),"",IF(ISNUMBER(F706)=TRUE,"✔",tulkojums!A$43))</f>
        <v/>
      </c>
      <c r="O706" s="2" t="str">
        <f>IF(ISBLANK(C706),"",IF(G706="Y","✔",IF(G706="X","✔",IF(G706="N","✔",tulkojums!A$44))))</f>
        <v/>
      </c>
      <c r="P706" s="2" t="str">
        <f>IF(ISBLANK(H706),"",IF(INDEX(DB_materiali!$E$2:$E$5000,MATCH($C706,DB_materiali!$A$2:$A$5000,0))&gt;=INDEX(DB_malas!$C$2:$C$5000,MATCH(H706,DB_malas!$A$2:$A$5000,0)),IF(INDEX(DB_materiali!$E$2:$E$5000,MATCH($C706,DB_materiali!$A$2:$A$5000,0))&lt;=INDEX(DB_malas!$D$2:$D$5000,MATCH(H706,DB_malas!$A$2:$A$5000,0)),IF(OR(INDEX(DB_materiali!$B$2:$B$5000,MATCH($C706,DB_materiali!$A$2:$A$5000,0))=INDEX(DB_malas!$B$2:$B$5000,MATCH(H706,DB_malas!$A$2:$A$5000,0)),$H706="ORG"),"✔",tulkojums!$A$38),tulkojums!$A$39),tulkojums!$A$39))</f>
        <v/>
      </c>
      <c r="Q706" s="2" t="str">
        <f>IF(ISBLANK(I706),"",IF(INDEX(DB_materiali!$E$2:$E$5000,MATCH($C706,DB_materiali!$A$2:$A$5000,0))&gt;=INDEX(DB_malas!$C$2:$C$5000,MATCH(I706,DB_malas!$A$2:$A$5000,0)),IF(INDEX(DB_materiali!$E$2:$E$5000,MATCH($C706,DB_materiali!$A$2:$A$5000,0))&lt;=INDEX(DB_malas!$D$2:$D$5000,MATCH(I706,DB_malas!$A$2:$A$5000,0)),IF(OR(INDEX(DB_materiali!$B$2:$B$5000,MATCH($C706,DB_materiali!$A$2:$A$5000,0))=INDEX(DB_malas!$B$2:$B$5000,MATCH(I706,DB_malas!$A$2:$A$5000,0)),$H706="ORG"),"✔",tulkojums!$A$38),tulkojums!$A$39),tulkojums!$A$39))</f>
        <v/>
      </c>
      <c r="R706" s="2" t="str">
        <f>IF(ISBLANK(J706),"",IF(INDEX(DB_materiali!$E$2:$E$5000,MATCH($C706,DB_materiali!$A$2:$A$5000,0))&gt;=INDEX(DB_malas!$C$2:$C$5000,MATCH(J706,DB_malas!$A$2:$A$5000,0)),IF(INDEX(DB_materiali!$E$2:$E$5000,MATCH($C706,DB_materiali!$A$2:$A$5000,0))&lt;=INDEX(DB_malas!$D$2:$D$5000,MATCH(J706,DB_malas!$A$2:$A$5000,0)),IF(INDEX(DB_materiali!$B$2:$B$5000,MATCH($C706,DB_materiali!$A$2:$A$5000,0))=INDEX(DB_malas!$B$2:$B$5000,MATCH(J706,DB_malas!$A$2:$A$5000,0)),"✔",tulkojums!$A$38),tulkojums!$A$39),tulkojums!$A$39))</f>
        <v/>
      </c>
      <c r="S706" s="2" t="str">
        <f>IF(ISBLANK(K706),"",IF(INDEX(DB_materiali!$E$2:$E$5000,MATCH($C706,DB_materiali!$A$2:$A$5000,0))&gt;=INDEX(DB_malas!$C$2:$C$5000,MATCH(K706,DB_malas!$A$2:$A$5000,0)),IF(INDEX(DB_materiali!$E$2:$E$5000,MATCH($C706,DB_materiali!$A$2:$A$5000,0))&lt;=INDEX(DB_malas!$D$2:$D$5000,MATCH(K706,DB_malas!$A$2:$A$5000,0)),IF(INDEX(DB_materiali!$B$2:$B$5000,MATCH($C706,DB_materiali!$A$2:$A$5000,0))=INDEX(DB_malas!$B$2:$B$5000,MATCH(K706,DB_malas!$A$2:$A$5000,0)),"✔",tulkojums!$A$38),tulkojums!$A$39),tulkojums!$A$39))</f>
        <v/>
      </c>
      <c r="T706" s="2"/>
      <c r="U706" s="2"/>
      <c r="V706" s="2"/>
      <c r="W706" s="2"/>
      <c r="X706" s="2"/>
      <c r="Y706" s="2"/>
      <c r="Z706" s="2"/>
    </row>
    <row r="707" spans="1:26" ht="15.75" customHeight="1">
      <c r="A707" s="17"/>
      <c r="B707" s="18"/>
      <c r="C707" s="19"/>
      <c r="D707" s="55"/>
      <c r="E707" s="55"/>
      <c r="F707" s="56"/>
      <c r="G707" s="57" t="str">
        <f>IF(ISBLANK(C707),"",
   IFERROR(
      IF(
         INDEX(DB_materiali!C$2:C$5000,
               MATCH(C707, DB_materiali!A$2:A$5000, 0)
         )="FALSE",
         "N",
         "Y"
      ),
   "")
)</f>
        <v/>
      </c>
      <c r="H707" s="20"/>
      <c r="I707" s="20"/>
      <c r="J707" s="20"/>
      <c r="K707" s="20"/>
      <c r="M707" s="2" t="str">
        <f>IF(ISBLANK(C707),"",IF(IFERROR(VLOOKUP(C707,DB_materiali!$A$2:$A$5000,1,FALSE),"Kļūda artikulā")=C707,"✔",tulkojums!A$42))</f>
        <v/>
      </c>
      <c r="N707" s="2" t="str">
        <f>IF(ISBLANK(C707),"",IF(ISNUMBER(F707)=TRUE,"✔",tulkojums!A$43))</f>
        <v/>
      </c>
      <c r="O707" s="2" t="str">
        <f>IF(ISBLANK(C707),"",IF(G707="Y","✔",IF(G707="X","✔",IF(G707="N","✔",tulkojums!A$44))))</f>
        <v/>
      </c>
      <c r="P707" s="2" t="str">
        <f>IF(ISBLANK(H707),"",IF(INDEX(DB_materiali!$E$2:$E$5000,MATCH($C707,DB_materiali!$A$2:$A$5000,0))&gt;=INDEX(DB_malas!$C$2:$C$5000,MATCH(H707,DB_malas!$A$2:$A$5000,0)),IF(INDEX(DB_materiali!$E$2:$E$5000,MATCH($C707,DB_materiali!$A$2:$A$5000,0))&lt;=INDEX(DB_malas!$D$2:$D$5000,MATCH(H707,DB_malas!$A$2:$A$5000,0)),IF(OR(INDEX(DB_materiali!$B$2:$B$5000,MATCH($C707,DB_materiali!$A$2:$A$5000,0))=INDEX(DB_malas!$B$2:$B$5000,MATCH(H707,DB_malas!$A$2:$A$5000,0)),$H707="ORG"),"✔",tulkojums!$A$38),tulkojums!$A$39),tulkojums!$A$39))</f>
        <v/>
      </c>
      <c r="Q707" s="2" t="str">
        <f>IF(ISBLANK(I707),"",IF(INDEX(DB_materiali!$E$2:$E$5000,MATCH($C707,DB_materiali!$A$2:$A$5000,0))&gt;=INDEX(DB_malas!$C$2:$C$5000,MATCH(I707,DB_malas!$A$2:$A$5000,0)),IF(INDEX(DB_materiali!$E$2:$E$5000,MATCH($C707,DB_materiali!$A$2:$A$5000,0))&lt;=INDEX(DB_malas!$D$2:$D$5000,MATCH(I707,DB_malas!$A$2:$A$5000,0)),IF(OR(INDEX(DB_materiali!$B$2:$B$5000,MATCH($C707,DB_materiali!$A$2:$A$5000,0))=INDEX(DB_malas!$B$2:$B$5000,MATCH(I707,DB_malas!$A$2:$A$5000,0)),$H707="ORG"),"✔",tulkojums!$A$38),tulkojums!$A$39),tulkojums!$A$39))</f>
        <v/>
      </c>
      <c r="R707" s="2" t="str">
        <f>IF(ISBLANK(J707),"",IF(INDEX(DB_materiali!$E$2:$E$5000,MATCH($C707,DB_materiali!$A$2:$A$5000,0))&gt;=INDEX(DB_malas!$C$2:$C$5000,MATCH(J707,DB_malas!$A$2:$A$5000,0)),IF(INDEX(DB_materiali!$E$2:$E$5000,MATCH($C707,DB_materiali!$A$2:$A$5000,0))&lt;=INDEX(DB_malas!$D$2:$D$5000,MATCH(J707,DB_malas!$A$2:$A$5000,0)),IF(INDEX(DB_materiali!$B$2:$B$5000,MATCH($C707,DB_materiali!$A$2:$A$5000,0))=INDEX(DB_malas!$B$2:$B$5000,MATCH(J707,DB_malas!$A$2:$A$5000,0)),"✔",tulkojums!$A$38),tulkojums!$A$39),tulkojums!$A$39))</f>
        <v/>
      </c>
      <c r="S707" s="2" t="str">
        <f>IF(ISBLANK(K707),"",IF(INDEX(DB_materiali!$E$2:$E$5000,MATCH($C707,DB_materiali!$A$2:$A$5000,0))&gt;=INDEX(DB_malas!$C$2:$C$5000,MATCH(K707,DB_malas!$A$2:$A$5000,0)),IF(INDEX(DB_materiali!$E$2:$E$5000,MATCH($C707,DB_materiali!$A$2:$A$5000,0))&lt;=INDEX(DB_malas!$D$2:$D$5000,MATCH(K707,DB_malas!$A$2:$A$5000,0)),IF(INDEX(DB_materiali!$B$2:$B$5000,MATCH($C707,DB_materiali!$A$2:$A$5000,0))=INDEX(DB_malas!$B$2:$B$5000,MATCH(K707,DB_malas!$A$2:$A$5000,0)),"✔",tulkojums!$A$38),tulkojums!$A$39),tulkojums!$A$39))</f>
        <v/>
      </c>
      <c r="T707" s="2"/>
      <c r="U707" s="2"/>
      <c r="V707" s="2"/>
      <c r="W707" s="2"/>
      <c r="X707" s="2"/>
      <c r="Y707" s="2"/>
      <c r="Z707" s="2"/>
    </row>
    <row r="708" spans="1:26" ht="15.75" customHeight="1">
      <c r="A708" s="17"/>
      <c r="B708" s="18"/>
      <c r="C708" s="19"/>
      <c r="D708" s="55"/>
      <c r="E708" s="55"/>
      <c r="F708" s="56"/>
      <c r="G708" s="57" t="str">
        <f>IF(ISBLANK(C708),"",
   IFERROR(
      IF(
         INDEX(DB_materiali!C$2:C$5000,
               MATCH(C708, DB_materiali!A$2:A$5000, 0)
         )="FALSE",
         "N",
         "Y"
      ),
   "")
)</f>
        <v/>
      </c>
      <c r="H708" s="20"/>
      <c r="I708" s="20"/>
      <c r="J708" s="20"/>
      <c r="K708" s="20"/>
      <c r="M708" s="2" t="str">
        <f>IF(ISBLANK(C708),"",IF(IFERROR(VLOOKUP(C708,DB_materiali!$A$2:$A$5000,1,FALSE),"Kļūda artikulā")=C708,"✔",tulkojums!A$42))</f>
        <v/>
      </c>
      <c r="N708" s="2" t="str">
        <f>IF(ISBLANK(C708),"",IF(ISNUMBER(F708)=TRUE,"✔",tulkojums!A$43))</f>
        <v/>
      </c>
      <c r="O708" s="2" t="str">
        <f>IF(ISBLANK(C708),"",IF(G708="Y","✔",IF(G708="X","✔",IF(G708="N","✔",tulkojums!A$44))))</f>
        <v/>
      </c>
      <c r="P708" s="2" t="str">
        <f>IF(ISBLANK(H708),"",IF(INDEX(DB_materiali!$E$2:$E$5000,MATCH($C708,DB_materiali!$A$2:$A$5000,0))&gt;=INDEX(DB_malas!$C$2:$C$5000,MATCH(H708,DB_malas!$A$2:$A$5000,0)),IF(INDEX(DB_materiali!$E$2:$E$5000,MATCH($C708,DB_materiali!$A$2:$A$5000,0))&lt;=INDEX(DB_malas!$D$2:$D$5000,MATCH(H708,DB_malas!$A$2:$A$5000,0)),IF(OR(INDEX(DB_materiali!$B$2:$B$5000,MATCH($C708,DB_materiali!$A$2:$A$5000,0))=INDEX(DB_malas!$B$2:$B$5000,MATCH(H708,DB_malas!$A$2:$A$5000,0)),$H708="ORG"),"✔",tulkojums!$A$38),tulkojums!$A$39),tulkojums!$A$39))</f>
        <v/>
      </c>
      <c r="Q708" s="2" t="str">
        <f>IF(ISBLANK(I708),"",IF(INDEX(DB_materiali!$E$2:$E$5000,MATCH($C708,DB_materiali!$A$2:$A$5000,0))&gt;=INDEX(DB_malas!$C$2:$C$5000,MATCH(I708,DB_malas!$A$2:$A$5000,0)),IF(INDEX(DB_materiali!$E$2:$E$5000,MATCH($C708,DB_materiali!$A$2:$A$5000,0))&lt;=INDEX(DB_malas!$D$2:$D$5000,MATCH(I708,DB_malas!$A$2:$A$5000,0)),IF(OR(INDEX(DB_materiali!$B$2:$B$5000,MATCH($C708,DB_materiali!$A$2:$A$5000,0))=INDEX(DB_malas!$B$2:$B$5000,MATCH(I708,DB_malas!$A$2:$A$5000,0)),$H708="ORG"),"✔",tulkojums!$A$38),tulkojums!$A$39),tulkojums!$A$39))</f>
        <v/>
      </c>
      <c r="R708" s="2" t="str">
        <f>IF(ISBLANK(J708),"",IF(INDEX(DB_materiali!$E$2:$E$5000,MATCH($C708,DB_materiali!$A$2:$A$5000,0))&gt;=INDEX(DB_malas!$C$2:$C$5000,MATCH(J708,DB_malas!$A$2:$A$5000,0)),IF(INDEX(DB_materiali!$E$2:$E$5000,MATCH($C708,DB_materiali!$A$2:$A$5000,0))&lt;=INDEX(DB_malas!$D$2:$D$5000,MATCH(J708,DB_malas!$A$2:$A$5000,0)),IF(INDEX(DB_materiali!$B$2:$B$5000,MATCH($C708,DB_materiali!$A$2:$A$5000,0))=INDEX(DB_malas!$B$2:$B$5000,MATCH(J708,DB_malas!$A$2:$A$5000,0)),"✔",tulkojums!$A$38),tulkojums!$A$39),tulkojums!$A$39))</f>
        <v/>
      </c>
      <c r="S708" s="2" t="str">
        <f>IF(ISBLANK(K708),"",IF(INDEX(DB_materiali!$E$2:$E$5000,MATCH($C708,DB_materiali!$A$2:$A$5000,0))&gt;=INDEX(DB_malas!$C$2:$C$5000,MATCH(K708,DB_malas!$A$2:$A$5000,0)),IF(INDEX(DB_materiali!$E$2:$E$5000,MATCH($C708,DB_materiali!$A$2:$A$5000,0))&lt;=INDEX(DB_malas!$D$2:$D$5000,MATCH(K708,DB_malas!$A$2:$A$5000,0)),IF(INDEX(DB_materiali!$B$2:$B$5000,MATCH($C708,DB_materiali!$A$2:$A$5000,0))=INDEX(DB_malas!$B$2:$B$5000,MATCH(K708,DB_malas!$A$2:$A$5000,0)),"✔",tulkojums!$A$38),tulkojums!$A$39),tulkojums!$A$39))</f>
        <v/>
      </c>
      <c r="T708" s="2"/>
      <c r="U708" s="2"/>
      <c r="V708" s="2"/>
      <c r="W708" s="2"/>
      <c r="X708" s="2"/>
      <c r="Y708" s="2"/>
      <c r="Z708" s="2"/>
    </row>
    <row r="709" spans="1:26" ht="15.75" customHeight="1">
      <c r="A709" s="17"/>
      <c r="B709" s="18"/>
      <c r="C709" s="19"/>
      <c r="D709" s="55"/>
      <c r="E709" s="55"/>
      <c r="F709" s="56"/>
      <c r="G709" s="57" t="str">
        <f>IF(ISBLANK(C709),"",
   IFERROR(
      IF(
         INDEX(DB_materiali!C$2:C$5000,
               MATCH(C709, DB_materiali!A$2:A$5000, 0)
         )="FALSE",
         "N",
         "Y"
      ),
   "")
)</f>
        <v/>
      </c>
      <c r="H709" s="20"/>
      <c r="I709" s="20"/>
      <c r="J709" s="20"/>
      <c r="K709" s="20"/>
      <c r="M709" s="2" t="str">
        <f>IF(ISBLANK(C709),"",IF(IFERROR(VLOOKUP(C709,DB_materiali!$A$2:$A$5000,1,FALSE),"Kļūda artikulā")=C709,"✔",tulkojums!A$42))</f>
        <v/>
      </c>
      <c r="N709" s="2" t="str">
        <f>IF(ISBLANK(C709),"",IF(ISNUMBER(F709)=TRUE,"✔",tulkojums!A$43))</f>
        <v/>
      </c>
      <c r="O709" s="2" t="str">
        <f>IF(ISBLANK(C709),"",IF(G709="Y","✔",IF(G709="X","✔",IF(G709="N","✔",tulkojums!A$44))))</f>
        <v/>
      </c>
      <c r="P709" s="2" t="str">
        <f>IF(ISBLANK(H709),"",IF(INDEX(DB_materiali!$E$2:$E$5000,MATCH($C709,DB_materiali!$A$2:$A$5000,0))&gt;=INDEX(DB_malas!$C$2:$C$5000,MATCH(H709,DB_malas!$A$2:$A$5000,0)),IF(INDEX(DB_materiali!$E$2:$E$5000,MATCH($C709,DB_materiali!$A$2:$A$5000,0))&lt;=INDEX(DB_malas!$D$2:$D$5000,MATCH(H709,DB_malas!$A$2:$A$5000,0)),IF(OR(INDEX(DB_materiali!$B$2:$B$5000,MATCH($C709,DB_materiali!$A$2:$A$5000,0))=INDEX(DB_malas!$B$2:$B$5000,MATCH(H709,DB_malas!$A$2:$A$5000,0)),$H709="ORG"),"✔",tulkojums!$A$38),tulkojums!$A$39),tulkojums!$A$39))</f>
        <v/>
      </c>
      <c r="Q709" s="2" t="str">
        <f>IF(ISBLANK(I709),"",IF(INDEX(DB_materiali!$E$2:$E$5000,MATCH($C709,DB_materiali!$A$2:$A$5000,0))&gt;=INDEX(DB_malas!$C$2:$C$5000,MATCH(I709,DB_malas!$A$2:$A$5000,0)),IF(INDEX(DB_materiali!$E$2:$E$5000,MATCH($C709,DB_materiali!$A$2:$A$5000,0))&lt;=INDEX(DB_malas!$D$2:$D$5000,MATCH(I709,DB_malas!$A$2:$A$5000,0)),IF(OR(INDEX(DB_materiali!$B$2:$B$5000,MATCH($C709,DB_materiali!$A$2:$A$5000,0))=INDEX(DB_malas!$B$2:$B$5000,MATCH(I709,DB_malas!$A$2:$A$5000,0)),$H709="ORG"),"✔",tulkojums!$A$38),tulkojums!$A$39),tulkojums!$A$39))</f>
        <v/>
      </c>
      <c r="R709" s="2" t="str">
        <f>IF(ISBLANK(J709),"",IF(INDEX(DB_materiali!$E$2:$E$5000,MATCH($C709,DB_materiali!$A$2:$A$5000,0))&gt;=INDEX(DB_malas!$C$2:$C$5000,MATCH(J709,DB_malas!$A$2:$A$5000,0)),IF(INDEX(DB_materiali!$E$2:$E$5000,MATCH($C709,DB_materiali!$A$2:$A$5000,0))&lt;=INDEX(DB_malas!$D$2:$D$5000,MATCH(J709,DB_malas!$A$2:$A$5000,0)),IF(INDEX(DB_materiali!$B$2:$B$5000,MATCH($C709,DB_materiali!$A$2:$A$5000,0))=INDEX(DB_malas!$B$2:$B$5000,MATCH(J709,DB_malas!$A$2:$A$5000,0)),"✔",tulkojums!$A$38),tulkojums!$A$39),tulkojums!$A$39))</f>
        <v/>
      </c>
      <c r="S709" s="2" t="str">
        <f>IF(ISBLANK(K709),"",IF(INDEX(DB_materiali!$E$2:$E$5000,MATCH($C709,DB_materiali!$A$2:$A$5000,0))&gt;=INDEX(DB_malas!$C$2:$C$5000,MATCH(K709,DB_malas!$A$2:$A$5000,0)),IF(INDEX(DB_materiali!$E$2:$E$5000,MATCH($C709,DB_materiali!$A$2:$A$5000,0))&lt;=INDEX(DB_malas!$D$2:$D$5000,MATCH(K709,DB_malas!$A$2:$A$5000,0)),IF(INDEX(DB_materiali!$B$2:$B$5000,MATCH($C709,DB_materiali!$A$2:$A$5000,0))=INDEX(DB_malas!$B$2:$B$5000,MATCH(K709,DB_malas!$A$2:$A$5000,0)),"✔",tulkojums!$A$38),tulkojums!$A$39),tulkojums!$A$39))</f>
        <v/>
      </c>
      <c r="T709" s="2"/>
      <c r="U709" s="2"/>
      <c r="V709" s="2"/>
      <c r="W709" s="2"/>
      <c r="X709" s="2"/>
      <c r="Y709" s="2"/>
      <c r="Z709" s="2"/>
    </row>
    <row r="710" spans="1:26" ht="15.75" customHeight="1">
      <c r="A710" s="17"/>
      <c r="B710" s="18"/>
      <c r="C710" s="19"/>
      <c r="D710" s="55"/>
      <c r="E710" s="55"/>
      <c r="F710" s="56"/>
      <c r="G710" s="57" t="str">
        <f>IF(ISBLANK(C710),"",
   IFERROR(
      IF(
         INDEX(DB_materiali!C$2:C$5000,
               MATCH(C710, DB_materiali!A$2:A$5000, 0)
         )="FALSE",
         "N",
         "Y"
      ),
   "")
)</f>
        <v/>
      </c>
      <c r="H710" s="20"/>
      <c r="I710" s="20"/>
      <c r="J710" s="20"/>
      <c r="K710" s="20"/>
      <c r="M710" s="2" t="str">
        <f>IF(ISBLANK(C710),"",IF(IFERROR(VLOOKUP(C710,DB_materiali!$A$2:$A$5000,1,FALSE),"Kļūda artikulā")=C710,"✔",tulkojums!A$42))</f>
        <v/>
      </c>
      <c r="N710" s="2" t="str">
        <f>IF(ISBLANK(C710),"",IF(ISNUMBER(F710)=TRUE,"✔",tulkojums!A$43))</f>
        <v/>
      </c>
      <c r="O710" s="2" t="str">
        <f>IF(ISBLANK(C710),"",IF(G710="Y","✔",IF(G710="X","✔",IF(G710="N","✔",tulkojums!A$44))))</f>
        <v/>
      </c>
      <c r="P710" s="2" t="str">
        <f>IF(ISBLANK(H710),"",IF(INDEX(DB_materiali!$E$2:$E$5000,MATCH($C710,DB_materiali!$A$2:$A$5000,0))&gt;=INDEX(DB_malas!$C$2:$C$5000,MATCH(H710,DB_malas!$A$2:$A$5000,0)),IF(INDEX(DB_materiali!$E$2:$E$5000,MATCH($C710,DB_materiali!$A$2:$A$5000,0))&lt;=INDEX(DB_malas!$D$2:$D$5000,MATCH(H710,DB_malas!$A$2:$A$5000,0)),IF(OR(INDEX(DB_materiali!$B$2:$B$5000,MATCH($C710,DB_materiali!$A$2:$A$5000,0))=INDEX(DB_malas!$B$2:$B$5000,MATCH(H710,DB_malas!$A$2:$A$5000,0)),$H710="ORG"),"✔",tulkojums!$A$38),tulkojums!$A$39),tulkojums!$A$39))</f>
        <v/>
      </c>
      <c r="Q710" s="2" t="str">
        <f>IF(ISBLANK(I710),"",IF(INDEX(DB_materiali!$E$2:$E$5000,MATCH($C710,DB_materiali!$A$2:$A$5000,0))&gt;=INDEX(DB_malas!$C$2:$C$5000,MATCH(I710,DB_malas!$A$2:$A$5000,0)),IF(INDEX(DB_materiali!$E$2:$E$5000,MATCH($C710,DB_materiali!$A$2:$A$5000,0))&lt;=INDEX(DB_malas!$D$2:$D$5000,MATCH(I710,DB_malas!$A$2:$A$5000,0)),IF(OR(INDEX(DB_materiali!$B$2:$B$5000,MATCH($C710,DB_materiali!$A$2:$A$5000,0))=INDEX(DB_malas!$B$2:$B$5000,MATCH(I710,DB_malas!$A$2:$A$5000,0)),$H710="ORG"),"✔",tulkojums!$A$38),tulkojums!$A$39),tulkojums!$A$39))</f>
        <v/>
      </c>
      <c r="R710" s="2" t="str">
        <f>IF(ISBLANK(J710),"",IF(INDEX(DB_materiali!$E$2:$E$5000,MATCH($C710,DB_materiali!$A$2:$A$5000,0))&gt;=INDEX(DB_malas!$C$2:$C$5000,MATCH(J710,DB_malas!$A$2:$A$5000,0)),IF(INDEX(DB_materiali!$E$2:$E$5000,MATCH($C710,DB_materiali!$A$2:$A$5000,0))&lt;=INDEX(DB_malas!$D$2:$D$5000,MATCH(J710,DB_malas!$A$2:$A$5000,0)),IF(INDEX(DB_materiali!$B$2:$B$5000,MATCH($C710,DB_materiali!$A$2:$A$5000,0))=INDEX(DB_malas!$B$2:$B$5000,MATCH(J710,DB_malas!$A$2:$A$5000,0)),"✔",tulkojums!$A$38),tulkojums!$A$39),tulkojums!$A$39))</f>
        <v/>
      </c>
      <c r="S710" s="2" t="str">
        <f>IF(ISBLANK(K710),"",IF(INDEX(DB_materiali!$E$2:$E$5000,MATCH($C710,DB_materiali!$A$2:$A$5000,0))&gt;=INDEX(DB_malas!$C$2:$C$5000,MATCH(K710,DB_malas!$A$2:$A$5000,0)),IF(INDEX(DB_materiali!$E$2:$E$5000,MATCH($C710,DB_materiali!$A$2:$A$5000,0))&lt;=INDEX(DB_malas!$D$2:$D$5000,MATCH(K710,DB_malas!$A$2:$A$5000,0)),IF(INDEX(DB_materiali!$B$2:$B$5000,MATCH($C710,DB_materiali!$A$2:$A$5000,0))=INDEX(DB_malas!$B$2:$B$5000,MATCH(K710,DB_malas!$A$2:$A$5000,0)),"✔",tulkojums!$A$38),tulkojums!$A$39),tulkojums!$A$39))</f>
        <v/>
      </c>
      <c r="T710" s="2"/>
      <c r="U710" s="2"/>
      <c r="V710" s="2"/>
      <c r="W710" s="2"/>
      <c r="X710" s="2"/>
      <c r="Y710" s="2"/>
      <c r="Z710" s="2"/>
    </row>
    <row r="711" spans="1:26" ht="15.75" customHeight="1">
      <c r="A711" s="17"/>
      <c r="B711" s="18"/>
      <c r="C711" s="19"/>
      <c r="D711" s="55"/>
      <c r="E711" s="55"/>
      <c r="F711" s="56"/>
      <c r="G711" s="57" t="str">
        <f>IF(ISBLANK(C711),"",
   IFERROR(
      IF(
         INDEX(DB_materiali!C$2:C$5000,
               MATCH(C711, DB_materiali!A$2:A$5000, 0)
         )="FALSE",
         "N",
         "Y"
      ),
   "")
)</f>
        <v/>
      </c>
      <c r="H711" s="20"/>
      <c r="I711" s="20"/>
      <c r="J711" s="20"/>
      <c r="K711" s="20"/>
      <c r="M711" s="2" t="str">
        <f>IF(ISBLANK(C711),"",IF(IFERROR(VLOOKUP(C711,DB_materiali!$A$2:$A$5000,1,FALSE),"Kļūda artikulā")=C711,"✔",tulkojums!A$42))</f>
        <v/>
      </c>
      <c r="N711" s="2" t="str">
        <f>IF(ISBLANK(C711),"",IF(ISNUMBER(F711)=TRUE,"✔",tulkojums!A$43))</f>
        <v/>
      </c>
      <c r="O711" s="2" t="str">
        <f>IF(ISBLANK(C711),"",IF(G711="Y","✔",IF(G711="X","✔",IF(G711="N","✔",tulkojums!A$44))))</f>
        <v/>
      </c>
      <c r="P711" s="2" t="str">
        <f>IF(ISBLANK(H711),"",IF(INDEX(DB_materiali!$E$2:$E$5000,MATCH($C711,DB_materiali!$A$2:$A$5000,0))&gt;=INDEX(DB_malas!$C$2:$C$5000,MATCH(H711,DB_malas!$A$2:$A$5000,0)),IF(INDEX(DB_materiali!$E$2:$E$5000,MATCH($C711,DB_materiali!$A$2:$A$5000,0))&lt;=INDEX(DB_malas!$D$2:$D$5000,MATCH(H711,DB_malas!$A$2:$A$5000,0)),IF(OR(INDEX(DB_materiali!$B$2:$B$5000,MATCH($C711,DB_materiali!$A$2:$A$5000,0))=INDEX(DB_malas!$B$2:$B$5000,MATCH(H711,DB_malas!$A$2:$A$5000,0)),$H711="ORG"),"✔",tulkojums!$A$38),tulkojums!$A$39),tulkojums!$A$39))</f>
        <v/>
      </c>
      <c r="Q711" s="2" t="str">
        <f>IF(ISBLANK(I711),"",IF(INDEX(DB_materiali!$E$2:$E$5000,MATCH($C711,DB_materiali!$A$2:$A$5000,0))&gt;=INDEX(DB_malas!$C$2:$C$5000,MATCH(I711,DB_malas!$A$2:$A$5000,0)),IF(INDEX(DB_materiali!$E$2:$E$5000,MATCH($C711,DB_materiali!$A$2:$A$5000,0))&lt;=INDEX(DB_malas!$D$2:$D$5000,MATCH(I711,DB_malas!$A$2:$A$5000,0)),IF(OR(INDEX(DB_materiali!$B$2:$B$5000,MATCH($C711,DB_materiali!$A$2:$A$5000,0))=INDEX(DB_malas!$B$2:$B$5000,MATCH(I711,DB_malas!$A$2:$A$5000,0)),$H711="ORG"),"✔",tulkojums!$A$38),tulkojums!$A$39),tulkojums!$A$39))</f>
        <v/>
      </c>
      <c r="R711" s="2" t="str">
        <f>IF(ISBLANK(J711),"",IF(INDEX(DB_materiali!$E$2:$E$5000,MATCH($C711,DB_materiali!$A$2:$A$5000,0))&gt;=INDEX(DB_malas!$C$2:$C$5000,MATCH(J711,DB_malas!$A$2:$A$5000,0)),IF(INDEX(DB_materiali!$E$2:$E$5000,MATCH($C711,DB_materiali!$A$2:$A$5000,0))&lt;=INDEX(DB_malas!$D$2:$D$5000,MATCH(J711,DB_malas!$A$2:$A$5000,0)),IF(INDEX(DB_materiali!$B$2:$B$5000,MATCH($C711,DB_materiali!$A$2:$A$5000,0))=INDEX(DB_malas!$B$2:$B$5000,MATCH(J711,DB_malas!$A$2:$A$5000,0)),"✔",tulkojums!$A$38),tulkojums!$A$39),tulkojums!$A$39))</f>
        <v/>
      </c>
      <c r="S711" s="2" t="str">
        <f>IF(ISBLANK(K711),"",IF(INDEX(DB_materiali!$E$2:$E$5000,MATCH($C711,DB_materiali!$A$2:$A$5000,0))&gt;=INDEX(DB_malas!$C$2:$C$5000,MATCH(K711,DB_malas!$A$2:$A$5000,0)),IF(INDEX(DB_materiali!$E$2:$E$5000,MATCH($C711,DB_materiali!$A$2:$A$5000,0))&lt;=INDEX(DB_malas!$D$2:$D$5000,MATCH(K711,DB_malas!$A$2:$A$5000,0)),IF(INDEX(DB_materiali!$B$2:$B$5000,MATCH($C711,DB_materiali!$A$2:$A$5000,0))=INDEX(DB_malas!$B$2:$B$5000,MATCH(K711,DB_malas!$A$2:$A$5000,0)),"✔",tulkojums!$A$38),tulkojums!$A$39),tulkojums!$A$39))</f>
        <v/>
      </c>
      <c r="T711" s="2"/>
      <c r="U711" s="2"/>
      <c r="V711" s="2"/>
      <c r="W711" s="2"/>
      <c r="X711" s="2"/>
      <c r="Y711" s="2"/>
      <c r="Z711" s="2"/>
    </row>
    <row r="712" spans="1:26" ht="15.75" customHeight="1">
      <c r="A712" s="17"/>
      <c r="B712" s="18"/>
      <c r="C712" s="19"/>
      <c r="D712" s="55"/>
      <c r="E712" s="55"/>
      <c r="F712" s="56"/>
      <c r="G712" s="57" t="str">
        <f>IF(ISBLANK(C712),"",
   IFERROR(
      IF(
         INDEX(DB_materiali!C$2:C$5000,
               MATCH(C712, DB_materiali!A$2:A$5000, 0)
         )="FALSE",
         "N",
         "Y"
      ),
   "")
)</f>
        <v/>
      </c>
      <c r="H712" s="20"/>
      <c r="I712" s="20"/>
      <c r="J712" s="20"/>
      <c r="K712" s="20"/>
      <c r="M712" s="2" t="str">
        <f>IF(ISBLANK(C712),"",IF(IFERROR(VLOOKUP(C712,DB_materiali!$A$2:$A$5000,1,FALSE),"Kļūda artikulā")=C712,"✔",tulkojums!A$42))</f>
        <v/>
      </c>
      <c r="N712" s="2" t="str">
        <f>IF(ISBLANK(C712),"",IF(ISNUMBER(F712)=TRUE,"✔",tulkojums!A$43))</f>
        <v/>
      </c>
      <c r="O712" s="2" t="str">
        <f>IF(ISBLANK(C712),"",IF(G712="Y","✔",IF(G712="X","✔",IF(G712="N","✔",tulkojums!A$44))))</f>
        <v/>
      </c>
      <c r="P712" s="2" t="str">
        <f>IF(ISBLANK(H712),"",IF(INDEX(DB_materiali!$E$2:$E$5000,MATCH($C712,DB_materiali!$A$2:$A$5000,0))&gt;=INDEX(DB_malas!$C$2:$C$5000,MATCH(H712,DB_malas!$A$2:$A$5000,0)),IF(INDEX(DB_materiali!$E$2:$E$5000,MATCH($C712,DB_materiali!$A$2:$A$5000,0))&lt;=INDEX(DB_malas!$D$2:$D$5000,MATCH(H712,DB_malas!$A$2:$A$5000,0)),IF(OR(INDEX(DB_materiali!$B$2:$B$5000,MATCH($C712,DB_materiali!$A$2:$A$5000,0))=INDEX(DB_malas!$B$2:$B$5000,MATCH(H712,DB_malas!$A$2:$A$5000,0)),$H712="ORG"),"✔",tulkojums!$A$38),tulkojums!$A$39),tulkojums!$A$39))</f>
        <v/>
      </c>
      <c r="Q712" s="2" t="str">
        <f>IF(ISBLANK(I712),"",IF(INDEX(DB_materiali!$E$2:$E$5000,MATCH($C712,DB_materiali!$A$2:$A$5000,0))&gt;=INDEX(DB_malas!$C$2:$C$5000,MATCH(I712,DB_malas!$A$2:$A$5000,0)),IF(INDEX(DB_materiali!$E$2:$E$5000,MATCH($C712,DB_materiali!$A$2:$A$5000,0))&lt;=INDEX(DB_malas!$D$2:$D$5000,MATCH(I712,DB_malas!$A$2:$A$5000,0)),IF(OR(INDEX(DB_materiali!$B$2:$B$5000,MATCH($C712,DB_materiali!$A$2:$A$5000,0))=INDEX(DB_malas!$B$2:$B$5000,MATCH(I712,DB_malas!$A$2:$A$5000,0)),$H712="ORG"),"✔",tulkojums!$A$38),tulkojums!$A$39),tulkojums!$A$39))</f>
        <v/>
      </c>
      <c r="R712" s="2" t="str">
        <f>IF(ISBLANK(J712),"",IF(INDEX(DB_materiali!$E$2:$E$5000,MATCH($C712,DB_materiali!$A$2:$A$5000,0))&gt;=INDEX(DB_malas!$C$2:$C$5000,MATCH(J712,DB_malas!$A$2:$A$5000,0)),IF(INDEX(DB_materiali!$E$2:$E$5000,MATCH($C712,DB_materiali!$A$2:$A$5000,0))&lt;=INDEX(DB_malas!$D$2:$D$5000,MATCH(J712,DB_malas!$A$2:$A$5000,0)),IF(INDEX(DB_materiali!$B$2:$B$5000,MATCH($C712,DB_materiali!$A$2:$A$5000,0))=INDEX(DB_malas!$B$2:$B$5000,MATCH(J712,DB_malas!$A$2:$A$5000,0)),"✔",tulkojums!$A$38),tulkojums!$A$39),tulkojums!$A$39))</f>
        <v/>
      </c>
      <c r="S712" s="2" t="str">
        <f>IF(ISBLANK(K712),"",IF(INDEX(DB_materiali!$E$2:$E$5000,MATCH($C712,DB_materiali!$A$2:$A$5000,0))&gt;=INDEX(DB_malas!$C$2:$C$5000,MATCH(K712,DB_malas!$A$2:$A$5000,0)),IF(INDEX(DB_materiali!$E$2:$E$5000,MATCH($C712,DB_materiali!$A$2:$A$5000,0))&lt;=INDEX(DB_malas!$D$2:$D$5000,MATCH(K712,DB_malas!$A$2:$A$5000,0)),IF(INDEX(DB_materiali!$B$2:$B$5000,MATCH($C712,DB_materiali!$A$2:$A$5000,0))=INDEX(DB_malas!$B$2:$B$5000,MATCH(K712,DB_malas!$A$2:$A$5000,0)),"✔",tulkojums!$A$38),tulkojums!$A$39),tulkojums!$A$39))</f>
        <v/>
      </c>
      <c r="T712" s="2"/>
      <c r="U712" s="2"/>
      <c r="V712" s="2"/>
      <c r="W712" s="2"/>
      <c r="X712" s="2"/>
      <c r="Y712" s="2"/>
      <c r="Z712" s="2"/>
    </row>
    <row r="713" spans="1:26" ht="15.75" customHeight="1">
      <c r="A713" s="17"/>
      <c r="B713" s="18"/>
      <c r="C713" s="19"/>
      <c r="D713" s="55"/>
      <c r="E713" s="55"/>
      <c r="F713" s="56"/>
      <c r="G713" s="57" t="str">
        <f>IF(ISBLANK(C713),"",
   IFERROR(
      IF(
         INDEX(DB_materiali!C$2:C$5000,
               MATCH(C713, DB_materiali!A$2:A$5000, 0)
         )="FALSE",
         "N",
         "Y"
      ),
   "")
)</f>
        <v/>
      </c>
      <c r="H713" s="20"/>
      <c r="I713" s="20"/>
      <c r="J713" s="20"/>
      <c r="K713" s="20"/>
      <c r="M713" s="2" t="str">
        <f>IF(ISBLANK(C713),"",IF(IFERROR(VLOOKUP(C713,DB_materiali!$A$2:$A$5000,1,FALSE),"Kļūda artikulā")=C713,"✔",tulkojums!A$42))</f>
        <v/>
      </c>
      <c r="N713" s="2" t="str">
        <f>IF(ISBLANK(C713),"",IF(ISNUMBER(F713)=TRUE,"✔",tulkojums!A$43))</f>
        <v/>
      </c>
      <c r="O713" s="2" t="str">
        <f>IF(ISBLANK(C713),"",IF(G713="Y","✔",IF(G713="X","✔",IF(G713="N","✔",tulkojums!A$44))))</f>
        <v/>
      </c>
      <c r="P713" s="2" t="str">
        <f>IF(ISBLANK(H713),"",IF(INDEX(DB_materiali!$E$2:$E$5000,MATCH($C713,DB_materiali!$A$2:$A$5000,0))&gt;=INDEX(DB_malas!$C$2:$C$5000,MATCH(H713,DB_malas!$A$2:$A$5000,0)),IF(INDEX(DB_materiali!$E$2:$E$5000,MATCH($C713,DB_materiali!$A$2:$A$5000,0))&lt;=INDEX(DB_malas!$D$2:$D$5000,MATCH(H713,DB_malas!$A$2:$A$5000,0)),IF(OR(INDEX(DB_materiali!$B$2:$B$5000,MATCH($C713,DB_materiali!$A$2:$A$5000,0))=INDEX(DB_malas!$B$2:$B$5000,MATCH(H713,DB_malas!$A$2:$A$5000,0)),$H713="ORG"),"✔",tulkojums!$A$38),tulkojums!$A$39),tulkojums!$A$39))</f>
        <v/>
      </c>
      <c r="Q713" s="2" t="str">
        <f>IF(ISBLANK(I713),"",IF(INDEX(DB_materiali!$E$2:$E$5000,MATCH($C713,DB_materiali!$A$2:$A$5000,0))&gt;=INDEX(DB_malas!$C$2:$C$5000,MATCH(I713,DB_malas!$A$2:$A$5000,0)),IF(INDEX(DB_materiali!$E$2:$E$5000,MATCH($C713,DB_materiali!$A$2:$A$5000,0))&lt;=INDEX(DB_malas!$D$2:$D$5000,MATCH(I713,DB_malas!$A$2:$A$5000,0)),IF(OR(INDEX(DB_materiali!$B$2:$B$5000,MATCH($C713,DB_materiali!$A$2:$A$5000,0))=INDEX(DB_malas!$B$2:$B$5000,MATCH(I713,DB_malas!$A$2:$A$5000,0)),$H713="ORG"),"✔",tulkojums!$A$38),tulkojums!$A$39),tulkojums!$A$39))</f>
        <v/>
      </c>
      <c r="R713" s="2" t="str">
        <f>IF(ISBLANK(J713),"",IF(INDEX(DB_materiali!$E$2:$E$5000,MATCH($C713,DB_materiali!$A$2:$A$5000,0))&gt;=INDEX(DB_malas!$C$2:$C$5000,MATCH(J713,DB_malas!$A$2:$A$5000,0)),IF(INDEX(DB_materiali!$E$2:$E$5000,MATCH($C713,DB_materiali!$A$2:$A$5000,0))&lt;=INDEX(DB_malas!$D$2:$D$5000,MATCH(J713,DB_malas!$A$2:$A$5000,0)),IF(INDEX(DB_materiali!$B$2:$B$5000,MATCH($C713,DB_materiali!$A$2:$A$5000,0))=INDEX(DB_malas!$B$2:$B$5000,MATCH(J713,DB_malas!$A$2:$A$5000,0)),"✔",tulkojums!$A$38),tulkojums!$A$39),tulkojums!$A$39))</f>
        <v/>
      </c>
      <c r="S713" s="2" t="str">
        <f>IF(ISBLANK(K713),"",IF(INDEX(DB_materiali!$E$2:$E$5000,MATCH($C713,DB_materiali!$A$2:$A$5000,0))&gt;=INDEX(DB_malas!$C$2:$C$5000,MATCH(K713,DB_malas!$A$2:$A$5000,0)),IF(INDEX(DB_materiali!$E$2:$E$5000,MATCH($C713,DB_materiali!$A$2:$A$5000,0))&lt;=INDEX(DB_malas!$D$2:$D$5000,MATCH(K713,DB_malas!$A$2:$A$5000,0)),IF(INDEX(DB_materiali!$B$2:$B$5000,MATCH($C713,DB_materiali!$A$2:$A$5000,0))=INDEX(DB_malas!$B$2:$B$5000,MATCH(K713,DB_malas!$A$2:$A$5000,0)),"✔",tulkojums!$A$38),tulkojums!$A$39),tulkojums!$A$39))</f>
        <v/>
      </c>
      <c r="T713" s="2"/>
      <c r="U713" s="2"/>
      <c r="V713" s="2"/>
      <c r="W713" s="2"/>
      <c r="X713" s="2"/>
      <c r="Y713" s="2"/>
      <c r="Z713" s="2"/>
    </row>
    <row r="714" spans="1:26" ht="15.75" customHeight="1">
      <c r="A714" s="17"/>
      <c r="B714" s="18"/>
      <c r="C714" s="19"/>
      <c r="D714" s="55"/>
      <c r="E714" s="55"/>
      <c r="F714" s="56"/>
      <c r="G714" s="57" t="str">
        <f>IF(ISBLANK(C714),"",
   IFERROR(
      IF(
         INDEX(DB_materiali!C$2:C$5000,
               MATCH(C714, DB_materiali!A$2:A$5000, 0)
         )="FALSE",
         "N",
         "Y"
      ),
   "")
)</f>
        <v/>
      </c>
      <c r="H714" s="20"/>
      <c r="I714" s="20"/>
      <c r="J714" s="20"/>
      <c r="K714" s="20"/>
      <c r="M714" s="2" t="str">
        <f>IF(ISBLANK(C714),"",IF(IFERROR(VLOOKUP(C714,DB_materiali!$A$2:$A$5000,1,FALSE),"Kļūda artikulā")=C714,"✔",tulkojums!A$42))</f>
        <v/>
      </c>
      <c r="N714" s="2" t="str">
        <f>IF(ISBLANK(C714),"",IF(ISNUMBER(F714)=TRUE,"✔",tulkojums!A$43))</f>
        <v/>
      </c>
      <c r="O714" s="2" t="str">
        <f>IF(ISBLANK(C714),"",IF(G714="Y","✔",IF(G714="X","✔",IF(G714="N","✔",tulkojums!A$44))))</f>
        <v/>
      </c>
      <c r="P714" s="2" t="str">
        <f>IF(ISBLANK(H714),"",IF(INDEX(DB_materiali!$E$2:$E$5000,MATCH($C714,DB_materiali!$A$2:$A$5000,0))&gt;=INDEX(DB_malas!$C$2:$C$5000,MATCH(H714,DB_malas!$A$2:$A$5000,0)),IF(INDEX(DB_materiali!$E$2:$E$5000,MATCH($C714,DB_materiali!$A$2:$A$5000,0))&lt;=INDEX(DB_malas!$D$2:$D$5000,MATCH(H714,DB_malas!$A$2:$A$5000,0)),IF(OR(INDEX(DB_materiali!$B$2:$B$5000,MATCH($C714,DB_materiali!$A$2:$A$5000,0))=INDEX(DB_malas!$B$2:$B$5000,MATCH(H714,DB_malas!$A$2:$A$5000,0)),$H714="ORG"),"✔",tulkojums!$A$38),tulkojums!$A$39),tulkojums!$A$39))</f>
        <v/>
      </c>
      <c r="Q714" s="2" t="str">
        <f>IF(ISBLANK(I714),"",IF(INDEX(DB_materiali!$E$2:$E$5000,MATCH($C714,DB_materiali!$A$2:$A$5000,0))&gt;=INDEX(DB_malas!$C$2:$C$5000,MATCH(I714,DB_malas!$A$2:$A$5000,0)),IF(INDEX(DB_materiali!$E$2:$E$5000,MATCH($C714,DB_materiali!$A$2:$A$5000,0))&lt;=INDEX(DB_malas!$D$2:$D$5000,MATCH(I714,DB_malas!$A$2:$A$5000,0)),IF(OR(INDEX(DB_materiali!$B$2:$B$5000,MATCH($C714,DB_materiali!$A$2:$A$5000,0))=INDEX(DB_malas!$B$2:$B$5000,MATCH(I714,DB_malas!$A$2:$A$5000,0)),$H714="ORG"),"✔",tulkojums!$A$38),tulkojums!$A$39),tulkojums!$A$39))</f>
        <v/>
      </c>
      <c r="R714" s="2" t="str">
        <f>IF(ISBLANK(J714),"",IF(INDEX(DB_materiali!$E$2:$E$5000,MATCH($C714,DB_materiali!$A$2:$A$5000,0))&gt;=INDEX(DB_malas!$C$2:$C$5000,MATCH(J714,DB_malas!$A$2:$A$5000,0)),IF(INDEX(DB_materiali!$E$2:$E$5000,MATCH($C714,DB_materiali!$A$2:$A$5000,0))&lt;=INDEX(DB_malas!$D$2:$D$5000,MATCH(J714,DB_malas!$A$2:$A$5000,0)),IF(INDEX(DB_materiali!$B$2:$B$5000,MATCH($C714,DB_materiali!$A$2:$A$5000,0))=INDEX(DB_malas!$B$2:$B$5000,MATCH(J714,DB_malas!$A$2:$A$5000,0)),"✔",tulkojums!$A$38),tulkojums!$A$39),tulkojums!$A$39))</f>
        <v/>
      </c>
      <c r="S714" s="2" t="str">
        <f>IF(ISBLANK(K714),"",IF(INDEX(DB_materiali!$E$2:$E$5000,MATCH($C714,DB_materiali!$A$2:$A$5000,0))&gt;=INDEX(DB_malas!$C$2:$C$5000,MATCH(K714,DB_malas!$A$2:$A$5000,0)),IF(INDEX(DB_materiali!$E$2:$E$5000,MATCH($C714,DB_materiali!$A$2:$A$5000,0))&lt;=INDEX(DB_malas!$D$2:$D$5000,MATCH(K714,DB_malas!$A$2:$A$5000,0)),IF(INDEX(DB_materiali!$B$2:$B$5000,MATCH($C714,DB_materiali!$A$2:$A$5000,0))=INDEX(DB_malas!$B$2:$B$5000,MATCH(K714,DB_malas!$A$2:$A$5000,0)),"✔",tulkojums!$A$38),tulkojums!$A$39),tulkojums!$A$39))</f>
        <v/>
      </c>
      <c r="T714" s="2"/>
      <c r="U714" s="2"/>
      <c r="V714" s="2"/>
      <c r="W714" s="2"/>
      <c r="X714" s="2"/>
      <c r="Y714" s="2"/>
      <c r="Z714" s="2"/>
    </row>
    <row r="715" spans="1:26" ht="15.75" customHeight="1">
      <c r="A715" s="17"/>
      <c r="B715" s="18"/>
      <c r="C715" s="19"/>
      <c r="D715" s="55"/>
      <c r="E715" s="55"/>
      <c r="F715" s="56"/>
      <c r="G715" s="57" t="str">
        <f>IF(ISBLANK(C715),"",
   IFERROR(
      IF(
         INDEX(DB_materiali!C$2:C$5000,
               MATCH(C715, DB_materiali!A$2:A$5000, 0)
         )="FALSE",
         "N",
         "Y"
      ),
   "")
)</f>
        <v/>
      </c>
      <c r="H715" s="20"/>
      <c r="I715" s="20"/>
      <c r="J715" s="20"/>
      <c r="K715" s="20"/>
      <c r="M715" s="2" t="str">
        <f>IF(ISBLANK(C715),"",IF(IFERROR(VLOOKUP(C715,DB_materiali!$A$2:$A$5000,1,FALSE),"Kļūda artikulā")=C715,"✔",tulkojums!A$42))</f>
        <v/>
      </c>
      <c r="N715" s="2" t="str">
        <f>IF(ISBLANK(C715),"",IF(ISNUMBER(F715)=TRUE,"✔",tulkojums!A$43))</f>
        <v/>
      </c>
      <c r="O715" s="2" t="str">
        <f>IF(ISBLANK(C715),"",IF(G715="Y","✔",IF(G715="X","✔",IF(G715="N","✔",tulkojums!A$44))))</f>
        <v/>
      </c>
      <c r="P715" s="2" t="str">
        <f>IF(ISBLANK(H715),"",IF(INDEX(DB_materiali!$E$2:$E$5000,MATCH($C715,DB_materiali!$A$2:$A$5000,0))&gt;=INDEX(DB_malas!$C$2:$C$5000,MATCH(H715,DB_malas!$A$2:$A$5000,0)),IF(INDEX(DB_materiali!$E$2:$E$5000,MATCH($C715,DB_materiali!$A$2:$A$5000,0))&lt;=INDEX(DB_malas!$D$2:$D$5000,MATCH(H715,DB_malas!$A$2:$A$5000,0)),IF(OR(INDEX(DB_materiali!$B$2:$B$5000,MATCH($C715,DB_materiali!$A$2:$A$5000,0))=INDEX(DB_malas!$B$2:$B$5000,MATCH(H715,DB_malas!$A$2:$A$5000,0)),$H715="ORG"),"✔",tulkojums!$A$38),tulkojums!$A$39),tulkojums!$A$39))</f>
        <v/>
      </c>
      <c r="Q715" s="2" t="str">
        <f>IF(ISBLANK(I715),"",IF(INDEX(DB_materiali!$E$2:$E$5000,MATCH($C715,DB_materiali!$A$2:$A$5000,0))&gt;=INDEX(DB_malas!$C$2:$C$5000,MATCH(I715,DB_malas!$A$2:$A$5000,0)),IF(INDEX(DB_materiali!$E$2:$E$5000,MATCH($C715,DB_materiali!$A$2:$A$5000,0))&lt;=INDEX(DB_malas!$D$2:$D$5000,MATCH(I715,DB_malas!$A$2:$A$5000,0)),IF(OR(INDEX(DB_materiali!$B$2:$B$5000,MATCH($C715,DB_materiali!$A$2:$A$5000,0))=INDEX(DB_malas!$B$2:$B$5000,MATCH(I715,DB_malas!$A$2:$A$5000,0)),$H715="ORG"),"✔",tulkojums!$A$38),tulkojums!$A$39),tulkojums!$A$39))</f>
        <v/>
      </c>
      <c r="R715" s="2" t="str">
        <f>IF(ISBLANK(J715),"",IF(INDEX(DB_materiali!$E$2:$E$5000,MATCH($C715,DB_materiali!$A$2:$A$5000,0))&gt;=INDEX(DB_malas!$C$2:$C$5000,MATCH(J715,DB_malas!$A$2:$A$5000,0)),IF(INDEX(DB_materiali!$E$2:$E$5000,MATCH($C715,DB_materiali!$A$2:$A$5000,0))&lt;=INDEX(DB_malas!$D$2:$D$5000,MATCH(J715,DB_malas!$A$2:$A$5000,0)),IF(INDEX(DB_materiali!$B$2:$B$5000,MATCH($C715,DB_materiali!$A$2:$A$5000,0))=INDEX(DB_malas!$B$2:$B$5000,MATCH(J715,DB_malas!$A$2:$A$5000,0)),"✔",tulkojums!$A$38),tulkojums!$A$39),tulkojums!$A$39))</f>
        <v/>
      </c>
      <c r="S715" s="2" t="str">
        <f>IF(ISBLANK(K715),"",IF(INDEX(DB_materiali!$E$2:$E$5000,MATCH($C715,DB_materiali!$A$2:$A$5000,0))&gt;=INDEX(DB_malas!$C$2:$C$5000,MATCH(K715,DB_malas!$A$2:$A$5000,0)),IF(INDEX(DB_materiali!$E$2:$E$5000,MATCH($C715,DB_materiali!$A$2:$A$5000,0))&lt;=INDEX(DB_malas!$D$2:$D$5000,MATCH(K715,DB_malas!$A$2:$A$5000,0)),IF(INDEX(DB_materiali!$B$2:$B$5000,MATCH($C715,DB_materiali!$A$2:$A$5000,0))=INDEX(DB_malas!$B$2:$B$5000,MATCH(K715,DB_malas!$A$2:$A$5000,0)),"✔",tulkojums!$A$38),tulkojums!$A$39),tulkojums!$A$39))</f>
        <v/>
      </c>
      <c r="T715" s="2"/>
      <c r="U715" s="2"/>
      <c r="V715" s="2"/>
      <c r="W715" s="2"/>
      <c r="X715" s="2"/>
      <c r="Y715" s="2"/>
      <c r="Z715" s="2"/>
    </row>
    <row r="716" spans="1:26" ht="15.75" customHeight="1">
      <c r="A716" s="17"/>
      <c r="B716" s="18"/>
      <c r="C716" s="19"/>
      <c r="D716" s="55"/>
      <c r="E716" s="55"/>
      <c r="F716" s="56"/>
      <c r="G716" s="57" t="str">
        <f>IF(ISBLANK(C716),"",
   IFERROR(
      IF(
         INDEX(DB_materiali!C$2:C$5000,
               MATCH(C716, DB_materiali!A$2:A$5000, 0)
         )="FALSE",
         "N",
         "Y"
      ),
   "")
)</f>
        <v/>
      </c>
      <c r="H716" s="20"/>
      <c r="I716" s="20"/>
      <c r="J716" s="20"/>
      <c r="K716" s="20"/>
      <c r="M716" s="2" t="str">
        <f>IF(ISBLANK(C716),"",IF(IFERROR(VLOOKUP(C716,DB_materiali!$A$2:$A$5000,1,FALSE),"Kļūda artikulā")=C716,"✔",tulkojums!A$42))</f>
        <v/>
      </c>
      <c r="N716" s="2" t="str">
        <f>IF(ISBLANK(C716),"",IF(ISNUMBER(F716)=TRUE,"✔",tulkojums!A$43))</f>
        <v/>
      </c>
      <c r="O716" s="2" t="str">
        <f>IF(ISBLANK(C716),"",IF(G716="Y","✔",IF(G716="X","✔",IF(G716="N","✔",tulkojums!A$44))))</f>
        <v/>
      </c>
      <c r="P716" s="2" t="str">
        <f>IF(ISBLANK(H716),"",IF(INDEX(DB_materiali!$E$2:$E$5000,MATCH($C716,DB_materiali!$A$2:$A$5000,0))&gt;=INDEX(DB_malas!$C$2:$C$5000,MATCH(H716,DB_malas!$A$2:$A$5000,0)),IF(INDEX(DB_materiali!$E$2:$E$5000,MATCH($C716,DB_materiali!$A$2:$A$5000,0))&lt;=INDEX(DB_malas!$D$2:$D$5000,MATCH(H716,DB_malas!$A$2:$A$5000,0)),IF(OR(INDEX(DB_materiali!$B$2:$B$5000,MATCH($C716,DB_materiali!$A$2:$A$5000,0))=INDEX(DB_malas!$B$2:$B$5000,MATCH(H716,DB_malas!$A$2:$A$5000,0)),$H716="ORG"),"✔",tulkojums!$A$38),tulkojums!$A$39),tulkojums!$A$39))</f>
        <v/>
      </c>
      <c r="Q716" s="2" t="str">
        <f>IF(ISBLANK(I716),"",IF(INDEX(DB_materiali!$E$2:$E$5000,MATCH($C716,DB_materiali!$A$2:$A$5000,0))&gt;=INDEX(DB_malas!$C$2:$C$5000,MATCH(I716,DB_malas!$A$2:$A$5000,0)),IF(INDEX(DB_materiali!$E$2:$E$5000,MATCH($C716,DB_materiali!$A$2:$A$5000,0))&lt;=INDEX(DB_malas!$D$2:$D$5000,MATCH(I716,DB_malas!$A$2:$A$5000,0)),IF(OR(INDEX(DB_materiali!$B$2:$B$5000,MATCH($C716,DB_materiali!$A$2:$A$5000,0))=INDEX(DB_malas!$B$2:$B$5000,MATCH(I716,DB_malas!$A$2:$A$5000,0)),$H716="ORG"),"✔",tulkojums!$A$38),tulkojums!$A$39),tulkojums!$A$39))</f>
        <v/>
      </c>
      <c r="R716" s="2" t="str">
        <f>IF(ISBLANK(J716),"",IF(INDEX(DB_materiali!$E$2:$E$5000,MATCH($C716,DB_materiali!$A$2:$A$5000,0))&gt;=INDEX(DB_malas!$C$2:$C$5000,MATCH(J716,DB_malas!$A$2:$A$5000,0)),IF(INDEX(DB_materiali!$E$2:$E$5000,MATCH($C716,DB_materiali!$A$2:$A$5000,0))&lt;=INDEX(DB_malas!$D$2:$D$5000,MATCH(J716,DB_malas!$A$2:$A$5000,0)),IF(INDEX(DB_materiali!$B$2:$B$5000,MATCH($C716,DB_materiali!$A$2:$A$5000,0))=INDEX(DB_malas!$B$2:$B$5000,MATCH(J716,DB_malas!$A$2:$A$5000,0)),"✔",tulkojums!$A$38),tulkojums!$A$39),tulkojums!$A$39))</f>
        <v/>
      </c>
      <c r="S716" s="2" t="str">
        <f>IF(ISBLANK(K716),"",IF(INDEX(DB_materiali!$E$2:$E$5000,MATCH($C716,DB_materiali!$A$2:$A$5000,0))&gt;=INDEX(DB_malas!$C$2:$C$5000,MATCH(K716,DB_malas!$A$2:$A$5000,0)),IF(INDEX(DB_materiali!$E$2:$E$5000,MATCH($C716,DB_materiali!$A$2:$A$5000,0))&lt;=INDEX(DB_malas!$D$2:$D$5000,MATCH(K716,DB_malas!$A$2:$A$5000,0)),IF(INDEX(DB_materiali!$B$2:$B$5000,MATCH($C716,DB_materiali!$A$2:$A$5000,0))=INDEX(DB_malas!$B$2:$B$5000,MATCH(K716,DB_malas!$A$2:$A$5000,0)),"✔",tulkojums!$A$38),tulkojums!$A$39),tulkojums!$A$39))</f>
        <v/>
      </c>
      <c r="T716" s="2"/>
      <c r="U716" s="2"/>
      <c r="V716" s="2"/>
      <c r="W716" s="2"/>
      <c r="X716" s="2"/>
      <c r="Y716" s="2"/>
      <c r="Z716" s="2"/>
    </row>
    <row r="717" spans="1:26" ht="15.75" customHeight="1">
      <c r="A717" s="17"/>
      <c r="B717" s="18"/>
      <c r="C717" s="19"/>
      <c r="D717" s="55"/>
      <c r="E717" s="55"/>
      <c r="F717" s="56"/>
      <c r="G717" s="57" t="str">
        <f>IF(ISBLANK(C717),"",
   IFERROR(
      IF(
         INDEX(DB_materiali!C$2:C$5000,
               MATCH(C717, DB_materiali!A$2:A$5000, 0)
         )="FALSE",
         "N",
         "Y"
      ),
   "")
)</f>
        <v/>
      </c>
      <c r="H717" s="20"/>
      <c r="I717" s="20"/>
      <c r="J717" s="20"/>
      <c r="K717" s="20"/>
      <c r="M717" s="2" t="str">
        <f>IF(ISBLANK(C717),"",IF(IFERROR(VLOOKUP(C717,DB_materiali!$A$2:$A$5000,1,FALSE),"Kļūda artikulā")=C717,"✔",tulkojums!A$42))</f>
        <v/>
      </c>
      <c r="N717" s="2" t="str">
        <f>IF(ISBLANK(C717),"",IF(ISNUMBER(F717)=TRUE,"✔",tulkojums!A$43))</f>
        <v/>
      </c>
      <c r="O717" s="2" t="str">
        <f>IF(ISBLANK(C717),"",IF(G717="Y","✔",IF(G717="X","✔",IF(G717="N","✔",tulkojums!A$44))))</f>
        <v/>
      </c>
      <c r="P717" s="2" t="str">
        <f>IF(ISBLANK(H717),"",IF(INDEX(DB_materiali!$E$2:$E$5000,MATCH($C717,DB_materiali!$A$2:$A$5000,0))&gt;=INDEX(DB_malas!$C$2:$C$5000,MATCH(H717,DB_malas!$A$2:$A$5000,0)),IF(INDEX(DB_materiali!$E$2:$E$5000,MATCH($C717,DB_materiali!$A$2:$A$5000,0))&lt;=INDEX(DB_malas!$D$2:$D$5000,MATCH(H717,DB_malas!$A$2:$A$5000,0)),IF(OR(INDEX(DB_materiali!$B$2:$B$5000,MATCH($C717,DB_materiali!$A$2:$A$5000,0))=INDEX(DB_malas!$B$2:$B$5000,MATCH(H717,DB_malas!$A$2:$A$5000,0)),$H717="ORG"),"✔",tulkojums!$A$38),tulkojums!$A$39),tulkojums!$A$39))</f>
        <v/>
      </c>
      <c r="Q717" s="2" t="str">
        <f>IF(ISBLANK(I717),"",IF(INDEX(DB_materiali!$E$2:$E$5000,MATCH($C717,DB_materiali!$A$2:$A$5000,0))&gt;=INDEX(DB_malas!$C$2:$C$5000,MATCH(I717,DB_malas!$A$2:$A$5000,0)),IF(INDEX(DB_materiali!$E$2:$E$5000,MATCH($C717,DB_materiali!$A$2:$A$5000,0))&lt;=INDEX(DB_malas!$D$2:$D$5000,MATCH(I717,DB_malas!$A$2:$A$5000,0)),IF(OR(INDEX(DB_materiali!$B$2:$B$5000,MATCH($C717,DB_materiali!$A$2:$A$5000,0))=INDEX(DB_malas!$B$2:$B$5000,MATCH(I717,DB_malas!$A$2:$A$5000,0)),$H717="ORG"),"✔",tulkojums!$A$38),tulkojums!$A$39),tulkojums!$A$39))</f>
        <v/>
      </c>
      <c r="R717" s="2" t="str">
        <f>IF(ISBLANK(J717),"",IF(INDEX(DB_materiali!$E$2:$E$5000,MATCH($C717,DB_materiali!$A$2:$A$5000,0))&gt;=INDEX(DB_malas!$C$2:$C$5000,MATCH(J717,DB_malas!$A$2:$A$5000,0)),IF(INDEX(DB_materiali!$E$2:$E$5000,MATCH($C717,DB_materiali!$A$2:$A$5000,0))&lt;=INDEX(DB_malas!$D$2:$D$5000,MATCH(J717,DB_malas!$A$2:$A$5000,0)),IF(INDEX(DB_materiali!$B$2:$B$5000,MATCH($C717,DB_materiali!$A$2:$A$5000,0))=INDEX(DB_malas!$B$2:$B$5000,MATCH(J717,DB_malas!$A$2:$A$5000,0)),"✔",tulkojums!$A$38),tulkojums!$A$39),tulkojums!$A$39))</f>
        <v/>
      </c>
      <c r="S717" s="2" t="str">
        <f>IF(ISBLANK(K717),"",IF(INDEX(DB_materiali!$E$2:$E$5000,MATCH($C717,DB_materiali!$A$2:$A$5000,0))&gt;=INDEX(DB_malas!$C$2:$C$5000,MATCH(K717,DB_malas!$A$2:$A$5000,0)),IF(INDEX(DB_materiali!$E$2:$E$5000,MATCH($C717,DB_materiali!$A$2:$A$5000,0))&lt;=INDEX(DB_malas!$D$2:$D$5000,MATCH(K717,DB_malas!$A$2:$A$5000,0)),IF(INDEX(DB_materiali!$B$2:$B$5000,MATCH($C717,DB_materiali!$A$2:$A$5000,0))=INDEX(DB_malas!$B$2:$B$5000,MATCH(K717,DB_malas!$A$2:$A$5000,0)),"✔",tulkojums!$A$38),tulkojums!$A$39),tulkojums!$A$39))</f>
        <v/>
      </c>
      <c r="T717" s="2"/>
      <c r="U717" s="2"/>
      <c r="V717" s="2"/>
      <c r="W717" s="2"/>
      <c r="X717" s="2"/>
      <c r="Y717" s="2"/>
      <c r="Z717" s="2"/>
    </row>
    <row r="718" spans="1:26" ht="15.75" customHeight="1">
      <c r="A718" s="17"/>
      <c r="B718" s="18"/>
      <c r="C718" s="19"/>
      <c r="D718" s="55"/>
      <c r="E718" s="55"/>
      <c r="F718" s="56"/>
      <c r="G718" s="57" t="str">
        <f>IF(ISBLANK(C718),"",
   IFERROR(
      IF(
         INDEX(DB_materiali!C$2:C$5000,
               MATCH(C718, DB_materiali!A$2:A$5000, 0)
         )="FALSE",
         "N",
         "Y"
      ),
   "")
)</f>
        <v/>
      </c>
      <c r="H718" s="20"/>
      <c r="I718" s="20"/>
      <c r="J718" s="20"/>
      <c r="K718" s="20"/>
      <c r="M718" s="2" t="str">
        <f>IF(ISBLANK(C718),"",IF(IFERROR(VLOOKUP(C718,DB_materiali!$A$2:$A$5000,1,FALSE),"Kļūda artikulā")=C718,"✔",tulkojums!A$42))</f>
        <v/>
      </c>
      <c r="N718" s="2" t="str">
        <f>IF(ISBLANK(C718),"",IF(ISNUMBER(F718)=TRUE,"✔",tulkojums!A$43))</f>
        <v/>
      </c>
      <c r="O718" s="2" t="str">
        <f>IF(ISBLANK(C718),"",IF(G718="Y","✔",IF(G718="X","✔",IF(G718="N","✔",tulkojums!A$44))))</f>
        <v/>
      </c>
      <c r="P718" s="2" t="str">
        <f>IF(ISBLANK(H718),"",IF(INDEX(DB_materiali!$E$2:$E$5000,MATCH($C718,DB_materiali!$A$2:$A$5000,0))&gt;=INDEX(DB_malas!$C$2:$C$5000,MATCH(H718,DB_malas!$A$2:$A$5000,0)),IF(INDEX(DB_materiali!$E$2:$E$5000,MATCH($C718,DB_materiali!$A$2:$A$5000,0))&lt;=INDEX(DB_malas!$D$2:$D$5000,MATCH(H718,DB_malas!$A$2:$A$5000,0)),IF(OR(INDEX(DB_materiali!$B$2:$B$5000,MATCH($C718,DB_materiali!$A$2:$A$5000,0))=INDEX(DB_malas!$B$2:$B$5000,MATCH(H718,DB_malas!$A$2:$A$5000,0)),$H718="ORG"),"✔",tulkojums!$A$38),tulkojums!$A$39),tulkojums!$A$39))</f>
        <v/>
      </c>
      <c r="Q718" s="2" t="str">
        <f>IF(ISBLANK(I718),"",IF(INDEX(DB_materiali!$E$2:$E$5000,MATCH($C718,DB_materiali!$A$2:$A$5000,0))&gt;=INDEX(DB_malas!$C$2:$C$5000,MATCH(I718,DB_malas!$A$2:$A$5000,0)),IF(INDEX(DB_materiali!$E$2:$E$5000,MATCH($C718,DB_materiali!$A$2:$A$5000,0))&lt;=INDEX(DB_malas!$D$2:$D$5000,MATCH(I718,DB_malas!$A$2:$A$5000,0)),IF(OR(INDEX(DB_materiali!$B$2:$B$5000,MATCH($C718,DB_materiali!$A$2:$A$5000,0))=INDEX(DB_malas!$B$2:$B$5000,MATCH(I718,DB_malas!$A$2:$A$5000,0)),$H718="ORG"),"✔",tulkojums!$A$38),tulkojums!$A$39),tulkojums!$A$39))</f>
        <v/>
      </c>
      <c r="R718" s="2" t="str">
        <f>IF(ISBLANK(J718),"",IF(INDEX(DB_materiali!$E$2:$E$5000,MATCH($C718,DB_materiali!$A$2:$A$5000,0))&gt;=INDEX(DB_malas!$C$2:$C$5000,MATCH(J718,DB_malas!$A$2:$A$5000,0)),IF(INDEX(DB_materiali!$E$2:$E$5000,MATCH($C718,DB_materiali!$A$2:$A$5000,0))&lt;=INDEX(DB_malas!$D$2:$D$5000,MATCH(J718,DB_malas!$A$2:$A$5000,0)),IF(INDEX(DB_materiali!$B$2:$B$5000,MATCH($C718,DB_materiali!$A$2:$A$5000,0))=INDEX(DB_malas!$B$2:$B$5000,MATCH(J718,DB_malas!$A$2:$A$5000,0)),"✔",tulkojums!$A$38),tulkojums!$A$39),tulkojums!$A$39))</f>
        <v/>
      </c>
      <c r="S718" s="2" t="str">
        <f>IF(ISBLANK(K718),"",IF(INDEX(DB_materiali!$E$2:$E$5000,MATCH($C718,DB_materiali!$A$2:$A$5000,0))&gt;=INDEX(DB_malas!$C$2:$C$5000,MATCH(K718,DB_malas!$A$2:$A$5000,0)),IF(INDEX(DB_materiali!$E$2:$E$5000,MATCH($C718,DB_materiali!$A$2:$A$5000,0))&lt;=INDEX(DB_malas!$D$2:$D$5000,MATCH(K718,DB_malas!$A$2:$A$5000,0)),IF(INDEX(DB_materiali!$B$2:$B$5000,MATCH($C718,DB_materiali!$A$2:$A$5000,0))=INDEX(DB_malas!$B$2:$B$5000,MATCH(K718,DB_malas!$A$2:$A$5000,0)),"✔",tulkojums!$A$38),tulkojums!$A$39),tulkojums!$A$39))</f>
        <v/>
      </c>
      <c r="T718" s="2"/>
      <c r="U718" s="2"/>
      <c r="V718" s="2"/>
      <c r="W718" s="2"/>
      <c r="X718" s="2"/>
      <c r="Y718" s="2"/>
      <c r="Z718" s="2"/>
    </row>
    <row r="719" spans="1:26" ht="15.75" customHeight="1">
      <c r="A719" s="17"/>
      <c r="B719" s="18"/>
      <c r="C719" s="19"/>
      <c r="D719" s="55"/>
      <c r="E719" s="55"/>
      <c r="F719" s="56"/>
      <c r="G719" s="57" t="str">
        <f>IF(ISBLANK(C719),"",
   IFERROR(
      IF(
         INDEX(DB_materiali!C$2:C$5000,
               MATCH(C719, DB_materiali!A$2:A$5000, 0)
         )="FALSE",
         "N",
         "Y"
      ),
   "")
)</f>
        <v/>
      </c>
      <c r="H719" s="20"/>
      <c r="I719" s="20"/>
      <c r="J719" s="20"/>
      <c r="K719" s="20"/>
      <c r="M719" s="2" t="str">
        <f>IF(ISBLANK(C719),"",IF(IFERROR(VLOOKUP(C719,DB_materiali!$A$2:$A$5000,1,FALSE),"Kļūda artikulā")=C719,"✔",tulkojums!A$42))</f>
        <v/>
      </c>
      <c r="N719" s="2" t="str">
        <f>IF(ISBLANK(C719),"",IF(ISNUMBER(F719)=TRUE,"✔",tulkojums!A$43))</f>
        <v/>
      </c>
      <c r="O719" s="2" t="str">
        <f>IF(ISBLANK(C719),"",IF(G719="Y","✔",IF(G719="X","✔",IF(G719="N","✔",tulkojums!A$44))))</f>
        <v/>
      </c>
      <c r="P719" s="2" t="str">
        <f>IF(ISBLANK(H719),"",IF(INDEX(DB_materiali!$E$2:$E$5000,MATCH($C719,DB_materiali!$A$2:$A$5000,0))&gt;=INDEX(DB_malas!$C$2:$C$5000,MATCH(H719,DB_malas!$A$2:$A$5000,0)),IF(INDEX(DB_materiali!$E$2:$E$5000,MATCH($C719,DB_materiali!$A$2:$A$5000,0))&lt;=INDEX(DB_malas!$D$2:$D$5000,MATCH(H719,DB_malas!$A$2:$A$5000,0)),IF(OR(INDEX(DB_materiali!$B$2:$B$5000,MATCH($C719,DB_materiali!$A$2:$A$5000,0))=INDEX(DB_malas!$B$2:$B$5000,MATCH(H719,DB_malas!$A$2:$A$5000,0)),$H719="ORG"),"✔",tulkojums!$A$38),tulkojums!$A$39),tulkojums!$A$39))</f>
        <v/>
      </c>
      <c r="Q719" s="2" t="str">
        <f>IF(ISBLANK(I719),"",IF(INDEX(DB_materiali!$E$2:$E$5000,MATCH($C719,DB_materiali!$A$2:$A$5000,0))&gt;=INDEX(DB_malas!$C$2:$C$5000,MATCH(I719,DB_malas!$A$2:$A$5000,0)),IF(INDEX(DB_materiali!$E$2:$E$5000,MATCH($C719,DB_materiali!$A$2:$A$5000,0))&lt;=INDEX(DB_malas!$D$2:$D$5000,MATCH(I719,DB_malas!$A$2:$A$5000,0)),IF(OR(INDEX(DB_materiali!$B$2:$B$5000,MATCH($C719,DB_materiali!$A$2:$A$5000,0))=INDEX(DB_malas!$B$2:$B$5000,MATCH(I719,DB_malas!$A$2:$A$5000,0)),$H719="ORG"),"✔",tulkojums!$A$38),tulkojums!$A$39),tulkojums!$A$39))</f>
        <v/>
      </c>
      <c r="R719" s="2" t="str">
        <f>IF(ISBLANK(J719),"",IF(INDEX(DB_materiali!$E$2:$E$5000,MATCH($C719,DB_materiali!$A$2:$A$5000,0))&gt;=INDEX(DB_malas!$C$2:$C$5000,MATCH(J719,DB_malas!$A$2:$A$5000,0)),IF(INDEX(DB_materiali!$E$2:$E$5000,MATCH($C719,DB_materiali!$A$2:$A$5000,0))&lt;=INDEX(DB_malas!$D$2:$D$5000,MATCH(J719,DB_malas!$A$2:$A$5000,0)),IF(INDEX(DB_materiali!$B$2:$B$5000,MATCH($C719,DB_materiali!$A$2:$A$5000,0))=INDEX(DB_malas!$B$2:$B$5000,MATCH(J719,DB_malas!$A$2:$A$5000,0)),"✔",tulkojums!$A$38),tulkojums!$A$39),tulkojums!$A$39))</f>
        <v/>
      </c>
      <c r="S719" s="2" t="str">
        <f>IF(ISBLANK(K719),"",IF(INDEX(DB_materiali!$E$2:$E$5000,MATCH($C719,DB_materiali!$A$2:$A$5000,0))&gt;=INDEX(DB_malas!$C$2:$C$5000,MATCH(K719,DB_malas!$A$2:$A$5000,0)),IF(INDEX(DB_materiali!$E$2:$E$5000,MATCH($C719,DB_materiali!$A$2:$A$5000,0))&lt;=INDEX(DB_malas!$D$2:$D$5000,MATCH(K719,DB_malas!$A$2:$A$5000,0)),IF(INDEX(DB_materiali!$B$2:$B$5000,MATCH($C719,DB_materiali!$A$2:$A$5000,0))=INDEX(DB_malas!$B$2:$B$5000,MATCH(K719,DB_malas!$A$2:$A$5000,0)),"✔",tulkojums!$A$38),tulkojums!$A$39),tulkojums!$A$39))</f>
        <v/>
      </c>
      <c r="T719" s="2"/>
      <c r="U719" s="2"/>
      <c r="V719" s="2"/>
      <c r="W719" s="2"/>
      <c r="X719" s="2"/>
      <c r="Y719" s="2"/>
      <c r="Z719" s="2"/>
    </row>
    <row r="720" spans="1:26" ht="15.75" customHeight="1">
      <c r="A720" s="17"/>
      <c r="B720" s="18"/>
      <c r="C720" s="19"/>
      <c r="D720" s="55"/>
      <c r="E720" s="55"/>
      <c r="F720" s="56"/>
      <c r="G720" s="57" t="str">
        <f>IF(ISBLANK(C720),"",
   IFERROR(
      IF(
         INDEX(DB_materiali!C$2:C$5000,
               MATCH(C720, DB_materiali!A$2:A$5000, 0)
         )="FALSE",
         "N",
         "Y"
      ),
   "")
)</f>
        <v/>
      </c>
      <c r="H720" s="20"/>
      <c r="I720" s="20"/>
      <c r="J720" s="20"/>
      <c r="K720" s="20"/>
      <c r="M720" s="2" t="str">
        <f>IF(ISBLANK(C720),"",IF(IFERROR(VLOOKUP(C720,DB_materiali!$A$2:$A$5000,1,FALSE),"Kļūda artikulā")=C720,"✔",tulkojums!A$42))</f>
        <v/>
      </c>
      <c r="N720" s="2" t="str">
        <f>IF(ISBLANK(C720),"",IF(ISNUMBER(F720)=TRUE,"✔",tulkojums!A$43))</f>
        <v/>
      </c>
      <c r="O720" s="2" t="str">
        <f>IF(ISBLANK(C720),"",IF(G720="Y","✔",IF(G720="X","✔",IF(G720="N","✔",tulkojums!A$44))))</f>
        <v/>
      </c>
      <c r="P720" s="2" t="str">
        <f>IF(ISBLANK(H720),"",IF(INDEX(DB_materiali!$E$2:$E$5000,MATCH($C720,DB_materiali!$A$2:$A$5000,0))&gt;=INDEX(DB_malas!$C$2:$C$5000,MATCH(H720,DB_malas!$A$2:$A$5000,0)),IF(INDEX(DB_materiali!$E$2:$E$5000,MATCH($C720,DB_materiali!$A$2:$A$5000,0))&lt;=INDEX(DB_malas!$D$2:$D$5000,MATCH(H720,DB_malas!$A$2:$A$5000,0)),IF(OR(INDEX(DB_materiali!$B$2:$B$5000,MATCH($C720,DB_materiali!$A$2:$A$5000,0))=INDEX(DB_malas!$B$2:$B$5000,MATCH(H720,DB_malas!$A$2:$A$5000,0)),$H720="ORG"),"✔",tulkojums!$A$38),tulkojums!$A$39),tulkojums!$A$39))</f>
        <v/>
      </c>
      <c r="Q720" s="2" t="str">
        <f>IF(ISBLANK(I720),"",IF(INDEX(DB_materiali!$E$2:$E$5000,MATCH($C720,DB_materiali!$A$2:$A$5000,0))&gt;=INDEX(DB_malas!$C$2:$C$5000,MATCH(I720,DB_malas!$A$2:$A$5000,0)),IF(INDEX(DB_materiali!$E$2:$E$5000,MATCH($C720,DB_materiali!$A$2:$A$5000,0))&lt;=INDEX(DB_malas!$D$2:$D$5000,MATCH(I720,DB_malas!$A$2:$A$5000,0)),IF(OR(INDEX(DB_materiali!$B$2:$B$5000,MATCH($C720,DB_materiali!$A$2:$A$5000,0))=INDEX(DB_malas!$B$2:$B$5000,MATCH(I720,DB_malas!$A$2:$A$5000,0)),$H720="ORG"),"✔",tulkojums!$A$38),tulkojums!$A$39),tulkojums!$A$39))</f>
        <v/>
      </c>
      <c r="R720" s="2" t="str">
        <f>IF(ISBLANK(J720),"",IF(INDEX(DB_materiali!$E$2:$E$5000,MATCH($C720,DB_materiali!$A$2:$A$5000,0))&gt;=INDEX(DB_malas!$C$2:$C$5000,MATCH(J720,DB_malas!$A$2:$A$5000,0)),IF(INDEX(DB_materiali!$E$2:$E$5000,MATCH($C720,DB_materiali!$A$2:$A$5000,0))&lt;=INDEX(DB_malas!$D$2:$D$5000,MATCH(J720,DB_malas!$A$2:$A$5000,0)),IF(INDEX(DB_materiali!$B$2:$B$5000,MATCH($C720,DB_materiali!$A$2:$A$5000,0))=INDEX(DB_malas!$B$2:$B$5000,MATCH(J720,DB_malas!$A$2:$A$5000,0)),"✔",tulkojums!$A$38),tulkojums!$A$39),tulkojums!$A$39))</f>
        <v/>
      </c>
      <c r="S720" s="2" t="str">
        <f>IF(ISBLANK(K720),"",IF(INDEX(DB_materiali!$E$2:$E$5000,MATCH($C720,DB_materiali!$A$2:$A$5000,0))&gt;=INDEX(DB_malas!$C$2:$C$5000,MATCH(K720,DB_malas!$A$2:$A$5000,0)),IF(INDEX(DB_materiali!$E$2:$E$5000,MATCH($C720,DB_materiali!$A$2:$A$5000,0))&lt;=INDEX(DB_malas!$D$2:$D$5000,MATCH(K720,DB_malas!$A$2:$A$5000,0)),IF(INDEX(DB_materiali!$B$2:$B$5000,MATCH($C720,DB_materiali!$A$2:$A$5000,0))=INDEX(DB_malas!$B$2:$B$5000,MATCH(K720,DB_malas!$A$2:$A$5000,0)),"✔",tulkojums!$A$38),tulkojums!$A$39),tulkojums!$A$39))</f>
        <v/>
      </c>
      <c r="T720" s="2"/>
      <c r="U720" s="2"/>
      <c r="V720" s="2"/>
      <c r="W720" s="2"/>
      <c r="X720" s="2"/>
      <c r="Y720" s="2"/>
      <c r="Z720" s="2"/>
    </row>
    <row r="721" spans="1:26" ht="15.75" customHeight="1">
      <c r="A721" s="17"/>
      <c r="B721" s="18"/>
      <c r="C721" s="19"/>
      <c r="D721" s="55"/>
      <c r="E721" s="55"/>
      <c r="F721" s="56"/>
      <c r="G721" s="57" t="str">
        <f>IF(ISBLANK(C721),"",
   IFERROR(
      IF(
         INDEX(DB_materiali!C$2:C$5000,
               MATCH(C721, DB_materiali!A$2:A$5000, 0)
         )="FALSE",
         "N",
         "Y"
      ),
   "")
)</f>
        <v/>
      </c>
      <c r="H721" s="20"/>
      <c r="I721" s="20"/>
      <c r="J721" s="20"/>
      <c r="K721" s="20"/>
      <c r="M721" s="2" t="str">
        <f>IF(ISBLANK(C721),"",IF(IFERROR(VLOOKUP(C721,DB_materiali!$A$2:$A$5000,1,FALSE),"Kļūda artikulā")=C721,"✔",tulkojums!A$42))</f>
        <v/>
      </c>
      <c r="N721" s="2" t="str">
        <f>IF(ISBLANK(C721),"",IF(ISNUMBER(F721)=TRUE,"✔",tulkojums!A$43))</f>
        <v/>
      </c>
      <c r="O721" s="2" t="str">
        <f>IF(ISBLANK(C721),"",IF(G721="Y","✔",IF(G721="X","✔",IF(G721="N","✔",tulkojums!A$44))))</f>
        <v/>
      </c>
      <c r="P721" s="2" t="str">
        <f>IF(ISBLANK(H721),"",IF(INDEX(DB_materiali!$E$2:$E$5000,MATCH($C721,DB_materiali!$A$2:$A$5000,0))&gt;=INDEX(DB_malas!$C$2:$C$5000,MATCH(H721,DB_malas!$A$2:$A$5000,0)),IF(INDEX(DB_materiali!$E$2:$E$5000,MATCH($C721,DB_materiali!$A$2:$A$5000,0))&lt;=INDEX(DB_malas!$D$2:$D$5000,MATCH(H721,DB_malas!$A$2:$A$5000,0)),IF(OR(INDEX(DB_materiali!$B$2:$B$5000,MATCH($C721,DB_materiali!$A$2:$A$5000,0))=INDEX(DB_malas!$B$2:$B$5000,MATCH(H721,DB_malas!$A$2:$A$5000,0)),$H721="ORG"),"✔",tulkojums!$A$38),tulkojums!$A$39),tulkojums!$A$39))</f>
        <v/>
      </c>
      <c r="Q721" s="2" t="str">
        <f>IF(ISBLANK(I721),"",IF(INDEX(DB_materiali!$E$2:$E$5000,MATCH($C721,DB_materiali!$A$2:$A$5000,0))&gt;=INDEX(DB_malas!$C$2:$C$5000,MATCH(I721,DB_malas!$A$2:$A$5000,0)),IF(INDEX(DB_materiali!$E$2:$E$5000,MATCH($C721,DB_materiali!$A$2:$A$5000,0))&lt;=INDEX(DB_malas!$D$2:$D$5000,MATCH(I721,DB_malas!$A$2:$A$5000,0)),IF(OR(INDEX(DB_materiali!$B$2:$B$5000,MATCH($C721,DB_materiali!$A$2:$A$5000,0))=INDEX(DB_malas!$B$2:$B$5000,MATCH(I721,DB_malas!$A$2:$A$5000,0)),$H721="ORG"),"✔",tulkojums!$A$38),tulkojums!$A$39),tulkojums!$A$39))</f>
        <v/>
      </c>
      <c r="R721" s="2" t="str">
        <f>IF(ISBLANK(J721),"",IF(INDEX(DB_materiali!$E$2:$E$5000,MATCH($C721,DB_materiali!$A$2:$A$5000,0))&gt;=INDEX(DB_malas!$C$2:$C$5000,MATCH(J721,DB_malas!$A$2:$A$5000,0)),IF(INDEX(DB_materiali!$E$2:$E$5000,MATCH($C721,DB_materiali!$A$2:$A$5000,0))&lt;=INDEX(DB_malas!$D$2:$D$5000,MATCH(J721,DB_malas!$A$2:$A$5000,0)),IF(INDEX(DB_materiali!$B$2:$B$5000,MATCH($C721,DB_materiali!$A$2:$A$5000,0))=INDEX(DB_malas!$B$2:$B$5000,MATCH(J721,DB_malas!$A$2:$A$5000,0)),"✔",tulkojums!$A$38),tulkojums!$A$39),tulkojums!$A$39))</f>
        <v/>
      </c>
      <c r="S721" s="2" t="str">
        <f>IF(ISBLANK(K721),"",IF(INDEX(DB_materiali!$E$2:$E$5000,MATCH($C721,DB_materiali!$A$2:$A$5000,0))&gt;=INDEX(DB_malas!$C$2:$C$5000,MATCH(K721,DB_malas!$A$2:$A$5000,0)),IF(INDEX(DB_materiali!$E$2:$E$5000,MATCH($C721,DB_materiali!$A$2:$A$5000,0))&lt;=INDEX(DB_malas!$D$2:$D$5000,MATCH(K721,DB_malas!$A$2:$A$5000,0)),IF(INDEX(DB_materiali!$B$2:$B$5000,MATCH($C721,DB_materiali!$A$2:$A$5000,0))=INDEX(DB_malas!$B$2:$B$5000,MATCH(K721,DB_malas!$A$2:$A$5000,0)),"✔",tulkojums!$A$38),tulkojums!$A$39),tulkojums!$A$39))</f>
        <v/>
      </c>
      <c r="T721" s="2"/>
      <c r="U721" s="2"/>
      <c r="V721" s="2"/>
      <c r="W721" s="2"/>
      <c r="X721" s="2"/>
      <c r="Y721" s="2"/>
      <c r="Z721" s="2"/>
    </row>
    <row r="722" spans="1:26" ht="15.75" customHeight="1">
      <c r="A722" s="17"/>
      <c r="B722" s="18"/>
      <c r="C722" s="19"/>
      <c r="D722" s="55"/>
      <c r="E722" s="55"/>
      <c r="F722" s="56"/>
      <c r="G722" s="57" t="str">
        <f>IF(ISBLANK(C722),"",
   IFERROR(
      IF(
         INDEX(DB_materiali!C$2:C$5000,
               MATCH(C722, DB_materiali!A$2:A$5000, 0)
         )="FALSE",
         "N",
         "Y"
      ),
   "")
)</f>
        <v/>
      </c>
      <c r="H722" s="20"/>
      <c r="I722" s="20"/>
      <c r="J722" s="20"/>
      <c r="K722" s="20"/>
      <c r="M722" s="2" t="str">
        <f>IF(ISBLANK(C722),"",IF(IFERROR(VLOOKUP(C722,DB_materiali!$A$2:$A$5000,1,FALSE),"Kļūda artikulā")=C722,"✔",tulkojums!A$42))</f>
        <v/>
      </c>
      <c r="N722" s="2" t="str">
        <f>IF(ISBLANK(C722),"",IF(ISNUMBER(F722)=TRUE,"✔",tulkojums!A$43))</f>
        <v/>
      </c>
      <c r="O722" s="2" t="str">
        <f>IF(ISBLANK(C722),"",IF(G722="Y","✔",IF(G722="X","✔",IF(G722="N","✔",tulkojums!A$44))))</f>
        <v/>
      </c>
      <c r="P722" s="2" t="str">
        <f>IF(ISBLANK(H722),"",IF(INDEX(DB_materiali!$E$2:$E$5000,MATCH($C722,DB_materiali!$A$2:$A$5000,0))&gt;=INDEX(DB_malas!$C$2:$C$5000,MATCH(H722,DB_malas!$A$2:$A$5000,0)),IF(INDEX(DB_materiali!$E$2:$E$5000,MATCH($C722,DB_materiali!$A$2:$A$5000,0))&lt;=INDEX(DB_malas!$D$2:$D$5000,MATCH(H722,DB_malas!$A$2:$A$5000,0)),IF(OR(INDEX(DB_materiali!$B$2:$B$5000,MATCH($C722,DB_materiali!$A$2:$A$5000,0))=INDEX(DB_malas!$B$2:$B$5000,MATCH(H722,DB_malas!$A$2:$A$5000,0)),$H722="ORG"),"✔",tulkojums!$A$38),tulkojums!$A$39),tulkojums!$A$39))</f>
        <v/>
      </c>
      <c r="Q722" s="2" t="str">
        <f>IF(ISBLANK(I722),"",IF(INDEX(DB_materiali!$E$2:$E$5000,MATCH($C722,DB_materiali!$A$2:$A$5000,0))&gt;=INDEX(DB_malas!$C$2:$C$5000,MATCH(I722,DB_malas!$A$2:$A$5000,0)),IF(INDEX(DB_materiali!$E$2:$E$5000,MATCH($C722,DB_materiali!$A$2:$A$5000,0))&lt;=INDEX(DB_malas!$D$2:$D$5000,MATCH(I722,DB_malas!$A$2:$A$5000,0)),IF(OR(INDEX(DB_materiali!$B$2:$B$5000,MATCH($C722,DB_materiali!$A$2:$A$5000,0))=INDEX(DB_malas!$B$2:$B$5000,MATCH(I722,DB_malas!$A$2:$A$5000,0)),$H722="ORG"),"✔",tulkojums!$A$38),tulkojums!$A$39),tulkojums!$A$39))</f>
        <v/>
      </c>
      <c r="R722" s="2" t="str">
        <f>IF(ISBLANK(J722),"",IF(INDEX(DB_materiali!$E$2:$E$5000,MATCH($C722,DB_materiali!$A$2:$A$5000,0))&gt;=INDEX(DB_malas!$C$2:$C$5000,MATCH(J722,DB_malas!$A$2:$A$5000,0)),IF(INDEX(DB_materiali!$E$2:$E$5000,MATCH($C722,DB_materiali!$A$2:$A$5000,0))&lt;=INDEX(DB_malas!$D$2:$D$5000,MATCH(J722,DB_malas!$A$2:$A$5000,0)),IF(INDEX(DB_materiali!$B$2:$B$5000,MATCH($C722,DB_materiali!$A$2:$A$5000,0))=INDEX(DB_malas!$B$2:$B$5000,MATCH(J722,DB_malas!$A$2:$A$5000,0)),"✔",tulkojums!$A$38),tulkojums!$A$39),tulkojums!$A$39))</f>
        <v/>
      </c>
      <c r="S722" s="2" t="str">
        <f>IF(ISBLANK(K722),"",IF(INDEX(DB_materiali!$E$2:$E$5000,MATCH($C722,DB_materiali!$A$2:$A$5000,0))&gt;=INDEX(DB_malas!$C$2:$C$5000,MATCH(K722,DB_malas!$A$2:$A$5000,0)),IF(INDEX(DB_materiali!$E$2:$E$5000,MATCH($C722,DB_materiali!$A$2:$A$5000,0))&lt;=INDEX(DB_malas!$D$2:$D$5000,MATCH(K722,DB_malas!$A$2:$A$5000,0)),IF(INDEX(DB_materiali!$B$2:$B$5000,MATCH($C722,DB_materiali!$A$2:$A$5000,0))=INDEX(DB_malas!$B$2:$B$5000,MATCH(K722,DB_malas!$A$2:$A$5000,0)),"✔",tulkojums!$A$38),tulkojums!$A$39),tulkojums!$A$39))</f>
        <v/>
      </c>
      <c r="T722" s="2"/>
      <c r="U722" s="2"/>
      <c r="V722" s="2"/>
      <c r="W722" s="2"/>
      <c r="X722" s="2"/>
      <c r="Y722" s="2"/>
      <c r="Z722" s="2"/>
    </row>
    <row r="723" spans="1:26" ht="15.75" customHeight="1">
      <c r="A723" s="17"/>
      <c r="B723" s="18"/>
      <c r="C723" s="19"/>
      <c r="D723" s="55"/>
      <c r="E723" s="55"/>
      <c r="F723" s="56"/>
      <c r="G723" s="57" t="str">
        <f>IF(ISBLANK(C723),"",
   IFERROR(
      IF(
         INDEX(DB_materiali!C$2:C$5000,
               MATCH(C723, DB_materiali!A$2:A$5000, 0)
         )="FALSE",
         "N",
         "Y"
      ),
   "")
)</f>
        <v/>
      </c>
      <c r="H723" s="20"/>
      <c r="I723" s="20"/>
      <c r="J723" s="20"/>
      <c r="K723" s="20"/>
      <c r="M723" s="2" t="str">
        <f>IF(ISBLANK(C723),"",IF(IFERROR(VLOOKUP(C723,DB_materiali!$A$2:$A$5000,1,FALSE),"Kļūda artikulā")=C723,"✔",tulkojums!A$42))</f>
        <v/>
      </c>
      <c r="N723" s="2" t="str">
        <f>IF(ISBLANK(C723),"",IF(ISNUMBER(F723)=TRUE,"✔",tulkojums!A$43))</f>
        <v/>
      </c>
      <c r="O723" s="2" t="str">
        <f>IF(ISBLANK(C723),"",IF(G723="Y","✔",IF(G723="X","✔",IF(G723="N","✔",tulkojums!A$44))))</f>
        <v/>
      </c>
      <c r="P723" s="2" t="str">
        <f>IF(ISBLANK(H723),"",IF(INDEX(DB_materiali!$E$2:$E$5000,MATCH($C723,DB_materiali!$A$2:$A$5000,0))&gt;=INDEX(DB_malas!$C$2:$C$5000,MATCH(H723,DB_malas!$A$2:$A$5000,0)),IF(INDEX(DB_materiali!$E$2:$E$5000,MATCH($C723,DB_materiali!$A$2:$A$5000,0))&lt;=INDEX(DB_malas!$D$2:$D$5000,MATCH(H723,DB_malas!$A$2:$A$5000,0)),IF(OR(INDEX(DB_materiali!$B$2:$B$5000,MATCH($C723,DB_materiali!$A$2:$A$5000,0))=INDEX(DB_malas!$B$2:$B$5000,MATCH(H723,DB_malas!$A$2:$A$5000,0)),$H723="ORG"),"✔",tulkojums!$A$38),tulkojums!$A$39),tulkojums!$A$39))</f>
        <v/>
      </c>
      <c r="Q723" s="2" t="str">
        <f>IF(ISBLANK(I723),"",IF(INDEX(DB_materiali!$E$2:$E$5000,MATCH($C723,DB_materiali!$A$2:$A$5000,0))&gt;=INDEX(DB_malas!$C$2:$C$5000,MATCH(I723,DB_malas!$A$2:$A$5000,0)),IF(INDEX(DB_materiali!$E$2:$E$5000,MATCH($C723,DB_materiali!$A$2:$A$5000,0))&lt;=INDEX(DB_malas!$D$2:$D$5000,MATCH(I723,DB_malas!$A$2:$A$5000,0)),IF(OR(INDEX(DB_materiali!$B$2:$B$5000,MATCH($C723,DB_materiali!$A$2:$A$5000,0))=INDEX(DB_malas!$B$2:$B$5000,MATCH(I723,DB_malas!$A$2:$A$5000,0)),$H723="ORG"),"✔",tulkojums!$A$38),tulkojums!$A$39),tulkojums!$A$39))</f>
        <v/>
      </c>
      <c r="R723" s="2" t="str">
        <f>IF(ISBLANK(J723),"",IF(INDEX(DB_materiali!$E$2:$E$5000,MATCH($C723,DB_materiali!$A$2:$A$5000,0))&gt;=INDEX(DB_malas!$C$2:$C$5000,MATCH(J723,DB_malas!$A$2:$A$5000,0)),IF(INDEX(DB_materiali!$E$2:$E$5000,MATCH($C723,DB_materiali!$A$2:$A$5000,0))&lt;=INDEX(DB_malas!$D$2:$D$5000,MATCH(J723,DB_malas!$A$2:$A$5000,0)),IF(INDEX(DB_materiali!$B$2:$B$5000,MATCH($C723,DB_materiali!$A$2:$A$5000,0))=INDEX(DB_malas!$B$2:$B$5000,MATCH(J723,DB_malas!$A$2:$A$5000,0)),"✔",tulkojums!$A$38),tulkojums!$A$39),tulkojums!$A$39))</f>
        <v/>
      </c>
      <c r="S723" s="2" t="str">
        <f>IF(ISBLANK(K723),"",IF(INDEX(DB_materiali!$E$2:$E$5000,MATCH($C723,DB_materiali!$A$2:$A$5000,0))&gt;=INDEX(DB_malas!$C$2:$C$5000,MATCH(K723,DB_malas!$A$2:$A$5000,0)),IF(INDEX(DB_materiali!$E$2:$E$5000,MATCH($C723,DB_materiali!$A$2:$A$5000,0))&lt;=INDEX(DB_malas!$D$2:$D$5000,MATCH(K723,DB_malas!$A$2:$A$5000,0)),IF(INDEX(DB_materiali!$B$2:$B$5000,MATCH($C723,DB_materiali!$A$2:$A$5000,0))=INDEX(DB_malas!$B$2:$B$5000,MATCH(K723,DB_malas!$A$2:$A$5000,0)),"✔",tulkojums!$A$38),tulkojums!$A$39),tulkojums!$A$39))</f>
        <v/>
      </c>
      <c r="T723" s="2"/>
      <c r="U723" s="2"/>
      <c r="V723" s="2"/>
      <c r="W723" s="2"/>
      <c r="X723" s="2"/>
      <c r="Y723" s="2"/>
      <c r="Z723" s="2"/>
    </row>
    <row r="724" spans="1:26" ht="15.75" customHeight="1">
      <c r="A724" s="17"/>
      <c r="B724" s="18"/>
      <c r="C724" s="19"/>
      <c r="D724" s="55"/>
      <c r="E724" s="55"/>
      <c r="F724" s="56"/>
      <c r="G724" s="57" t="str">
        <f>IF(ISBLANK(C724),"",
   IFERROR(
      IF(
         INDEX(DB_materiali!C$2:C$5000,
               MATCH(C724, DB_materiali!A$2:A$5000, 0)
         )="FALSE",
         "N",
         "Y"
      ),
   "")
)</f>
        <v/>
      </c>
      <c r="H724" s="20"/>
      <c r="I724" s="20"/>
      <c r="J724" s="20"/>
      <c r="K724" s="20"/>
      <c r="M724" s="2" t="str">
        <f>IF(ISBLANK(C724),"",IF(IFERROR(VLOOKUP(C724,DB_materiali!$A$2:$A$5000,1,FALSE),"Kļūda artikulā")=C724,"✔",tulkojums!A$42))</f>
        <v/>
      </c>
      <c r="N724" s="2" t="str">
        <f>IF(ISBLANK(C724),"",IF(ISNUMBER(F724)=TRUE,"✔",tulkojums!A$43))</f>
        <v/>
      </c>
      <c r="O724" s="2" t="str">
        <f>IF(ISBLANK(C724),"",IF(G724="Y","✔",IF(G724="X","✔",IF(G724="N","✔",tulkojums!A$44))))</f>
        <v/>
      </c>
      <c r="P724" s="2" t="str">
        <f>IF(ISBLANK(H724),"",IF(INDEX(DB_materiali!$E$2:$E$5000,MATCH($C724,DB_materiali!$A$2:$A$5000,0))&gt;=INDEX(DB_malas!$C$2:$C$5000,MATCH(H724,DB_malas!$A$2:$A$5000,0)),IF(INDEX(DB_materiali!$E$2:$E$5000,MATCH($C724,DB_materiali!$A$2:$A$5000,0))&lt;=INDEX(DB_malas!$D$2:$D$5000,MATCH(H724,DB_malas!$A$2:$A$5000,0)),IF(OR(INDEX(DB_materiali!$B$2:$B$5000,MATCH($C724,DB_materiali!$A$2:$A$5000,0))=INDEX(DB_malas!$B$2:$B$5000,MATCH(H724,DB_malas!$A$2:$A$5000,0)),$H724="ORG"),"✔",tulkojums!$A$38),tulkojums!$A$39),tulkojums!$A$39))</f>
        <v/>
      </c>
      <c r="Q724" s="2" t="str">
        <f>IF(ISBLANK(I724),"",IF(INDEX(DB_materiali!$E$2:$E$5000,MATCH($C724,DB_materiali!$A$2:$A$5000,0))&gt;=INDEX(DB_malas!$C$2:$C$5000,MATCH(I724,DB_malas!$A$2:$A$5000,0)),IF(INDEX(DB_materiali!$E$2:$E$5000,MATCH($C724,DB_materiali!$A$2:$A$5000,0))&lt;=INDEX(DB_malas!$D$2:$D$5000,MATCH(I724,DB_malas!$A$2:$A$5000,0)),IF(OR(INDEX(DB_materiali!$B$2:$B$5000,MATCH($C724,DB_materiali!$A$2:$A$5000,0))=INDEX(DB_malas!$B$2:$B$5000,MATCH(I724,DB_malas!$A$2:$A$5000,0)),$H724="ORG"),"✔",tulkojums!$A$38),tulkojums!$A$39),tulkojums!$A$39))</f>
        <v/>
      </c>
      <c r="R724" s="2" t="str">
        <f>IF(ISBLANK(J724),"",IF(INDEX(DB_materiali!$E$2:$E$5000,MATCH($C724,DB_materiali!$A$2:$A$5000,0))&gt;=INDEX(DB_malas!$C$2:$C$5000,MATCH(J724,DB_malas!$A$2:$A$5000,0)),IF(INDEX(DB_materiali!$E$2:$E$5000,MATCH($C724,DB_materiali!$A$2:$A$5000,0))&lt;=INDEX(DB_malas!$D$2:$D$5000,MATCH(J724,DB_malas!$A$2:$A$5000,0)),IF(INDEX(DB_materiali!$B$2:$B$5000,MATCH($C724,DB_materiali!$A$2:$A$5000,0))=INDEX(DB_malas!$B$2:$B$5000,MATCH(J724,DB_malas!$A$2:$A$5000,0)),"✔",tulkojums!$A$38),tulkojums!$A$39),tulkojums!$A$39))</f>
        <v/>
      </c>
      <c r="S724" s="2" t="str">
        <f>IF(ISBLANK(K724),"",IF(INDEX(DB_materiali!$E$2:$E$5000,MATCH($C724,DB_materiali!$A$2:$A$5000,0))&gt;=INDEX(DB_malas!$C$2:$C$5000,MATCH(K724,DB_malas!$A$2:$A$5000,0)),IF(INDEX(DB_materiali!$E$2:$E$5000,MATCH($C724,DB_materiali!$A$2:$A$5000,0))&lt;=INDEX(DB_malas!$D$2:$D$5000,MATCH(K724,DB_malas!$A$2:$A$5000,0)),IF(INDEX(DB_materiali!$B$2:$B$5000,MATCH($C724,DB_materiali!$A$2:$A$5000,0))=INDEX(DB_malas!$B$2:$B$5000,MATCH(K724,DB_malas!$A$2:$A$5000,0)),"✔",tulkojums!$A$38),tulkojums!$A$39),tulkojums!$A$39))</f>
        <v/>
      </c>
      <c r="T724" s="2"/>
      <c r="U724" s="2"/>
      <c r="V724" s="2"/>
      <c r="W724" s="2"/>
      <c r="X724" s="2"/>
      <c r="Y724" s="2"/>
      <c r="Z724" s="2"/>
    </row>
    <row r="725" spans="1:26" ht="15.75" customHeight="1">
      <c r="A725" s="17"/>
      <c r="B725" s="18"/>
      <c r="C725" s="19"/>
      <c r="D725" s="55"/>
      <c r="E725" s="55"/>
      <c r="F725" s="56"/>
      <c r="G725" s="57" t="str">
        <f>IF(ISBLANK(C725),"",
   IFERROR(
      IF(
         INDEX(DB_materiali!C$2:C$5000,
               MATCH(C725, DB_materiali!A$2:A$5000, 0)
         )="FALSE",
         "N",
         "Y"
      ),
   "")
)</f>
        <v/>
      </c>
      <c r="H725" s="20"/>
      <c r="I725" s="20"/>
      <c r="J725" s="20"/>
      <c r="K725" s="20"/>
      <c r="M725" s="2" t="str">
        <f>IF(ISBLANK(C725),"",IF(IFERROR(VLOOKUP(C725,DB_materiali!$A$2:$A$5000,1,FALSE),"Kļūda artikulā")=C725,"✔",tulkojums!A$42))</f>
        <v/>
      </c>
      <c r="N725" s="2" t="str">
        <f>IF(ISBLANK(C725),"",IF(ISNUMBER(F725)=TRUE,"✔",tulkojums!A$43))</f>
        <v/>
      </c>
      <c r="O725" s="2" t="str">
        <f>IF(ISBLANK(C725),"",IF(G725="Y","✔",IF(G725="X","✔",IF(G725="N","✔",tulkojums!A$44))))</f>
        <v/>
      </c>
      <c r="P725" s="2" t="str">
        <f>IF(ISBLANK(H725),"",IF(INDEX(DB_materiali!$E$2:$E$5000,MATCH($C725,DB_materiali!$A$2:$A$5000,0))&gt;=INDEX(DB_malas!$C$2:$C$5000,MATCH(H725,DB_malas!$A$2:$A$5000,0)),IF(INDEX(DB_materiali!$E$2:$E$5000,MATCH($C725,DB_materiali!$A$2:$A$5000,0))&lt;=INDEX(DB_malas!$D$2:$D$5000,MATCH(H725,DB_malas!$A$2:$A$5000,0)),IF(OR(INDEX(DB_materiali!$B$2:$B$5000,MATCH($C725,DB_materiali!$A$2:$A$5000,0))=INDEX(DB_malas!$B$2:$B$5000,MATCH(H725,DB_malas!$A$2:$A$5000,0)),$H725="ORG"),"✔",tulkojums!$A$38),tulkojums!$A$39),tulkojums!$A$39))</f>
        <v/>
      </c>
      <c r="Q725" s="2" t="str">
        <f>IF(ISBLANK(I725),"",IF(INDEX(DB_materiali!$E$2:$E$5000,MATCH($C725,DB_materiali!$A$2:$A$5000,0))&gt;=INDEX(DB_malas!$C$2:$C$5000,MATCH(I725,DB_malas!$A$2:$A$5000,0)),IF(INDEX(DB_materiali!$E$2:$E$5000,MATCH($C725,DB_materiali!$A$2:$A$5000,0))&lt;=INDEX(DB_malas!$D$2:$D$5000,MATCH(I725,DB_malas!$A$2:$A$5000,0)),IF(OR(INDEX(DB_materiali!$B$2:$B$5000,MATCH($C725,DB_materiali!$A$2:$A$5000,0))=INDEX(DB_malas!$B$2:$B$5000,MATCH(I725,DB_malas!$A$2:$A$5000,0)),$H725="ORG"),"✔",tulkojums!$A$38),tulkojums!$A$39),tulkojums!$A$39))</f>
        <v/>
      </c>
      <c r="R725" s="2" t="str">
        <f>IF(ISBLANK(J725),"",IF(INDEX(DB_materiali!$E$2:$E$5000,MATCH($C725,DB_materiali!$A$2:$A$5000,0))&gt;=INDEX(DB_malas!$C$2:$C$5000,MATCH(J725,DB_malas!$A$2:$A$5000,0)),IF(INDEX(DB_materiali!$E$2:$E$5000,MATCH($C725,DB_materiali!$A$2:$A$5000,0))&lt;=INDEX(DB_malas!$D$2:$D$5000,MATCH(J725,DB_malas!$A$2:$A$5000,0)),IF(INDEX(DB_materiali!$B$2:$B$5000,MATCH($C725,DB_materiali!$A$2:$A$5000,0))=INDEX(DB_malas!$B$2:$B$5000,MATCH(J725,DB_malas!$A$2:$A$5000,0)),"✔",tulkojums!$A$38),tulkojums!$A$39),tulkojums!$A$39))</f>
        <v/>
      </c>
      <c r="S725" s="2" t="str">
        <f>IF(ISBLANK(K725),"",IF(INDEX(DB_materiali!$E$2:$E$5000,MATCH($C725,DB_materiali!$A$2:$A$5000,0))&gt;=INDEX(DB_malas!$C$2:$C$5000,MATCH(K725,DB_malas!$A$2:$A$5000,0)),IF(INDEX(DB_materiali!$E$2:$E$5000,MATCH($C725,DB_materiali!$A$2:$A$5000,0))&lt;=INDEX(DB_malas!$D$2:$D$5000,MATCH(K725,DB_malas!$A$2:$A$5000,0)),IF(INDEX(DB_materiali!$B$2:$B$5000,MATCH($C725,DB_materiali!$A$2:$A$5000,0))=INDEX(DB_malas!$B$2:$B$5000,MATCH(K725,DB_malas!$A$2:$A$5000,0)),"✔",tulkojums!$A$38),tulkojums!$A$39),tulkojums!$A$39))</f>
        <v/>
      </c>
      <c r="T725" s="2"/>
      <c r="U725" s="2"/>
      <c r="V725" s="2"/>
      <c r="W725" s="2"/>
      <c r="X725" s="2"/>
      <c r="Y725" s="2"/>
      <c r="Z725" s="2"/>
    </row>
    <row r="726" spans="1:26" ht="15.75" customHeight="1">
      <c r="A726" s="17"/>
      <c r="B726" s="18"/>
      <c r="C726" s="19"/>
      <c r="D726" s="55"/>
      <c r="E726" s="55"/>
      <c r="F726" s="56"/>
      <c r="G726" s="57" t="str">
        <f>IF(ISBLANK(C726),"",
   IFERROR(
      IF(
         INDEX(DB_materiali!C$2:C$5000,
               MATCH(C726, DB_materiali!A$2:A$5000, 0)
         )="FALSE",
         "N",
         "Y"
      ),
   "")
)</f>
        <v/>
      </c>
      <c r="H726" s="20"/>
      <c r="I726" s="20"/>
      <c r="J726" s="20"/>
      <c r="K726" s="20"/>
      <c r="M726" s="2" t="str">
        <f>IF(ISBLANK(C726),"",IF(IFERROR(VLOOKUP(C726,DB_materiali!$A$2:$A$5000,1,FALSE),"Kļūda artikulā")=C726,"✔",tulkojums!A$42))</f>
        <v/>
      </c>
      <c r="N726" s="2" t="str">
        <f>IF(ISBLANK(C726),"",IF(ISNUMBER(F726)=TRUE,"✔",tulkojums!A$43))</f>
        <v/>
      </c>
      <c r="O726" s="2" t="str">
        <f>IF(ISBLANK(C726),"",IF(G726="Y","✔",IF(G726="X","✔",IF(G726="N","✔",tulkojums!A$44))))</f>
        <v/>
      </c>
      <c r="P726" s="2" t="str">
        <f>IF(ISBLANK(H726),"",IF(INDEX(DB_materiali!$E$2:$E$5000,MATCH($C726,DB_materiali!$A$2:$A$5000,0))&gt;=INDEX(DB_malas!$C$2:$C$5000,MATCH(H726,DB_malas!$A$2:$A$5000,0)),IF(INDEX(DB_materiali!$E$2:$E$5000,MATCH($C726,DB_materiali!$A$2:$A$5000,0))&lt;=INDEX(DB_malas!$D$2:$D$5000,MATCH(H726,DB_malas!$A$2:$A$5000,0)),IF(OR(INDEX(DB_materiali!$B$2:$B$5000,MATCH($C726,DB_materiali!$A$2:$A$5000,0))=INDEX(DB_malas!$B$2:$B$5000,MATCH(H726,DB_malas!$A$2:$A$5000,0)),$H726="ORG"),"✔",tulkojums!$A$38),tulkojums!$A$39),tulkojums!$A$39))</f>
        <v/>
      </c>
      <c r="Q726" s="2" t="str">
        <f>IF(ISBLANK(I726),"",IF(INDEX(DB_materiali!$E$2:$E$5000,MATCH($C726,DB_materiali!$A$2:$A$5000,0))&gt;=INDEX(DB_malas!$C$2:$C$5000,MATCH(I726,DB_malas!$A$2:$A$5000,0)),IF(INDEX(DB_materiali!$E$2:$E$5000,MATCH($C726,DB_materiali!$A$2:$A$5000,0))&lt;=INDEX(DB_malas!$D$2:$D$5000,MATCH(I726,DB_malas!$A$2:$A$5000,0)),IF(OR(INDEX(DB_materiali!$B$2:$B$5000,MATCH($C726,DB_materiali!$A$2:$A$5000,0))=INDEX(DB_malas!$B$2:$B$5000,MATCH(I726,DB_malas!$A$2:$A$5000,0)),$H726="ORG"),"✔",tulkojums!$A$38),tulkojums!$A$39),tulkojums!$A$39))</f>
        <v/>
      </c>
      <c r="R726" s="2" t="str">
        <f>IF(ISBLANK(J726),"",IF(INDEX(DB_materiali!$E$2:$E$5000,MATCH($C726,DB_materiali!$A$2:$A$5000,0))&gt;=INDEX(DB_malas!$C$2:$C$5000,MATCH(J726,DB_malas!$A$2:$A$5000,0)),IF(INDEX(DB_materiali!$E$2:$E$5000,MATCH($C726,DB_materiali!$A$2:$A$5000,0))&lt;=INDEX(DB_malas!$D$2:$D$5000,MATCH(J726,DB_malas!$A$2:$A$5000,0)),IF(INDEX(DB_materiali!$B$2:$B$5000,MATCH($C726,DB_materiali!$A$2:$A$5000,0))=INDEX(DB_malas!$B$2:$B$5000,MATCH(J726,DB_malas!$A$2:$A$5000,0)),"✔",tulkojums!$A$38),tulkojums!$A$39),tulkojums!$A$39))</f>
        <v/>
      </c>
      <c r="S726" s="2" t="str">
        <f>IF(ISBLANK(K726),"",IF(INDEX(DB_materiali!$E$2:$E$5000,MATCH($C726,DB_materiali!$A$2:$A$5000,0))&gt;=INDEX(DB_malas!$C$2:$C$5000,MATCH(K726,DB_malas!$A$2:$A$5000,0)),IF(INDEX(DB_materiali!$E$2:$E$5000,MATCH($C726,DB_materiali!$A$2:$A$5000,0))&lt;=INDEX(DB_malas!$D$2:$D$5000,MATCH(K726,DB_malas!$A$2:$A$5000,0)),IF(INDEX(DB_materiali!$B$2:$B$5000,MATCH($C726,DB_materiali!$A$2:$A$5000,0))=INDEX(DB_malas!$B$2:$B$5000,MATCH(K726,DB_malas!$A$2:$A$5000,0)),"✔",tulkojums!$A$38),tulkojums!$A$39),tulkojums!$A$39))</f>
        <v/>
      </c>
      <c r="T726" s="2"/>
      <c r="U726" s="2"/>
      <c r="V726" s="2"/>
      <c r="W726" s="2"/>
      <c r="X726" s="2"/>
      <c r="Y726" s="2"/>
      <c r="Z726" s="2"/>
    </row>
    <row r="727" spans="1:26" ht="15.75" customHeight="1">
      <c r="A727" s="17"/>
      <c r="B727" s="18"/>
      <c r="C727" s="19"/>
      <c r="D727" s="55"/>
      <c r="E727" s="55"/>
      <c r="F727" s="56"/>
      <c r="G727" s="57" t="str">
        <f>IF(ISBLANK(C727),"",
   IFERROR(
      IF(
         INDEX(DB_materiali!C$2:C$5000,
               MATCH(C727, DB_materiali!A$2:A$5000, 0)
         )="FALSE",
         "N",
         "Y"
      ),
   "")
)</f>
        <v/>
      </c>
      <c r="H727" s="20"/>
      <c r="I727" s="20"/>
      <c r="J727" s="20"/>
      <c r="K727" s="20"/>
      <c r="M727" s="2" t="str">
        <f>IF(ISBLANK(C727),"",IF(IFERROR(VLOOKUP(C727,DB_materiali!$A$2:$A$5000,1,FALSE),"Kļūda artikulā")=C727,"✔",tulkojums!A$42))</f>
        <v/>
      </c>
      <c r="N727" s="2" t="str">
        <f>IF(ISBLANK(C727),"",IF(ISNUMBER(F727)=TRUE,"✔",tulkojums!A$43))</f>
        <v/>
      </c>
      <c r="O727" s="2" t="str">
        <f>IF(ISBLANK(C727),"",IF(G727="Y","✔",IF(G727="X","✔",IF(G727="N","✔",tulkojums!A$44))))</f>
        <v/>
      </c>
      <c r="P727" s="2" t="str">
        <f>IF(ISBLANK(H727),"",IF(INDEX(DB_materiali!$E$2:$E$5000,MATCH($C727,DB_materiali!$A$2:$A$5000,0))&gt;=INDEX(DB_malas!$C$2:$C$5000,MATCH(H727,DB_malas!$A$2:$A$5000,0)),IF(INDEX(DB_materiali!$E$2:$E$5000,MATCH($C727,DB_materiali!$A$2:$A$5000,0))&lt;=INDEX(DB_malas!$D$2:$D$5000,MATCH(H727,DB_malas!$A$2:$A$5000,0)),IF(OR(INDEX(DB_materiali!$B$2:$B$5000,MATCH($C727,DB_materiali!$A$2:$A$5000,0))=INDEX(DB_malas!$B$2:$B$5000,MATCH(H727,DB_malas!$A$2:$A$5000,0)),$H727="ORG"),"✔",tulkojums!$A$38),tulkojums!$A$39),tulkojums!$A$39))</f>
        <v/>
      </c>
      <c r="Q727" s="2" t="str">
        <f>IF(ISBLANK(I727),"",IF(INDEX(DB_materiali!$E$2:$E$5000,MATCH($C727,DB_materiali!$A$2:$A$5000,0))&gt;=INDEX(DB_malas!$C$2:$C$5000,MATCH(I727,DB_malas!$A$2:$A$5000,0)),IF(INDEX(DB_materiali!$E$2:$E$5000,MATCH($C727,DB_materiali!$A$2:$A$5000,0))&lt;=INDEX(DB_malas!$D$2:$D$5000,MATCH(I727,DB_malas!$A$2:$A$5000,0)),IF(OR(INDEX(DB_materiali!$B$2:$B$5000,MATCH($C727,DB_materiali!$A$2:$A$5000,0))=INDEX(DB_malas!$B$2:$B$5000,MATCH(I727,DB_malas!$A$2:$A$5000,0)),$H727="ORG"),"✔",tulkojums!$A$38),tulkojums!$A$39),tulkojums!$A$39))</f>
        <v/>
      </c>
      <c r="R727" s="2" t="str">
        <f>IF(ISBLANK(J727),"",IF(INDEX(DB_materiali!$E$2:$E$5000,MATCH($C727,DB_materiali!$A$2:$A$5000,0))&gt;=INDEX(DB_malas!$C$2:$C$5000,MATCH(J727,DB_malas!$A$2:$A$5000,0)),IF(INDEX(DB_materiali!$E$2:$E$5000,MATCH($C727,DB_materiali!$A$2:$A$5000,0))&lt;=INDEX(DB_malas!$D$2:$D$5000,MATCH(J727,DB_malas!$A$2:$A$5000,0)),IF(INDEX(DB_materiali!$B$2:$B$5000,MATCH($C727,DB_materiali!$A$2:$A$5000,0))=INDEX(DB_malas!$B$2:$B$5000,MATCH(J727,DB_malas!$A$2:$A$5000,0)),"✔",tulkojums!$A$38),tulkojums!$A$39),tulkojums!$A$39))</f>
        <v/>
      </c>
      <c r="S727" s="2" t="str">
        <f>IF(ISBLANK(K727),"",IF(INDEX(DB_materiali!$E$2:$E$5000,MATCH($C727,DB_materiali!$A$2:$A$5000,0))&gt;=INDEX(DB_malas!$C$2:$C$5000,MATCH(K727,DB_malas!$A$2:$A$5000,0)),IF(INDEX(DB_materiali!$E$2:$E$5000,MATCH($C727,DB_materiali!$A$2:$A$5000,0))&lt;=INDEX(DB_malas!$D$2:$D$5000,MATCH(K727,DB_malas!$A$2:$A$5000,0)),IF(INDEX(DB_materiali!$B$2:$B$5000,MATCH($C727,DB_materiali!$A$2:$A$5000,0))=INDEX(DB_malas!$B$2:$B$5000,MATCH(K727,DB_malas!$A$2:$A$5000,0)),"✔",tulkojums!$A$38),tulkojums!$A$39),tulkojums!$A$39))</f>
        <v/>
      </c>
      <c r="T727" s="2"/>
      <c r="U727" s="2"/>
      <c r="V727" s="2"/>
      <c r="W727" s="2"/>
      <c r="X727" s="2"/>
      <c r="Y727" s="2"/>
      <c r="Z727" s="2"/>
    </row>
    <row r="728" spans="1:26" ht="15.75" customHeight="1">
      <c r="A728" s="17"/>
      <c r="B728" s="18"/>
      <c r="C728" s="19"/>
      <c r="D728" s="55"/>
      <c r="E728" s="55"/>
      <c r="F728" s="56"/>
      <c r="G728" s="57" t="str">
        <f>IF(ISBLANK(C728),"",
   IFERROR(
      IF(
         INDEX(DB_materiali!C$2:C$5000,
               MATCH(C728, DB_materiali!A$2:A$5000, 0)
         )="FALSE",
         "N",
         "Y"
      ),
   "")
)</f>
        <v/>
      </c>
      <c r="H728" s="20"/>
      <c r="I728" s="20"/>
      <c r="J728" s="20"/>
      <c r="K728" s="20"/>
      <c r="M728" s="2" t="str">
        <f>IF(ISBLANK(C728),"",IF(IFERROR(VLOOKUP(C728,DB_materiali!$A$2:$A$5000,1,FALSE),"Kļūda artikulā")=C728,"✔",tulkojums!A$42))</f>
        <v/>
      </c>
      <c r="N728" s="2" t="str">
        <f>IF(ISBLANK(C728),"",IF(ISNUMBER(F728)=TRUE,"✔",tulkojums!A$43))</f>
        <v/>
      </c>
      <c r="O728" s="2" t="str">
        <f>IF(ISBLANK(C728),"",IF(G728="Y","✔",IF(G728="X","✔",IF(G728="N","✔",tulkojums!A$44))))</f>
        <v/>
      </c>
      <c r="P728" s="2" t="str">
        <f>IF(ISBLANK(H728),"",IF(INDEX(DB_materiali!$E$2:$E$5000,MATCH($C728,DB_materiali!$A$2:$A$5000,0))&gt;=INDEX(DB_malas!$C$2:$C$5000,MATCH(H728,DB_malas!$A$2:$A$5000,0)),IF(INDEX(DB_materiali!$E$2:$E$5000,MATCH($C728,DB_materiali!$A$2:$A$5000,0))&lt;=INDEX(DB_malas!$D$2:$D$5000,MATCH(H728,DB_malas!$A$2:$A$5000,0)),IF(OR(INDEX(DB_materiali!$B$2:$B$5000,MATCH($C728,DB_materiali!$A$2:$A$5000,0))=INDEX(DB_malas!$B$2:$B$5000,MATCH(H728,DB_malas!$A$2:$A$5000,0)),$H728="ORG"),"✔",tulkojums!$A$38),tulkojums!$A$39),tulkojums!$A$39))</f>
        <v/>
      </c>
      <c r="Q728" s="2" t="str">
        <f>IF(ISBLANK(I728),"",IF(INDEX(DB_materiali!$E$2:$E$5000,MATCH($C728,DB_materiali!$A$2:$A$5000,0))&gt;=INDEX(DB_malas!$C$2:$C$5000,MATCH(I728,DB_malas!$A$2:$A$5000,0)),IF(INDEX(DB_materiali!$E$2:$E$5000,MATCH($C728,DB_materiali!$A$2:$A$5000,0))&lt;=INDEX(DB_malas!$D$2:$D$5000,MATCH(I728,DB_malas!$A$2:$A$5000,0)),IF(OR(INDEX(DB_materiali!$B$2:$B$5000,MATCH($C728,DB_materiali!$A$2:$A$5000,0))=INDEX(DB_malas!$B$2:$B$5000,MATCH(I728,DB_malas!$A$2:$A$5000,0)),$H728="ORG"),"✔",tulkojums!$A$38),tulkojums!$A$39),tulkojums!$A$39))</f>
        <v/>
      </c>
      <c r="R728" s="2" t="str">
        <f>IF(ISBLANK(J728),"",IF(INDEX(DB_materiali!$E$2:$E$5000,MATCH($C728,DB_materiali!$A$2:$A$5000,0))&gt;=INDEX(DB_malas!$C$2:$C$5000,MATCH(J728,DB_malas!$A$2:$A$5000,0)),IF(INDEX(DB_materiali!$E$2:$E$5000,MATCH($C728,DB_materiali!$A$2:$A$5000,0))&lt;=INDEX(DB_malas!$D$2:$D$5000,MATCH(J728,DB_malas!$A$2:$A$5000,0)),IF(INDEX(DB_materiali!$B$2:$B$5000,MATCH($C728,DB_materiali!$A$2:$A$5000,0))=INDEX(DB_malas!$B$2:$B$5000,MATCH(J728,DB_malas!$A$2:$A$5000,0)),"✔",tulkojums!$A$38),tulkojums!$A$39),tulkojums!$A$39))</f>
        <v/>
      </c>
      <c r="S728" s="2" t="str">
        <f>IF(ISBLANK(K728),"",IF(INDEX(DB_materiali!$E$2:$E$5000,MATCH($C728,DB_materiali!$A$2:$A$5000,0))&gt;=INDEX(DB_malas!$C$2:$C$5000,MATCH(K728,DB_malas!$A$2:$A$5000,0)),IF(INDEX(DB_materiali!$E$2:$E$5000,MATCH($C728,DB_materiali!$A$2:$A$5000,0))&lt;=INDEX(DB_malas!$D$2:$D$5000,MATCH(K728,DB_malas!$A$2:$A$5000,0)),IF(INDEX(DB_materiali!$B$2:$B$5000,MATCH($C728,DB_materiali!$A$2:$A$5000,0))=INDEX(DB_malas!$B$2:$B$5000,MATCH(K728,DB_malas!$A$2:$A$5000,0)),"✔",tulkojums!$A$38),tulkojums!$A$39),tulkojums!$A$39))</f>
        <v/>
      </c>
      <c r="T728" s="2"/>
      <c r="U728" s="2"/>
      <c r="V728" s="2"/>
      <c r="W728" s="2"/>
      <c r="X728" s="2"/>
      <c r="Y728" s="2"/>
      <c r="Z728" s="2"/>
    </row>
    <row r="729" spans="1:26" ht="15.75" customHeight="1">
      <c r="A729" s="17"/>
      <c r="B729" s="18"/>
      <c r="C729" s="19"/>
      <c r="D729" s="55"/>
      <c r="E729" s="55"/>
      <c r="F729" s="56"/>
      <c r="G729" s="57" t="str">
        <f>IF(ISBLANK(C729),"",
   IFERROR(
      IF(
         INDEX(DB_materiali!C$2:C$5000,
               MATCH(C729, DB_materiali!A$2:A$5000, 0)
         )="FALSE",
         "N",
         "Y"
      ),
   "")
)</f>
        <v/>
      </c>
      <c r="H729" s="20"/>
      <c r="I729" s="20"/>
      <c r="J729" s="20"/>
      <c r="K729" s="20"/>
      <c r="M729" s="2" t="str">
        <f>IF(ISBLANK(C729),"",IF(IFERROR(VLOOKUP(C729,DB_materiali!$A$2:$A$5000,1,FALSE),"Kļūda artikulā")=C729,"✔",tulkojums!A$42))</f>
        <v/>
      </c>
      <c r="N729" s="2" t="str">
        <f>IF(ISBLANK(C729),"",IF(ISNUMBER(F729)=TRUE,"✔",tulkojums!A$43))</f>
        <v/>
      </c>
      <c r="O729" s="2" t="str">
        <f>IF(ISBLANK(C729),"",IF(G729="Y","✔",IF(G729="X","✔",IF(G729="N","✔",tulkojums!A$44))))</f>
        <v/>
      </c>
      <c r="P729" s="2" t="str">
        <f>IF(ISBLANK(H729),"",IF(INDEX(DB_materiali!$E$2:$E$5000,MATCH($C729,DB_materiali!$A$2:$A$5000,0))&gt;=INDEX(DB_malas!$C$2:$C$5000,MATCH(H729,DB_malas!$A$2:$A$5000,0)),IF(INDEX(DB_materiali!$E$2:$E$5000,MATCH($C729,DB_materiali!$A$2:$A$5000,0))&lt;=INDEX(DB_malas!$D$2:$D$5000,MATCH(H729,DB_malas!$A$2:$A$5000,0)),IF(OR(INDEX(DB_materiali!$B$2:$B$5000,MATCH($C729,DB_materiali!$A$2:$A$5000,0))=INDEX(DB_malas!$B$2:$B$5000,MATCH(H729,DB_malas!$A$2:$A$5000,0)),$H729="ORG"),"✔",tulkojums!$A$38),tulkojums!$A$39),tulkojums!$A$39))</f>
        <v/>
      </c>
      <c r="Q729" s="2" t="str">
        <f>IF(ISBLANK(I729),"",IF(INDEX(DB_materiali!$E$2:$E$5000,MATCH($C729,DB_materiali!$A$2:$A$5000,0))&gt;=INDEX(DB_malas!$C$2:$C$5000,MATCH(I729,DB_malas!$A$2:$A$5000,0)),IF(INDEX(DB_materiali!$E$2:$E$5000,MATCH($C729,DB_materiali!$A$2:$A$5000,0))&lt;=INDEX(DB_malas!$D$2:$D$5000,MATCH(I729,DB_malas!$A$2:$A$5000,0)),IF(OR(INDEX(DB_materiali!$B$2:$B$5000,MATCH($C729,DB_materiali!$A$2:$A$5000,0))=INDEX(DB_malas!$B$2:$B$5000,MATCH(I729,DB_malas!$A$2:$A$5000,0)),$H729="ORG"),"✔",tulkojums!$A$38),tulkojums!$A$39),tulkojums!$A$39))</f>
        <v/>
      </c>
      <c r="R729" s="2" t="str">
        <f>IF(ISBLANK(J729),"",IF(INDEX(DB_materiali!$E$2:$E$5000,MATCH($C729,DB_materiali!$A$2:$A$5000,0))&gt;=INDEX(DB_malas!$C$2:$C$5000,MATCH(J729,DB_malas!$A$2:$A$5000,0)),IF(INDEX(DB_materiali!$E$2:$E$5000,MATCH($C729,DB_materiali!$A$2:$A$5000,0))&lt;=INDEX(DB_malas!$D$2:$D$5000,MATCH(J729,DB_malas!$A$2:$A$5000,0)),IF(INDEX(DB_materiali!$B$2:$B$5000,MATCH($C729,DB_materiali!$A$2:$A$5000,0))=INDEX(DB_malas!$B$2:$B$5000,MATCH(J729,DB_malas!$A$2:$A$5000,0)),"✔",tulkojums!$A$38),tulkojums!$A$39),tulkojums!$A$39))</f>
        <v/>
      </c>
      <c r="S729" s="2" t="str">
        <f>IF(ISBLANK(K729),"",IF(INDEX(DB_materiali!$E$2:$E$5000,MATCH($C729,DB_materiali!$A$2:$A$5000,0))&gt;=INDEX(DB_malas!$C$2:$C$5000,MATCH(K729,DB_malas!$A$2:$A$5000,0)),IF(INDEX(DB_materiali!$E$2:$E$5000,MATCH($C729,DB_materiali!$A$2:$A$5000,0))&lt;=INDEX(DB_malas!$D$2:$D$5000,MATCH(K729,DB_malas!$A$2:$A$5000,0)),IF(INDEX(DB_materiali!$B$2:$B$5000,MATCH($C729,DB_materiali!$A$2:$A$5000,0))=INDEX(DB_malas!$B$2:$B$5000,MATCH(K729,DB_malas!$A$2:$A$5000,0)),"✔",tulkojums!$A$38),tulkojums!$A$39),tulkojums!$A$39))</f>
        <v/>
      </c>
      <c r="T729" s="2"/>
      <c r="U729" s="2"/>
      <c r="V729" s="2"/>
      <c r="W729" s="2"/>
      <c r="X729" s="2"/>
      <c r="Y729" s="2"/>
      <c r="Z729" s="2"/>
    </row>
    <row r="730" spans="1:26" ht="15.75" customHeight="1">
      <c r="A730" s="17"/>
      <c r="B730" s="18"/>
      <c r="C730" s="19"/>
      <c r="D730" s="55"/>
      <c r="E730" s="55"/>
      <c r="F730" s="56"/>
      <c r="G730" s="57" t="str">
        <f>IF(ISBLANK(C730),"",
   IFERROR(
      IF(
         INDEX(DB_materiali!C$2:C$5000,
               MATCH(C730, DB_materiali!A$2:A$5000, 0)
         )="FALSE",
         "N",
         "Y"
      ),
   "")
)</f>
        <v/>
      </c>
      <c r="H730" s="20"/>
      <c r="I730" s="20"/>
      <c r="J730" s="20"/>
      <c r="K730" s="20"/>
      <c r="M730" s="2" t="str">
        <f>IF(ISBLANK(C730),"",IF(IFERROR(VLOOKUP(C730,DB_materiali!$A$2:$A$5000,1,FALSE),"Kļūda artikulā")=C730,"✔",tulkojums!A$42))</f>
        <v/>
      </c>
      <c r="N730" s="2" t="str">
        <f>IF(ISBLANK(C730),"",IF(ISNUMBER(F730)=TRUE,"✔",tulkojums!A$43))</f>
        <v/>
      </c>
      <c r="O730" s="2" t="str">
        <f>IF(ISBLANK(C730),"",IF(G730="Y","✔",IF(G730="X","✔",IF(G730="N","✔",tulkojums!A$44))))</f>
        <v/>
      </c>
      <c r="P730" s="2" t="str">
        <f>IF(ISBLANK(H730),"",IF(INDEX(DB_materiali!$E$2:$E$5000,MATCH($C730,DB_materiali!$A$2:$A$5000,0))&gt;=INDEX(DB_malas!$C$2:$C$5000,MATCH(H730,DB_malas!$A$2:$A$5000,0)),IF(INDEX(DB_materiali!$E$2:$E$5000,MATCH($C730,DB_materiali!$A$2:$A$5000,0))&lt;=INDEX(DB_malas!$D$2:$D$5000,MATCH(H730,DB_malas!$A$2:$A$5000,0)),IF(OR(INDEX(DB_materiali!$B$2:$B$5000,MATCH($C730,DB_materiali!$A$2:$A$5000,0))=INDEX(DB_malas!$B$2:$B$5000,MATCH(H730,DB_malas!$A$2:$A$5000,0)),$H730="ORG"),"✔",tulkojums!$A$38),tulkojums!$A$39),tulkojums!$A$39))</f>
        <v/>
      </c>
      <c r="Q730" s="2" t="str">
        <f>IF(ISBLANK(I730),"",IF(INDEX(DB_materiali!$E$2:$E$5000,MATCH($C730,DB_materiali!$A$2:$A$5000,0))&gt;=INDEX(DB_malas!$C$2:$C$5000,MATCH(I730,DB_malas!$A$2:$A$5000,0)),IF(INDEX(DB_materiali!$E$2:$E$5000,MATCH($C730,DB_materiali!$A$2:$A$5000,0))&lt;=INDEX(DB_malas!$D$2:$D$5000,MATCH(I730,DB_malas!$A$2:$A$5000,0)),IF(OR(INDEX(DB_materiali!$B$2:$B$5000,MATCH($C730,DB_materiali!$A$2:$A$5000,0))=INDEX(DB_malas!$B$2:$B$5000,MATCH(I730,DB_malas!$A$2:$A$5000,0)),$H730="ORG"),"✔",tulkojums!$A$38),tulkojums!$A$39),tulkojums!$A$39))</f>
        <v/>
      </c>
      <c r="R730" s="2" t="str">
        <f>IF(ISBLANK(J730),"",IF(INDEX(DB_materiali!$E$2:$E$5000,MATCH($C730,DB_materiali!$A$2:$A$5000,0))&gt;=INDEX(DB_malas!$C$2:$C$5000,MATCH(J730,DB_malas!$A$2:$A$5000,0)),IF(INDEX(DB_materiali!$E$2:$E$5000,MATCH($C730,DB_materiali!$A$2:$A$5000,0))&lt;=INDEX(DB_malas!$D$2:$D$5000,MATCH(J730,DB_malas!$A$2:$A$5000,0)),IF(INDEX(DB_materiali!$B$2:$B$5000,MATCH($C730,DB_materiali!$A$2:$A$5000,0))=INDEX(DB_malas!$B$2:$B$5000,MATCH(J730,DB_malas!$A$2:$A$5000,0)),"✔",tulkojums!$A$38),tulkojums!$A$39),tulkojums!$A$39))</f>
        <v/>
      </c>
      <c r="S730" s="2" t="str">
        <f>IF(ISBLANK(K730),"",IF(INDEX(DB_materiali!$E$2:$E$5000,MATCH($C730,DB_materiali!$A$2:$A$5000,0))&gt;=INDEX(DB_malas!$C$2:$C$5000,MATCH(K730,DB_malas!$A$2:$A$5000,0)),IF(INDEX(DB_materiali!$E$2:$E$5000,MATCH($C730,DB_materiali!$A$2:$A$5000,0))&lt;=INDEX(DB_malas!$D$2:$D$5000,MATCH(K730,DB_malas!$A$2:$A$5000,0)),IF(INDEX(DB_materiali!$B$2:$B$5000,MATCH($C730,DB_materiali!$A$2:$A$5000,0))=INDEX(DB_malas!$B$2:$B$5000,MATCH(K730,DB_malas!$A$2:$A$5000,0)),"✔",tulkojums!$A$38),tulkojums!$A$39),tulkojums!$A$39))</f>
        <v/>
      </c>
      <c r="T730" s="2"/>
      <c r="U730" s="2"/>
      <c r="V730" s="2"/>
      <c r="W730" s="2"/>
      <c r="X730" s="2"/>
      <c r="Y730" s="2"/>
      <c r="Z730" s="2"/>
    </row>
    <row r="731" spans="1:26" ht="15.75" customHeight="1">
      <c r="A731" s="17"/>
      <c r="B731" s="18"/>
      <c r="C731" s="19"/>
      <c r="D731" s="55"/>
      <c r="E731" s="55"/>
      <c r="F731" s="56"/>
      <c r="G731" s="57" t="str">
        <f>IF(ISBLANK(C731),"",
   IFERROR(
      IF(
         INDEX(DB_materiali!C$2:C$5000,
               MATCH(C731, DB_materiali!A$2:A$5000, 0)
         )="FALSE",
         "N",
         "Y"
      ),
   "")
)</f>
        <v/>
      </c>
      <c r="H731" s="20"/>
      <c r="I731" s="20"/>
      <c r="J731" s="20"/>
      <c r="K731" s="20"/>
      <c r="M731" s="2" t="str">
        <f>IF(ISBLANK(C731),"",IF(IFERROR(VLOOKUP(C731,DB_materiali!$A$2:$A$5000,1,FALSE),"Kļūda artikulā")=C731,"✔",tulkojums!A$42))</f>
        <v/>
      </c>
      <c r="N731" s="2" t="str">
        <f>IF(ISBLANK(C731),"",IF(ISNUMBER(F731)=TRUE,"✔",tulkojums!A$43))</f>
        <v/>
      </c>
      <c r="O731" s="2" t="str">
        <f>IF(ISBLANK(C731),"",IF(G731="Y","✔",IF(G731="X","✔",IF(G731="N","✔",tulkojums!A$44))))</f>
        <v/>
      </c>
      <c r="P731" s="2" t="str">
        <f>IF(ISBLANK(H731),"",IF(INDEX(DB_materiali!$E$2:$E$5000,MATCH($C731,DB_materiali!$A$2:$A$5000,0))&gt;=INDEX(DB_malas!$C$2:$C$5000,MATCH(H731,DB_malas!$A$2:$A$5000,0)),IF(INDEX(DB_materiali!$E$2:$E$5000,MATCH($C731,DB_materiali!$A$2:$A$5000,0))&lt;=INDEX(DB_malas!$D$2:$D$5000,MATCH(H731,DB_malas!$A$2:$A$5000,0)),IF(OR(INDEX(DB_materiali!$B$2:$B$5000,MATCH($C731,DB_materiali!$A$2:$A$5000,0))=INDEX(DB_malas!$B$2:$B$5000,MATCH(H731,DB_malas!$A$2:$A$5000,0)),$H731="ORG"),"✔",tulkojums!$A$38),tulkojums!$A$39),tulkojums!$A$39))</f>
        <v/>
      </c>
      <c r="Q731" s="2" t="str">
        <f>IF(ISBLANK(I731),"",IF(INDEX(DB_materiali!$E$2:$E$5000,MATCH($C731,DB_materiali!$A$2:$A$5000,0))&gt;=INDEX(DB_malas!$C$2:$C$5000,MATCH(I731,DB_malas!$A$2:$A$5000,0)),IF(INDEX(DB_materiali!$E$2:$E$5000,MATCH($C731,DB_materiali!$A$2:$A$5000,0))&lt;=INDEX(DB_malas!$D$2:$D$5000,MATCH(I731,DB_malas!$A$2:$A$5000,0)),IF(OR(INDEX(DB_materiali!$B$2:$B$5000,MATCH($C731,DB_materiali!$A$2:$A$5000,0))=INDEX(DB_malas!$B$2:$B$5000,MATCH(I731,DB_malas!$A$2:$A$5000,0)),$H731="ORG"),"✔",tulkojums!$A$38),tulkojums!$A$39),tulkojums!$A$39))</f>
        <v/>
      </c>
      <c r="R731" s="2" t="str">
        <f>IF(ISBLANK(J731),"",IF(INDEX(DB_materiali!$E$2:$E$5000,MATCH($C731,DB_materiali!$A$2:$A$5000,0))&gt;=INDEX(DB_malas!$C$2:$C$5000,MATCH(J731,DB_malas!$A$2:$A$5000,0)),IF(INDEX(DB_materiali!$E$2:$E$5000,MATCH($C731,DB_materiali!$A$2:$A$5000,0))&lt;=INDEX(DB_malas!$D$2:$D$5000,MATCH(J731,DB_malas!$A$2:$A$5000,0)),IF(INDEX(DB_materiali!$B$2:$B$5000,MATCH($C731,DB_materiali!$A$2:$A$5000,0))=INDEX(DB_malas!$B$2:$B$5000,MATCH(J731,DB_malas!$A$2:$A$5000,0)),"✔",tulkojums!$A$38),tulkojums!$A$39),tulkojums!$A$39))</f>
        <v/>
      </c>
      <c r="S731" s="2" t="str">
        <f>IF(ISBLANK(K731),"",IF(INDEX(DB_materiali!$E$2:$E$5000,MATCH($C731,DB_materiali!$A$2:$A$5000,0))&gt;=INDEX(DB_malas!$C$2:$C$5000,MATCH(K731,DB_malas!$A$2:$A$5000,0)),IF(INDEX(DB_materiali!$E$2:$E$5000,MATCH($C731,DB_materiali!$A$2:$A$5000,0))&lt;=INDEX(DB_malas!$D$2:$D$5000,MATCH(K731,DB_malas!$A$2:$A$5000,0)),IF(INDEX(DB_materiali!$B$2:$B$5000,MATCH($C731,DB_materiali!$A$2:$A$5000,0))=INDEX(DB_malas!$B$2:$B$5000,MATCH(K731,DB_malas!$A$2:$A$5000,0)),"✔",tulkojums!$A$38),tulkojums!$A$39),tulkojums!$A$39))</f>
        <v/>
      </c>
      <c r="T731" s="2"/>
      <c r="U731" s="2"/>
      <c r="V731" s="2"/>
      <c r="W731" s="2"/>
      <c r="X731" s="2"/>
      <c r="Y731" s="2"/>
      <c r="Z731" s="2"/>
    </row>
    <row r="732" spans="1:26" ht="15.75" customHeight="1">
      <c r="A732" s="17"/>
      <c r="B732" s="18"/>
      <c r="C732" s="19"/>
      <c r="D732" s="55"/>
      <c r="E732" s="55"/>
      <c r="F732" s="56"/>
      <c r="G732" s="57" t="str">
        <f>IF(ISBLANK(C732),"",
   IFERROR(
      IF(
         INDEX(DB_materiali!C$2:C$5000,
               MATCH(C732, DB_materiali!A$2:A$5000, 0)
         )="FALSE",
         "N",
         "Y"
      ),
   "")
)</f>
        <v/>
      </c>
      <c r="H732" s="20"/>
      <c r="I732" s="20"/>
      <c r="J732" s="20"/>
      <c r="K732" s="20"/>
      <c r="M732" s="2" t="str">
        <f>IF(ISBLANK(C732),"",IF(IFERROR(VLOOKUP(C732,DB_materiali!$A$2:$A$5000,1,FALSE),"Kļūda artikulā")=C732,"✔",tulkojums!A$42))</f>
        <v/>
      </c>
      <c r="N732" s="2" t="str">
        <f>IF(ISBLANK(C732),"",IF(ISNUMBER(F732)=TRUE,"✔",tulkojums!A$43))</f>
        <v/>
      </c>
      <c r="O732" s="2" t="str">
        <f>IF(ISBLANK(C732),"",IF(G732="Y","✔",IF(G732="X","✔",IF(G732="N","✔",tulkojums!A$44))))</f>
        <v/>
      </c>
      <c r="P732" s="2" t="str">
        <f>IF(ISBLANK(H732),"",IF(INDEX(DB_materiali!$E$2:$E$5000,MATCH($C732,DB_materiali!$A$2:$A$5000,0))&gt;=INDEX(DB_malas!$C$2:$C$5000,MATCH(H732,DB_malas!$A$2:$A$5000,0)),IF(INDEX(DB_materiali!$E$2:$E$5000,MATCH($C732,DB_materiali!$A$2:$A$5000,0))&lt;=INDEX(DB_malas!$D$2:$D$5000,MATCH(H732,DB_malas!$A$2:$A$5000,0)),IF(OR(INDEX(DB_materiali!$B$2:$B$5000,MATCH($C732,DB_materiali!$A$2:$A$5000,0))=INDEX(DB_malas!$B$2:$B$5000,MATCH(H732,DB_malas!$A$2:$A$5000,0)),$H732="ORG"),"✔",tulkojums!$A$38),tulkojums!$A$39),tulkojums!$A$39))</f>
        <v/>
      </c>
      <c r="Q732" s="2" t="str">
        <f>IF(ISBLANK(I732),"",IF(INDEX(DB_materiali!$E$2:$E$5000,MATCH($C732,DB_materiali!$A$2:$A$5000,0))&gt;=INDEX(DB_malas!$C$2:$C$5000,MATCH(I732,DB_malas!$A$2:$A$5000,0)),IF(INDEX(DB_materiali!$E$2:$E$5000,MATCH($C732,DB_materiali!$A$2:$A$5000,0))&lt;=INDEX(DB_malas!$D$2:$D$5000,MATCH(I732,DB_malas!$A$2:$A$5000,0)),IF(OR(INDEX(DB_materiali!$B$2:$B$5000,MATCH($C732,DB_materiali!$A$2:$A$5000,0))=INDEX(DB_malas!$B$2:$B$5000,MATCH(I732,DB_malas!$A$2:$A$5000,0)),$H732="ORG"),"✔",tulkojums!$A$38),tulkojums!$A$39),tulkojums!$A$39))</f>
        <v/>
      </c>
      <c r="R732" s="2" t="str">
        <f>IF(ISBLANK(J732),"",IF(INDEX(DB_materiali!$E$2:$E$5000,MATCH($C732,DB_materiali!$A$2:$A$5000,0))&gt;=INDEX(DB_malas!$C$2:$C$5000,MATCH(J732,DB_malas!$A$2:$A$5000,0)),IF(INDEX(DB_materiali!$E$2:$E$5000,MATCH($C732,DB_materiali!$A$2:$A$5000,0))&lt;=INDEX(DB_malas!$D$2:$D$5000,MATCH(J732,DB_malas!$A$2:$A$5000,0)),IF(INDEX(DB_materiali!$B$2:$B$5000,MATCH($C732,DB_materiali!$A$2:$A$5000,0))=INDEX(DB_malas!$B$2:$B$5000,MATCH(J732,DB_malas!$A$2:$A$5000,0)),"✔",tulkojums!$A$38),tulkojums!$A$39),tulkojums!$A$39))</f>
        <v/>
      </c>
      <c r="S732" s="2" t="str">
        <f>IF(ISBLANK(K732),"",IF(INDEX(DB_materiali!$E$2:$E$5000,MATCH($C732,DB_materiali!$A$2:$A$5000,0))&gt;=INDEX(DB_malas!$C$2:$C$5000,MATCH(K732,DB_malas!$A$2:$A$5000,0)),IF(INDEX(DB_materiali!$E$2:$E$5000,MATCH($C732,DB_materiali!$A$2:$A$5000,0))&lt;=INDEX(DB_malas!$D$2:$D$5000,MATCH(K732,DB_malas!$A$2:$A$5000,0)),IF(INDEX(DB_materiali!$B$2:$B$5000,MATCH($C732,DB_materiali!$A$2:$A$5000,0))=INDEX(DB_malas!$B$2:$B$5000,MATCH(K732,DB_malas!$A$2:$A$5000,0)),"✔",tulkojums!$A$38),tulkojums!$A$39),tulkojums!$A$39))</f>
        <v/>
      </c>
      <c r="T732" s="2"/>
      <c r="U732" s="2"/>
      <c r="V732" s="2"/>
      <c r="W732" s="2"/>
      <c r="X732" s="2"/>
      <c r="Y732" s="2"/>
      <c r="Z732" s="2"/>
    </row>
    <row r="733" spans="1:26" ht="15.75" customHeight="1">
      <c r="A733" s="17"/>
      <c r="B733" s="18"/>
      <c r="C733" s="19"/>
      <c r="D733" s="55"/>
      <c r="E733" s="55"/>
      <c r="F733" s="56"/>
      <c r="G733" s="57" t="str">
        <f>IF(ISBLANK(C733),"",
   IFERROR(
      IF(
         INDEX(DB_materiali!C$2:C$5000,
               MATCH(C733, DB_materiali!A$2:A$5000, 0)
         )="FALSE",
         "N",
         "Y"
      ),
   "")
)</f>
        <v/>
      </c>
      <c r="H733" s="20"/>
      <c r="I733" s="20"/>
      <c r="J733" s="20"/>
      <c r="K733" s="20"/>
      <c r="M733" s="2" t="str">
        <f>IF(ISBLANK(C733),"",IF(IFERROR(VLOOKUP(C733,DB_materiali!$A$2:$A$5000,1,FALSE),"Kļūda artikulā")=C733,"✔",tulkojums!A$42))</f>
        <v/>
      </c>
      <c r="N733" s="2" t="str">
        <f>IF(ISBLANK(C733),"",IF(ISNUMBER(F733)=TRUE,"✔",tulkojums!A$43))</f>
        <v/>
      </c>
      <c r="O733" s="2" t="str">
        <f>IF(ISBLANK(C733),"",IF(G733="Y","✔",IF(G733="X","✔",IF(G733="N","✔",tulkojums!A$44))))</f>
        <v/>
      </c>
      <c r="P733" s="2" t="str">
        <f>IF(ISBLANK(H733),"",IF(INDEX(DB_materiali!$E$2:$E$5000,MATCH($C733,DB_materiali!$A$2:$A$5000,0))&gt;=INDEX(DB_malas!$C$2:$C$5000,MATCH(H733,DB_malas!$A$2:$A$5000,0)),IF(INDEX(DB_materiali!$E$2:$E$5000,MATCH($C733,DB_materiali!$A$2:$A$5000,0))&lt;=INDEX(DB_malas!$D$2:$D$5000,MATCH(H733,DB_malas!$A$2:$A$5000,0)),IF(OR(INDEX(DB_materiali!$B$2:$B$5000,MATCH($C733,DB_materiali!$A$2:$A$5000,0))=INDEX(DB_malas!$B$2:$B$5000,MATCH(H733,DB_malas!$A$2:$A$5000,0)),$H733="ORG"),"✔",tulkojums!$A$38),tulkojums!$A$39),tulkojums!$A$39))</f>
        <v/>
      </c>
      <c r="Q733" s="2" t="str">
        <f>IF(ISBLANK(I733),"",IF(INDEX(DB_materiali!$E$2:$E$5000,MATCH($C733,DB_materiali!$A$2:$A$5000,0))&gt;=INDEX(DB_malas!$C$2:$C$5000,MATCH(I733,DB_malas!$A$2:$A$5000,0)),IF(INDEX(DB_materiali!$E$2:$E$5000,MATCH($C733,DB_materiali!$A$2:$A$5000,0))&lt;=INDEX(DB_malas!$D$2:$D$5000,MATCH(I733,DB_malas!$A$2:$A$5000,0)),IF(OR(INDEX(DB_materiali!$B$2:$B$5000,MATCH($C733,DB_materiali!$A$2:$A$5000,0))=INDEX(DB_malas!$B$2:$B$5000,MATCH(I733,DB_malas!$A$2:$A$5000,0)),$H733="ORG"),"✔",tulkojums!$A$38),tulkojums!$A$39),tulkojums!$A$39))</f>
        <v/>
      </c>
      <c r="R733" s="2" t="str">
        <f>IF(ISBLANK(J733),"",IF(INDEX(DB_materiali!$E$2:$E$5000,MATCH($C733,DB_materiali!$A$2:$A$5000,0))&gt;=INDEX(DB_malas!$C$2:$C$5000,MATCH(J733,DB_malas!$A$2:$A$5000,0)),IF(INDEX(DB_materiali!$E$2:$E$5000,MATCH($C733,DB_materiali!$A$2:$A$5000,0))&lt;=INDEX(DB_malas!$D$2:$D$5000,MATCH(J733,DB_malas!$A$2:$A$5000,0)),IF(INDEX(DB_materiali!$B$2:$B$5000,MATCH($C733,DB_materiali!$A$2:$A$5000,0))=INDEX(DB_malas!$B$2:$B$5000,MATCH(J733,DB_malas!$A$2:$A$5000,0)),"✔",tulkojums!$A$38),tulkojums!$A$39),tulkojums!$A$39))</f>
        <v/>
      </c>
      <c r="S733" s="2" t="str">
        <f>IF(ISBLANK(K733),"",IF(INDEX(DB_materiali!$E$2:$E$5000,MATCH($C733,DB_materiali!$A$2:$A$5000,0))&gt;=INDEX(DB_malas!$C$2:$C$5000,MATCH(K733,DB_malas!$A$2:$A$5000,0)),IF(INDEX(DB_materiali!$E$2:$E$5000,MATCH($C733,DB_materiali!$A$2:$A$5000,0))&lt;=INDEX(DB_malas!$D$2:$D$5000,MATCH(K733,DB_malas!$A$2:$A$5000,0)),IF(INDEX(DB_materiali!$B$2:$B$5000,MATCH($C733,DB_materiali!$A$2:$A$5000,0))=INDEX(DB_malas!$B$2:$B$5000,MATCH(K733,DB_malas!$A$2:$A$5000,0)),"✔",tulkojums!$A$38),tulkojums!$A$39),tulkojums!$A$39))</f>
        <v/>
      </c>
      <c r="T733" s="2"/>
      <c r="U733" s="2"/>
      <c r="V733" s="2"/>
      <c r="W733" s="2"/>
      <c r="X733" s="2"/>
      <c r="Y733" s="2"/>
      <c r="Z733" s="2"/>
    </row>
    <row r="734" spans="1:26" ht="15.75" customHeight="1">
      <c r="A734" s="17"/>
      <c r="B734" s="18"/>
      <c r="C734" s="19"/>
      <c r="D734" s="55"/>
      <c r="E734" s="55"/>
      <c r="F734" s="56"/>
      <c r="G734" s="57" t="str">
        <f>IF(ISBLANK(C734),"",
   IFERROR(
      IF(
         INDEX(DB_materiali!C$2:C$5000,
               MATCH(C734, DB_materiali!A$2:A$5000, 0)
         )="FALSE",
         "N",
         "Y"
      ),
   "")
)</f>
        <v/>
      </c>
      <c r="H734" s="20"/>
      <c r="I734" s="20"/>
      <c r="J734" s="20"/>
      <c r="K734" s="20"/>
      <c r="M734" s="2" t="str">
        <f>IF(ISBLANK(C734),"",IF(IFERROR(VLOOKUP(C734,DB_materiali!$A$2:$A$5000,1,FALSE),"Kļūda artikulā")=C734,"✔",tulkojums!A$42))</f>
        <v/>
      </c>
      <c r="N734" s="2" t="str">
        <f>IF(ISBLANK(C734),"",IF(ISNUMBER(F734)=TRUE,"✔",tulkojums!A$43))</f>
        <v/>
      </c>
      <c r="O734" s="2" t="str">
        <f>IF(ISBLANK(C734),"",IF(G734="Y","✔",IF(G734="X","✔",IF(G734="N","✔",tulkojums!A$44))))</f>
        <v/>
      </c>
      <c r="P734" s="2" t="str">
        <f>IF(ISBLANK(H734),"",IF(INDEX(DB_materiali!$E$2:$E$5000,MATCH($C734,DB_materiali!$A$2:$A$5000,0))&gt;=INDEX(DB_malas!$C$2:$C$5000,MATCH(H734,DB_malas!$A$2:$A$5000,0)),IF(INDEX(DB_materiali!$E$2:$E$5000,MATCH($C734,DB_materiali!$A$2:$A$5000,0))&lt;=INDEX(DB_malas!$D$2:$D$5000,MATCH(H734,DB_malas!$A$2:$A$5000,0)),IF(OR(INDEX(DB_materiali!$B$2:$B$5000,MATCH($C734,DB_materiali!$A$2:$A$5000,0))=INDEX(DB_malas!$B$2:$B$5000,MATCH(H734,DB_malas!$A$2:$A$5000,0)),$H734="ORG"),"✔",tulkojums!$A$38),tulkojums!$A$39),tulkojums!$A$39))</f>
        <v/>
      </c>
      <c r="Q734" s="2" t="str">
        <f>IF(ISBLANK(I734),"",IF(INDEX(DB_materiali!$E$2:$E$5000,MATCH($C734,DB_materiali!$A$2:$A$5000,0))&gt;=INDEX(DB_malas!$C$2:$C$5000,MATCH(I734,DB_malas!$A$2:$A$5000,0)),IF(INDEX(DB_materiali!$E$2:$E$5000,MATCH($C734,DB_materiali!$A$2:$A$5000,0))&lt;=INDEX(DB_malas!$D$2:$D$5000,MATCH(I734,DB_malas!$A$2:$A$5000,0)),IF(OR(INDEX(DB_materiali!$B$2:$B$5000,MATCH($C734,DB_materiali!$A$2:$A$5000,0))=INDEX(DB_malas!$B$2:$B$5000,MATCH(I734,DB_malas!$A$2:$A$5000,0)),$H734="ORG"),"✔",tulkojums!$A$38),tulkojums!$A$39),tulkojums!$A$39))</f>
        <v/>
      </c>
      <c r="R734" s="2" t="str">
        <f>IF(ISBLANK(J734),"",IF(INDEX(DB_materiali!$E$2:$E$5000,MATCH($C734,DB_materiali!$A$2:$A$5000,0))&gt;=INDEX(DB_malas!$C$2:$C$5000,MATCH(J734,DB_malas!$A$2:$A$5000,0)),IF(INDEX(DB_materiali!$E$2:$E$5000,MATCH($C734,DB_materiali!$A$2:$A$5000,0))&lt;=INDEX(DB_malas!$D$2:$D$5000,MATCH(J734,DB_malas!$A$2:$A$5000,0)),IF(INDEX(DB_materiali!$B$2:$B$5000,MATCH($C734,DB_materiali!$A$2:$A$5000,0))=INDEX(DB_malas!$B$2:$B$5000,MATCH(J734,DB_malas!$A$2:$A$5000,0)),"✔",tulkojums!$A$38),tulkojums!$A$39),tulkojums!$A$39))</f>
        <v/>
      </c>
      <c r="S734" s="2" t="str">
        <f>IF(ISBLANK(K734),"",IF(INDEX(DB_materiali!$E$2:$E$5000,MATCH($C734,DB_materiali!$A$2:$A$5000,0))&gt;=INDEX(DB_malas!$C$2:$C$5000,MATCH(K734,DB_malas!$A$2:$A$5000,0)),IF(INDEX(DB_materiali!$E$2:$E$5000,MATCH($C734,DB_materiali!$A$2:$A$5000,0))&lt;=INDEX(DB_malas!$D$2:$D$5000,MATCH(K734,DB_malas!$A$2:$A$5000,0)),IF(INDEX(DB_materiali!$B$2:$B$5000,MATCH($C734,DB_materiali!$A$2:$A$5000,0))=INDEX(DB_malas!$B$2:$B$5000,MATCH(K734,DB_malas!$A$2:$A$5000,0)),"✔",tulkojums!$A$38),tulkojums!$A$39),tulkojums!$A$39))</f>
        <v/>
      </c>
      <c r="T734" s="2"/>
      <c r="U734" s="2"/>
      <c r="V734" s="2"/>
      <c r="W734" s="2"/>
      <c r="X734" s="2"/>
      <c r="Y734" s="2"/>
      <c r="Z734" s="2"/>
    </row>
    <row r="735" spans="1:26" ht="15.75" customHeight="1">
      <c r="A735" s="17"/>
      <c r="B735" s="18"/>
      <c r="C735" s="19"/>
      <c r="D735" s="55"/>
      <c r="E735" s="55"/>
      <c r="F735" s="56"/>
      <c r="G735" s="57" t="str">
        <f>IF(ISBLANK(C735),"",
   IFERROR(
      IF(
         INDEX(DB_materiali!C$2:C$5000,
               MATCH(C735, DB_materiali!A$2:A$5000, 0)
         )="FALSE",
         "N",
         "Y"
      ),
   "")
)</f>
        <v/>
      </c>
      <c r="H735" s="20"/>
      <c r="I735" s="20"/>
      <c r="J735" s="20"/>
      <c r="K735" s="20"/>
      <c r="M735" s="2" t="str">
        <f>IF(ISBLANK(C735),"",IF(IFERROR(VLOOKUP(C735,DB_materiali!$A$2:$A$5000,1,FALSE),"Kļūda artikulā")=C735,"✔",tulkojums!A$42))</f>
        <v/>
      </c>
      <c r="N735" s="2" t="str">
        <f>IF(ISBLANK(C735),"",IF(ISNUMBER(F735)=TRUE,"✔",tulkojums!A$43))</f>
        <v/>
      </c>
      <c r="O735" s="2" t="str">
        <f>IF(ISBLANK(C735),"",IF(G735="Y","✔",IF(G735="X","✔",IF(G735="N","✔",tulkojums!A$44))))</f>
        <v/>
      </c>
      <c r="P735" s="2" t="str">
        <f>IF(ISBLANK(H735),"",IF(INDEX(DB_materiali!$E$2:$E$5000,MATCH($C735,DB_materiali!$A$2:$A$5000,0))&gt;=INDEX(DB_malas!$C$2:$C$5000,MATCH(H735,DB_malas!$A$2:$A$5000,0)),IF(INDEX(DB_materiali!$E$2:$E$5000,MATCH($C735,DB_materiali!$A$2:$A$5000,0))&lt;=INDEX(DB_malas!$D$2:$D$5000,MATCH(H735,DB_malas!$A$2:$A$5000,0)),IF(OR(INDEX(DB_materiali!$B$2:$B$5000,MATCH($C735,DB_materiali!$A$2:$A$5000,0))=INDEX(DB_malas!$B$2:$B$5000,MATCH(H735,DB_malas!$A$2:$A$5000,0)),$H735="ORG"),"✔",tulkojums!$A$38),tulkojums!$A$39),tulkojums!$A$39))</f>
        <v/>
      </c>
      <c r="Q735" s="2" t="str">
        <f>IF(ISBLANK(I735),"",IF(INDEX(DB_materiali!$E$2:$E$5000,MATCH($C735,DB_materiali!$A$2:$A$5000,0))&gt;=INDEX(DB_malas!$C$2:$C$5000,MATCH(I735,DB_malas!$A$2:$A$5000,0)),IF(INDEX(DB_materiali!$E$2:$E$5000,MATCH($C735,DB_materiali!$A$2:$A$5000,0))&lt;=INDEX(DB_malas!$D$2:$D$5000,MATCH(I735,DB_malas!$A$2:$A$5000,0)),IF(OR(INDEX(DB_materiali!$B$2:$B$5000,MATCH($C735,DB_materiali!$A$2:$A$5000,0))=INDEX(DB_malas!$B$2:$B$5000,MATCH(I735,DB_malas!$A$2:$A$5000,0)),$H735="ORG"),"✔",tulkojums!$A$38),tulkojums!$A$39),tulkojums!$A$39))</f>
        <v/>
      </c>
      <c r="R735" s="2" t="str">
        <f>IF(ISBLANK(J735),"",IF(INDEX(DB_materiali!$E$2:$E$5000,MATCH($C735,DB_materiali!$A$2:$A$5000,0))&gt;=INDEX(DB_malas!$C$2:$C$5000,MATCH(J735,DB_malas!$A$2:$A$5000,0)),IF(INDEX(DB_materiali!$E$2:$E$5000,MATCH($C735,DB_materiali!$A$2:$A$5000,0))&lt;=INDEX(DB_malas!$D$2:$D$5000,MATCH(J735,DB_malas!$A$2:$A$5000,0)),IF(INDEX(DB_materiali!$B$2:$B$5000,MATCH($C735,DB_materiali!$A$2:$A$5000,0))=INDEX(DB_malas!$B$2:$B$5000,MATCH(J735,DB_malas!$A$2:$A$5000,0)),"✔",tulkojums!$A$38),tulkojums!$A$39),tulkojums!$A$39))</f>
        <v/>
      </c>
      <c r="S735" s="2" t="str">
        <f>IF(ISBLANK(K735),"",IF(INDEX(DB_materiali!$E$2:$E$5000,MATCH($C735,DB_materiali!$A$2:$A$5000,0))&gt;=INDEX(DB_malas!$C$2:$C$5000,MATCH(K735,DB_malas!$A$2:$A$5000,0)),IF(INDEX(DB_materiali!$E$2:$E$5000,MATCH($C735,DB_materiali!$A$2:$A$5000,0))&lt;=INDEX(DB_malas!$D$2:$D$5000,MATCH(K735,DB_malas!$A$2:$A$5000,0)),IF(INDEX(DB_materiali!$B$2:$B$5000,MATCH($C735,DB_materiali!$A$2:$A$5000,0))=INDEX(DB_malas!$B$2:$B$5000,MATCH(K735,DB_malas!$A$2:$A$5000,0)),"✔",tulkojums!$A$38),tulkojums!$A$39),tulkojums!$A$39))</f>
        <v/>
      </c>
      <c r="T735" s="2"/>
      <c r="U735" s="2"/>
      <c r="V735" s="2"/>
      <c r="W735" s="2"/>
      <c r="X735" s="2"/>
      <c r="Y735" s="2"/>
      <c r="Z735" s="2"/>
    </row>
    <row r="736" spans="1:26" ht="15.75" customHeight="1">
      <c r="A736" s="17"/>
      <c r="B736" s="18"/>
      <c r="C736" s="19"/>
      <c r="D736" s="55"/>
      <c r="E736" s="55"/>
      <c r="F736" s="56"/>
      <c r="G736" s="57" t="str">
        <f>IF(ISBLANK(C736),"",
   IFERROR(
      IF(
         INDEX(DB_materiali!C$2:C$5000,
               MATCH(C736, DB_materiali!A$2:A$5000, 0)
         )="FALSE",
         "N",
         "Y"
      ),
   "")
)</f>
        <v/>
      </c>
      <c r="H736" s="20"/>
      <c r="I736" s="20"/>
      <c r="J736" s="20"/>
      <c r="K736" s="20"/>
      <c r="M736" s="2" t="str">
        <f>IF(ISBLANK(C736),"",IF(IFERROR(VLOOKUP(C736,DB_materiali!$A$2:$A$5000,1,FALSE),"Kļūda artikulā")=C736,"✔",tulkojums!A$42))</f>
        <v/>
      </c>
      <c r="N736" s="2" t="str">
        <f>IF(ISBLANK(C736),"",IF(ISNUMBER(F736)=TRUE,"✔",tulkojums!A$43))</f>
        <v/>
      </c>
      <c r="O736" s="2" t="str">
        <f>IF(ISBLANK(C736),"",IF(G736="Y","✔",IF(G736="X","✔",IF(G736="N","✔",tulkojums!A$44))))</f>
        <v/>
      </c>
      <c r="P736" s="2" t="str">
        <f>IF(ISBLANK(H736),"",IF(INDEX(DB_materiali!$E$2:$E$5000,MATCH($C736,DB_materiali!$A$2:$A$5000,0))&gt;=INDEX(DB_malas!$C$2:$C$5000,MATCH(H736,DB_malas!$A$2:$A$5000,0)),IF(INDEX(DB_materiali!$E$2:$E$5000,MATCH($C736,DB_materiali!$A$2:$A$5000,0))&lt;=INDEX(DB_malas!$D$2:$D$5000,MATCH(H736,DB_malas!$A$2:$A$5000,0)),IF(OR(INDEX(DB_materiali!$B$2:$B$5000,MATCH($C736,DB_materiali!$A$2:$A$5000,0))=INDEX(DB_malas!$B$2:$B$5000,MATCH(H736,DB_malas!$A$2:$A$5000,0)),$H736="ORG"),"✔",tulkojums!$A$38),tulkojums!$A$39),tulkojums!$A$39))</f>
        <v/>
      </c>
      <c r="Q736" s="2" t="str">
        <f>IF(ISBLANK(I736),"",IF(INDEX(DB_materiali!$E$2:$E$5000,MATCH($C736,DB_materiali!$A$2:$A$5000,0))&gt;=INDEX(DB_malas!$C$2:$C$5000,MATCH(I736,DB_malas!$A$2:$A$5000,0)),IF(INDEX(DB_materiali!$E$2:$E$5000,MATCH($C736,DB_materiali!$A$2:$A$5000,0))&lt;=INDEX(DB_malas!$D$2:$D$5000,MATCH(I736,DB_malas!$A$2:$A$5000,0)),IF(OR(INDEX(DB_materiali!$B$2:$B$5000,MATCH($C736,DB_materiali!$A$2:$A$5000,0))=INDEX(DB_malas!$B$2:$B$5000,MATCH(I736,DB_malas!$A$2:$A$5000,0)),$H736="ORG"),"✔",tulkojums!$A$38),tulkojums!$A$39),tulkojums!$A$39))</f>
        <v/>
      </c>
      <c r="R736" s="2" t="str">
        <f>IF(ISBLANK(J736),"",IF(INDEX(DB_materiali!$E$2:$E$5000,MATCH($C736,DB_materiali!$A$2:$A$5000,0))&gt;=INDEX(DB_malas!$C$2:$C$5000,MATCH(J736,DB_malas!$A$2:$A$5000,0)),IF(INDEX(DB_materiali!$E$2:$E$5000,MATCH($C736,DB_materiali!$A$2:$A$5000,0))&lt;=INDEX(DB_malas!$D$2:$D$5000,MATCH(J736,DB_malas!$A$2:$A$5000,0)),IF(INDEX(DB_materiali!$B$2:$B$5000,MATCH($C736,DB_materiali!$A$2:$A$5000,0))=INDEX(DB_malas!$B$2:$B$5000,MATCH(J736,DB_malas!$A$2:$A$5000,0)),"✔",tulkojums!$A$38),tulkojums!$A$39),tulkojums!$A$39))</f>
        <v/>
      </c>
      <c r="S736" s="2" t="str">
        <f>IF(ISBLANK(K736),"",IF(INDEX(DB_materiali!$E$2:$E$5000,MATCH($C736,DB_materiali!$A$2:$A$5000,0))&gt;=INDEX(DB_malas!$C$2:$C$5000,MATCH(K736,DB_malas!$A$2:$A$5000,0)),IF(INDEX(DB_materiali!$E$2:$E$5000,MATCH($C736,DB_materiali!$A$2:$A$5000,0))&lt;=INDEX(DB_malas!$D$2:$D$5000,MATCH(K736,DB_malas!$A$2:$A$5000,0)),IF(INDEX(DB_materiali!$B$2:$B$5000,MATCH($C736,DB_materiali!$A$2:$A$5000,0))=INDEX(DB_malas!$B$2:$B$5000,MATCH(K736,DB_malas!$A$2:$A$5000,0)),"✔",tulkojums!$A$38),tulkojums!$A$39),tulkojums!$A$39))</f>
        <v/>
      </c>
      <c r="T736" s="2"/>
      <c r="U736" s="2"/>
      <c r="V736" s="2"/>
      <c r="W736" s="2"/>
      <c r="X736" s="2"/>
      <c r="Y736" s="2"/>
      <c r="Z736" s="2"/>
    </row>
    <row r="737" spans="1:26" ht="15.75" customHeight="1">
      <c r="A737" s="17"/>
      <c r="B737" s="18"/>
      <c r="C737" s="19"/>
      <c r="D737" s="55"/>
      <c r="E737" s="55"/>
      <c r="F737" s="56"/>
      <c r="G737" s="57" t="str">
        <f>IF(ISBLANK(C737),"",
   IFERROR(
      IF(
         INDEX(DB_materiali!C$2:C$5000,
               MATCH(C737, DB_materiali!A$2:A$5000, 0)
         )="FALSE",
         "N",
         "Y"
      ),
   "")
)</f>
        <v/>
      </c>
      <c r="H737" s="20"/>
      <c r="I737" s="20"/>
      <c r="J737" s="20"/>
      <c r="K737" s="20"/>
      <c r="M737" s="2" t="str">
        <f>IF(ISBLANK(C737),"",IF(IFERROR(VLOOKUP(C737,DB_materiali!$A$2:$A$5000,1,FALSE),"Kļūda artikulā")=C737,"✔",tulkojums!A$42))</f>
        <v/>
      </c>
      <c r="N737" s="2" t="str">
        <f>IF(ISBLANK(C737),"",IF(ISNUMBER(F737)=TRUE,"✔",tulkojums!A$43))</f>
        <v/>
      </c>
      <c r="O737" s="2" t="str">
        <f>IF(ISBLANK(C737),"",IF(G737="Y","✔",IF(G737="X","✔",IF(G737="N","✔",tulkojums!A$44))))</f>
        <v/>
      </c>
      <c r="P737" s="2" t="str">
        <f>IF(ISBLANK(H737),"",IF(INDEX(DB_materiali!$E$2:$E$5000,MATCH($C737,DB_materiali!$A$2:$A$5000,0))&gt;=INDEX(DB_malas!$C$2:$C$5000,MATCH(H737,DB_malas!$A$2:$A$5000,0)),IF(INDEX(DB_materiali!$E$2:$E$5000,MATCH($C737,DB_materiali!$A$2:$A$5000,0))&lt;=INDEX(DB_malas!$D$2:$D$5000,MATCH(H737,DB_malas!$A$2:$A$5000,0)),IF(OR(INDEX(DB_materiali!$B$2:$B$5000,MATCH($C737,DB_materiali!$A$2:$A$5000,0))=INDEX(DB_malas!$B$2:$B$5000,MATCH(H737,DB_malas!$A$2:$A$5000,0)),$H737="ORG"),"✔",tulkojums!$A$38),tulkojums!$A$39),tulkojums!$A$39))</f>
        <v/>
      </c>
      <c r="Q737" s="2" t="str">
        <f>IF(ISBLANK(I737),"",IF(INDEX(DB_materiali!$E$2:$E$5000,MATCH($C737,DB_materiali!$A$2:$A$5000,0))&gt;=INDEX(DB_malas!$C$2:$C$5000,MATCH(I737,DB_malas!$A$2:$A$5000,0)),IF(INDEX(DB_materiali!$E$2:$E$5000,MATCH($C737,DB_materiali!$A$2:$A$5000,0))&lt;=INDEX(DB_malas!$D$2:$D$5000,MATCH(I737,DB_malas!$A$2:$A$5000,0)),IF(OR(INDEX(DB_materiali!$B$2:$B$5000,MATCH($C737,DB_materiali!$A$2:$A$5000,0))=INDEX(DB_malas!$B$2:$B$5000,MATCH(I737,DB_malas!$A$2:$A$5000,0)),$H737="ORG"),"✔",tulkojums!$A$38),tulkojums!$A$39),tulkojums!$A$39))</f>
        <v/>
      </c>
      <c r="R737" s="2" t="str">
        <f>IF(ISBLANK(J737),"",IF(INDEX(DB_materiali!$E$2:$E$5000,MATCH($C737,DB_materiali!$A$2:$A$5000,0))&gt;=INDEX(DB_malas!$C$2:$C$5000,MATCH(J737,DB_malas!$A$2:$A$5000,0)),IF(INDEX(DB_materiali!$E$2:$E$5000,MATCH($C737,DB_materiali!$A$2:$A$5000,0))&lt;=INDEX(DB_malas!$D$2:$D$5000,MATCH(J737,DB_malas!$A$2:$A$5000,0)),IF(INDEX(DB_materiali!$B$2:$B$5000,MATCH($C737,DB_materiali!$A$2:$A$5000,0))=INDEX(DB_malas!$B$2:$B$5000,MATCH(J737,DB_malas!$A$2:$A$5000,0)),"✔",tulkojums!$A$38),tulkojums!$A$39),tulkojums!$A$39))</f>
        <v/>
      </c>
      <c r="S737" s="2" t="str">
        <f>IF(ISBLANK(K737),"",IF(INDEX(DB_materiali!$E$2:$E$5000,MATCH($C737,DB_materiali!$A$2:$A$5000,0))&gt;=INDEX(DB_malas!$C$2:$C$5000,MATCH(K737,DB_malas!$A$2:$A$5000,0)),IF(INDEX(DB_materiali!$E$2:$E$5000,MATCH($C737,DB_materiali!$A$2:$A$5000,0))&lt;=INDEX(DB_malas!$D$2:$D$5000,MATCH(K737,DB_malas!$A$2:$A$5000,0)),IF(INDEX(DB_materiali!$B$2:$B$5000,MATCH($C737,DB_materiali!$A$2:$A$5000,0))=INDEX(DB_malas!$B$2:$B$5000,MATCH(K737,DB_malas!$A$2:$A$5000,0)),"✔",tulkojums!$A$38),tulkojums!$A$39),tulkojums!$A$39))</f>
        <v/>
      </c>
      <c r="T737" s="2"/>
      <c r="U737" s="2"/>
      <c r="V737" s="2"/>
      <c r="W737" s="2"/>
      <c r="X737" s="2"/>
      <c r="Y737" s="2"/>
      <c r="Z737" s="2"/>
    </row>
    <row r="738" spans="1:26" ht="15.75" customHeight="1">
      <c r="A738" s="17"/>
      <c r="B738" s="18"/>
      <c r="C738" s="19"/>
      <c r="D738" s="55"/>
      <c r="E738" s="55"/>
      <c r="F738" s="56"/>
      <c r="G738" s="57" t="str">
        <f>IF(ISBLANK(C738),"",
   IFERROR(
      IF(
         INDEX(DB_materiali!C$2:C$5000,
               MATCH(C738, DB_materiali!A$2:A$5000, 0)
         )="FALSE",
         "N",
         "Y"
      ),
   "")
)</f>
        <v/>
      </c>
      <c r="H738" s="20"/>
      <c r="I738" s="20"/>
      <c r="J738" s="20"/>
      <c r="K738" s="20"/>
      <c r="M738" s="2" t="str">
        <f>IF(ISBLANK(C738),"",IF(IFERROR(VLOOKUP(C738,DB_materiali!$A$2:$A$5000,1,FALSE),"Kļūda artikulā")=C738,"✔",tulkojums!A$42))</f>
        <v/>
      </c>
      <c r="N738" s="2" t="str">
        <f>IF(ISBLANK(C738),"",IF(ISNUMBER(F738)=TRUE,"✔",tulkojums!A$43))</f>
        <v/>
      </c>
      <c r="O738" s="2" t="str">
        <f>IF(ISBLANK(C738),"",IF(G738="Y","✔",IF(G738="X","✔",IF(G738="N","✔",tulkojums!A$44))))</f>
        <v/>
      </c>
      <c r="P738" s="2" t="str">
        <f>IF(ISBLANK(H738),"",IF(INDEX(DB_materiali!$E$2:$E$5000,MATCH($C738,DB_materiali!$A$2:$A$5000,0))&gt;=INDEX(DB_malas!$C$2:$C$5000,MATCH(H738,DB_malas!$A$2:$A$5000,0)),IF(INDEX(DB_materiali!$E$2:$E$5000,MATCH($C738,DB_materiali!$A$2:$A$5000,0))&lt;=INDEX(DB_malas!$D$2:$D$5000,MATCH(H738,DB_malas!$A$2:$A$5000,0)),IF(OR(INDEX(DB_materiali!$B$2:$B$5000,MATCH($C738,DB_materiali!$A$2:$A$5000,0))=INDEX(DB_malas!$B$2:$B$5000,MATCH(H738,DB_malas!$A$2:$A$5000,0)),$H738="ORG"),"✔",tulkojums!$A$38),tulkojums!$A$39),tulkojums!$A$39))</f>
        <v/>
      </c>
      <c r="Q738" s="2" t="str">
        <f>IF(ISBLANK(I738),"",IF(INDEX(DB_materiali!$E$2:$E$5000,MATCH($C738,DB_materiali!$A$2:$A$5000,0))&gt;=INDEX(DB_malas!$C$2:$C$5000,MATCH(I738,DB_malas!$A$2:$A$5000,0)),IF(INDEX(DB_materiali!$E$2:$E$5000,MATCH($C738,DB_materiali!$A$2:$A$5000,0))&lt;=INDEX(DB_malas!$D$2:$D$5000,MATCH(I738,DB_malas!$A$2:$A$5000,0)),IF(OR(INDEX(DB_materiali!$B$2:$B$5000,MATCH($C738,DB_materiali!$A$2:$A$5000,0))=INDEX(DB_malas!$B$2:$B$5000,MATCH(I738,DB_malas!$A$2:$A$5000,0)),$H738="ORG"),"✔",tulkojums!$A$38),tulkojums!$A$39),tulkojums!$A$39))</f>
        <v/>
      </c>
      <c r="R738" s="2" t="str">
        <f>IF(ISBLANK(J738),"",IF(INDEX(DB_materiali!$E$2:$E$5000,MATCH($C738,DB_materiali!$A$2:$A$5000,0))&gt;=INDEX(DB_malas!$C$2:$C$5000,MATCH(J738,DB_malas!$A$2:$A$5000,0)),IF(INDEX(DB_materiali!$E$2:$E$5000,MATCH($C738,DB_materiali!$A$2:$A$5000,0))&lt;=INDEX(DB_malas!$D$2:$D$5000,MATCH(J738,DB_malas!$A$2:$A$5000,0)),IF(INDEX(DB_materiali!$B$2:$B$5000,MATCH($C738,DB_materiali!$A$2:$A$5000,0))=INDEX(DB_malas!$B$2:$B$5000,MATCH(J738,DB_malas!$A$2:$A$5000,0)),"✔",tulkojums!$A$38),tulkojums!$A$39),tulkojums!$A$39))</f>
        <v/>
      </c>
      <c r="S738" s="2" t="str">
        <f>IF(ISBLANK(K738),"",IF(INDEX(DB_materiali!$E$2:$E$5000,MATCH($C738,DB_materiali!$A$2:$A$5000,0))&gt;=INDEX(DB_malas!$C$2:$C$5000,MATCH(K738,DB_malas!$A$2:$A$5000,0)),IF(INDEX(DB_materiali!$E$2:$E$5000,MATCH($C738,DB_materiali!$A$2:$A$5000,0))&lt;=INDEX(DB_malas!$D$2:$D$5000,MATCH(K738,DB_malas!$A$2:$A$5000,0)),IF(INDEX(DB_materiali!$B$2:$B$5000,MATCH($C738,DB_materiali!$A$2:$A$5000,0))=INDEX(DB_malas!$B$2:$B$5000,MATCH(K738,DB_malas!$A$2:$A$5000,0)),"✔",tulkojums!$A$38),tulkojums!$A$39),tulkojums!$A$39))</f>
        <v/>
      </c>
      <c r="T738" s="2"/>
      <c r="U738" s="2"/>
      <c r="V738" s="2"/>
      <c r="W738" s="2"/>
      <c r="X738" s="2"/>
      <c r="Y738" s="2"/>
      <c r="Z738" s="2"/>
    </row>
    <row r="739" spans="1:26" ht="15.75" customHeight="1">
      <c r="A739" s="17"/>
      <c r="B739" s="18"/>
      <c r="C739" s="19"/>
      <c r="D739" s="55"/>
      <c r="E739" s="55"/>
      <c r="F739" s="56"/>
      <c r="G739" s="57" t="str">
        <f>IF(ISBLANK(C739),"",
   IFERROR(
      IF(
         INDEX(DB_materiali!C$2:C$5000,
               MATCH(C739, DB_materiali!A$2:A$5000, 0)
         )="FALSE",
         "N",
         "Y"
      ),
   "")
)</f>
        <v/>
      </c>
      <c r="H739" s="20"/>
      <c r="I739" s="20"/>
      <c r="J739" s="20"/>
      <c r="K739" s="20"/>
      <c r="M739" s="2" t="str">
        <f>IF(ISBLANK(C739),"",IF(IFERROR(VLOOKUP(C739,DB_materiali!$A$2:$A$5000,1,FALSE),"Kļūda artikulā")=C739,"✔",tulkojums!A$42))</f>
        <v/>
      </c>
      <c r="N739" s="2" t="str">
        <f>IF(ISBLANK(C739),"",IF(ISNUMBER(F739)=TRUE,"✔",tulkojums!A$43))</f>
        <v/>
      </c>
      <c r="O739" s="2" t="str">
        <f>IF(ISBLANK(C739),"",IF(G739="Y","✔",IF(G739="X","✔",IF(G739="N","✔",tulkojums!A$44))))</f>
        <v/>
      </c>
      <c r="P739" s="2" t="str">
        <f>IF(ISBLANK(H739),"",IF(INDEX(DB_materiali!$E$2:$E$5000,MATCH($C739,DB_materiali!$A$2:$A$5000,0))&gt;=INDEX(DB_malas!$C$2:$C$5000,MATCH(H739,DB_malas!$A$2:$A$5000,0)),IF(INDEX(DB_materiali!$E$2:$E$5000,MATCH($C739,DB_materiali!$A$2:$A$5000,0))&lt;=INDEX(DB_malas!$D$2:$D$5000,MATCH(H739,DB_malas!$A$2:$A$5000,0)),IF(OR(INDEX(DB_materiali!$B$2:$B$5000,MATCH($C739,DB_materiali!$A$2:$A$5000,0))=INDEX(DB_malas!$B$2:$B$5000,MATCH(H739,DB_malas!$A$2:$A$5000,0)),$H739="ORG"),"✔",tulkojums!$A$38),tulkojums!$A$39),tulkojums!$A$39))</f>
        <v/>
      </c>
      <c r="Q739" s="2" t="str">
        <f>IF(ISBLANK(I739),"",IF(INDEX(DB_materiali!$E$2:$E$5000,MATCH($C739,DB_materiali!$A$2:$A$5000,0))&gt;=INDEX(DB_malas!$C$2:$C$5000,MATCH(I739,DB_malas!$A$2:$A$5000,0)),IF(INDEX(DB_materiali!$E$2:$E$5000,MATCH($C739,DB_materiali!$A$2:$A$5000,0))&lt;=INDEX(DB_malas!$D$2:$D$5000,MATCH(I739,DB_malas!$A$2:$A$5000,0)),IF(OR(INDEX(DB_materiali!$B$2:$B$5000,MATCH($C739,DB_materiali!$A$2:$A$5000,0))=INDEX(DB_malas!$B$2:$B$5000,MATCH(I739,DB_malas!$A$2:$A$5000,0)),$H739="ORG"),"✔",tulkojums!$A$38),tulkojums!$A$39),tulkojums!$A$39))</f>
        <v/>
      </c>
      <c r="R739" s="2" t="str">
        <f>IF(ISBLANK(J739),"",IF(INDEX(DB_materiali!$E$2:$E$5000,MATCH($C739,DB_materiali!$A$2:$A$5000,0))&gt;=INDEX(DB_malas!$C$2:$C$5000,MATCH(J739,DB_malas!$A$2:$A$5000,0)),IF(INDEX(DB_materiali!$E$2:$E$5000,MATCH($C739,DB_materiali!$A$2:$A$5000,0))&lt;=INDEX(DB_malas!$D$2:$D$5000,MATCH(J739,DB_malas!$A$2:$A$5000,0)),IF(INDEX(DB_materiali!$B$2:$B$5000,MATCH($C739,DB_materiali!$A$2:$A$5000,0))=INDEX(DB_malas!$B$2:$B$5000,MATCH(J739,DB_malas!$A$2:$A$5000,0)),"✔",tulkojums!$A$38),tulkojums!$A$39),tulkojums!$A$39))</f>
        <v/>
      </c>
      <c r="S739" s="2" t="str">
        <f>IF(ISBLANK(K739),"",IF(INDEX(DB_materiali!$E$2:$E$5000,MATCH($C739,DB_materiali!$A$2:$A$5000,0))&gt;=INDEX(DB_malas!$C$2:$C$5000,MATCH(K739,DB_malas!$A$2:$A$5000,0)),IF(INDEX(DB_materiali!$E$2:$E$5000,MATCH($C739,DB_materiali!$A$2:$A$5000,0))&lt;=INDEX(DB_malas!$D$2:$D$5000,MATCH(K739,DB_malas!$A$2:$A$5000,0)),IF(INDEX(DB_materiali!$B$2:$B$5000,MATCH($C739,DB_materiali!$A$2:$A$5000,0))=INDEX(DB_malas!$B$2:$B$5000,MATCH(K739,DB_malas!$A$2:$A$5000,0)),"✔",tulkojums!$A$38),tulkojums!$A$39),tulkojums!$A$39))</f>
        <v/>
      </c>
      <c r="T739" s="2"/>
      <c r="U739" s="2"/>
      <c r="V739" s="2"/>
      <c r="W739" s="2"/>
      <c r="X739" s="2"/>
      <c r="Y739" s="2"/>
      <c r="Z739" s="2"/>
    </row>
    <row r="740" spans="1:26" ht="15.75" customHeight="1">
      <c r="A740" s="17"/>
      <c r="B740" s="18"/>
      <c r="C740" s="19"/>
      <c r="D740" s="55"/>
      <c r="E740" s="55"/>
      <c r="F740" s="56"/>
      <c r="G740" s="57" t="str">
        <f>IF(ISBLANK(C740),"",
   IFERROR(
      IF(
         INDEX(DB_materiali!C$2:C$5000,
               MATCH(C740, DB_materiali!A$2:A$5000, 0)
         )="FALSE",
         "N",
         "Y"
      ),
   "")
)</f>
        <v/>
      </c>
      <c r="H740" s="20"/>
      <c r="I740" s="20"/>
      <c r="J740" s="20"/>
      <c r="K740" s="20"/>
      <c r="M740" s="2" t="str">
        <f>IF(ISBLANK(C740),"",IF(IFERROR(VLOOKUP(C740,DB_materiali!$A$2:$A$5000,1,FALSE),"Kļūda artikulā")=C740,"✔",tulkojums!A$42))</f>
        <v/>
      </c>
      <c r="N740" s="2" t="str">
        <f>IF(ISBLANK(C740),"",IF(ISNUMBER(F740)=TRUE,"✔",tulkojums!A$43))</f>
        <v/>
      </c>
      <c r="O740" s="2" t="str">
        <f>IF(ISBLANK(C740),"",IF(G740="Y","✔",IF(G740="X","✔",IF(G740="N","✔",tulkojums!A$44))))</f>
        <v/>
      </c>
      <c r="P740" s="2" t="str">
        <f>IF(ISBLANK(H740),"",IF(INDEX(DB_materiali!$E$2:$E$5000,MATCH($C740,DB_materiali!$A$2:$A$5000,0))&gt;=INDEX(DB_malas!$C$2:$C$5000,MATCH(H740,DB_malas!$A$2:$A$5000,0)),IF(INDEX(DB_materiali!$E$2:$E$5000,MATCH($C740,DB_materiali!$A$2:$A$5000,0))&lt;=INDEX(DB_malas!$D$2:$D$5000,MATCH(H740,DB_malas!$A$2:$A$5000,0)),IF(OR(INDEX(DB_materiali!$B$2:$B$5000,MATCH($C740,DB_materiali!$A$2:$A$5000,0))=INDEX(DB_malas!$B$2:$B$5000,MATCH(H740,DB_malas!$A$2:$A$5000,0)),$H740="ORG"),"✔",tulkojums!$A$38),tulkojums!$A$39),tulkojums!$A$39))</f>
        <v/>
      </c>
      <c r="Q740" s="2" t="str">
        <f>IF(ISBLANK(I740),"",IF(INDEX(DB_materiali!$E$2:$E$5000,MATCH($C740,DB_materiali!$A$2:$A$5000,0))&gt;=INDEX(DB_malas!$C$2:$C$5000,MATCH(I740,DB_malas!$A$2:$A$5000,0)),IF(INDEX(DB_materiali!$E$2:$E$5000,MATCH($C740,DB_materiali!$A$2:$A$5000,0))&lt;=INDEX(DB_malas!$D$2:$D$5000,MATCH(I740,DB_malas!$A$2:$A$5000,0)),IF(OR(INDEX(DB_materiali!$B$2:$B$5000,MATCH($C740,DB_materiali!$A$2:$A$5000,0))=INDEX(DB_malas!$B$2:$B$5000,MATCH(I740,DB_malas!$A$2:$A$5000,0)),$H740="ORG"),"✔",tulkojums!$A$38),tulkojums!$A$39),tulkojums!$A$39))</f>
        <v/>
      </c>
      <c r="R740" s="2" t="str">
        <f>IF(ISBLANK(J740),"",IF(INDEX(DB_materiali!$E$2:$E$5000,MATCH($C740,DB_materiali!$A$2:$A$5000,0))&gt;=INDEX(DB_malas!$C$2:$C$5000,MATCH(J740,DB_malas!$A$2:$A$5000,0)),IF(INDEX(DB_materiali!$E$2:$E$5000,MATCH($C740,DB_materiali!$A$2:$A$5000,0))&lt;=INDEX(DB_malas!$D$2:$D$5000,MATCH(J740,DB_malas!$A$2:$A$5000,0)),IF(INDEX(DB_materiali!$B$2:$B$5000,MATCH($C740,DB_materiali!$A$2:$A$5000,0))=INDEX(DB_malas!$B$2:$B$5000,MATCH(J740,DB_malas!$A$2:$A$5000,0)),"✔",tulkojums!$A$38),tulkojums!$A$39),tulkojums!$A$39))</f>
        <v/>
      </c>
      <c r="S740" s="2" t="str">
        <f>IF(ISBLANK(K740),"",IF(INDEX(DB_materiali!$E$2:$E$5000,MATCH($C740,DB_materiali!$A$2:$A$5000,0))&gt;=INDEX(DB_malas!$C$2:$C$5000,MATCH(K740,DB_malas!$A$2:$A$5000,0)),IF(INDEX(DB_materiali!$E$2:$E$5000,MATCH($C740,DB_materiali!$A$2:$A$5000,0))&lt;=INDEX(DB_malas!$D$2:$D$5000,MATCH(K740,DB_malas!$A$2:$A$5000,0)),IF(INDEX(DB_materiali!$B$2:$B$5000,MATCH($C740,DB_materiali!$A$2:$A$5000,0))=INDEX(DB_malas!$B$2:$B$5000,MATCH(K740,DB_malas!$A$2:$A$5000,0)),"✔",tulkojums!$A$38),tulkojums!$A$39),tulkojums!$A$39))</f>
        <v/>
      </c>
      <c r="T740" s="2"/>
      <c r="U740" s="2"/>
      <c r="V740" s="2"/>
      <c r="W740" s="2"/>
      <c r="X740" s="2"/>
      <c r="Y740" s="2"/>
      <c r="Z740" s="2"/>
    </row>
    <row r="741" spans="1:26" ht="15.75" customHeight="1">
      <c r="A741" s="17"/>
      <c r="B741" s="18"/>
      <c r="C741" s="19"/>
      <c r="D741" s="55"/>
      <c r="E741" s="55"/>
      <c r="F741" s="56"/>
      <c r="G741" s="57" t="str">
        <f>IF(ISBLANK(C741),"",
   IFERROR(
      IF(
         INDEX(DB_materiali!C$2:C$5000,
               MATCH(C741, DB_materiali!A$2:A$5000, 0)
         )="FALSE",
         "N",
         "Y"
      ),
   "")
)</f>
        <v/>
      </c>
      <c r="H741" s="20"/>
      <c r="I741" s="20"/>
      <c r="J741" s="20"/>
      <c r="K741" s="20"/>
      <c r="M741" s="2" t="str">
        <f>IF(ISBLANK(C741),"",IF(IFERROR(VLOOKUP(C741,DB_materiali!$A$2:$A$5000,1,FALSE),"Kļūda artikulā")=C741,"✔",tulkojums!A$42))</f>
        <v/>
      </c>
      <c r="N741" s="2" t="str">
        <f>IF(ISBLANK(C741),"",IF(ISNUMBER(F741)=TRUE,"✔",tulkojums!A$43))</f>
        <v/>
      </c>
      <c r="O741" s="2" t="str">
        <f>IF(ISBLANK(C741),"",IF(G741="Y","✔",IF(G741="X","✔",IF(G741="N","✔",tulkojums!A$44))))</f>
        <v/>
      </c>
      <c r="P741" s="2" t="str">
        <f>IF(ISBLANK(H741),"",IF(INDEX(DB_materiali!$E$2:$E$5000,MATCH($C741,DB_materiali!$A$2:$A$5000,0))&gt;=INDEX(DB_malas!$C$2:$C$5000,MATCH(H741,DB_malas!$A$2:$A$5000,0)),IF(INDEX(DB_materiali!$E$2:$E$5000,MATCH($C741,DB_materiali!$A$2:$A$5000,0))&lt;=INDEX(DB_malas!$D$2:$D$5000,MATCH(H741,DB_malas!$A$2:$A$5000,0)),IF(OR(INDEX(DB_materiali!$B$2:$B$5000,MATCH($C741,DB_materiali!$A$2:$A$5000,0))=INDEX(DB_malas!$B$2:$B$5000,MATCH(H741,DB_malas!$A$2:$A$5000,0)),$H741="ORG"),"✔",tulkojums!$A$38),tulkojums!$A$39),tulkojums!$A$39))</f>
        <v/>
      </c>
      <c r="Q741" s="2" t="str">
        <f>IF(ISBLANK(I741),"",IF(INDEX(DB_materiali!$E$2:$E$5000,MATCH($C741,DB_materiali!$A$2:$A$5000,0))&gt;=INDEX(DB_malas!$C$2:$C$5000,MATCH(I741,DB_malas!$A$2:$A$5000,0)),IF(INDEX(DB_materiali!$E$2:$E$5000,MATCH($C741,DB_materiali!$A$2:$A$5000,0))&lt;=INDEX(DB_malas!$D$2:$D$5000,MATCH(I741,DB_malas!$A$2:$A$5000,0)),IF(OR(INDEX(DB_materiali!$B$2:$B$5000,MATCH($C741,DB_materiali!$A$2:$A$5000,0))=INDEX(DB_malas!$B$2:$B$5000,MATCH(I741,DB_malas!$A$2:$A$5000,0)),$H741="ORG"),"✔",tulkojums!$A$38),tulkojums!$A$39),tulkojums!$A$39))</f>
        <v/>
      </c>
      <c r="R741" s="2" t="str">
        <f>IF(ISBLANK(J741),"",IF(INDEX(DB_materiali!$E$2:$E$5000,MATCH($C741,DB_materiali!$A$2:$A$5000,0))&gt;=INDEX(DB_malas!$C$2:$C$5000,MATCH(J741,DB_malas!$A$2:$A$5000,0)),IF(INDEX(DB_materiali!$E$2:$E$5000,MATCH($C741,DB_materiali!$A$2:$A$5000,0))&lt;=INDEX(DB_malas!$D$2:$D$5000,MATCH(J741,DB_malas!$A$2:$A$5000,0)),IF(INDEX(DB_materiali!$B$2:$B$5000,MATCH($C741,DB_materiali!$A$2:$A$5000,0))=INDEX(DB_malas!$B$2:$B$5000,MATCH(J741,DB_malas!$A$2:$A$5000,0)),"✔",tulkojums!$A$38),tulkojums!$A$39),tulkojums!$A$39))</f>
        <v/>
      </c>
      <c r="S741" s="2" t="str">
        <f>IF(ISBLANK(K741),"",IF(INDEX(DB_materiali!$E$2:$E$5000,MATCH($C741,DB_materiali!$A$2:$A$5000,0))&gt;=INDEX(DB_malas!$C$2:$C$5000,MATCH(K741,DB_malas!$A$2:$A$5000,0)),IF(INDEX(DB_materiali!$E$2:$E$5000,MATCH($C741,DB_materiali!$A$2:$A$5000,0))&lt;=INDEX(DB_malas!$D$2:$D$5000,MATCH(K741,DB_malas!$A$2:$A$5000,0)),IF(INDEX(DB_materiali!$B$2:$B$5000,MATCH($C741,DB_materiali!$A$2:$A$5000,0))=INDEX(DB_malas!$B$2:$B$5000,MATCH(K741,DB_malas!$A$2:$A$5000,0)),"✔",tulkojums!$A$38),tulkojums!$A$39),tulkojums!$A$39))</f>
        <v/>
      </c>
      <c r="T741" s="2"/>
      <c r="U741" s="2"/>
      <c r="V741" s="2"/>
      <c r="W741" s="2"/>
      <c r="X741" s="2"/>
      <c r="Y741" s="2"/>
      <c r="Z741" s="2"/>
    </row>
    <row r="742" spans="1:26" ht="15.75" customHeight="1">
      <c r="A742" s="17"/>
      <c r="B742" s="18"/>
      <c r="C742" s="19"/>
      <c r="D742" s="55"/>
      <c r="E742" s="55"/>
      <c r="F742" s="56"/>
      <c r="G742" s="57" t="str">
        <f>IF(ISBLANK(C742),"",
   IFERROR(
      IF(
         INDEX(DB_materiali!C$2:C$5000,
               MATCH(C742, DB_materiali!A$2:A$5000, 0)
         )="FALSE",
         "N",
         "Y"
      ),
   "")
)</f>
        <v/>
      </c>
      <c r="H742" s="20"/>
      <c r="I742" s="20"/>
      <c r="J742" s="20"/>
      <c r="K742" s="20"/>
      <c r="M742" s="2" t="str">
        <f>IF(ISBLANK(C742),"",IF(IFERROR(VLOOKUP(C742,DB_materiali!$A$2:$A$5000,1,FALSE),"Kļūda artikulā")=C742,"✔",tulkojums!A$42))</f>
        <v/>
      </c>
      <c r="N742" s="2" t="str">
        <f>IF(ISBLANK(C742),"",IF(ISNUMBER(F742)=TRUE,"✔",tulkojums!A$43))</f>
        <v/>
      </c>
      <c r="O742" s="2" t="str">
        <f>IF(ISBLANK(C742),"",IF(G742="Y","✔",IF(G742="X","✔",IF(G742="N","✔",tulkojums!A$44))))</f>
        <v/>
      </c>
      <c r="P742" s="2" t="str">
        <f>IF(ISBLANK(H742),"",IF(INDEX(DB_materiali!$E$2:$E$5000,MATCH($C742,DB_materiali!$A$2:$A$5000,0))&gt;=INDEX(DB_malas!$C$2:$C$5000,MATCH(H742,DB_malas!$A$2:$A$5000,0)),IF(INDEX(DB_materiali!$E$2:$E$5000,MATCH($C742,DB_materiali!$A$2:$A$5000,0))&lt;=INDEX(DB_malas!$D$2:$D$5000,MATCH(H742,DB_malas!$A$2:$A$5000,0)),IF(OR(INDEX(DB_materiali!$B$2:$B$5000,MATCH($C742,DB_materiali!$A$2:$A$5000,0))=INDEX(DB_malas!$B$2:$B$5000,MATCH(H742,DB_malas!$A$2:$A$5000,0)),$H742="ORG"),"✔",tulkojums!$A$38),tulkojums!$A$39),tulkojums!$A$39))</f>
        <v/>
      </c>
      <c r="Q742" s="2" t="str">
        <f>IF(ISBLANK(I742),"",IF(INDEX(DB_materiali!$E$2:$E$5000,MATCH($C742,DB_materiali!$A$2:$A$5000,0))&gt;=INDEX(DB_malas!$C$2:$C$5000,MATCH(I742,DB_malas!$A$2:$A$5000,0)),IF(INDEX(DB_materiali!$E$2:$E$5000,MATCH($C742,DB_materiali!$A$2:$A$5000,0))&lt;=INDEX(DB_malas!$D$2:$D$5000,MATCH(I742,DB_malas!$A$2:$A$5000,0)),IF(OR(INDEX(DB_materiali!$B$2:$B$5000,MATCH($C742,DB_materiali!$A$2:$A$5000,0))=INDEX(DB_malas!$B$2:$B$5000,MATCH(I742,DB_malas!$A$2:$A$5000,0)),$H742="ORG"),"✔",tulkojums!$A$38),tulkojums!$A$39),tulkojums!$A$39))</f>
        <v/>
      </c>
      <c r="R742" s="2" t="str">
        <f>IF(ISBLANK(J742),"",IF(INDEX(DB_materiali!$E$2:$E$5000,MATCH($C742,DB_materiali!$A$2:$A$5000,0))&gt;=INDEX(DB_malas!$C$2:$C$5000,MATCH(J742,DB_malas!$A$2:$A$5000,0)),IF(INDEX(DB_materiali!$E$2:$E$5000,MATCH($C742,DB_materiali!$A$2:$A$5000,0))&lt;=INDEX(DB_malas!$D$2:$D$5000,MATCH(J742,DB_malas!$A$2:$A$5000,0)),IF(INDEX(DB_materiali!$B$2:$B$5000,MATCH($C742,DB_materiali!$A$2:$A$5000,0))=INDEX(DB_malas!$B$2:$B$5000,MATCH(J742,DB_malas!$A$2:$A$5000,0)),"✔",tulkojums!$A$38),tulkojums!$A$39),tulkojums!$A$39))</f>
        <v/>
      </c>
      <c r="S742" s="2" t="str">
        <f>IF(ISBLANK(K742),"",IF(INDEX(DB_materiali!$E$2:$E$5000,MATCH($C742,DB_materiali!$A$2:$A$5000,0))&gt;=INDEX(DB_malas!$C$2:$C$5000,MATCH(K742,DB_malas!$A$2:$A$5000,0)),IF(INDEX(DB_materiali!$E$2:$E$5000,MATCH($C742,DB_materiali!$A$2:$A$5000,0))&lt;=INDEX(DB_malas!$D$2:$D$5000,MATCH(K742,DB_malas!$A$2:$A$5000,0)),IF(INDEX(DB_materiali!$B$2:$B$5000,MATCH($C742,DB_materiali!$A$2:$A$5000,0))=INDEX(DB_malas!$B$2:$B$5000,MATCH(K742,DB_malas!$A$2:$A$5000,0)),"✔",tulkojums!$A$38),tulkojums!$A$39),tulkojums!$A$39))</f>
        <v/>
      </c>
      <c r="T742" s="2"/>
      <c r="U742" s="2"/>
      <c r="V742" s="2"/>
      <c r="W742" s="2"/>
      <c r="X742" s="2"/>
      <c r="Y742" s="2"/>
      <c r="Z742" s="2"/>
    </row>
    <row r="743" spans="1:26" ht="15.75" customHeight="1">
      <c r="A743" s="17"/>
      <c r="B743" s="18"/>
      <c r="C743" s="19"/>
      <c r="D743" s="55"/>
      <c r="E743" s="55"/>
      <c r="F743" s="56"/>
      <c r="G743" s="57" t="str">
        <f>IF(ISBLANK(C743),"",
   IFERROR(
      IF(
         INDEX(DB_materiali!C$2:C$5000,
               MATCH(C743, DB_materiali!A$2:A$5000, 0)
         )="FALSE",
         "N",
         "Y"
      ),
   "")
)</f>
        <v/>
      </c>
      <c r="H743" s="20"/>
      <c r="I743" s="20"/>
      <c r="J743" s="20"/>
      <c r="K743" s="20"/>
      <c r="M743" s="2" t="str">
        <f>IF(ISBLANK(C743),"",IF(IFERROR(VLOOKUP(C743,DB_materiali!$A$2:$A$5000,1,FALSE),"Kļūda artikulā")=C743,"✔",tulkojums!A$42))</f>
        <v/>
      </c>
      <c r="N743" s="2" t="str">
        <f>IF(ISBLANK(C743),"",IF(ISNUMBER(F743)=TRUE,"✔",tulkojums!A$43))</f>
        <v/>
      </c>
      <c r="O743" s="2" t="str">
        <f>IF(ISBLANK(C743),"",IF(G743="Y","✔",IF(G743="X","✔",IF(G743="N","✔",tulkojums!A$44))))</f>
        <v/>
      </c>
      <c r="P743" s="2" t="str">
        <f>IF(ISBLANK(H743),"",IF(INDEX(DB_materiali!$E$2:$E$5000,MATCH($C743,DB_materiali!$A$2:$A$5000,0))&gt;=INDEX(DB_malas!$C$2:$C$5000,MATCH(H743,DB_malas!$A$2:$A$5000,0)),IF(INDEX(DB_materiali!$E$2:$E$5000,MATCH($C743,DB_materiali!$A$2:$A$5000,0))&lt;=INDEX(DB_malas!$D$2:$D$5000,MATCH(H743,DB_malas!$A$2:$A$5000,0)),IF(OR(INDEX(DB_materiali!$B$2:$B$5000,MATCH($C743,DB_materiali!$A$2:$A$5000,0))=INDEX(DB_malas!$B$2:$B$5000,MATCH(H743,DB_malas!$A$2:$A$5000,0)),$H743="ORG"),"✔",tulkojums!$A$38),tulkojums!$A$39),tulkojums!$A$39))</f>
        <v/>
      </c>
      <c r="Q743" s="2" t="str">
        <f>IF(ISBLANK(I743),"",IF(INDEX(DB_materiali!$E$2:$E$5000,MATCH($C743,DB_materiali!$A$2:$A$5000,0))&gt;=INDEX(DB_malas!$C$2:$C$5000,MATCH(I743,DB_malas!$A$2:$A$5000,0)),IF(INDEX(DB_materiali!$E$2:$E$5000,MATCH($C743,DB_materiali!$A$2:$A$5000,0))&lt;=INDEX(DB_malas!$D$2:$D$5000,MATCH(I743,DB_malas!$A$2:$A$5000,0)),IF(OR(INDEX(DB_materiali!$B$2:$B$5000,MATCH($C743,DB_materiali!$A$2:$A$5000,0))=INDEX(DB_malas!$B$2:$B$5000,MATCH(I743,DB_malas!$A$2:$A$5000,0)),$H743="ORG"),"✔",tulkojums!$A$38),tulkojums!$A$39),tulkojums!$A$39))</f>
        <v/>
      </c>
      <c r="R743" s="2" t="str">
        <f>IF(ISBLANK(J743),"",IF(INDEX(DB_materiali!$E$2:$E$5000,MATCH($C743,DB_materiali!$A$2:$A$5000,0))&gt;=INDEX(DB_malas!$C$2:$C$5000,MATCH(J743,DB_malas!$A$2:$A$5000,0)),IF(INDEX(DB_materiali!$E$2:$E$5000,MATCH($C743,DB_materiali!$A$2:$A$5000,0))&lt;=INDEX(DB_malas!$D$2:$D$5000,MATCH(J743,DB_malas!$A$2:$A$5000,0)),IF(INDEX(DB_materiali!$B$2:$B$5000,MATCH($C743,DB_materiali!$A$2:$A$5000,0))=INDEX(DB_malas!$B$2:$B$5000,MATCH(J743,DB_malas!$A$2:$A$5000,0)),"✔",tulkojums!$A$38),tulkojums!$A$39),tulkojums!$A$39))</f>
        <v/>
      </c>
      <c r="S743" s="2" t="str">
        <f>IF(ISBLANK(K743),"",IF(INDEX(DB_materiali!$E$2:$E$5000,MATCH($C743,DB_materiali!$A$2:$A$5000,0))&gt;=INDEX(DB_malas!$C$2:$C$5000,MATCH(K743,DB_malas!$A$2:$A$5000,0)),IF(INDEX(DB_materiali!$E$2:$E$5000,MATCH($C743,DB_materiali!$A$2:$A$5000,0))&lt;=INDEX(DB_malas!$D$2:$D$5000,MATCH(K743,DB_malas!$A$2:$A$5000,0)),IF(INDEX(DB_materiali!$B$2:$B$5000,MATCH($C743,DB_materiali!$A$2:$A$5000,0))=INDEX(DB_malas!$B$2:$B$5000,MATCH(K743,DB_malas!$A$2:$A$5000,0)),"✔",tulkojums!$A$38),tulkojums!$A$39),tulkojums!$A$39))</f>
        <v/>
      </c>
      <c r="T743" s="2"/>
      <c r="U743" s="2"/>
      <c r="V743" s="2"/>
      <c r="W743" s="2"/>
      <c r="X743" s="2"/>
      <c r="Y743" s="2"/>
      <c r="Z743" s="2"/>
    </row>
    <row r="744" spans="1:26" ht="15.75" customHeight="1">
      <c r="A744" s="17"/>
      <c r="B744" s="18"/>
      <c r="C744" s="19"/>
      <c r="D744" s="55"/>
      <c r="E744" s="55"/>
      <c r="F744" s="56"/>
      <c r="G744" s="57" t="str">
        <f>IF(ISBLANK(C744),"",
   IFERROR(
      IF(
         INDEX(DB_materiali!C$2:C$5000,
               MATCH(C744, DB_materiali!A$2:A$5000, 0)
         )="FALSE",
         "N",
         "Y"
      ),
   "")
)</f>
        <v/>
      </c>
      <c r="H744" s="20"/>
      <c r="I744" s="20"/>
      <c r="J744" s="20"/>
      <c r="K744" s="20"/>
      <c r="M744" s="2" t="str">
        <f>IF(ISBLANK(C744),"",IF(IFERROR(VLOOKUP(C744,DB_materiali!$A$2:$A$5000,1,FALSE),"Kļūda artikulā")=C744,"✔",tulkojums!A$42))</f>
        <v/>
      </c>
      <c r="N744" s="2" t="str">
        <f>IF(ISBLANK(C744),"",IF(ISNUMBER(F744)=TRUE,"✔",tulkojums!A$43))</f>
        <v/>
      </c>
      <c r="O744" s="2" t="str">
        <f>IF(ISBLANK(C744),"",IF(G744="Y","✔",IF(G744="X","✔",IF(G744="N","✔",tulkojums!A$44))))</f>
        <v/>
      </c>
      <c r="P744" s="2" t="str">
        <f>IF(ISBLANK(H744),"",IF(INDEX(DB_materiali!$E$2:$E$5000,MATCH($C744,DB_materiali!$A$2:$A$5000,0))&gt;=INDEX(DB_malas!$C$2:$C$5000,MATCH(H744,DB_malas!$A$2:$A$5000,0)),IF(INDEX(DB_materiali!$E$2:$E$5000,MATCH($C744,DB_materiali!$A$2:$A$5000,0))&lt;=INDEX(DB_malas!$D$2:$D$5000,MATCH(H744,DB_malas!$A$2:$A$5000,0)),IF(OR(INDEX(DB_materiali!$B$2:$B$5000,MATCH($C744,DB_materiali!$A$2:$A$5000,0))=INDEX(DB_malas!$B$2:$B$5000,MATCH(H744,DB_malas!$A$2:$A$5000,0)),$H744="ORG"),"✔",tulkojums!$A$38),tulkojums!$A$39),tulkojums!$A$39))</f>
        <v/>
      </c>
      <c r="Q744" s="2" t="str">
        <f>IF(ISBLANK(I744),"",IF(INDEX(DB_materiali!$E$2:$E$5000,MATCH($C744,DB_materiali!$A$2:$A$5000,0))&gt;=INDEX(DB_malas!$C$2:$C$5000,MATCH(I744,DB_malas!$A$2:$A$5000,0)),IF(INDEX(DB_materiali!$E$2:$E$5000,MATCH($C744,DB_materiali!$A$2:$A$5000,0))&lt;=INDEX(DB_malas!$D$2:$D$5000,MATCH(I744,DB_malas!$A$2:$A$5000,0)),IF(OR(INDEX(DB_materiali!$B$2:$B$5000,MATCH($C744,DB_materiali!$A$2:$A$5000,0))=INDEX(DB_malas!$B$2:$B$5000,MATCH(I744,DB_malas!$A$2:$A$5000,0)),$H744="ORG"),"✔",tulkojums!$A$38),tulkojums!$A$39),tulkojums!$A$39))</f>
        <v/>
      </c>
      <c r="R744" s="2" t="str">
        <f>IF(ISBLANK(J744),"",IF(INDEX(DB_materiali!$E$2:$E$5000,MATCH($C744,DB_materiali!$A$2:$A$5000,0))&gt;=INDEX(DB_malas!$C$2:$C$5000,MATCH(J744,DB_malas!$A$2:$A$5000,0)),IF(INDEX(DB_materiali!$E$2:$E$5000,MATCH($C744,DB_materiali!$A$2:$A$5000,0))&lt;=INDEX(DB_malas!$D$2:$D$5000,MATCH(J744,DB_malas!$A$2:$A$5000,0)),IF(INDEX(DB_materiali!$B$2:$B$5000,MATCH($C744,DB_materiali!$A$2:$A$5000,0))=INDEX(DB_malas!$B$2:$B$5000,MATCH(J744,DB_malas!$A$2:$A$5000,0)),"✔",tulkojums!$A$38),tulkojums!$A$39),tulkojums!$A$39))</f>
        <v/>
      </c>
      <c r="S744" s="2" t="str">
        <f>IF(ISBLANK(K744),"",IF(INDEX(DB_materiali!$E$2:$E$5000,MATCH($C744,DB_materiali!$A$2:$A$5000,0))&gt;=INDEX(DB_malas!$C$2:$C$5000,MATCH(K744,DB_malas!$A$2:$A$5000,0)),IF(INDEX(DB_materiali!$E$2:$E$5000,MATCH($C744,DB_materiali!$A$2:$A$5000,0))&lt;=INDEX(DB_malas!$D$2:$D$5000,MATCH(K744,DB_malas!$A$2:$A$5000,0)),IF(INDEX(DB_materiali!$B$2:$B$5000,MATCH($C744,DB_materiali!$A$2:$A$5000,0))=INDEX(DB_malas!$B$2:$B$5000,MATCH(K744,DB_malas!$A$2:$A$5000,0)),"✔",tulkojums!$A$38),tulkojums!$A$39),tulkojums!$A$39))</f>
        <v/>
      </c>
      <c r="T744" s="2"/>
      <c r="U744" s="2"/>
      <c r="V744" s="2"/>
      <c r="W744" s="2"/>
      <c r="X744" s="2"/>
      <c r="Y744" s="2"/>
      <c r="Z744" s="2"/>
    </row>
    <row r="745" spans="1:26" ht="15.75" customHeight="1">
      <c r="A745" s="17"/>
      <c r="B745" s="18"/>
      <c r="C745" s="19"/>
      <c r="D745" s="55"/>
      <c r="E745" s="55"/>
      <c r="F745" s="56"/>
      <c r="G745" s="57" t="str">
        <f>IF(ISBLANK(C745),"",
   IFERROR(
      IF(
         INDEX(DB_materiali!C$2:C$5000,
               MATCH(C745, DB_materiali!A$2:A$5000, 0)
         )="FALSE",
         "N",
         "Y"
      ),
   "")
)</f>
        <v/>
      </c>
      <c r="H745" s="20"/>
      <c r="I745" s="20"/>
      <c r="J745" s="20"/>
      <c r="K745" s="20"/>
      <c r="M745" s="2" t="str">
        <f>IF(ISBLANK(C745),"",IF(IFERROR(VLOOKUP(C745,DB_materiali!$A$2:$A$5000,1,FALSE),"Kļūda artikulā")=C745,"✔",tulkojums!A$42))</f>
        <v/>
      </c>
      <c r="N745" s="2" t="str">
        <f>IF(ISBLANK(C745),"",IF(ISNUMBER(F745)=TRUE,"✔",tulkojums!A$43))</f>
        <v/>
      </c>
      <c r="O745" s="2" t="str">
        <f>IF(ISBLANK(C745),"",IF(G745="Y","✔",IF(G745="X","✔",IF(G745="N","✔",tulkojums!A$44))))</f>
        <v/>
      </c>
      <c r="P745" s="2" t="str">
        <f>IF(ISBLANK(H745),"",IF(INDEX(DB_materiali!$E$2:$E$5000,MATCH($C745,DB_materiali!$A$2:$A$5000,0))&gt;=INDEX(DB_malas!$C$2:$C$5000,MATCH(H745,DB_malas!$A$2:$A$5000,0)),IF(INDEX(DB_materiali!$E$2:$E$5000,MATCH($C745,DB_materiali!$A$2:$A$5000,0))&lt;=INDEX(DB_malas!$D$2:$D$5000,MATCH(H745,DB_malas!$A$2:$A$5000,0)),IF(OR(INDEX(DB_materiali!$B$2:$B$5000,MATCH($C745,DB_materiali!$A$2:$A$5000,0))=INDEX(DB_malas!$B$2:$B$5000,MATCH(H745,DB_malas!$A$2:$A$5000,0)),$H745="ORG"),"✔",tulkojums!$A$38),tulkojums!$A$39),tulkojums!$A$39))</f>
        <v/>
      </c>
      <c r="Q745" s="2" t="str">
        <f>IF(ISBLANK(I745),"",IF(INDEX(DB_materiali!$E$2:$E$5000,MATCH($C745,DB_materiali!$A$2:$A$5000,0))&gt;=INDEX(DB_malas!$C$2:$C$5000,MATCH(I745,DB_malas!$A$2:$A$5000,0)),IF(INDEX(DB_materiali!$E$2:$E$5000,MATCH($C745,DB_materiali!$A$2:$A$5000,0))&lt;=INDEX(DB_malas!$D$2:$D$5000,MATCH(I745,DB_malas!$A$2:$A$5000,0)),IF(OR(INDEX(DB_materiali!$B$2:$B$5000,MATCH($C745,DB_materiali!$A$2:$A$5000,0))=INDEX(DB_malas!$B$2:$B$5000,MATCH(I745,DB_malas!$A$2:$A$5000,0)),$H745="ORG"),"✔",tulkojums!$A$38),tulkojums!$A$39),tulkojums!$A$39))</f>
        <v/>
      </c>
      <c r="R745" s="2" t="str">
        <f>IF(ISBLANK(J745),"",IF(INDEX(DB_materiali!$E$2:$E$5000,MATCH($C745,DB_materiali!$A$2:$A$5000,0))&gt;=INDEX(DB_malas!$C$2:$C$5000,MATCH(J745,DB_malas!$A$2:$A$5000,0)),IF(INDEX(DB_materiali!$E$2:$E$5000,MATCH($C745,DB_materiali!$A$2:$A$5000,0))&lt;=INDEX(DB_malas!$D$2:$D$5000,MATCH(J745,DB_malas!$A$2:$A$5000,0)),IF(INDEX(DB_materiali!$B$2:$B$5000,MATCH($C745,DB_materiali!$A$2:$A$5000,0))=INDEX(DB_malas!$B$2:$B$5000,MATCH(J745,DB_malas!$A$2:$A$5000,0)),"✔",tulkojums!$A$38),tulkojums!$A$39),tulkojums!$A$39))</f>
        <v/>
      </c>
      <c r="S745" s="2" t="str">
        <f>IF(ISBLANK(K745),"",IF(INDEX(DB_materiali!$E$2:$E$5000,MATCH($C745,DB_materiali!$A$2:$A$5000,0))&gt;=INDEX(DB_malas!$C$2:$C$5000,MATCH(K745,DB_malas!$A$2:$A$5000,0)),IF(INDEX(DB_materiali!$E$2:$E$5000,MATCH($C745,DB_materiali!$A$2:$A$5000,0))&lt;=INDEX(DB_malas!$D$2:$D$5000,MATCH(K745,DB_malas!$A$2:$A$5000,0)),IF(INDEX(DB_materiali!$B$2:$B$5000,MATCH($C745,DB_materiali!$A$2:$A$5000,0))=INDEX(DB_malas!$B$2:$B$5000,MATCH(K745,DB_malas!$A$2:$A$5000,0)),"✔",tulkojums!$A$38),tulkojums!$A$39),tulkojums!$A$39))</f>
        <v/>
      </c>
      <c r="T745" s="2"/>
      <c r="U745" s="2"/>
      <c r="V745" s="2"/>
      <c r="W745" s="2"/>
      <c r="X745" s="2"/>
      <c r="Y745" s="2"/>
      <c r="Z745" s="2"/>
    </row>
    <row r="746" spans="1:26" ht="15.75" customHeight="1">
      <c r="A746" s="17"/>
      <c r="B746" s="18"/>
      <c r="C746" s="19"/>
      <c r="D746" s="55"/>
      <c r="E746" s="55"/>
      <c r="F746" s="56"/>
      <c r="G746" s="57" t="str">
        <f>IF(ISBLANK(C746),"",
   IFERROR(
      IF(
         INDEX(DB_materiali!C$2:C$5000,
               MATCH(C746, DB_materiali!A$2:A$5000, 0)
         )="FALSE",
         "N",
         "Y"
      ),
   "")
)</f>
        <v/>
      </c>
      <c r="H746" s="20"/>
      <c r="I746" s="20"/>
      <c r="J746" s="20"/>
      <c r="K746" s="20"/>
      <c r="M746" s="2" t="str">
        <f>IF(ISBLANK(C746),"",IF(IFERROR(VLOOKUP(C746,DB_materiali!$A$2:$A$5000,1,FALSE),"Kļūda artikulā")=C746,"✔",tulkojums!A$42))</f>
        <v/>
      </c>
      <c r="N746" s="2" t="str">
        <f>IF(ISBLANK(C746),"",IF(ISNUMBER(F746)=TRUE,"✔",tulkojums!A$43))</f>
        <v/>
      </c>
      <c r="O746" s="2" t="str">
        <f>IF(ISBLANK(C746),"",IF(G746="Y","✔",IF(G746="X","✔",IF(G746="N","✔",tulkojums!A$44))))</f>
        <v/>
      </c>
      <c r="P746" s="2" t="str">
        <f>IF(ISBLANK(H746),"",IF(INDEX(DB_materiali!$E$2:$E$5000,MATCH($C746,DB_materiali!$A$2:$A$5000,0))&gt;=INDEX(DB_malas!$C$2:$C$5000,MATCH(H746,DB_malas!$A$2:$A$5000,0)),IF(INDEX(DB_materiali!$E$2:$E$5000,MATCH($C746,DB_materiali!$A$2:$A$5000,0))&lt;=INDEX(DB_malas!$D$2:$D$5000,MATCH(H746,DB_malas!$A$2:$A$5000,0)),IF(OR(INDEX(DB_materiali!$B$2:$B$5000,MATCH($C746,DB_materiali!$A$2:$A$5000,0))=INDEX(DB_malas!$B$2:$B$5000,MATCH(H746,DB_malas!$A$2:$A$5000,0)),$H746="ORG"),"✔",tulkojums!$A$38),tulkojums!$A$39),tulkojums!$A$39))</f>
        <v/>
      </c>
      <c r="Q746" s="2" t="str">
        <f>IF(ISBLANK(I746),"",IF(INDEX(DB_materiali!$E$2:$E$5000,MATCH($C746,DB_materiali!$A$2:$A$5000,0))&gt;=INDEX(DB_malas!$C$2:$C$5000,MATCH(I746,DB_malas!$A$2:$A$5000,0)),IF(INDEX(DB_materiali!$E$2:$E$5000,MATCH($C746,DB_materiali!$A$2:$A$5000,0))&lt;=INDEX(DB_malas!$D$2:$D$5000,MATCH(I746,DB_malas!$A$2:$A$5000,0)),IF(OR(INDEX(DB_materiali!$B$2:$B$5000,MATCH($C746,DB_materiali!$A$2:$A$5000,0))=INDEX(DB_malas!$B$2:$B$5000,MATCH(I746,DB_malas!$A$2:$A$5000,0)),$H746="ORG"),"✔",tulkojums!$A$38),tulkojums!$A$39),tulkojums!$A$39))</f>
        <v/>
      </c>
      <c r="R746" s="2" t="str">
        <f>IF(ISBLANK(J746),"",IF(INDEX(DB_materiali!$E$2:$E$5000,MATCH($C746,DB_materiali!$A$2:$A$5000,0))&gt;=INDEX(DB_malas!$C$2:$C$5000,MATCH(J746,DB_malas!$A$2:$A$5000,0)),IF(INDEX(DB_materiali!$E$2:$E$5000,MATCH($C746,DB_materiali!$A$2:$A$5000,0))&lt;=INDEX(DB_malas!$D$2:$D$5000,MATCH(J746,DB_malas!$A$2:$A$5000,0)),IF(INDEX(DB_materiali!$B$2:$B$5000,MATCH($C746,DB_materiali!$A$2:$A$5000,0))=INDEX(DB_malas!$B$2:$B$5000,MATCH(J746,DB_malas!$A$2:$A$5000,0)),"✔",tulkojums!$A$38),tulkojums!$A$39),tulkojums!$A$39))</f>
        <v/>
      </c>
      <c r="S746" s="2" t="str">
        <f>IF(ISBLANK(K746),"",IF(INDEX(DB_materiali!$E$2:$E$5000,MATCH($C746,DB_materiali!$A$2:$A$5000,0))&gt;=INDEX(DB_malas!$C$2:$C$5000,MATCH(K746,DB_malas!$A$2:$A$5000,0)),IF(INDEX(DB_materiali!$E$2:$E$5000,MATCH($C746,DB_materiali!$A$2:$A$5000,0))&lt;=INDEX(DB_malas!$D$2:$D$5000,MATCH(K746,DB_malas!$A$2:$A$5000,0)),IF(INDEX(DB_materiali!$B$2:$B$5000,MATCH($C746,DB_materiali!$A$2:$A$5000,0))=INDEX(DB_malas!$B$2:$B$5000,MATCH(K746,DB_malas!$A$2:$A$5000,0)),"✔",tulkojums!$A$38),tulkojums!$A$39),tulkojums!$A$39))</f>
        <v/>
      </c>
      <c r="T746" s="2"/>
      <c r="U746" s="2"/>
      <c r="V746" s="2"/>
      <c r="W746" s="2"/>
      <c r="X746" s="2"/>
      <c r="Y746" s="2"/>
      <c r="Z746" s="2"/>
    </row>
    <row r="747" spans="1:26" ht="15.75" customHeight="1">
      <c r="A747" s="17"/>
      <c r="B747" s="18"/>
      <c r="C747" s="19"/>
      <c r="D747" s="55"/>
      <c r="E747" s="55"/>
      <c r="F747" s="56"/>
      <c r="G747" s="57" t="str">
        <f>IF(ISBLANK(C747),"",
   IFERROR(
      IF(
         INDEX(DB_materiali!C$2:C$5000,
               MATCH(C747, DB_materiali!A$2:A$5000, 0)
         )="FALSE",
         "N",
         "Y"
      ),
   "")
)</f>
        <v/>
      </c>
      <c r="H747" s="20"/>
      <c r="I747" s="20"/>
      <c r="J747" s="20"/>
      <c r="K747" s="20"/>
      <c r="M747" s="2" t="str">
        <f>IF(ISBLANK(C747),"",IF(IFERROR(VLOOKUP(C747,DB_materiali!$A$2:$A$5000,1,FALSE),"Kļūda artikulā")=C747,"✔",tulkojums!A$42))</f>
        <v/>
      </c>
      <c r="N747" s="2" t="str">
        <f>IF(ISBLANK(C747),"",IF(ISNUMBER(F747)=TRUE,"✔",tulkojums!A$43))</f>
        <v/>
      </c>
      <c r="O747" s="2" t="str">
        <f>IF(ISBLANK(C747),"",IF(G747="Y","✔",IF(G747="X","✔",IF(G747="N","✔",tulkojums!A$44))))</f>
        <v/>
      </c>
      <c r="P747" s="2" t="str">
        <f>IF(ISBLANK(H747),"",IF(INDEX(DB_materiali!$E$2:$E$5000,MATCH($C747,DB_materiali!$A$2:$A$5000,0))&gt;=INDEX(DB_malas!$C$2:$C$5000,MATCH(H747,DB_malas!$A$2:$A$5000,0)),IF(INDEX(DB_materiali!$E$2:$E$5000,MATCH($C747,DB_materiali!$A$2:$A$5000,0))&lt;=INDEX(DB_malas!$D$2:$D$5000,MATCH(H747,DB_malas!$A$2:$A$5000,0)),IF(OR(INDEX(DB_materiali!$B$2:$B$5000,MATCH($C747,DB_materiali!$A$2:$A$5000,0))=INDEX(DB_malas!$B$2:$B$5000,MATCH(H747,DB_malas!$A$2:$A$5000,0)),$H747="ORG"),"✔",tulkojums!$A$38),tulkojums!$A$39),tulkojums!$A$39))</f>
        <v/>
      </c>
      <c r="Q747" s="2" t="str">
        <f>IF(ISBLANK(I747),"",IF(INDEX(DB_materiali!$E$2:$E$5000,MATCH($C747,DB_materiali!$A$2:$A$5000,0))&gt;=INDEX(DB_malas!$C$2:$C$5000,MATCH(I747,DB_malas!$A$2:$A$5000,0)),IF(INDEX(DB_materiali!$E$2:$E$5000,MATCH($C747,DB_materiali!$A$2:$A$5000,0))&lt;=INDEX(DB_malas!$D$2:$D$5000,MATCH(I747,DB_malas!$A$2:$A$5000,0)),IF(OR(INDEX(DB_materiali!$B$2:$B$5000,MATCH($C747,DB_materiali!$A$2:$A$5000,0))=INDEX(DB_malas!$B$2:$B$5000,MATCH(I747,DB_malas!$A$2:$A$5000,0)),$H747="ORG"),"✔",tulkojums!$A$38),tulkojums!$A$39),tulkojums!$A$39))</f>
        <v/>
      </c>
      <c r="R747" s="2" t="str">
        <f>IF(ISBLANK(J747),"",IF(INDEX(DB_materiali!$E$2:$E$5000,MATCH($C747,DB_materiali!$A$2:$A$5000,0))&gt;=INDEX(DB_malas!$C$2:$C$5000,MATCH(J747,DB_malas!$A$2:$A$5000,0)),IF(INDEX(DB_materiali!$E$2:$E$5000,MATCH($C747,DB_materiali!$A$2:$A$5000,0))&lt;=INDEX(DB_malas!$D$2:$D$5000,MATCH(J747,DB_malas!$A$2:$A$5000,0)),IF(INDEX(DB_materiali!$B$2:$B$5000,MATCH($C747,DB_materiali!$A$2:$A$5000,0))=INDEX(DB_malas!$B$2:$B$5000,MATCH(J747,DB_malas!$A$2:$A$5000,0)),"✔",tulkojums!$A$38),tulkojums!$A$39),tulkojums!$A$39))</f>
        <v/>
      </c>
      <c r="S747" s="2" t="str">
        <f>IF(ISBLANK(K747),"",IF(INDEX(DB_materiali!$E$2:$E$5000,MATCH($C747,DB_materiali!$A$2:$A$5000,0))&gt;=INDEX(DB_malas!$C$2:$C$5000,MATCH(K747,DB_malas!$A$2:$A$5000,0)),IF(INDEX(DB_materiali!$E$2:$E$5000,MATCH($C747,DB_materiali!$A$2:$A$5000,0))&lt;=INDEX(DB_malas!$D$2:$D$5000,MATCH(K747,DB_malas!$A$2:$A$5000,0)),IF(INDEX(DB_materiali!$B$2:$B$5000,MATCH($C747,DB_materiali!$A$2:$A$5000,0))=INDEX(DB_malas!$B$2:$B$5000,MATCH(K747,DB_malas!$A$2:$A$5000,0)),"✔",tulkojums!$A$38),tulkojums!$A$39),tulkojums!$A$39))</f>
        <v/>
      </c>
      <c r="T747" s="2"/>
      <c r="U747" s="2"/>
      <c r="V747" s="2"/>
      <c r="W747" s="2"/>
      <c r="X747" s="2"/>
      <c r="Y747" s="2"/>
      <c r="Z747" s="2"/>
    </row>
    <row r="748" spans="1:26" ht="15.75" customHeight="1">
      <c r="A748" s="17"/>
      <c r="B748" s="18"/>
      <c r="C748" s="19"/>
      <c r="D748" s="55"/>
      <c r="E748" s="55"/>
      <c r="F748" s="56"/>
      <c r="G748" s="57" t="str">
        <f>IF(ISBLANK(C748),"",
   IFERROR(
      IF(
         INDEX(DB_materiali!C$2:C$5000,
               MATCH(C748, DB_materiali!A$2:A$5000, 0)
         )="FALSE",
         "N",
         "Y"
      ),
   "")
)</f>
        <v/>
      </c>
      <c r="H748" s="20"/>
      <c r="I748" s="20"/>
      <c r="J748" s="20"/>
      <c r="K748" s="20"/>
      <c r="M748" s="2" t="str">
        <f>IF(ISBLANK(C748),"",IF(IFERROR(VLOOKUP(C748,DB_materiali!$A$2:$A$5000,1,FALSE),"Kļūda artikulā")=C748,"✔",tulkojums!A$42))</f>
        <v/>
      </c>
      <c r="N748" s="2" t="str">
        <f>IF(ISBLANK(C748),"",IF(ISNUMBER(F748)=TRUE,"✔",tulkojums!A$43))</f>
        <v/>
      </c>
      <c r="O748" s="2" t="str">
        <f>IF(ISBLANK(C748),"",IF(G748="Y","✔",IF(G748="X","✔",IF(G748="N","✔",tulkojums!A$44))))</f>
        <v/>
      </c>
      <c r="P748" s="2" t="str">
        <f>IF(ISBLANK(H748),"",IF(INDEX(DB_materiali!$E$2:$E$5000,MATCH($C748,DB_materiali!$A$2:$A$5000,0))&gt;=INDEX(DB_malas!$C$2:$C$5000,MATCH(H748,DB_malas!$A$2:$A$5000,0)),IF(INDEX(DB_materiali!$E$2:$E$5000,MATCH($C748,DB_materiali!$A$2:$A$5000,0))&lt;=INDEX(DB_malas!$D$2:$D$5000,MATCH(H748,DB_malas!$A$2:$A$5000,0)),IF(OR(INDEX(DB_materiali!$B$2:$B$5000,MATCH($C748,DB_materiali!$A$2:$A$5000,0))=INDEX(DB_malas!$B$2:$B$5000,MATCH(H748,DB_malas!$A$2:$A$5000,0)),$H748="ORG"),"✔",tulkojums!$A$38),tulkojums!$A$39),tulkojums!$A$39))</f>
        <v/>
      </c>
      <c r="Q748" s="2" t="str">
        <f>IF(ISBLANK(I748),"",IF(INDEX(DB_materiali!$E$2:$E$5000,MATCH($C748,DB_materiali!$A$2:$A$5000,0))&gt;=INDEX(DB_malas!$C$2:$C$5000,MATCH(I748,DB_malas!$A$2:$A$5000,0)),IF(INDEX(DB_materiali!$E$2:$E$5000,MATCH($C748,DB_materiali!$A$2:$A$5000,0))&lt;=INDEX(DB_malas!$D$2:$D$5000,MATCH(I748,DB_malas!$A$2:$A$5000,0)),IF(OR(INDEX(DB_materiali!$B$2:$B$5000,MATCH($C748,DB_materiali!$A$2:$A$5000,0))=INDEX(DB_malas!$B$2:$B$5000,MATCH(I748,DB_malas!$A$2:$A$5000,0)),$H748="ORG"),"✔",tulkojums!$A$38),tulkojums!$A$39),tulkojums!$A$39))</f>
        <v/>
      </c>
      <c r="R748" s="2" t="str">
        <f>IF(ISBLANK(J748),"",IF(INDEX(DB_materiali!$E$2:$E$5000,MATCH($C748,DB_materiali!$A$2:$A$5000,0))&gt;=INDEX(DB_malas!$C$2:$C$5000,MATCH(J748,DB_malas!$A$2:$A$5000,0)),IF(INDEX(DB_materiali!$E$2:$E$5000,MATCH($C748,DB_materiali!$A$2:$A$5000,0))&lt;=INDEX(DB_malas!$D$2:$D$5000,MATCH(J748,DB_malas!$A$2:$A$5000,0)),IF(INDEX(DB_materiali!$B$2:$B$5000,MATCH($C748,DB_materiali!$A$2:$A$5000,0))=INDEX(DB_malas!$B$2:$B$5000,MATCH(J748,DB_malas!$A$2:$A$5000,0)),"✔",tulkojums!$A$38),tulkojums!$A$39),tulkojums!$A$39))</f>
        <v/>
      </c>
      <c r="S748" s="2" t="str">
        <f>IF(ISBLANK(K748),"",IF(INDEX(DB_materiali!$E$2:$E$5000,MATCH($C748,DB_materiali!$A$2:$A$5000,0))&gt;=INDEX(DB_malas!$C$2:$C$5000,MATCH(K748,DB_malas!$A$2:$A$5000,0)),IF(INDEX(DB_materiali!$E$2:$E$5000,MATCH($C748,DB_materiali!$A$2:$A$5000,0))&lt;=INDEX(DB_malas!$D$2:$D$5000,MATCH(K748,DB_malas!$A$2:$A$5000,0)),IF(INDEX(DB_materiali!$B$2:$B$5000,MATCH($C748,DB_materiali!$A$2:$A$5000,0))=INDEX(DB_malas!$B$2:$B$5000,MATCH(K748,DB_malas!$A$2:$A$5000,0)),"✔",tulkojums!$A$38),tulkojums!$A$39),tulkojums!$A$39))</f>
        <v/>
      </c>
      <c r="T748" s="2"/>
      <c r="U748" s="2"/>
      <c r="V748" s="2"/>
      <c r="W748" s="2"/>
      <c r="X748" s="2"/>
      <c r="Y748" s="2"/>
      <c r="Z748" s="2"/>
    </row>
    <row r="749" spans="1:26" ht="15.75" customHeight="1">
      <c r="A749" s="17"/>
      <c r="B749" s="18"/>
      <c r="C749" s="19"/>
      <c r="D749" s="55"/>
      <c r="E749" s="55"/>
      <c r="F749" s="56"/>
      <c r="G749" s="57" t="str">
        <f>IF(ISBLANK(C749),"",
   IFERROR(
      IF(
         INDEX(DB_materiali!C$2:C$5000,
               MATCH(C749, DB_materiali!A$2:A$5000, 0)
         )="FALSE",
         "N",
         "Y"
      ),
   "")
)</f>
        <v/>
      </c>
      <c r="H749" s="20"/>
      <c r="I749" s="20"/>
      <c r="J749" s="20"/>
      <c r="K749" s="20"/>
      <c r="M749" s="2" t="str">
        <f>IF(ISBLANK(C749),"",IF(IFERROR(VLOOKUP(C749,DB_materiali!$A$2:$A$5000,1,FALSE),"Kļūda artikulā")=C749,"✔",tulkojums!A$42))</f>
        <v/>
      </c>
      <c r="N749" s="2" t="str">
        <f>IF(ISBLANK(C749),"",IF(ISNUMBER(F749)=TRUE,"✔",tulkojums!A$43))</f>
        <v/>
      </c>
      <c r="O749" s="2" t="str">
        <f>IF(ISBLANK(C749),"",IF(G749="Y","✔",IF(G749="X","✔",IF(G749="N","✔",tulkojums!A$44))))</f>
        <v/>
      </c>
      <c r="P749" s="2" t="str">
        <f>IF(ISBLANK(H749),"",IF(INDEX(DB_materiali!$E$2:$E$5000,MATCH($C749,DB_materiali!$A$2:$A$5000,0))&gt;=INDEX(DB_malas!$C$2:$C$5000,MATCH(H749,DB_malas!$A$2:$A$5000,0)),IF(INDEX(DB_materiali!$E$2:$E$5000,MATCH($C749,DB_materiali!$A$2:$A$5000,0))&lt;=INDEX(DB_malas!$D$2:$D$5000,MATCH(H749,DB_malas!$A$2:$A$5000,0)),IF(OR(INDEX(DB_materiali!$B$2:$B$5000,MATCH($C749,DB_materiali!$A$2:$A$5000,0))=INDEX(DB_malas!$B$2:$B$5000,MATCH(H749,DB_malas!$A$2:$A$5000,0)),$H749="ORG"),"✔",tulkojums!$A$38),tulkojums!$A$39),tulkojums!$A$39))</f>
        <v/>
      </c>
      <c r="Q749" s="2" t="str">
        <f>IF(ISBLANK(I749),"",IF(INDEX(DB_materiali!$E$2:$E$5000,MATCH($C749,DB_materiali!$A$2:$A$5000,0))&gt;=INDEX(DB_malas!$C$2:$C$5000,MATCH(I749,DB_malas!$A$2:$A$5000,0)),IF(INDEX(DB_materiali!$E$2:$E$5000,MATCH($C749,DB_materiali!$A$2:$A$5000,0))&lt;=INDEX(DB_malas!$D$2:$D$5000,MATCH(I749,DB_malas!$A$2:$A$5000,0)),IF(OR(INDEX(DB_materiali!$B$2:$B$5000,MATCH($C749,DB_materiali!$A$2:$A$5000,0))=INDEX(DB_malas!$B$2:$B$5000,MATCH(I749,DB_malas!$A$2:$A$5000,0)),$H749="ORG"),"✔",tulkojums!$A$38),tulkojums!$A$39),tulkojums!$A$39))</f>
        <v/>
      </c>
      <c r="R749" s="2" t="str">
        <f>IF(ISBLANK(J749),"",IF(INDEX(DB_materiali!$E$2:$E$5000,MATCH($C749,DB_materiali!$A$2:$A$5000,0))&gt;=INDEX(DB_malas!$C$2:$C$5000,MATCH(J749,DB_malas!$A$2:$A$5000,0)),IF(INDEX(DB_materiali!$E$2:$E$5000,MATCH($C749,DB_materiali!$A$2:$A$5000,0))&lt;=INDEX(DB_malas!$D$2:$D$5000,MATCH(J749,DB_malas!$A$2:$A$5000,0)),IF(INDEX(DB_materiali!$B$2:$B$5000,MATCH($C749,DB_materiali!$A$2:$A$5000,0))=INDEX(DB_malas!$B$2:$B$5000,MATCH(J749,DB_malas!$A$2:$A$5000,0)),"✔",tulkojums!$A$38),tulkojums!$A$39),tulkojums!$A$39))</f>
        <v/>
      </c>
      <c r="S749" s="2" t="str">
        <f>IF(ISBLANK(K749),"",IF(INDEX(DB_materiali!$E$2:$E$5000,MATCH($C749,DB_materiali!$A$2:$A$5000,0))&gt;=INDEX(DB_malas!$C$2:$C$5000,MATCH(K749,DB_malas!$A$2:$A$5000,0)),IF(INDEX(DB_materiali!$E$2:$E$5000,MATCH($C749,DB_materiali!$A$2:$A$5000,0))&lt;=INDEX(DB_malas!$D$2:$D$5000,MATCH(K749,DB_malas!$A$2:$A$5000,0)),IF(INDEX(DB_materiali!$B$2:$B$5000,MATCH($C749,DB_materiali!$A$2:$A$5000,0))=INDEX(DB_malas!$B$2:$B$5000,MATCH(K749,DB_malas!$A$2:$A$5000,0)),"✔",tulkojums!$A$38),tulkojums!$A$39),tulkojums!$A$39))</f>
        <v/>
      </c>
      <c r="T749" s="2"/>
      <c r="U749" s="2"/>
      <c r="V749" s="2"/>
      <c r="W749" s="2"/>
      <c r="X749" s="2"/>
      <c r="Y749" s="2"/>
      <c r="Z749" s="2"/>
    </row>
    <row r="750" spans="1:26" ht="15.75" customHeight="1">
      <c r="A750" s="17"/>
      <c r="B750" s="18"/>
      <c r="C750" s="19"/>
      <c r="D750" s="55"/>
      <c r="E750" s="55"/>
      <c r="F750" s="56"/>
      <c r="G750" s="57" t="str">
        <f>IF(ISBLANK(C750),"",
   IFERROR(
      IF(
         INDEX(DB_materiali!C$2:C$5000,
               MATCH(C750, DB_materiali!A$2:A$5000, 0)
         )="FALSE",
         "N",
         "Y"
      ),
   "")
)</f>
        <v/>
      </c>
      <c r="H750" s="20"/>
      <c r="I750" s="20"/>
      <c r="J750" s="20"/>
      <c r="K750" s="20"/>
      <c r="M750" s="2" t="str">
        <f>IF(ISBLANK(C750),"",IF(IFERROR(VLOOKUP(C750,DB_materiali!$A$2:$A$5000,1,FALSE),"Kļūda artikulā")=C750,"✔",tulkojums!A$42))</f>
        <v/>
      </c>
      <c r="N750" s="2" t="str">
        <f>IF(ISBLANK(C750),"",IF(ISNUMBER(F750)=TRUE,"✔",tulkojums!A$43))</f>
        <v/>
      </c>
      <c r="O750" s="2" t="str">
        <f>IF(ISBLANK(C750),"",IF(G750="Y","✔",IF(G750="X","✔",IF(G750="N","✔",tulkojums!A$44))))</f>
        <v/>
      </c>
      <c r="P750" s="2" t="str">
        <f>IF(ISBLANK(H750),"",IF(INDEX(DB_materiali!$E$2:$E$5000,MATCH($C750,DB_materiali!$A$2:$A$5000,0))&gt;=INDEX(DB_malas!$C$2:$C$5000,MATCH(H750,DB_malas!$A$2:$A$5000,0)),IF(INDEX(DB_materiali!$E$2:$E$5000,MATCH($C750,DB_materiali!$A$2:$A$5000,0))&lt;=INDEX(DB_malas!$D$2:$D$5000,MATCH(H750,DB_malas!$A$2:$A$5000,0)),IF(OR(INDEX(DB_materiali!$B$2:$B$5000,MATCH($C750,DB_materiali!$A$2:$A$5000,0))=INDEX(DB_malas!$B$2:$B$5000,MATCH(H750,DB_malas!$A$2:$A$5000,0)),$H750="ORG"),"✔",tulkojums!$A$38),tulkojums!$A$39),tulkojums!$A$39))</f>
        <v/>
      </c>
      <c r="Q750" s="2" t="str">
        <f>IF(ISBLANK(I750),"",IF(INDEX(DB_materiali!$E$2:$E$5000,MATCH($C750,DB_materiali!$A$2:$A$5000,0))&gt;=INDEX(DB_malas!$C$2:$C$5000,MATCH(I750,DB_malas!$A$2:$A$5000,0)),IF(INDEX(DB_materiali!$E$2:$E$5000,MATCH($C750,DB_materiali!$A$2:$A$5000,0))&lt;=INDEX(DB_malas!$D$2:$D$5000,MATCH(I750,DB_malas!$A$2:$A$5000,0)),IF(OR(INDEX(DB_materiali!$B$2:$B$5000,MATCH($C750,DB_materiali!$A$2:$A$5000,0))=INDEX(DB_malas!$B$2:$B$5000,MATCH(I750,DB_malas!$A$2:$A$5000,0)),$H750="ORG"),"✔",tulkojums!$A$38),tulkojums!$A$39),tulkojums!$A$39))</f>
        <v/>
      </c>
      <c r="R750" s="2" t="str">
        <f>IF(ISBLANK(J750),"",IF(INDEX(DB_materiali!$E$2:$E$5000,MATCH($C750,DB_materiali!$A$2:$A$5000,0))&gt;=INDEX(DB_malas!$C$2:$C$5000,MATCH(J750,DB_malas!$A$2:$A$5000,0)),IF(INDEX(DB_materiali!$E$2:$E$5000,MATCH($C750,DB_materiali!$A$2:$A$5000,0))&lt;=INDEX(DB_malas!$D$2:$D$5000,MATCH(J750,DB_malas!$A$2:$A$5000,0)),IF(INDEX(DB_materiali!$B$2:$B$5000,MATCH($C750,DB_materiali!$A$2:$A$5000,0))=INDEX(DB_malas!$B$2:$B$5000,MATCH(J750,DB_malas!$A$2:$A$5000,0)),"✔",tulkojums!$A$38),tulkojums!$A$39),tulkojums!$A$39))</f>
        <v/>
      </c>
      <c r="S750" s="2" t="str">
        <f>IF(ISBLANK(K750),"",IF(INDEX(DB_materiali!$E$2:$E$5000,MATCH($C750,DB_materiali!$A$2:$A$5000,0))&gt;=INDEX(DB_malas!$C$2:$C$5000,MATCH(K750,DB_malas!$A$2:$A$5000,0)),IF(INDEX(DB_materiali!$E$2:$E$5000,MATCH($C750,DB_materiali!$A$2:$A$5000,0))&lt;=INDEX(DB_malas!$D$2:$D$5000,MATCH(K750,DB_malas!$A$2:$A$5000,0)),IF(INDEX(DB_materiali!$B$2:$B$5000,MATCH($C750,DB_materiali!$A$2:$A$5000,0))=INDEX(DB_malas!$B$2:$B$5000,MATCH(K750,DB_malas!$A$2:$A$5000,0)),"✔",tulkojums!$A$38),tulkojums!$A$39),tulkojums!$A$39))</f>
        <v/>
      </c>
      <c r="T750" s="2"/>
      <c r="U750" s="2"/>
      <c r="V750" s="2"/>
      <c r="W750" s="2"/>
      <c r="X750" s="2"/>
      <c r="Y750" s="2"/>
      <c r="Z750" s="2"/>
    </row>
    <row r="751" spans="1:26" ht="15.75" customHeight="1">
      <c r="A751" s="17"/>
      <c r="B751" s="18"/>
      <c r="C751" s="19"/>
      <c r="D751" s="55"/>
      <c r="E751" s="55"/>
      <c r="F751" s="56"/>
      <c r="G751" s="57" t="str">
        <f>IF(ISBLANK(C751),"",
   IFERROR(
      IF(
         INDEX(DB_materiali!C$2:C$5000,
               MATCH(C751, DB_materiali!A$2:A$5000, 0)
         )="FALSE",
         "N",
         "Y"
      ),
   "")
)</f>
        <v/>
      </c>
      <c r="H751" s="20"/>
      <c r="I751" s="20"/>
      <c r="J751" s="20"/>
      <c r="K751" s="20"/>
      <c r="M751" s="2" t="str">
        <f>IF(ISBLANK(C751),"",IF(IFERROR(VLOOKUP(C751,DB_materiali!$A$2:$A$5000,1,FALSE),"Kļūda artikulā")=C751,"✔",tulkojums!A$42))</f>
        <v/>
      </c>
      <c r="N751" s="2" t="str">
        <f>IF(ISBLANK(C751),"",IF(ISNUMBER(F751)=TRUE,"✔",tulkojums!A$43))</f>
        <v/>
      </c>
      <c r="O751" s="2" t="str">
        <f>IF(ISBLANK(C751),"",IF(G751="Y","✔",IF(G751="X","✔",IF(G751="N","✔",tulkojums!A$44))))</f>
        <v/>
      </c>
      <c r="P751" s="2" t="str">
        <f>IF(ISBLANK(H751),"",IF(INDEX(DB_materiali!$E$2:$E$5000,MATCH($C751,DB_materiali!$A$2:$A$5000,0))&gt;=INDEX(DB_malas!$C$2:$C$5000,MATCH(H751,DB_malas!$A$2:$A$5000,0)),IF(INDEX(DB_materiali!$E$2:$E$5000,MATCH($C751,DB_materiali!$A$2:$A$5000,0))&lt;=INDEX(DB_malas!$D$2:$D$5000,MATCH(H751,DB_malas!$A$2:$A$5000,0)),IF(OR(INDEX(DB_materiali!$B$2:$B$5000,MATCH($C751,DB_materiali!$A$2:$A$5000,0))=INDEX(DB_malas!$B$2:$B$5000,MATCH(H751,DB_malas!$A$2:$A$5000,0)),$H751="ORG"),"✔",tulkojums!$A$38),tulkojums!$A$39),tulkojums!$A$39))</f>
        <v/>
      </c>
      <c r="Q751" s="2" t="str">
        <f>IF(ISBLANK(I751),"",IF(INDEX(DB_materiali!$E$2:$E$5000,MATCH($C751,DB_materiali!$A$2:$A$5000,0))&gt;=INDEX(DB_malas!$C$2:$C$5000,MATCH(I751,DB_malas!$A$2:$A$5000,0)),IF(INDEX(DB_materiali!$E$2:$E$5000,MATCH($C751,DB_materiali!$A$2:$A$5000,0))&lt;=INDEX(DB_malas!$D$2:$D$5000,MATCH(I751,DB_malas!$A$2:$A$5000,0)),IF(OR(INDEX(DB_materiali!$B$2:$B$5000,MATCH($C751,DB_materiali!$A$2:$A$5000,0))=INDEX(DB_malas!$B$2:$B$5000,MATCH(I751,DB_malas!$A$2:$A$5000,0)),$H751="ORG"),"✔",tulkojums!$A$38),tulkojums!$A$39),tulkojums!$A$39))</f>
        <v/>
      </c>
      <c r="R751" s="2" t="str">
        <f>IF(ISBLANK(J751),"",IF(INDEX(DB_materiali!$E$2:$E$5000,MATCH($C751,DB_materiali!$A$2:$A$5000,0))&gt;=INDEX(DB_malas!$C$2:$C$5000,MATCH(J751,DB_malas!$A$2:$A$5000,0)),IF(INDEX(DB_materiali!$E$2:$E$5000,MATCH($C751,DB_materiali!$A$2:$A$5000,0))&lt;=INDEX(DB_malas!$D$2:$D$5000,MATCH(J751,DB_malas!$A$2:$A$5000,0)),IF(INDEX(DB_materiali!$B$2:$B$5000,MATCH($C751,DB_materiali!$A$2:$A$5000,0))=INDEX(DB_malas!$B$2:$B$5000,MATCH(J751,DB_malas!$A$2:$A$5000,0)),"✔",tulkojums!$A$38),tulkojums!$A$39),tulkojums!$A$39))</f>
        <v/>
      </c>
      <c r="S751" s="2" t="str">
        <f>IF(ISBLANK(K751),"",IF(INDEX(DB_materiali!$E$2:$E$5000,MATCH($C751,DB_materiali!$A$2:$A$5000,0))&gt;=INDEX(DB_malas!$C$2:$C$5000,MATCH(K751,DB_malas!$A$2:$A$5000,0)),IF(INDEX(DB_materiali!$E$2:$E$5000,MATCH($C751,DB_materiali!$A$2:$A$5000,0))&lt;=INDEX(DB_malas!$D$2:$D$5000,MATCH(K751,DB_malas!$A$2:$A$5000,0)),IF(INDEX(DB_materiali!$B$2:$B$5000,MATCH($C751,DB_materiali!$A$2:$A$5000,0))=INDEX(DB_malas!$B$2:$B$5000,MATCH(K751,DB_malas!$A$2:$A$5000,0)),"✔",tulkojums!$A$38),tulkojums!$A$39),tulkojums!$A$39))</f>
        <v/>
      </c>
      <c r="T751" s="2"/>
      <c r="U751" s="2"/>
      <c r="V751" s="2"/>
      <c r="W751" s="2"/>
      <c r="X751" s="2"/>
      <c r="Y751" s="2"/>
      <c r="Z751" s="2"/>
    </row>
    <row r="752" spans="1:26" ht="15.75" customHeight="1">
      <c r="A752" s="17"/>
      <c r="B752" s="18"/>
      <c r="C752" s="19"/>
      <c r="D752" s="55"/>
      <c r="E752" s="55"/>
      <c r="F752" s="56"/>
      <c r="G752" s="57" t="str">
        <f>IF(ISBLANK(C752),"",
   IFERROR(
      IF(
         INDEX(DB_materiali!C$2:C$5000,
               MATCH(C752, DB_materiali!A$2:A$5000, 0)
         )="FALSE",
         "N",
         "Y"
      ),
   "")
)</f>
        <v/>
      </c>
      <c r="H752" s="20"/>
      <c r="I752" s="20"/>
      <c r="J752" s="20"/>
      <c r="K752" s="20"/>
      <c r="M752" s="2" t="str">
        <f>IF(ISBLANK(C752),"",IF(IFERROR(VLOOKUP(C752,DB_materiali!$A$2:$A$5000,1,FALSE),"Kļūda artikulā")=C752,"✔",tulkojums!A$42))</f>
        <v/>
      </c>
      <c r="N752" s="2" t="str">
        <f>IF(ISBLANK(C752),"",IF(ISNUMBER(F752)=TRUE,"✔",tulkojums!A$43))</f>
        <v/>
      </c>
      <c r="O752" s="2" t="str">
        <f>IF(ISBLANK(C752),"",IF(G752="Y","✔",IF(G752="X","✔",IF(G752="N","✔",tulkojums!A$44))))</f>
        <v/>
      </c>
      <c r="P752" s="2" t="str">
        <f>IF(ISBLANK(H752),"",IF(INDEX(DB_materiali!$E$2:$E$5000,MATCH($C752,DB_materiali!$A$2:$A$5000,0))&gt;=INDEX(DB_malas!$C$2:$C$5000,MATCH(H752,DB_malas!$A$2:$A$5000,0)),IF(INDEX(DB_materiali!$E$2:$E$5000,MATCH($C752,DB_materiali!$A$2:$A$5000,0))&lt;=INDEX(DB_malas!$D$2:$D$5000,MATCH(H752,DB_malas!$A$2:$A$5000,0)),IF(OR(INDEX(DB_materiali!$B$2:$B$5000,MATCH($C752,DB_materiali!$A$2:$A$5000,0))=INDEX(DB_malas!$B$2:$B$5000,MATCH(H752,DB_malas!$A$2:$A$5000,0)),$H752="ORG"),"✔",tulkojums!$A$38),tulkojums!$A$39),tulkojums!$A$39))</f>
        <v/>
      </c>
      <c r="Q752" s="2" t="str">
        <f>IF(ISBLANK(I752),"",IF(INDEX(DB_materiali!$E$2:$E$5000,MATCH($C752,DB_materiali!$A$2:$A$5000,0))&gt;=INDEX(DB_malas!$C$2:$C$5000,MATCH(I752,DB_malas!$A$2:$A$5000,0)),IF(INDEX(DB_materiali!$E$2:$E$5000,MATCH($C752,DB_materiali!$A$2:$A$5000,0))&lt;=INDEX(DB_malas!$D$2:$D$5000,MATCH(I752,DB_malas!$A$2:$A$5000,0)),IF(OR(INDEX(DB_materiali!$B$2:$B$5000,MATCH($C752,DB_materiali!$A$2:$A$5000,0))=INDEX(DB_malas!$B$2:$B$5000,MATCH(I752,DB_malas!$A$2:$A$5000,0)),$H752="ORG"),"✔",tulkojums!$A$38),tulkojums!$A$39),tulkojums!$A$39))</f>
        <v/>
      </c>
      <c r="R752" s="2" t="str">
        <f>IF(ISBLANK(J752),"",IF(INDEX(DB_materiali!$E$2:$E$5000,MATCH($C752,DB_materiali!$A$2:$A$5000,0))&gt;=INDEX(DB_malas!$C$2:$C$5000,MATCH(J752,DB_malas!$A$2:$A$5000,0)),IF(INDEX(DB_materiali!$E$2:$E$5000,MATCH($C752,DB_materiali!$A$2:$A$5000,0))&lt;=INDEX(DB_malas!$D$2:$D$5000,MATCH(J752,DB_malas!$A$2:$A$5000,0)),IF(INDEX(DB_materiali!$B$2:$B$5000,MATCH($C752,DB_materiali!$A$2:$A$5000,0))=INDEX(DB_malas!$B$2:$B$5000,MATCH(J752,DB_malas!$A$2:$A$5000,0)),"✔",tulkojums!$A$38),tulkojums!$A$39),tulkojums!$A$39))</f>
        <v/>
      </c>
      <c r="S752" s="2" t="str">
        <f>IF(ISBLANK(K752),"",IF(INDEX(DB_materiali!$E$2:$E$5000,MATCH($C752,DB_materiali!$A$2:$A$5000,0))&gt;=INDEX(DB_malas!$C$2:$C$5000,MATCH(K752,DB_malas!$A$2:$A$5000,0)),IF(INDEX(DB_materiali!$E$2:$E$5000,MATCH($C752,DB_materiali!$A$2:$A$5000,0))&lt;=INDEX(DB_malas!$D$2:$D$5000,MATCH(K752,DB_malas!$A$2:$A$5000,0)),IF(INDEX(DB_materiali!$B$2:$B$5000,MATCH($C752,DB_materiali!$A$2:$A$5000,0))=INDEX(DB_malas!$B$2:$B$5000,MATCH(K752,DB_malas!$A$2:$A$5000,0)),"✔",tulkojums!$A$38),tulkojums!$A$39),tulkojums!$A$39))</f>
        <v/>
      </c>
      <c r="T752" s="2"/>
      <c r="U752" s="2"/>
      <c r="V752" s="2"/>
      <c r="W752" s="2"/>
      <c r="X752" s="2"/>
      <c r="Y752" s="2"/>
      <c r="Z752" s="2"/>
    </row>
    <row r="753" spans="1:26" ht="15.75" customHeight="1">
      <c r="A753" s="17"/>
      <c r="B753" s="18"/>
      <c r="C753" s="19"/>
      <c r="D753" s="55"/>
      <c r="E753" s="55"/>
      <c r="F753" s="56"/>
      <c r="G753" s="57" t="str">
        <f>IF(ISBLANK(C753),"",
   IFERROR(
      IF(
         INDEX(DB_materiali!C$2:C$5000,
               MATCH(C753, DB_materiali!A$2:A$5000, 0)
         )="FALSE",
         "N",
         "Y"
      ),
   "")
)</f>
        <v/>
      </c>
      <c r="H753" s="20"/>
      <c r="I753" s="20"/>
      <c r="J753" s="20"/>
      <c r="K753" s="20"/>
      <c r="M753" s="2" t="str">
        <f>IF(ISBLANK(C753),"",IF(IFERROR(VLOOKUP(C753,DB_materiali!$A$2:$A$5000,1,FALSE),"Kļūda artikulā")=C753,"✔",tulkojums!A$42))</f>
        <v/>
      </c>
      <c r="N753" s="2" t="str">
        <f>IF(ISBLANK(C753),"",IF(ISNUMBER(F753)=TRUE,"✔",tulkojums!A$43))</f>
        <v/>
      </c>
      <c r="O753" s="2" t="str">
        <f>IF(ISBLANK(C753),"",IF(G753="Y","✔",IF(G753="X","✔",IF(G753="N","✔",tulkojums!A$44))))</f>
        <v/>
      </c>
      <c r="P753" s="2" t="str">
        <f>IF(ISBLANK(H753),"",IF(INDEX(DB_materiali!$E$2:$E$5000,MATCH($C753,DB_materiali!$A$2:$A$5000,0))&gt;=INDEX(DB_malas!$C$2:$C$5000,MATCH(H753,DB_malas!$A$2:$A$5000,0)),IF(INDEX(DB_materiali!$E$2:$E$5000,MATCH($C753,DB_materiali!$A$2:$A$5000,0))&lt;=INDEX(DB_malas!$D$2:$D$5000,MATCH(H753,DB_malas!$A$2:$A$5000,0)),IF(OR(INDEX(DB_materiali!$B$2:$B$5000,MATCH($C753,DB_materiali!$A$2:$A$5000,0))=INDEX(DB_malas!$B$2:$B$5000,MATCH(H753,DB_malas!$A$2:$A$5000,0)),$H753="ORG"),"✔",tulkojums!$A$38),tulkojums!$A$39),tulkojums!$A$39))</f>
        <v/>
      </c>
      <c r="Q753" s="2" t="str">
        <f>IF(ISBLANK(I753),"",IF(INDEX(DB_materiali!$E$2:$E$5000,MATCH($C753,DB_materiali!$A$2:$A$5000,0))&gt;=INDEX(DB_malas!$C$2:$C$5000,MATCH(I753,DB_malas!$A$2:$A$5000,0)),IF(INDEX(DB_materiali!$E$2:$E$5000,MATCH($C753,DB_materiali!$A$2:$A$5000,0))&lt;=INDEX(DB_malas!$D$2:$D$5000,MATCH(I753,DB_malas!$A$2:$A$5000,0)),IF(OR(INDEX(DB_materiali!$B$2:$B$5000,MATCH($C753,DB_materiali!$A$2:$A$5000,0))=INDEX(DB_malas!$B$2:$B$5000,MATCH(I753,DB_malas!$A$2:$A$5000,0)),$H753="ORG"),"✔",tulkojums!$A$38),tulkojums!$A$39),tulkojums!$A$39))</f>
        <v/>
      </c>
      <c r="R753" s="2" t="str">
        <f>IF(ISBLANK(J753),"",IF(INDEX(DB_materiali!$E$2:$E$5000,MATCH($C753,DB_materiali!$A$2:$A$5000,0))&gt;=INDEX(DB_malas!$C$2:$C$5000,MATCH(J753,DB_malas!$A$2:$A$5000,0)),IF(INDEX(DB_materiali!$E$2:$E$5000,MATCH($C753,DB_materiali!$A$2:$A$5000,0))&lt;=INDEX(DB_malas!$D$2:$D$5000,MATCH(J753,DB_malas!$A$2:$A$5000,0)),IF(INDEX(DB_materiali!$B$2:$B$5000,MATCH($C753,DB_materiali!$A$2:$A$5000,0))=INDEX(DB_malas!$B$2:$B$5000,MATCH(J753,DB_malas!$A$2:$A$5000,0)),"✔",tulkojums!$A$38),tulkojums!$A$39),tulkojums!$A$39))</f>
        <v/>
      </c>
      <c r="S753" s="2" t="str">
        <f>IF(ISBLANK(K753),"",IF(INDEX(DB_materiali!$E$2:$E$5000,MATCH($C753,DB_materiali!$A$2:$A$5000,0))&gt;=INDEX(DB_malas!$C$2:$C$5000,MATCH(K753,DB_malas!$A$2:$A$5000,0)),IF(INDEX(DB_materiali!$E$2:$E$5000,MATCH($C753,DB_materiali!$A$2:$A$5000,0))&lt;=INDEX(DB_malas!$D$2:$D$5000,MATCH(K753,DB_malas!$A$2:$A$5000,0)),IF(INDEX(DB_materiali!$B$2:$B$5000,MATCH($C753,DB_materiali!$A$2:$A$5000,0))=INDEX(DB_malas!$B$2:$B$5000,MATCH(K753,DB_malas!$A$2:$A$5000,0)),"✔",tulkojums!$A$38),tulkojums!$A$39),tulkojums!$A$39))</f>
        <v/>
      </c>
      <c r="T753" s="2"/>
      <c r="U753" s="2"/>
      <c r="V753" s="2"/>
      <c r="W753" s="2"/>
      <c r="X753" s="2"/>
      <c r="Y753" s="2"/>
      <c r="Z753" s="2"/>
    </row>
    <row r="754" spans="1:26" ht="15.75" customHeight="1">
      <c r="A754" s="17"/>
      <c r="B754" s="18"/>
      <c r="C754" s="19"/>
      <c r="D754" s="55"/>
      <c r="E754" s="55"/>
      <c r="F754" s="56"/>
      <c r="G754" s="57" t="str">
        <f>IF(ISBLANK(C754),"",
   IFERROR(
      IF(
         INDEX(DB_materiali!C$2:C$5000,
               MATCH(C754, DB_materiali!A$2:A$5000, 0)
         )="FALSE",
         "N",
         "Y"
      ),
   "")
)</f>
        <v/>
      </c>
      <c r="H754" s="20"/>
      <c r="I754" s="20"/>
      <c r="J754" s="20"/>
      <c r="K754" s="20"/>
      <c r="M754" s="2" t="str">
        <f>IF(ISBLANK(C754),"",IF(IFERROR(VLOOKUP(C754,DB_materiali!$A$2:$A$5000,1,FALSE),"Kļūda artikulā")=C754,"✔",tulkojums!A$42))</f>
        <v/>
      </c>
      <c r="N754" s="2" t="str">
        <f>IF(ISBLANK(C754),"",IF(ISNUMBER(F754)=TRUE,"✔",tulkojums!A$43))</f>
        <v/>
      </c>
      <c r="O754" s="2" t="str">
        <f>IF(ISBLANK(C754),"",IF(G754="Y","✔",IF(G754="X","✔",IF(G754="N","✔",tulkojums!A$44))))</f>
        <v/>
      </c>
      <c r="P754" s="2" t="str">
        <f>IF(ISBLANK(H754),"",IF(INDEX(DB_materiali!$E$2:$E$5000,MATCH($C754,DB_materiali!$A$2:$A$5000,0))&gt;=INDEX(DB_malas!$C$2:$C$5000,MATCH(H754,DB_malas!$A$2:$A$5000,0)),IF(INDEX(DB_materiali!$E$2:$E$5000,MATCH($C754,DB_materiali!$A$2:$A$5000,0))&lt;=INDEX(DB_malas!$D$2:$D$5000,MATCH(H754,DB_malas!$A$2:$A$5000,0)),IF(OR(INDEX(DB_materiali!$B$2:$B$5000,MATCH($C754,DB_materiali!$A$2:$A$5000,0))=INDEX(DB_malas!$B$2:$B$5000,MATCH(H754,DB_malas!$A$2:$A$5000,0)),$H754="ORG"),"✔",tulkojums!$A$38),tulkojums!$A$39),tulkojums!$A$39))</f>
        <v/>
      </c>
      <c r="Q754" s="2" t="str">
        <f>IF(ISBLANK(I754),"",IF(INDEX(DB_materiali!$E$2:$E$5000,MATCH($C754,DB_materiali!$A$2:$A$5000,0))&gt;=INDEX(DB_malas!$C$2:$C$5000,MATCH(I754,DB_malas!$A$2:$A$5000,0)),IF(INDEX(DB_materiali!$E$2:$E$5000,MATCH($C754,DB_materiali!$A$2:$A$5000,0))&lt;=INDEX(DB_malas!$D$2:$D$5000,MATCH(I754,DB_malas!$A$2:$A$5000,0)),IF(OR(INDEX(DB_materiali!$B$2:$B$5000,MATCH($C754,DB_materiali!$A$2:$A$5000,0))=INDEX(DB_malas!$B$2:$B$5000,MATCH(I754,DB_malas!$A$2:$A$5000,0)),$H754="ORG"),"✔",tulkojums!$A$38),tulkojums!$A$39),tulkojums!$A$39))</f>
        <v/>
      </c>
      <c r="R754" s="2" t="str">
        <f>IF(ISBLANK(J754),"",IF(INDEX(DB_materiali!$E$2:$E$5000,MATCH($C754,DB_materiali!$A$2:$A$5000,0))&gt;=INDEX(DB_malas!$C$2:$C$5000,MATCH(J754,DB_malas!$A$2:$A$5000,0)),IF(INDEX(DB_materiali!$E$2:$E$5000,MATCH($C754,DB_materiali!$A$2:$A$5000,0))&lt;=INDEX(DB_malas!$D$2:$D$5000,MATCH(J754,DB_malas!$A$2:$A$5000,0)),IF(INDEX(DB_materiali!$B$2:$B$5000,MATCH($C754,DB_materiali!$A$2:$A$5000,0))=INDEX(DB_malas!$B$2:$B$5000,MATCH(J754,DB_malas!$A$2:$A$5000,0)),"✔",tulkojums!$A$38),tulkojums!$A$39),tulkojums!$A$39))</f>
        <v/>
      </c>
      <c r="S754" s="2" t="str">
        <f>IF(ISBLANK(K754),"",IF(INDEX(DB_materiali!$E$2:$E$5000,MATCH($C754,DB_materiali!$A$2:$A$5000,0))&gt;=INDEX(DB_malas!$C$2:$C$5000,MATCH(K754,DB_malas!$A$2:$A$5000,0)),IF(INDEX(DB_materiali!$E$2:$E$5000,MATCH($C754,DB_materiali!$A$2:$A$5000,0))&lt;=INDEX(DB_malas!$D$2:$D$5000,MATCH(K754,DB_malas!$A$2:$A$5000,0)),IF(INDEX(DB_materiali!$B$2:$B$5000,MATCH($C754,DB_materiali!$A$2:$A$5000,0))=INDEX(DB_malas!$B$2:$B$5000,MATCH(K754,DB_malas!$A$2:$A$5000,0)),"✔",tulkojums!$A$38),tulkojums!$A$39),tulkojums!$A$39))</f>
        <v/>
      </c>
      <c r="T754" s="2"/>
      <c r="U754" s="2"/>
      <c r="V754" s="2"/>
      <c r="W754" s="2"/>
      <c r="X754" s="2"/>
      <c r="Y754" s="2"/>
      <c r="Z754" s="2"/>
    </row>
    <row r="755" spans="1:26" ht="15.75" customHeight="1">
      <c r="A755" s="17"/>
      <c r="B755" s="18"/>
      <c r="C755" s="19"/>
      <c r="D755" s="55"/>
      <c r="E755" s="55"/>
      <c r="F755" s="56"/>
      <c r="G755" s="57" t="str">
        <f>IF(ISBLANK(C755),"",
   IFERROR(
      IF(
         INDEX(DB_materiali!C$2:C$5000,
               MATCH(C755, DB_materiali!A$2:A$5000, 0)
         )="FALSE",
         "N",
         "Y"
      ),
   "")
)</f>
        <v/>
      </c>
      <c r="H755" s="20"/>
      <c r="I755" s="20"/>
      <c r="J755" s="20"/>
      <c r="K755" s="20"/>
      <c r="M755" s="2" t="str">
        <f>IF(ISBLANK(C755),"",IF(IFERROR(VLOOKUP(C755,DB_materiali!$A$2:$A$5000,1,FALSE),"Kļūda artikulā")=C755,"✔",tulkojums!A$42))</f>
        <v/>
      </c>
      <c r="N755" s="2" t="str">
        <f>IF(ISBLANK(C755),"",IF(ISNUMBER(F755)=TRUE,"✔",tulkojums!A$43))</f>
        <v/>
      </c>
      <c r="O755" s="2" t="str">
        <f>IF(ISBLANK(C755),"",IF(G755="Y","✔",IF(G755="X","✔",IF(G755="N","✔",tulkojums!A$44))))</f>
        <v/>
      </c>
      <c r="P755" s="2" t="str">
        <f>IF(ISBLANK(H755),"",IF(INDEX(DB_materiali!$E$2:$E$5000,MATCH($C755,DB_materiali!$A$2:$A$5000,0))&gt;=INDEX(DB_malas!$C$2:$C$5000,MATCH(H755,DB_malas!$A$2:$A$5000,0)),IF(INDEX(DB_materiali!$E$2:$E$5000,MATCH($C755,DB_materiali!$A$2:$A$5000,0))&lt;=INDEX(DB_malas!$D$2:$D$5000,MATCH(H755,DB_malas!$A$2:$A$5000,0)),IF(OR(INDEX(DB_materiali!$B$2:$B$5000,MATCH($C755,DB_materiali!$A$2:$A$5000,0))=INDEX(DB_malas!$B$2:$B$5000,MATCH(H755,DB_malas!$A$2:$A$5000,0)),$H755="ORG"),"✔",tulkojums!$A$38),tulkojums!$A$39),tulkojums!$A$39))</f>
        <v/>
      </c>
      <c r="Q755" s="2" t="str">
        <f>IF(ISBLANK(I755),"",IF(INDEX(DB_materiali!$E$2:$E$5000,MATCH($C755,DB_materiali!$A$2:$A$5000,0))&gt;=INDEX(DB_malas!$C$2:$C$5000,MATCH(I755,DB_malas!$A$2:$A$5000,0)),IF(INDEX(DB_materiali!$E$2:$E$5000,MATCH($C755,DB_materiali!$A$2:$A$5000,0))&lt;=INDEX(DB_malas!$D$2:$D$5000,MATCH(I755,DB_malas!$A$2:$A$5000,0)),IF(OR(INDEX(DB_materiali!$B$2:$B$5000,MATCH($C755,DB_materiali!$A$2:$A$5000,0))=INDEX(DB_malas!$B$2:$B$5000,MATCH(I755,DB_malas!$A$2:$A$5000,0)),$H755="ORG"),"✔",tulkojums!$A$38),tulkojums!$A$39),tulkojums!$A$39))</f>
        <v/>
      </c>
      <c r="R755" s="2" t="str">
        <f>IF(ISBLANK(J755),"",IF(INDEX(DB_materiali!$E$2:$E$5000,MATCH($C755,DB_materiali!$A$2:$A$5000,0))&gt;=INDEX(DB_malas!$C$2:$C$5000,MATCH(J755,DB_malas!$A$2:$A$5000,0)),IF(INDEX(DB_materiali!$E$2:$E$5000,MATCH($C755,DB_materiali!$A$2:$A$5000,0))&lt;=INDEX(DB_malas!$D$2:$D$5000,MATCH(J755,DB_malas!$A$2:$A$5000,0)),IF(INDEX(DB_materiali!$B$2:$B$5000,MATCH($C755,DB_materiali!$A$2:$A$5000,0))=INDEX(DB_malas!$B$2:$B$5000,MATCH(J755,DB_malas!$A$2:$A$5000,0)),"✔",tulkojums!$A$38),tulkojums!$A$39),tulkojums!$A$39))</f>
        <v/>
      </c>
      <c r="S755" s="2" t="str">
        <f>IF(ISBLANK(K755),"",IF(INDEX(DB_materiali!$E$2:$E$5000,MATCH($C755,DB_materiali!$A$2:$A$5000,0))&gt;=INDEX(DB_malas!$C$2:$C$5000,MATCH(K755,DB_malas!$A$2:$A$5000,0)),IF(INDEX(DB_materiali!$E$2:$E$5000,MATCH($C755,DB_materiali!$A$2:$A$5000,0))&lt;=INDEX(DB_malas!$D$2:$D$5000,MATCH(K755,DB_malas!$A$2:$A$5000,0)),IF(INDEX(DB_materiali!$B$2:$B$5000,MATCH($C755,DB_materiali!$A$2:$A$5000,0))=INDEX(DB_malas!$B$2:$B$5000,MATCH(K755,DB_malas!$A$2:$A$5000,0)),"✔",tulkojums!$A$38),tulkojums!$A$39),tulkojums!$A$39))</f>
        <v/>
      </c>
      <c r="T755" s="2"/>
      <c r="U755" s="2"/>
      <c r="V755" s="2"/>
      <c r="W755" s="2"/>
      <c r="X755" s="2"/>
      <c r="Y755" s="2"/>
      <c r="Z755" s="2"/>
    </row>
    <row r="756" spans="1:26" ht="15.75" customHeight="1">
      <c r="A756" s="17"/>
      <c r="B756" s="18"/>
      <c r="C756" s="19"/>
      <c r="D756" s="55"/>
      <c r="E756" s="55"/>
      <c r="F756" s="56"/>
      <c r="G756" s="57" t="str">
        <f>IF(ISBLANK(C756),"",
   IFERROR(
      IF(
         INDEX(DB_materiali!C$2:C$5000,
               MATCH(C756, DB_materiali!A$2:A$5000, 0)
         )="FALSE",
         "N",
         "Y"
      ),
   "")
)</f>
        <v/>
      </c>
      <c r="H756" s="20"/>
      <c r="I756" s="20"/>
      <c r="J756" s="20"/>
      <c r="K756" s="20"/>
      <c r="M756" s="2" t="str">
        <f>IF(ISBLANK(C756),"",IF(IFERROR(VLOOKUP(C756,DB_materiali!$A$2:$A$5000,1,FALSE),"Kļūda artikulā")=C756,"✔",tulkojums!A$42))</f>
        <v/>
      </c>
      <c r="N756" s="2" t="str">
        <f>IF(ISBLANK(C756),"",IF(ISNUMBER(F756)=TRUE,"✔",tulkojums!A$43))</f>
        <v/>
      </c>
      <c r="O756" s="2" t="str">
        <f>IF(ISBLANK(C756),"",IF(G756="Y","✔",IF(G756="X","✔",IF(G756="N","✔",tulkojums!A$44))))</f>
        <v/>
      </c>
      <c r="P756" s="2" t="str">
        <f>IF(ISBLANK(H756),"",IF(INDEX(DB_materiali!$E$2:$E$5000,MATCH($C756,DB_materiali!$A$2:$A$5000,0))&gt;=INDEX(DB_malas!$C$2:$C$5000,MATCH(H756,DB_malas!$A$2:$A$5000,0)),IF(INDEX(DB_materiali!$E$2:$E$5000,MATCH($C756,DB_materiali!$A$2:$A$5000,0))&lt;=INDEX(DB_malas!$D$2:$D$5000,MATCH(H756,DB_malas!$A$2:$A$5000,0)),IF(OR(INDEX(DB_materiali!$B$2:$B$5000,MATCH($C756,DB_materiali!$A$2:$A$5000,0))=INDEX(DB_malas!$B$2:$B$5000,MATCH(H756,DB_malas!$A$2:$A$5000,0)),$H756="ORG"),"✔",tulkojums!$A$38),tulkojums!$A$39),tulkojums!$A$39))</f>
        <v/>
      </c>
      <c r="Q756" s="2" t="str">
        <f>IF(ISBLANK(I756),"",IF(INDEX(DB_materiali!$E$2:$E$5000,MATCH($C756,DB_materiali!$A$2:$A$5000,0))&gt;=INDEX(DB_malas!$C$2:$C$5000,MATCH(I756,DB_malas!$A$2:$A$5000,0)),IF(INDEX(DB_materiali!$E$2:$E$5000,MATCH($C756,DB_materiali!$A$2:$A$5000,0))&lt;=INDEX(DB_malas!$D$2:$D$5000,MATCH(I756,DB_malas!$A$2:$A$5000,0)),IF(OR(INDEX(DB_materiali!$B$2:$B$5000,MATCH($C756,DB_materiali!$A$2:$A$5000,0))=INDEX(DB_malas!$B$2:$B$5000,MATCH(I756,DB_malas!$A$2:$A$5000,0)),$H756="ORG"),"✔",tulkojums!$A$38),tulkojums!$A$39),tulkojums!$A$39))</f>
        <v/>
      </c>
      <c r="R756" s="2" t="str">
        <f>IF(ISBLANK(J756),"",IF(INDEX(DB_materiali!$E$2:$E$5000,MATCH($C756,DB_materiali!$A$2:$A$5000,0))&gt;=INDEX(DB_malas!$C$2:$C$5000,MATCH(J756,DB_malas!$A$2:$A$5000,0)),IF(INDEX(DB_materiali!$E$2:$E$5000,MATCH($C756,DB_materiali!$A$2:$A$5000,0))&lt;=INDEX(DB_malas!$D$2:$D$5000,MATCH(J756,DB_malas!$A$2:$A$5000,0)),IF(INDEX(DB_materiali!$B$2:$B$5000,MATCH($C756,DB_materiali!$A$2:$A$5000,0))=INDEX(DB_malas!$B$2:$B$5000,MATCH(J756,DB_malas!$A$2:$A$5000,0)),"✔",tulkojums!$A$38),tulkojums!$A$39),tulkojums!$A$39))</f>
        <v/>
      </c>
      <c r="S756" s="2" t="str">
        <f>IF(ISBLANK(K756),"",IF(INDEX(DB_materiali!$E$2:$E$5000,MATCH($C756,DB_materiali!$A$2:$A$5000,0))&gt;=INDEX(DB_malas!$C$2:$C$5000,MATCH(K756,DB_malas!$A$2:$A$5000,0)),IF(INDEX(DB_materiali!$E$2:$E$5000,MATCH($C756,DB_materiali!$A$2:$A$5000,0))&lt;=INDEX(DB_malas!$D$2:$D$5000,MATCH(K756,DB_malas!$A$2:$A$5000,0)),IF(INDEX(DB_materiali!$B$2:$B$5000,MATCH($C756,DB_materiali!$A$2:$A$5000,0))=INDEX(DB_malas!$B$2:$B$5000,MATCH(K756,DB_malas!$A$2:$A$5000,0)),"✔",tulkojums!$A$38),tulkojums!$A$39),tulkojums!$A$39))</f>
        <v/>
      </c>
      <c r="T756" s="2"/>
      <c r="U756" s="2"/>
      <c r="V756" s="2"/>
      <c r="W756" s="2"/>
      <c r="X756" s="2"/>
      <c r="Y756" s="2"/>
      <c r="Z756" s="2"/>
    </row>
    <row r="757" spans="1:26" ht="15.75" customHeight="1">
      <c r="A757" s="17"/>
      <c r="B757" s="18"/>
      <c r="C757" s="19"/>
      <c r="D757" s="55"/>
      <c r="E757" s="55"/>
      <c r="F757" s="56"/>
      <c r="G757" s="57" t="str">
        <f>IF(ISBLANK(C757),"",
   IFERROR(
      IF(
         INDEX(DB_materiali!C$2:C$5000,
               MATCH(C757, DB_materiali!A$2:A$5000, 0)
         )="FALSE",
         "N",
         "Y"
      ),
   "")
)</f>
        <v/>
      </c>
      <c r="H757" s="20"/>
      <c r="I757" s="20"/>
      <c r="J757" s="20"/>
      <c r="K757" s="20"/>
      <c r="M757" s="2" t="str">
        <f>IF(ISBLANK(C757),"",IF(IFERROR(VLOOKUP(C757,DB_materiali!$A$2:$A$5000,1,FALSE),"Kļūda artikulā")=C757,"✔",tulkojums!A$42))</f>
        <v/>
      </c>
      <c r="N757" s="2" t="str">
        <f>IF(ISBLANK(C757),"",IF(ISNUMBER(F757)=TRUE,"✔",tulkojums!A$43))</f>
        <v/>
      </c>
      <c r="O757" s="2" t="str">
        <f>IF(ISBLANK(C757),"",IF(G757="Y","✔",IF(G757="X","✔",IF(G757="N","✔",tulkojums!A$44))))</f>
        <v/>
      </c>
      <c r="P757" s="2" t="str">
        <f>IF(ISBLANK(H757),"",IF(INDEX(DB_materiali!$E$2:$E$5000,MATCH($C757,DB_materiali!$A$2:$A$5000,0))&gt;=INDEX(DB_malas!$C$2:$C$5000,MATCH(H757,DB_malas!$A$2:$A$5000,0)),IF(INDEX(DB_materiali!$E$2:$E$5000,MATCH($C757,DB_materiali!$A$2:$A$5000,0))&lt;=INDEX(DB_malas!$D$2:$D$5000,MATCH(H757,DB_malas!$A$2:$A$5000,0)),IF(OR(INDEX(DB_materiali!$B$2:$B$5000,MATCH($C757,DB_materiali!$A$2:$A$5000,0))=INDEX(DB_malas!$B$2:$B$5000,MATCH(H757,DB_malas!$A$2:$A$5000,0)),$H757="ORG"),"✔",tulkojums!$A$38),tulkojums!$A$39),tulkojums!$A$39))</f>
        <v/>
      </c>
      <c r="Q757" s="2" t="str">
        <f>IF(ISBLANK(I757),"",IF(INDEX(DB_materiali!$E$2:$E$5000,MATCH($C757,DB_materiali!$A$2:$A$5000,0))&gt;=INDEX(DB_malas!$C$2:$C$5000,MATCH(I757,DB_malas!$A$2:$A$5000,0)),IF(INDEX(DB_materiali!$E$2:$E$5000,MATCH($C757,DB_materiali!$A$2:$A$5000,0))&lt;=INDEX(DB_malas!$D$2:$D$5000,MATCH(I757,DB_malas!$A$2:$A$5000,0)),IF(OR(INDEX(DB_materiali!$B$2:$B$5000,MATCH($C757,DB_materiali!$A$2:$A$5000,0))=INDEX(DB_malas!$B$2:$B$5000,MATCH(I757,DB_malas!$A$2:$A$5000,0)),$H757="ORG"),"✔",tulkojums!$A$38),tulkojums!$A$39),tulkojums!$A$39))</f>
        <v/>
      </c>
      <c r="R757" s="2" t="str">
        <f>IF(ISBLANK(J757),"",IF(INDEX(DB_materiali!$E$2:$E$5000,MATCH($C757,DB_materiali!$A$2:$A$5000,0))&gt;=INDEX(DB_malas!$C$2:$C$5000,MATCH(J757,DB_malas!$A$2:$A$5000,0)),IF(INDEX(DB_materiali!$E$2:$E$5000,MATCH($C757,DB_materiali!$A$2:$A$5000,0))&lt;=INDEX(DB_malas!$D$2:$D$5000,MATCH(J757,DB_malas!$A$2:$A$5000,0)),IF(INDEX(DB_materiali!$B$2:$B$5000,MATCH($C757,DB_materiali!$A$2:$A$5000,0))=INDEX(DB_malas!$B$2:$B$5000,MATCH(J757,DB_malas!$A$2:$A$5000,0)),"✔",tulkojums!$A$38),tulkojums!$A$39),tulkojums!$A$39))</f>
        <v/>
      </c>
      <c r="S757" s="2" t="str">
        <f>IF(ISBLANK(K757),"",IF(INDEX(DB_materiali!$E$2:$E$5000,MATCH($C757,DB_materiali!$A$2:$A$5000,0))&gt;=INDEX(DB_malas!$C$2:$C$5000,MATCH(K757,DB_malas!$A$2:$A$5000,0)),IF(INDEX(DB_materiali!$E$2:$E$5000,MATCH($C757,DB_materiali!$A$2:$A$5000,0))&lt;=INDEX(DB_malas!$D$2:$D$5000,MATCH(K757,DB_malas!$A$2:$A$5000,0)),IF(INDEX(DB_materiali!$B$2:$B$5000,MATCH($C757,DB_materiali!$A$2:$A$5000,0))=INDEX(DB_malas!$B$2:$B$5000,MATCH(K757,DB_malas!$A$2:$A$5000,0)),"✔",tulkojums!$A$38),tulkojums!$A$39),tulkojums!$A$39))</f>
        <v/>
      </c>
      <c r="T757" s="2"/>
      <c r="U757" s="2"/>
      <c r="V757" s="2"/>
      <c r="W757" s="2"/>
      <c r="X757" s="2"/>
      <c r="Y757" s="2"/>
      <c r="Z757" s="2"/>
    </row>
    <row r="758" spans="1:26" ht="15.75" customHeight="1">
      <c r="A758" s="17"/>
      <c r="B758" s="18"/>
      <c r="C758" s="19"/>
      <c r="D758" s="55"/>
      <c r="E758" s="55"/>
      <c r="F758" s="56"/>
      <c r="G758" s="57" t="str">
        <f>IF(ISBLANK(C758),"",
   IFERROR(
      IF(
         INDEX(DB_materiali!C$2:C$5000,
               MATCH(C758, DB_materiali!A$2:A$5000, 0)
         )="FALSE",
         "N",
         "Y"
      ),
   "")
)</f>
        <v/>
      </c>
      <c r="H758" s="20"/>
      <c r="I758" s="20"/>
      <c r="J758" s="20"/>
      <c r="K758" s="20"/>
      <c r="M758" s="2" t="str">
        <f>IF(ISBLANK(C758),"",IF(IFERROR(VLOOKUP(C758,DB_materiali!$A$2:$A$5000,1,FALSE),"Kļūda artikulā")=C758,"✔",tulkojums!A$42))</f>
        <v/>
      </c>
      <c r="N758" s="2" t="str">
        <f>IF(ISBLANK(C758),"",IF(ISNUMBER(F758)=TRUE,"✔",tulkojums!A$43))</f>
        <v/>
      </c>
      <c r="O758" s="2" t="str">
        <f>IF(ISBLANK(C758),"",IF(G758="Y","✔",IF(G758="X","✔",IF(G758="N","✔",tulkojums!A$44))))</f>
        <v/>
      </c>
      <c r="P758" s="2" t="str">
        <f>IF(ISBLANK(H758),"",IF(INDEX(DB_materiali!$E$2:$E$5000,MATCH($C758,DB_materiali!$A$2:$A$5000,0))&gt;=INDEX(DB_malas!$C$2:$C$5000,MATCH(H758,DB_malas!$A$2:$A$5000,0)),IF(INDEX(DB_materiali!$E$2:$E$5000,MATCH($C758,DB_materiali!$A$2:$A$5000,0))&lt;=INDEX(DB_malas!$D$2:$D$5000,MATCH(H758,DB_malas!$A$2:$A$5000,0)),IF(OR(INDEX(DB_materiali!$B$2:$B$5000,MATCH($C758,DB_materiali!$A$2:$A$5000,0))=INDEX(DB_malas!$B$2:$B$5000,MATCH(H758,DB_malas!$A$2:$A$5000,0)),$H758="ORG"),"✔",tulkojums!$A$38),tulkojums!$A$39),tulkojums!$A$39))</f>
        <v/>
      </c>
      <c r="Q758" s="2" t="str">
        <f>IF(ISBLANK(I758),"",IF(INDEX(DB_materiali!$E$2:$E$5000,MATCH($C758,DB_materiali!$A$2:$A$5000,0))&gt;=INDEX(DB_malas!$C$2:$C$5000,MATCH(I758,DB_malas!$A$2:$A$5000,0)),IF(INDEX(DB_materiali!$E$2:$E$5000,MATCH($C758,DB_materiali!$A$2:$A$5000,0))&lt;=INDEX(DB_malas!$D$2:$D$5000,MATCH(I758,DB_malas!$A$2:$A$5000,0)),IF(OR(INDEX(DB_materiali!$B$2:$B$5000,MATCH($C758,DB_materiali!$A$2:$A$5000,0))=INDEX(DB_malas!$B$2:$B$5000,MATCH(I758,DB_malas!$A$2:$A$5000,0)),$H758="ORG"),"✔",tulkojums!$A$38),tulkojums!$A$39),tulkojums!$A$39))</f>
        <v/>
      </c>
      <c r="R758" s="2" t="str">
        <f>IF(ISBLANK(J758),"",IF(INDEX(DB_materiali!$E$2:$E$5000,MATCH($C758,DB_materiali!$A$2:$A$5000,0))&gt;=INDEX(DB_malas!$C$2:$C$5000,MATCH(J758,DB_malas!$A$2:$A$5000,0)),IF(INDEX(DB_materiali!$E$2:$E$5000,MATCH($C758,DB_materiali!$A$2:$A$5000,0))&lt;=INDEX(DB_malas!$D$2:$D$5000,MATCH(J758,DB_malas!$A$2:$A$5000,0)),IF(INDEX(DB_materiali!$B$2:$B$5000,MATCH($C758,DB_materiali!$A$2:$A$5000,0))=INDEX(DB_malas!$B$2:$B$5000,MATCH(J758,DB_malas!$A$2:$A$5000,0)),"✔",tulkojums!$A$38),tulkojums!$A$39),tulkojums!$A$39))</f>
        <v/>
      </c>
      <c r="S758" s="2" t="str">
        <f>IF(ISBLANK(K758),"",IF(INDEX(DB_materiali!$E$2:$E$5000,MATCH($C758,DB_materiali!$A$2:$A$5000,0))&gt;=INDEX(DB_malas!$C$2:$C$5000,MATCH(K758,DB_malas!$A$2:$A$5000,0)),IF(INDEX(DB_materiali!$E$2:$E$5000,MATCH($C758,DB_materiali!$A$2:$A$5000,0))&lt;=INDEX(DB_malas!$D$2:$D$5000,MATCH(K758,DB_malas!$A$2:$A$5000,0)),IF(INDEX(DB_materiali!$B$2:$B$5000,MATCH($C758,DB_materiali!$A$2:$A$5000,0))=INDEX(DB_malas!$B$2:$B$5000,MATCH(K758,DB_malas!$A$2:$A$5000,0)),"✔",tulkojums!$A$38),tulkojums!$A$39),tulkojums!$A$39))</f>
        <v/>
      </c>
      <c r="T758" s="2"/>
      <c r="U758" s="2"/>
      <c r="V758" s="2"/>
      <c r="W758" s="2"/>
      <c r="X758" s="2"/>
      <c r="Y758" s="2"/>
      <c r="Z758" s="2"/>
    </row>
    <row r="759" spans="1:26" ht="15.75" customHeight="1">
      <c r="A759" s="17"/>
      <c r="B759" s="18"/>
      <c r="C759" s="19"/>
      <c r="D759" s="55"/>
      <c r="E759" s="55"/>
      <c r="F759" s="56"/>
      <c r="G759" s="57" t="str">
        <f>IF(ISBLANK(C759),"",
   IFERROR(
      IF(
         INDEX(DB_materiali!C$2:C$5000,
               MATCH(C759, DB_materiali!A$2:A$5000, 0)
         )="FALSE",
         "N",
         "Y"
      ),
   "")
)</f>
        <v/>
      </c>
      <c r="H759" s="20"/>
      <c r="I759" s="20"/>
      <c r="J759" s="20"/>
      <c r="K759" s="20"/>
      <c r="M759" s="2" t="str">
        <f>IF(ISBLANK(C759),"",IF(IFERROR(VLOOKUP(C759,DB_materiali!$A$2:$A$5000,1,FALSE),"Kļūda artikulā")=C759,"✔",tulkojums!A$42))</f>
        <v/>
      </c>
      <c r="N759" s="2" t="str">
        <f>IF(ISBLANK(C759),"",IF(ISNUMBER(F759)=TRUE,"✔",tulkojums!A$43))</f>
        <v/>
      </c>
      <c r="O759" s="2" t="str">
        <f>IF(ISBLANK(C759),"",IF(G759="Y","✔",IF(G759="X","✔",IF(G759="N","✔",tulkojums!A$44))))</f>
        <v/>
      </c>
      <c r="P759" s="2" t="str">
        <f>IF(ISBLANK(H759),"",IF(INDEX(DB_materiali!$E$2:$E$5000,MATCH($C759,DB_materiali!$A$2:$A$5000,0))&gt;=INDEX(DB_malas!$C$2:$C$5000,MATCH(H759,DB_malas!$A$2:$A$5000,0)),IF(INDEX(DB_materiali!$E$2:$E$5000,MATCH($C759,DB_materiali!$A$2:$A$5000,0))&lt;=INDEX(DB_malas!$D$2:$D$5000,MATCH(H759,DB_malas!$A$2:$A$5000,0)),IF(OR(INDEX(DB_materiali!$B$2:$B$5000,MATCH($C759,DB_materiali!$A$2:$A$5000,0))=INDEX(DB_malas!$B$2:$B$5000,MATCH(H759,DB_malas!$A$2:$A$5000,0)),$H759="ORG"),"✔",tulkojums!$A$38),tulkojums!$A$39),tulkojums!$A$39))</f>
        <v/>
      </c>
      <c r="Q759" s="2" t="str">
        <f>IF(ISBLANK(I759),"",IF(INDEX(DB_materiali!$E$2:$E$5000,MATCH($C759,DB_materiali!$A$2:$A$5000,0))&gt;=INDEX(DB_malas!$C$2:$C$5000,MATCH(I759,DB_malas!$A$2:$A$5000,0)),IF(INDEX(DB_materiali!$E$2:$E$5000,MATCH($C759,DB_materiali!$A$2:$A$5000,0))&lt;=INDEX(DB_malas!$D$2:$D$5000,MATCH(I759,DB_malas!$A$2:$A$5000,0)),IF(OR(INDEX(DB_materiali!$B$2:$B$5000,MATCH($C759,DB_materiali!$A$2:$A$5000,0))=INDEX(DB_malas!$B$2:$B$5000,MATCH(I759,DB_malas!$A$2:$A$5000,0)),$H759="ORG"),"✔",tulkojums!$A$38),tulkojums!$A$39),tulkojums!$A$39))</f>
        <v/>
      </c>
      <c r="R759" s="2" t="str">
        <f>IF(ISBLANK(J759),"",IF(INDEX(DB_materiali!$E$2:$E$5000,MATCH($C759,DB_materiali!$A$2:$A$5000,0))&gt;=INDEX(DB_malas!$C$2:$C$5000,MATCH(J759,DB_malas!$A$2:$A$5000,0)),IF(INDEX(DB_materiali!$E$2:$E$5000,MATCH($C759,DB_materiali!$A$2:$A$5000,0))&lt;=INDEX(DB_malas!$D$2:$D$5000,MATCH(J759,DB_malas!$A$2:$A$5000,0)),IF(INDEX(DB_materiali!$B$2:$B$5000,MATCH($C759,DB_materiali!$A$2:$A$5000,0))=INDEX(DB_malas!$B$2:$B$5000,MATCH(J759,DB_malas!$A$2:$A$5000,0)),"✔",tulkojums!$A$38),tulkojums!$A$39),tulkojums!$A$39))</f>
        <v/>
      </c>
      <c r="S759" s="2" t="str">
        <f>IF(ISBLANK(K759),"",IF(INDEX(DB_materiali!$E$2:$E$5000,MATCH($C759,DB_materiali!$A$2:$A$5000,0))&gt;=INDEX(DB_malas!$C$2:$C$5000,MATCH(K759,DB_malas!$A$2:$A$5000,0)),IF(INDEX(DB_materiali!$E$2:$E$5000,MATCH($C759,DB_materiali!$A$2:$A$5000,0))&lt;=INDEX(DB_malas!$D$2:$D$5000,MATCH(K759,DB_malas!$A$2:$A$5000,0)),IF(INDEX(DB_materiali!$B$2:$B$5000,MATCH($C759,DB_materiali!$A$2:$A$5000,0))=INDEX(DB_malas!$B$2:$B$5000,MATCH(K759,DB_malas!$A$2:$A$5000,0)),"✔",tulkojums!$A$38),tulkojums!$A$39),tulkojums!$A$39))</f>
        <v/>
      </c>
      <c r="T759" s="2"/>
      <c r="U759" s="2"/>
      <c r="V759" s="2"/>
      <c r="W759" s="2"/>
      <c r="X759" s="2"/>
      <c r="Y759" s="2"/>
      <c r="Z759" s="2"/>
    </row>
    <row r="760" spans="1:26" ht="15.75" customHeight="1">
      <c r="A760" s="17"/>
      <c r="B760" s="18"/>
      <c r="C760" s="19"/>
      <c r="D760" s="55"/>
      <c r="E760" s="55"/>
      <c r="F760" s="56"/>
      <c r="G760" s="57" t="str">
        <f>IF(ISBLANK(C760),"",
   IFERROR(
      IF(
         INDEX(DB_materiali!C$2:C$5000,
               MATCH(C760, DB_materiali!A$2:A$5000, 0)
         )="FALSE",
         "N",
         "Y"
      ),
   "")
)</f>
        <v/>
      </c>
      <c r="H760" s="20"/>
      <c r="I760" s="20"/>
      <c r="J760" s="20"/>
      <c r="K760" s="20"/>
      <c r="M760" s="2" t="str">
        <f>IF(ISBLANK(C760),"",IF(IFERROR(VLOOKUP(C760,DB_materiali!$A$2:$A$5000,1,FALSE),"Kļūda artikulā")=C760,"✔",tulkojums!A$42))</f>
        <v/>
      </c>
      <c r="N760" s="2" t="str">
        <f>IF(ISBLANK(C760),"",IF(ISNUMBER(F760)=TRUE,"✔",tulkojums!A$43))</f>
        <v/>
      </c>
      <c r="O760" s="2" t="str">
        <f>IF(ISBLANK(C760),"",IF(G760="Y","✔",IF(G760="X","✔",IF(G760="N","✔",tulkojums!A$44))))</f>
        <v/>
      </c>
      <c r="P760" s="2" t="str">
        <f>IF(ISBLANK(H760),"",IF(INDEX(DB_materiali!$E$2:$E$5000,MATCH($C760,DB_materiali!$A$2:$A$5000,0))&gt;=INDEX(DB_malas!$C$2:$C$5000,MATCH(H760,DB_malas!$A$2:$A$5000,0)),IF(INDEX(DB_materiali!$E$2:$E$5000,MATCH($C760,DB_materiali!$A$2:$A$5000,0))&lt;=INDEX(DB_malas!$D$2:$D$5000,MATCH(H760,DB_malas!$A$2:$A$5000,0)),IF(OR(INDEX(DB_materiali!$B$2:$B$5000,MATCH($C760,DB_materiali!$A$2:$A$5000,0))=INDEX(DB_malas!$B$2:$B$5000,MATCH(H760,DB_malas!$A$2:$A$5000,0)),$H760="ORG"),"✔",tulkojums!$A$38),tulkojums!$A$39),tulkojums!$A$39))</f>
        <v/>
      </c>
      <c r="Q760" s="2" t="str">
        <f>IF(ISBLANK(I760),"",IF(INDEX(DB_materiali!$E$2:$E$5000,MATCH($C760,DB_materiali!$A$2:$A$5000,0))&gt;=INDEX(DB_malas!$C$2:$C$5000,MATCH(I760,DB_malas!$A$2:$A$5000,0)),IF(INDEX(DB_materiali!$E$2:$E$5000,MATCH($C760,DB_materiali!$A$2:$A$5000,0))&lt;=INDEX(DB_malas!$D$2:$D$5000,MATCH(I760,DB_malas!$A$2:$A$5000,0)),IF(OR(INDEX(DB_materiali!$B$2:$B$5000,MATCH($C760,DB_materiali!$A$2:$A$5000,0))=INDEX(DB_malas!$B$2:$B$5000,MATCH(I760,DB_malas!$A$2:$A$5000,0)),$H760="ORG"),"✔",tulkojums!$A$38),tulkojums!$A$39),tulkojums!$A$39))</f>
        <v/>
      </c>
      <c r="R760" s="2" t="str">
        <f>IF(ISBLANK(J760),"",IF(INDEX(DB_materiali!$E$2:$E$5000,MATCH($C760,DB_materiali!$A$2:$A$5000,0))&gt;=INDEX(DB_malas!$C$2:$C$5000,MATCH(J760,DB_malas!$A$2:$A$5000,0)),IF(INDEX(DB_materiali!$E$2:$E$5000,MATCH($C760,DB_materiali!$A$2:$A$5000,0))&lt;=INDEX(DB_malas!$D$2:$D$5000,MATCH(J760,DB_malas!$A$2:$A$5000,0)),IF(INDEX(DB_materiali!$B$2:$B$5000,MATCH($C760,DB_materiali!$A$2:$A$5000,0))=INDEX(DB_malas!$B$2:$B$5000,MATCH(J760,DB_malas!$A$2:$A$5000,0)),"✔",tulkojums!$A$38),tulkojums!$A$39),tulkojums!$A$39))</f>
        <v/>
      </c>
      <c r="S760" s="2" t="str">
        <f>IF(ISBLANK(K760),"",IF(INDEX(DB_materiali!$E$2:$E$5000,MATCH($C760,DB_materiali!$A$2:$A$5000,0))&gt;=INDEX(DB_malas!$C$2:$C$5000,MATCH(K760,DB_malas!$A$2:$A$5000,0)),IF(INDEX(DB_materiali!$E$2:$E$5000,MATCH($C760,DB_materiali!$A$2:$A$5000,0))&lt;=INDEX(DB_malas!$D$2:$D$5000,MATCH(K760,DB_malas!$A$2:$A$5000,0)),IF(INDEX(DB_materiali!$B$2:$B$5000,MATCH($C760,DB_materiali!$A$2:$A$5000,0))=INDEX(DB_malas!$B$2:$B$5000,MATCH(K760,DB_malas!$A$2:$A$5000,0)),"✔",tulkojums!$A$38),tulkojums!$A$39),tulkojums!$A$39))</f>
        <v/>
      </c>
      <c r="T760" s="2"/>
      <c r="U760" s="2"/>
      <c r="V760" s="2"/>
      <c r="W760" s="2"/>
      <c r="X760" s="2"/>
      <c r="Y760" s="2"/>
      <c r="Z760" s="2"/>
    </row>
    <row r="761" spans="1:26" ht="15.75" customHeight="1">
      <c r="A761" s="17"/>
      <c r="B761" s="18"/>
      <c r="C761" s="19"/>
      <c r="D761" s="55"/>
      <c r="E761" s="55"/>
      <c r="F761" s="56"/>
      <c r="G761" s="57" t="str">
        <f>IF(ISBLANK(C761),"",
   IFERROR(
      IF(
         INDEX(DB_materiali!C$2:C$5000,
               MATCH(C761, DB_materiali!A$2:A$5000, 0)
         )="FALSE",
         "N",
         "Y"
      ),
   "")
)</f>
        <v/>
      </c>
      <c r="H761" s="20"/>
      <c r="I761" s="20"/>
      <c r="J761" s="20"/>
      <c r="K761" s="20"/>
      <c r="M761" s="2" t="str">
        <f>IF(ISBLANK(C761),"",IF(IFERROR(VLOOKUP(C761,DB_materiali!$A$2:$A$5000,1,FALSE),"Kļūda artikulā")=C761,"✔",tulkojums!A$42))</f>
        <v/>
      </c>
      <c r="N761" s="2" t="str">
        <f>IF(ISBLANK(C761),"",IF(ISNUMBER(F761)=TRUE,"✔",tulkojums!A$43))</f>
        <v/>
      </c>
      <c r="O761" s="2" t="str">
        <f>IF(ISBLANK(C761),"",IF(G761="Y","✔",IF(G761="X","✔",IF(G761="N","✔",tulkojums!A$44))))</f>
        <v/>
      </c>
      <c r="P761" s="2" t="str">
        <f>IF(ISBLANK(H761),"",IF(INDEX(DB_materiali!$E$2:$E$5000,MATCH($C761,DB_materiali!$A$2:$A$5000,0))&gt;=INDEX(DB_malas!$C$2:$C$5000,MATCH(H761,DB_malas!$A$2:$A$5000,0)),IF(INDEX(DB_materiali!$E$2:$E$5000,MATCH($C761,DB_materiali!$A$2:$A$5000,0))&lt;=INDEX(DB_malas!$D$2:$D$5000,MATCH(H761,DB_malas!$A$2:$A$5000,0)),IF(OR(INDEX(DB_materiali!$B$2:$B$5000,MATCH($C761,DB_materiali!$A$2:$A$5000,0))=INDEX(DB_malas!$B$2:$B$5000,MATCH(H761,DB_malas!$A$2:$A$5000,0)),$H761="ORG"),"✔",tulkojums!$A$38),tulkojums!$A$39),tulkojums!$A$39))</f>
        <v/>
      </c>
      <c r="Q761" s="2" t="str">
        <f>IF(ISBLANK(I761),"",IF(INDEX(DB_materiali!$E$2:$E$5000,MATCH($C761,DB_materiali!$A$2:$A$5000,0))&gt;=INDEX(DB_malas!$C$2:$C$5000,MATCH(I761,DB_malas!$A$2:$A$5000,0)),IF(INDEX(DB_materiali!$E$2:$E$5000,MATCH($C761,DB_materiali!$A$2:$A$5000,0))&lt;=INDEX(DB_malas!$D$2:$D$5000,MATCH(I761,DB_malas!$A$2:$A$5000,0)),IF(OR(INDEX(DB_materiali!$B$2:$B$5000,MATCH($C761,DB_materiali!$A$2:$A$5000,0))=INDEX(DB_malas!$B$2:$B$5000,MATCH(I761,DB_malas!$A$2:$A$5000,0)),$H761="ORG"),"✔",tulkojums!$A$38),tulkojums!$A$39),tulkojums!$A$39))</f>
        <v/>
      </c>
      <c r="R761" s="2" t="str">
        <f>IF(ISBLANK(J761),"",IF(INDEX(DB_materiali!$E$2:$E$5000,MATCH($C761,DB_materiali!$A$2:$A$5000,0))&gt;=INDEX(DB_malas!$C$2:$C$5000,MATCH(J761,DB_malas!$A$2:$A$5000,0)),IF(INDEX(DB_materiali!$E$2:$E$5000,MATCH($C761,DB_materiali!$A$2:$A$5000,0))&lt;=INDEX(DB_malas!$D$2:$D$5000,MATCH(J761,DB_malas!$A$2:$A$5000,0)),IF(INDEX(DB_materiali!$B$2:$B$5000,MATCH($C761,DB_materiali!$A$2:$A$5000,0))=INDEX(DB_malas!$B$2:$B$5000,MATCH(J761,DB_malas!$A$2:$A$5000,0)),"✔",tulkojums!$A$38),tulkojums!$A$39),tulkojums!$A$39))</f>
        <v/>
      </c>
      <c r="S761" s="2" t="str">
        <f>IF(ISBLANK(K761),"",IF(INDEX(DB_materiali!$E$2:$E$5000,MATCH($C761,DB_materiali!$A$2:$A$5000,0))&gt;=INDEX(DB_malas!$C$2:$C$5000,MATCH(K761,DB_malas!$A$2:$A$5000,0)),IF(INDEX(DB_materiali!$E$2:$E$5000,MATCH($C761,DB_materiali!$A$2:$A$5000,0))&lt;=INDEX(DB_malas!$D$2:$D$5000,MATCH(K761,DB_malas!$A$2:$A$5000,0)),IF(INDEX(DB_materiali!$B$2:$B$5000,MATCH($C761,DB_materiali!$A$2:$A$5000,0))=INDEX(DB_malas!$B$2:$B$5000,MATCH(K761,DB_malas!$A$2:$A$5000,0)),"✔",tulkojums!$A$38),tulkojums!$A$39),tulkojums!$A$39))</f>
        <v/>
      </c>
      <c r="T761" s="2"/>
      <c r="U761" s="2"/>
      <c r="V761" s="2"/>
      <c r="W761" s="2"/>
      <c r="X761" s="2"/>
      <c r="Y761" s="2"/>
      <c r="Z761" s="2"/>
    </row>
    <row r="762" spans="1:26" ht="15.75" customHeight="1">
      <c r="A762" s="17"/>
      <c r="B762" s="18"/>
      <c r="C762" s="19"/>
      <c r="D762" s="55"/>
      <c r="E762" s="55"/>
      <c r="F762" s="56"/>
      <c r="G762" s="57" t="str">
        <f>IF(ISBLANK(C762),"",
   IFERROR(
      IF(
         INDEX(DB_materiali!C$2:C$5000,
               MATCH(C762, DB_materiali!A$2:A$5000, 0)
         )="FALSE",
         "N",
         "Y"
      ),
   "")
)</f>
        <v/>
      </c>
      <c r="H762" s="20"/>
      <c r="I762" s="20"/>
      <c r="J762" s="20"/>
      <c r="K762" s="20"/>
      <c r="M762" s="2" t="str">
        <f>IF(ISBLANK(C762),"",IF(IFERROR(VLOOKUP(C762,DB_materiali!$A$2:$A$5000,1,FALSE),"Kļūda artikulā")=C762,"✔",tulkojums!A$42))</f>
        <v/>
      </c>
      <c r="N762" s="2" t="str">
        <f>IF(ISBLANK(C762),"",IF(ISNUMBER(F762)=TRUE,"✔",tulkojums!A$43))</f>
        <v/>
      </c>
      <c r="O762" s="2" t="str">
        <f>IF(ISBLANK(C762),"",IF(G762="Y","✔",IF(G762="X","✔",IF(G762="N","✔",tulkojums!A$44))))</f>
        <v/>
      </c>
      <c r="P762" s="2" t="str">
        <f>IF(ISBLANK(H762),"",IF(INDEX(DB_materiali!$E$2:$E$5000,MATCH($C762,DB_materiali!$A$2:$A$5000,0))&gt;=INDEX(DB_malas!$C$2:$C$5000,MATCH(H762,DB_malas!$A$2:$A$5000,0)),IF(INDEX(DB_materiali!$E$2:$E$5000,MATCH($C762,DB_materiali!$A$2:$A$5000,0))&lt;=INDEX(DB_malas!$D$2:$D$5000,MATCH(H762,DB_malas!$A$2:$A$5000,0)),IF(OR(INDEX(DB_materiali!$B$2:$B$5000,MATCH($C762,DB_materiali!$A$2:$A$5000,0))=INDEX(DB_malas!$B$2:$B$5000,MATCH(H762,DB_malas!$A$2:$A$5000,0)),$H762="ORG"),"✔",tulkojums!$A$38),tulkojums!$A$39),tulkojums!$A$39))</f>
        <v/>
      </c>
      <c r="Q762" s="2" t="str">
        <f>IF(ISBLANK(I762),"",IF(INDEX(DB_materiali!$E$2:$E$5000,MATCH($C762,DB_materiali!$A$2:$A$5000,0))&gt;=INDEX(DB_malas!$C$2:$C$5000,MATCH(I762,DB_malas!$A$2:$A$5000,0)),IF(INDEX(DB_materiali!$E$2:$E$5000,MATCH($C762,DB_materiali!$A$2:$A$5000,0))&lt;=INDEX(DB_malas!$D$2:$D$5000,MATCH(I762,DB_malas!$A$2:$A$5000,0)),IF(OR(INDEX(DB_materiali!$B$2:$B$5000,MATCH($C762,DB_materiali!$A$2:$A$5000,0))=INDEX(DB_malas!$B$2:$B$5000,MATCH(I762,DB_malas!$A$2:$A$5000,0)),$H762="ORG"),"✔",tulkojums!$A$38),tulkojums!$A$39),tulkojums!$A$39))</f>
        <v/>
      </c>
      <c r="R762" s="2" t="str">
        <f>IF(ISBLANK(J762),"",IF(INDEX(DB_materiali!$E$2:$E$5000,MATCH($C762,DB_materiali!$A$2:$A$5000,0))&gt;=INDEX(DB_malas!$C$2:$C$5000,MATCH(J762,DB_malas!$A$2:$A$5000,0)),IF(INDEX(DB_materiali!$E$2:$E$5000,MATCH($C762,DB_materiali!$A$2:$A$5000,0))&lt;=INDEX(DB_malas!$D$2:$D$5000,MATCH(J762,DB_malas!$A$2:$A$5000,0)),IF(INDEX(DB_materiali!$B$2:$B$5000,MATCH($C762,DB_materiali!$A$2:$A$5000,0))=INDEX(DB_malas!$B$2:$B$5000,MATCH(J762,DB_malas!$A$2:$A$5000,0)),"✔",tulkojums!$A$38),tulkojums!$A$39),tulkojums!$A$39))</f>
        <v/>
      </c>
      <c r="S762" s="2" t="str">
        <f>IF(ISBLANK(K762),"",IF(INDEX(DB_materiali!$E$2:$E$5000,MATCH($C762,DB_materiali!$A$2:$A$5000,0))&gt;=INDEX(DB_malas!$C$2:$C$5000,MATCH(K762,DB_malas!$A$2:$A$5000,0)),IF(INDEX(DB_materiali!$E$2:$E$5000,MATCH($C762,DB_materiali!$A$2:$A$5000,0))&lt;=INDEX(DB_malas!$D$2:$D$5000,MATCH(K762,DB_malas!$A$2:$A$5000,0)),IF(INDEX(DB_materiali!$B$2:$B$5000,MATCH($C762,DB_materiali!$A$2:$A$5000,0))=INDEX(DB_malas!$B$2:$B$5000,MATCH(K762,DB_malas!$A$2:$A$5000,0)),"✔",tulkojums!$A$38),tulkojums!$A$39),tulkojums!$A$39))</f>
        <v/>
      </c>
      <c r="T762" s="2"/>
      <c r="U762" s="2"/>
      <c r="V762" s="2"/>
      <c r="W762" s="2"/>
      <c r="X762" s="2"/>
      <c r="Y762" s="2"/>
      <c r="Z762" s="2"/>
    </row>
    <row r="763" spans="1:26" ht="15.75" customHeight="1">
      <c r="A763" s="17"/>
      <c r="B763" s="18"/>
      <c r="C763" s="19"/>
      <c r="D763" s="55"/>
      <c r="E763" s="55"/>
      <c r="F763" s="56"/>
      <c r="G763" s="57" t="str">
        <f>IF(ISBLANK(C763),"",
   IFERROR(
      IF(
         INDEX(DB_materiali!C$2:C$5000,
               MATCH(C763, DB_materiali!A$2:A$5000, 0)
         )="FALSE",
         "N",
         "Y"
      ),
   "")
)</f>
        <v/>
      </c>
      <c r="H763" s="20"/>
      <c r="I763" s="20"/>
      <c r="J763" s="20"/>
      <c r="K763" s="20"/>
      <c r="M763" s="2" t="str">
        <f>IF(ISBLANK(C763),"",IF(IFERROR(VLOOKUP(C763,DB_materiali!$A$2:$A$5000,1,FALSE),"Kļūda artikulā")=C763,"✔",tulkojums!A$42))</f>
        <v/>
      </c>
      <c r="N763" s="2" t="str">
        <f>IF(ISBLANK(C763),"",IF(ISNUMBER(F763)=TRUE,"✔",tulkojums!A$43))</f>
        <v/>
      </c>
      <c r="O763" s="2" t="str">
        <f>IF(ISBLANK(C763),"",IF(G763="Y","✔",IF(G763="X","✔",IF(G763="N","✔",tulkojums!A$44))))</f>
        <v/>
      </c>
      <c r="P763" s="2" t="str">
        <f>IF(ISBLANK(H763),"",IF(INDEX(DB_materiali!$E$2:$E$5000,MATCH($C763,DB_materiali!$A$2:$A$5000,0))&gt;=INDEX(DB_malas!$C$2:$C$5000,MATCH(H763,DB_malas!$A$2:$A$5000,0)),IF(INDEX(DB_materiali!$E$2:$E$5000,MATCH($C763,DB_materiali!$A$2:$A$5000,0))&lt;=INDEX(DB_malas!$D$2:$D$5000,MATCH(H763,DB_malas!$A$2:$A$5000,0)),IF(OR(INDEX(DB_materiali!$B$2:$B$5000,MATCH($C763,DB_materiali!$A$2:$A$5000,0))=INDEX(DB_malas!$B$2:$B$5000,MATCH(H763,DB_malas!$A$2:$A$5000,0)),$H763="ORG"),"✔",tulkojums!$A$38),tulkojums!$A$39),tulkojums!$A$39))</f>
        <v/>
      </c>
      <c r="Q763" s="2" t="str">
        <f>IF(ISBLANK(I763),"",IF(INDEX(DB_materiali!$E$2:$E$5000,MATCH($C763,DB_materiali!$A$2:$A$5000,0))&gt;=INDEX(DB_malas!$C$2:$C$5000,MATCH(I763,DB_malas!$A$2:$A$5000,0)),IF(INDEX(DB_materiali!$E$2:$E$5000,MATCH($C763,DB_materiali!$A$2:$A$5000,0))&lt;=INDEX(DB_malas!$D$2:$D$5000,MATCH(I763,DB_malas!$A$2:$A$5000,0)),IF(OR(INDEX(DB_materiali!$B$2:$B$5000,MATCH($C763,DB_materiali!$A$2:$A$5000,0))=INDEX(DB_malas!$B$2:$B$5000,MATCH(I763,DB_malas!$A$2:$A$5000,0)),$H763="ORG"),"✔",tulkojums!$A$38),tulkojums!$A$39),tulkojums!$A$39))</f>
        <v/>
      </c>
      <c r="R763" s="2" t="str">
        <f>IF(ISBLANK(J763),"",IF(INDEX(DB_materiali!$E$2:$E$5000,MATCH($C763,DB_materiali!$A$2:$A$5000,0))&gt;=INDEX(DB_malas!$C$2:$C$5000,MATCH(J763,DB_malas!$A$2:$A$5000,0)),IF(INDEX(DB_materiali!$E$2:$E$5000,MATCH($C763,DB_materiali!$A$2:$A$5000,0))&lt;=INDEX(DB_malas!$D$2:$D$5000,MATCH(J763,DB_malas!$A$2:$A$5000,0)),IF(INDEX(DB_materiali!$B$2:$B$5000,MATCH($C763,DB_materiali!$A$2:$A$5000,0))=INDEX(DB_malas!$B$2:$B$5000,MATCH(J763,DB_malas!$A$2:$A$5000,0)),"✔",tulkojums!$A$38),tulkojums!$A$39),tulkojums!$A$39))</f>
        <v/>
      </c>
      <c r="S763" s="2" t="str">
        <f>IF(ISBLANK(K763),"",IF(INDEX(DB_materiali!$E$2:$E$5000,MATCH($C763,DB_materiali!$A$2:$A$5000,0))&gt;=INDEX(DB_malas!$C$2:$C$5000,MATCH(K763,DB_malas!$A$2:$A$5000,0)),IF(INDEX(DB_materiali!$E$2:$E$5000,MATCH($C763,DB_materiali!$A$2:$A$5000,0))&lt;=INDEX(DB_malas!$D$2:$D$5000,MATCH(K763,DB_malas!$A$2:$A$5000,0)),IF(INDEX(DB_materiali!$B$2:$B$5000,MATCH($C763,DB_materiali!$A$2:$A$5000,0))=INDEX(DB_malas!$B$2:$B$5000,MATCH(K763,DB_malas!$A$2:$A$5000,0)),"✔",tulkojums!$A$38),tulkojums!$A$39),tulkojums!$A$39))</f>
        <v/>
      </c>
      <c r="T763" s="2"/>
      <c r="U763" s="2"/>
      <c r="V763" s="2"/>
      <c r="W763" s="2"/>
      <c r="X763" s="2"/>
      <c r="Y763" s="2"/>
      <c r="Z763" s="2"/>
    </row>
    <row r="764" spans="1:26" ht="15.75" customHeight="1">
      <c r="A764" s="17"/>
      <c r="B764" s="18"/>
      <c r="C764" s="19"/>
      <c r="D764" s="55"/>
      <c r="E764" s="55"/>
      <c r="F764" s="56"/>
      <c r="G764" s="57" t="str">
        <f>IF(ISBLANK(C764),"",
   IFERROR(
      IF(
         INDEX(DB_materiali!C$2:C$5000,
               MATCH(C764, DB_materiali!A$2:A$5000, 0)
         )="FALSE",
         "N",
         "Y"
      ),
   "")
)</f>
        <v/>
      </c>
      <c r="H764" s="20"/>
      <c r="I764" s="20"/>
      <c r="J764" s="20"/>
      <c r="K764" s="20"/>
      <c r="M764" s="2" t="str">
        <f>IF(ISBLANK(C764),"",IF(IFERROR(VLOOKUP(C764,DB_materiali!$A$2:$A$5000,1,FALSE),"Kļūda artikulā")=C764,"✔",tulkojums!A$42))</f>
        <v/>
      </c>
      <c r="N764" s="2" t="str">
        <f>IF(ISBLANK(C764),"",IF(ISNUMBER(F764)=TRUE,"✔",tulkojums!A$43))</f>
        <v/>
      </c>
      <c r="O764" s="2" t="str">
        <f>IF(ISBLANK(C764),"",IF(G764="Y","✔",IF(G764="X","✔",IF(G764="N","✔",tulkojums!A$44))))</f>
        <v/>
      </c>
      <c r="P764" s="2" t="str">
        <f>IF(ISBLANK(H764),"",IF(INDEX(DB_materiali!$E$2:$E$5000,MATCH($C764,DB_materiali!$A$2:$A$5000,0))&gt;=INDEX(DB_malas!$C$2:$C$5000,MATCH(H764,DB_malas!$A$2:$A$5000,0)),IF(INDEX(DB_materiali!$E$2:$E$5000,MATCH($C764,DB_materiali!$A$2:$A$5000,0))&lt;=INDEX(DB_malas!$D$2:$D$5000,MATCH(H764,DB_malas!$A$2:$A$5000,0)),IF(OR(INDEX(DB_materiali!$B$2:$B$5000,MATCH($C764,DB_materiali!$A$2:$A$5000,0))=INDEX(DB_malas!$B$2:$B$5000,MATCH(H764,DB_malas!$A$2:$A$5000,0)),$H764="ORG"),"✔",tulkojums!$A$38),tulkojums!$A$39),tulkojums!$A$39))</f>
        <v/>
      </c>
      <c r="Q764" s="2" t="str">
        <f>IF(ISBLANK(I764),"",IF(INDEX(DB_materiali!$E$2:$E$5000,MATCH($C764,DB_materiali!$A$2:$A$5000,0))&gt;=INDEX(DB_malas!$C$2:$C$5000,MATCH(I764,DB_malas!$A$2:$A$5000,0)),IF(INDEX(DB_materiali!$E$2:$E$5000,MATCH($C764,DB_materiali!$A$2:$A$5000,0))&lt;=INDEX(DB_malas!$D$2:$D$5000,MATCH(I764,DB_malas!$A$2:$A$5000,0)),IF(OR(INDEX(DB_materiali!$B$2:$B$5000,MATCH($C764,DB_materiali!$A$2:$A$5000,0))=INDEX(DB_malas!$B$2:$B$5000,MATCH(I764,DB_malas!$A$2:$A$5000,0)),$H764="ORG"),"✔",tulkojums!$A$38),tulkojums!$A$39),tulkojums!$A$39))</f>
        <v/>
      </c>
      <c r="R764" s="2" t="str">
        <f>IF(ISBLANK(J764),"",IF(INDEX(DB_materiali!$E$2:$E$5000,MATCH($C764,DB_materiali!$A$2:$A$5000,0))&gt;=INDEX(DB_malas!$C$2:$C$5000,MATCH(J764,DB_malas!$A$2:$A$5000,0)),IF(INDEX(DB_materiali!$E$2:$E$5000,MATCH($C764,DB_materiali!$A$2:$A$5000,0))&lt;=INDEX(DB_malas!$D$2:$D$5000,MATCH(J764,DB_malas!$A$2:$A$5000,0)),IF(INDEX(DB_materiali!$B$2:$B$5000,MATCH($C764,DB_materiali!$A$2:$A$5000,0))=INDEX(DB_malas!$B$2:$B$5000,MATCH(J764,DB_malas!$A$2:$A$5000,0)),"✔",tulkojums!$A$38),tulkojums!$A$39),tulkojums!$A$39))</f>
        <v/>
      </c>
      <c r="S764" s="2" t="str">
        <f>IF(ISBLANK(K764),"",IF(INDEX(DB_materiali!$E$2:$E$5000,MATCH($C764,DB_materiali!$A$2:$A$5000,0))&gt;=INDEX(DB_malas!$C$2:$C$5000,MATCH(K764,DB_malas!$A$2:$A$5000,0)),IF(INDEX(DB_materiali!$E$2:$E$5000,MATCH($C764,DB_materiali!$A$2:$A$5000,0))&lt;=INDEX(DB_malas!$D$2:$D$5000,MATCH(K764,DB_malas!$A$2:$A$5000,0)),IF(INDEX(DB_materiali!$B$2:$B$5000,MATCH($C764,DB_materiali!$A$2:$A$5000,0))=INDEX(DB_malas!$B$2:$B$5000,MATCH(K764,DB_malas!$A$2:$A$5000,0)),"✔",tulkojums!$A$38),tulkojums!$A$39),tulkojums!$A$39))</f>
        <v/>
      </c>
      <c r="T764" s="2"/>
      <c r="U764" s="2"/>
      <c r="V764" s="2"/>
      <c r="W764" s="2"/>
      <c r="X764" s="2"/>
      <c r="Y764" s="2"/>
      <c r="Z764" s="2"/>
    </row>
    <row r="765" spans="1:26" ht="15.75" customHeight="1">
      <c r="A765" s="17"/>
      <c r="B765" s="18"/>
      <c r="C765" s="19"/>
      <c r="D765" s="55"/>
      <c r="E765" s="55"/>
      <c r="F765" s="56"/>
      <c r="G765" s="57" t="str">
        <f>IF(ISBLANK(C765),"",
   IFERROR(
      IF(
         INDEX(DB_materiali!C$2:C$5000,
               MATCH(C765, DB_materiali!A$2:A$5000, 0)
         )="FALSE",
         "N",
         "Y"
      ),
   "")
)</f>
        <v/>
      </c>
      <c r="H765" s="20"/>
      <c r="I765" s="20"/>
      <c r="J765" s="20"/>
      <c r="K765" s="20"/>
      <c r="M765" s="2" t="str">
        <f>IF(ISBLANK(C765),"",IF(IFERROR(VLOOKUP(C765,DB_materiali!$A$2:$A$5000,1,FALSE),"Kļūda artikulā")=C765,"✔",tulkojums!A$42))</f>
        <v/>
      </c>
      <c r="N765" s="2" t="str">
        <f>IF(ISBLANK(C765),"",IF(ISNUMBER(F765)=TRUE,"✔",tulkojums!A$43))</f>
        <v/>
      </c>
      <c r="O765" s="2" t="str">
        <f>IF(ISBLANK(C765),"",IF(G765="Y","✔",IF(G765="X","✔",IF(G765="N","✔",tulkojums!A$44))))</f>
        <v/>
      </c>
      <c r="P765" s="2" t="str">
        <f>IF(ISBLANK(H765),"",IF(INDEX(DB_materiali!$E$2:$E$5000,MATCH($C765,DB_materiali!$A$2:$A$5000,0))&gt;=INDEX(DB_malas!$C$2:$C$5000,MATCH(H765,DB_malas!$A$2:$A$5000,0)),IF(INDEX(DB_materiali!$E$2:$E$5000,MATCH($C765,DB_materiali!$A$2:$A$5000,0))&lt;=INDEX(DB_malas!$D$2:$D$5000,MATCH(H765,DB_malas!$A$2:$A$5000,0)),IF(OR(INDEX(DB_materiali!$B$2:$B$5000,MATCH($C765,DB_materiali!$A$2:$A$5000,0))=INDEX(DB_malas!$B$2:$B$5000,MATCH(H765,DB_malas!$A$2:$A$5000,0)),$H765="ORG"),"✔",tulkojums!$A$38),tulkojums!$A$39),tulkojums!$A$39))</f>
        <v/>
      </c>
      <c r="Q765" s="2" t="str">
        <f>IF(ISBLANK(I765),"",IF(INDEX(DB_materiali!$E$2:$E$5000,MATCH($C765,DB_materiali!$A$2:$A$5000,0))&gt;=INDEX(DB_malas!$C$2:$C$5000,MATCH(I765,DB_malas!$A$2:$A$5000,0)),IF(INDEX(DB_materiali!$E$2:$E$5000,MATCH($C765,DB_materiali!$A$2:$A$5000,0))&lt;=INDEX(DB_malas!$D$2:$D$5000,MATCH(I765,DB_malas!$A$2:$A$5000,0)),IF(OR(INDEX(DB_materiali!$B$2:$B$5000,MATCH($C765,DB_materiali!$A$2:$A$5000,0))=INDEX(DB_malas!$B$2:$B$5000,MATCH(I765,DB_malas!$A$2:$A$5000,0)),$H765="ORG"),"✔",tulkojums!$A$38),tulkojums!$A$39),tulkojums!$A$39))</f>
        <v/>
      </c>
      <c r="R765" s="2" t="str">
        <f>IF(ISBLANK(J765),"",IF(INDEX(DB_materiali!$E$2:$E$5000,MATCH($C765,DB_materiali!$A$2:$A$5000,0))&gt;=INDEX(DB_malas!$C$2:$C$5000,MATCH(J765,DB_malas!$A$2:$A$5000,0)),IF(INDEX(DB_materiali!$E$2:$E$5000,MATCH($C765,DB_materiali!$A$2:$A$5000,0))&lt;=INDEX(DB_malas!$D$2:$D$5000,MATCH(J765,DB_malas!$A$2:$A$5000,0)),IF(INDEX(DB_materiali!$B$2:$B$5000,MATCH($C765,DB_materiali!$A$2:$A$5000,0))=INDEX(DB_malas!$B$2:$B$5000,MATCH(J765,DB_malas!$A$2:$A$5000,0)),"✔",tulkojums!$A$38),tulkojums!$A$39),tulkojums!$A$39))</f>
        <v/>
      </c>
      <c r="S765" s="2" t="str">
        <f>IF(ISBLANK(K765),"",IF(INDEX(DB_materiali!$E$2:$E$5000,MATCH($C765,DB_materiali!$A$2:$A$5000,0))&gt;=INDEX(DB_malas!$C$2:$C$5000,MATCH(K765,DB_malas!$A$2:$A$5000,0)),IF(INDEX(DB_materiali!$E$2:$E$5000,MATCH($C765,DB_materiali!$A$2:$A$5000,0))&lt;=INDEX(DB_malas!$D$2:$D$5000,MATCH(K765,DB_malas!$A$2:$A$5000,0)),IF(INDEX(DB_materiali!$B$2:$B$5000,MATCH($C765,DB_materiali!$A$2:$A$5000,0))=INDEX(DB_malas!$B$2:$B$5000,MATCH(K765,DB_malas!$A$2:$A$5000,0)),"✔",tulkojums!$A$38),tulkojums!$A$39),tulkojums!$A$39))</f>
        <v/>
      </c>
      <c r="T765" s="2"/>
      <c r="U765" s="2"/>
      <c r="V765" s="2"/>
      <c r="W765" s="2"/>
      <c r="X765" s="2"/>
      <c r="Y765" s="2"/>
      <c r="Z765" s="2"/>
    </row>
    <row r="766" spans="1:26" ht="15.75" customHeight="1">
      <c r="A766" s="17"/>
      <c r="B766" s="18"/>
      <c r="C766" s="19"/>
      <c r="D766" s="55"/>
      <c r="E766" s="55"/>
      <c r="F766" s="56"/>
      <c r="G766" s="57" t="str">
        <f>IF(ISBLANK(C766),"",
   IFERROR(
      IF(
         INDEX(DB_materiali!C$2:C$5000,
               MATCH(C766, DB_materiali!A$2:A$5000, 0)
         )="FALSE",
         "N",
         "Y"
      ),
   "")
)</f>
        <v/>
      </c>
      <c r="H766" s="20"/>
      <c r="I766" s="20"/>
      <c r="J766" s="20"/>
      <c r="K766" s="20"/>
      <c r="M766" s="2" t="str">
        <f>IF(ISBLANK(C766),"",IF(IFERROR(VLOOKUP(C766,DB_materiali!$A$2:$A$5000,1,FALSE),"Kļūda artikulā")=C766,"✔",tulkojums!A$42))</f>
        <v/>
      </c>
      <c r="N766" s="2" t="str">
        <f>IF(ISBLANK(C766),"",IF(ISNUMBER(F766)=TRUE,"✔",tulkojums!A$43))</f>
        <v/>
      </c>
      <c r="O766" s="2" t="str">
        <f>IF(ISBLANK(C766),"",IF(G766="Y","✔",IF(G766="X","✔",IF(G766="N","✔",tulkojums!A$44))))</f>
        <v/>
      </c>
      <c r="P766" s="2" t="str">
        <f>IF(ISBLANK(H766),"",IF(INDEX(DB_materiali!$E$2:$E$5000,MATCH($C766,DB_materiali!$A$2:$A$5000,0))&gt;=INDEX(DB_malas!$C$2:$C$5000,MATCH(H766,DB_malas!$A$2:$A$5000,0)),IF(INDEX(DB_materiali!$E$2:$E$5000,MATCH($C766,DB_materiali!$A$2:$A$5000,0))&lt;=INDEX(DB_malas!$D$2:$D$5000,MATCH(H766,DB_malas!$A$2:$A$5000,0)),IF(OR(INDEX(DB_materiali!$B$2:$B$5000,MATCH($C766,DB_materiali!$A$2:$A$5000,0))=INDEX(DB_malas!$B$2:$B$5000,MATCH(H766,DB_malas!$A$2:$A$5000,0)),$H766="ORG"),"✔",tulkojums!$A$38),tulkojums!$A$39),tulkojums!$A$39))</f>
        <v/>
      </c>
      <c r="Q766" s="2" t="str">
        <f>IF(ISBLANK(I766),"",IF(INDEX(DB_materiali!$E$2:$E$5000,MATCH($C766,DB_materiali!$A$2:$A$5000,0))&gt;=INDEX(DB_malas!$C$2:$C$5000,MATCH(I766,DB_malas!$A$2:$A$5000,0)),IF(INDEX(DB_materiali!$E$2:$E$5000,MATCH($C766,DB_materiali!$A$2:$A$5000,0))&lt;=INDEX(DB_malas!$D$2:$D$5000,MATCH(I766,DB_malas!$A$2:$A$5000,0)),IF(OR(INDEX(DB_materiali!$B$2:$B$5000,MATCH($C766,DB_materiali!$A$2:$A$5000,0))=INDEX(DB_malas!$B$2:$B$5000,MATCH(I766,DB_malas!$A$2:$A$5000,0)),$H766="ORG"),"✔",tulkojums!$A$38),tulkojums!$A$39),tulkojums!$A$39))</f>
        <v/>
      </c>
      <c r="R766" s="2" t="str">
        <f>IF(ISBLANK(J766),"",IF(INDEX(DB_materiali!$E$2:$E$5000,MATCH($C766,DB_materiali!$A$2:$A$5000,0))&gt;=INDEX(DB_malas!$C$2:$C$5000,MATCH(J766,DB_malas!$A$2:$A$5000,0)),IF(INDEX(DB_materiali!$E$2:$E$5000,MATCH($C766,DB_materiali!$A$2:$A$5000,0))&lt;=INDEX(DB_malas!$D$2:$D$5000,MATCH(J766,DB_malas!$A$2:$A$5000,0)),IF(INDEX(DB_materiali!$B$2:$B$5000,MATCH($C766,DB_materiali!$A$2:$A$5000,0))=INDEX(DB_malas!$B$2:$B$5000,MATCH(J766,DB_malas!$A$2:$A$5000,0)),"✔",tulkojums!$A$38),tulkojums!$A$39),tulkojums!$A$39))</f>
        <v/>
      </c>
      <c r="S766" s="2" t="str">
        <f>IF(ISBLANK(K766),"",IF(INDEX(DB_materiali!$E$2:$E$5000,MATCH($C766,DB_materiali!$A$2:$A$5000,0))&gt;=INDEX(DB_malas!$C$2:$C$5000,MATCH(K766,DB_malas!$A$2:$A$5000,0)),IF(INDEX(DB_materiali!$E$2:$E$5000,MATCH($C766,DB_materiali!$A$2:$A$5000,0))&lt;=INDEX(DB_malas!$D$2:$D$5000,MATCH(K766,DB_malas!$A$2:$A$5000,0)),IF(INDEX(DB_materiali!$B$2:$B$5000,MATCH($C766,DB_materiali!$A$2:$A$5000,0))=INDEX(DB_malas!$B$2:$B$5000,MATCH(K766,DB_malas!$A$2:$A$5000,0)),"✔",tulkojums!$A$38),tulkojums!$A$39),tulkojums!$A$39))</f>
        <v/>
      </c>
      <c r="T766" s="2"/>
      <c r="U766" s="2"/>
      <c r="V766" s="2"/>
      <c r="W766" s="2"/>
      <c r="X766" s="2"/>
      <c r="Y766" s="2"/>
      <c r="Z766" s="2"/>
    </row>
    <row r="767" spans="1:26" ht="15.75" customHeight="1">
      <c r="A767" s="17"/>
      <c r="B767" s="18"/>
      <c r="C767" s="19"/>
      <c r="D767" s="55"/>
      <c r="E767" s="55"/>
      <c r="F767" s="56"/>
      <c r="G767" s="57" t="str">
        <f>IF(ISBLANK(C767),"",
   IFERROR(
      IF(
         INDEX(DB_materiali!C$2:C$5000,
               MATCH(C767, DB_materiali!A$2:A$5000, 0)
         )="FALSE",
         "N",
         "Y"
      ),
   "")
)</f>
        <v/>
      </c>
      <c r="H767" s="20"/>
      <c r="I767" s="20"/>
      <c r="J767" s="20"/>
      <c r="K767" s="20"/>
      <c r="M767" s="2" t="str">
        <f>IF(ISBLANK(C767),"",IF(IFERROR(VLOOKUP(C767,DB_materiali!$A$2:$A$5000,1,FALSE),"Kļūda artikulā")=C767,"✔",tulkojums!A$42))</f>
        <v/>
      </c>
      <c r="N767" s="2" t="str">
        <f>IF(ISBLANK(C767),"",IF(ISNUMBER(F767)=TRUE,"✔",tulkojums!A$43))</f>
        <v/>
      </c>
      <c r="O767" s="2" t="str">
        <f>IF(ISBLANK(C767),"",IF(G767="Y","✔",IF(G767="X","✔",IF(G767="N","✔",tulkojums!A$44))))</f>
        <v/>
      </c>
      <c r="P767" s="2" t="str">
        <f>IF(ISBLANK(H767),"",IF(INDEX(DB_materiali!$E$2:$E$5000,MATCH($C767,DB_materiali!$A$2:$A$5000,0))&gt;=INDEX(DB_malas!$C$2:$C$5000,MATCH(H767,DB_malas!$A$2:$A$5000,0)),IF(INDEX(DB_materiali!$E$2:$E$5000,MATCH($C767,DB_materiali!$A$2:$A$5000,0))&lt;=INDEX(DB_malas!$D$2:$D$5000,MATCH(H767,DB_malas!$A$2:$A$5000,0)),IF(OR(INDEX(DB_materiali!$B$2:$B$5000,MATCH($C767,DB_materiali!$A$2:$A$5000,0))=INDEX(DB_malas!$B$2:$B$5000,MATCH(H767,DB_malas!$A$2:$A$5000,0)),$H767="ORG"),"✔",tulkojums!$A$38),tulkojums!$A$39),tulkojums!$A$39))</f>
        <v/>
      </c>
      <c r="Q767" s="2" t="str">
        <f>IF(ISBLANK(I767),"",IF(INDEX(DB_materiali!$E$2:$E$5000,MATCH($C767,DB_materiali!$A$2:$A$5000,0))&gt;=INDEX(DB_malas!$C$2:$C$5000,MATCH(I767,DB_malas!$A$2:$A$5000,0)),IF(INDEX(DB_materiali!$E$2:$E$5000,MATCH($C767,DB_materiali!$A$2:$A$5000,0))&lt;=INDEX(DB_malas!$D$2:$D$5000,MATCH(I767,DB_malas!$A$2:$A$5000,0)),IF(OR(INDEX(DB_materiali!$B$2:$B$5000,MATCH($C767,DB_materiali!$A$2:$A$5000,0))=INDEX(DB_malas!$B$2:$B$5000,MATCH(I767,DB_malas!$A$2:$A$5000,0)),$H767="ORG"),"✔",tulkojums!$A$38),tulkojums!$A$39),tulkojums!$A$39))</f>
        <v/>
      </c>
      <c r="R767" s="2" t="str">
        <f>IF(ISBLANK(J767),"",IF(INDEX(DB_materiali!$E$2:$E$5000,MATCH($C767,DB_materiali!$A$2:$A$5000,0))&gt;=INDEX(DB_malas!$C$2:$C$5000,MATCH(J767,DB_malas!$A$2:$A$5000,0)),IF(INDEX(DB_materiali!$E$2:$E$5000,MATCH($C767,DB_materiali!$A$2:$A$5000,0))&lt;=INDEX(DB_malas!$D$2:$D$5000,MATCH(J767,DB_malas!$A$2:$A$5000,0)),IF(INDEX(DB_materiali!$B$2:$B$5000,MATCH($C767,DB_materiali!$A$2:$A$5000,0))=INDEX(DB_malas!$B$2:$B$5000,MATCH(J767,DB_malas!$A$2:$A$5000,0)),"✔",tulkojums!$A$38),tulkojums!$A$39),tulkojums!$A$39))</f>
        <v/>
      </c>
      <c r="S767" s="2" t="str">
        <f>IF(ISBLANK(K767),"",IF(INDEX(DB_materiali!$E$2:$E$5000,MATCH($C767,DB_materiali!$A$2:$A$5000,0))&gt;=INDEX(DB_malas!$C$2:$C$5000,MATCH(K767,DB_malas!$A$2:$A$5000,0)),IF(INDEX(DB_materiali!$E$2:$E$5000,MATCH($C767,DB_materiali!$A$2:$A$5000,0))&lt;=INDEX(DB_malas!$D$2:$D$5000,MATCH(K767,DB_malas!$A$2:$A$5000,0)),IF(INDEX(DB_materiali!$B$2:$B$5000,MATCH($C767,DB_materiali!$A$2:$A$5000,0))=INDEX(DB_malas!$B$2:$B$5000,MATCH(K767,DB_malas!$A$2:$A$5000,0)),"✔",tulkojums!$A$38),tulkojums!$A$39),tulkojums!$A$39))</f>
        <v/>
      </c>
      <c r="T767" s="2"/>
      <c r="U767" s="2"/>
      <c r="V767" s="2"/>
      <c r="W767" s="2"/>
      <c r="X767" s="2"/>
      <c r="Y767" s="2"/>
      <c r="Z767" s="2"/>
    </row>
    <row r="768" spans="1:26" ht="15.75" customHeight="1">
      <c r="A768" s="17"/>
      <c r="B768" s="18"/>
      <c r="C768" s="19"/>
      <c r="D768" s="55"/>
      <c r="E768" s="55"/>
      <c r="F768" s="56"/>
      <c r="G768" s="57" t="str">
        <f>IF(ISBLANK(C768),"",
   IFERROR(
      IF(
         INDEX(DB_materiali!C$2:C$5000,
               MATCH(C768, DB_materiali!A$2:A$5000, 0)
         )="FALSE",
         "N",
         "Y"
      ),
   "")
)</f>
        <v/>
      </c>
      <c r="H768" s="20"/>
      <c r="I768" s="20"/>
      <c r="J768" s="20"/>
      <c r="K768" s="20"/>
      <c r="M768" s="2" t="str">
        <f>IF(ISBLANK(C768),"",IF(IFERROR(VLOOKUP(C768,DB_materiali!$A$2:$A$5000,1,FALSE),"Kļūda artikulā")=C768,"✔",tulkojums!A$42))</f>
        <v/>
      </c>
      <c r="N768" s="2" t="str">
        <f>IF(ISBLANK(C768),"",IF(ISNUMBER(F768)=TRUE,"✔",tulkojums!A$43))</f>
        <v/>
      </c>
      <c r="O768" s="2" t="str">
        <f>IF(ISBLANK(C768),"",IF(G768="Y","✔",IF(G768="X","✔",IF(G768="N","✔",tulkojums!A$44))))</f>
        <v/>
      </c>
      <c r="P768" s="2" t="str">
        <f>IF(ISBLANK(H768),"",IF(INDEX(DB_materiali!$E$2:$E$5000,MATCH($C768,DB_materiali!$A$2:$A$5000,0))&gt;=INDEX(DB_malas!$C$2:$C$5000,MATCH(H768,DB_malas!$A$2:$A$5000,0)),IF(INDEX(DB_materiali!$E$2:$E$5000,MATCH($C768,DB_materiali!$A$2:$A$5000,0))&lt;=INDEX(DB_malas!$D$2:$D$5000,MATCH(H768,DB_malas!$A$2:$A$5000,0)),IF(OR(INDEX(DB_materiali!$B$2:$B$5000,MATCH($C768,DB_materiali!$A$2:$A$5000,0))=INDEX(DB_malas!$B$2:$B$5000,MATCH(H768,DB_malas!$A$2:$A$5000,0)),$H768="ORG"),"✔",tulkojums!$A$38),tulkojums!$A$39),tulkojums!$A$39))</f>
        <v/>
      </c>
      <c r="Q768" s="2" t="str">
        <f>IF(ISBLANK(I768),"",IF(INDEX(DB_materiali!$E$2:$E$5000,MATCH($C768,DB_materiali!$A$2:$A$5000,0))&gt;=INDEX(DB_malas!$C$2:$C$5000,MATCH(I768,DB_malas!$A$2:$A$5000,0)),IF(INDEX(DB_materiali!$E$2:$E$5000,MATCH($C768,DB_materiali!$A$2:$A$5000,0))&lt;=INDEX(DB_malas!$D$2:$D$5000,MATCH(I768,DB_malas!$A$2:$A$5000,0)),IF(OR(INDEX(DB_materiali!$B$2:$B$5000,MATCH($C768,DB_materiali!$A$2:$A$5000,0))=INDEX(DB_malas!$B$2:$B$5000,MATCH(I768,DB_malas!$A$2:$A$5000,0)),$H768="ORG"),"✔",tulkojums!$A$38),tulkojums!$A$39),tulkojums!$A$39))</f>
        <v/>
      </c>
      <c r="R768" s="2" t="str">
        <f>IF(ISBLANK(J768),"",IF(INDEX(DB_materiali!$E$2:$E$5000,MATCH($C768,DB_materiali!$A$2:$A$5000,0))&gt;=INDEX(DB_malas!$C$2:$C$5000,MATCH(J768,DB_malas!$A$2:$A$5000,0)),IF(INDEX(DB_materiali!$E$2:$E$5000,MATCH($C768,DB_materiali!$A$2:$A$5000,0))&lt;=INDEX(DB_malas!$D$2:$D$5000,MATCH(J768,DB_malas!$A$2:$A$5000,0)),IF(INDEX(DB_materiali!$B$2:$B$5000,MATCH($C768,DB_materiali!$A$2:$A$5000,0))=INDEX(DB_malas!$B$2:$B$5000,MATCH(J768,DB_malas!$A$2:$A$5000,0)),"✔",tulkojums!$A$38),tulkojums!$A$39),tulkojums!$A$39))</f>
        <v/>
      </c>
      <c r="S768" s="2" t="str">
        <f>IF(ISBLANK(K768),"",IF(INDEX(DB_materiali!$E$2:$E$5000,MATCH($C768,DB_materiali!$A$2:$A$5000,0))&gt;=INDEX(DB_malas!$C$2:$C$5000,MATCH(K768,DB_malas!$A$2:$A$5000,0)),IF(INDEX(DB_materiali!$E$2:$E$5000,MATCH($C768,DB_materiali!$A$2:$A$5000,0))&lt;=INDEX(DB_malas!$D$2:$D$5000,MATCH(K768,DB_malas!$A$2:$A$5000,0)),IF(INDEX(DB_materiali!$B$2:$B$5000,MATCH($C768,DB_materiali!$A$2:$A$5000,0))=INDEX(DB_malas!$B$2:$B$5000,MATCH(K768,DB_malas!$A$2:$A$5000,0)),"✔",tulkojums!$A$38),tulkojums!$A$39),tulkojums!$A$39))</f>
        <v/>
      </c>
      <c r="T768" s="2"/>
      <c r="U768" s="2"/>
      <c r="V768" s="2"/>
      <c r="W768" s="2"/>
      <c r="X768" s="2"/>
      <c r="Y768" s="2"/>
      <c r="Z768" s="2"/>
    </row>
    <row r="769" spans="1:26" ht="15.75" customHeight="1">
      <c r="A769" s="17"/>
      <c r="B769" s="18"/>
      <c r="C769" s="19"/>
      <c r="D769" s="55"/>
      <c r="E769" s="55"/>
      <c r="F769" s="56"/>
      <c r="G769" s="57" t="str">
        <f>IF(ISBLANK(C769),"",
   IFERROR(
      IF(
         INDEX(DB_materiali!C$2:C$5000,
               MATCH(C769, DB_materiali!A$2:A$5000, 0)
         )="FALSE",
         "N",
         "Y"
      ),
   "")
)</f>
        <v/>
      </c>
      <c r="H769" s="20"/>
      <c r="I769" s="20"/>
      <c r="J769" s="20"/>
      <c r="K769" s="20"/>
      <c r="M769" s="2" t="str">
        <f>IF(ISBLANK(C769),"",IF(IFERROR(VLOOKUP(C769,DB_materiali!$A$2:$A$5000,1,FALSE),"Kļūda artikulā")=C769,"✔",tulkojums!A$42))</f>
        <v/>
      </c>
      <c r="N769" s="2" t="str">
        <f>IF(ISBLANK(C769),"",IF(ISNUMBER(F769)=TRUE,"✔",tulkojums!A$43))</f>
        <v/>
      </c>
      <c r="O769" s="2" t="str">
        <f>IF(ISBLANK(C769),"",IF(G769="Y","✔",IF(G769="X","✔",IF(G769="N","✔",tulkojums!A$44))))</f>
        <v/>
      </c>
      <c r="P769" s="2" t="str">
        <f>IF(ISBLANK(H769),"",IF(INDEX(DB_materiali!$E$2:$E$5000,MATCH($C769,DB_materiali!$A$2:$A$5000,0))&gt;=INDEX(DB_malas!$C$2:$C$5000,MATCH(H769,DB_malas!$A$2:$A$5000,0)),IF(INDEX(DB_materiali!$E$2:$E$5000,MATCH($C769,DB_materiali!$A$2:$A$5000,0))&lt;=INDEX(DB_malas!$D$2:$D$5000,MATCH(H769,DB_malas!$A$2:$A$5000,0)),IF(OR(INDEX(DB_materiali!$B$2:$B$5000,MATCH($C769,DB_materiali!$A$2:$A$5000,0))=INDEX(DB_malas!$B$2:$B$5000,MATCH(H769,DB_malas!$A$2:$A$5000,0)),$H769="ORG"),"✔",tulkojums!$A$38),tulkojums!$A$39),tulkojums!$A$39))</f>
        <v/>
      </c>
      <c r="Q769" s="2" t="str">
        <f>IF(ISBLANK(I769),"",IF(INDEX(DB_materiali!$E$2:$E$5000,MATCH($C769,DB_materiali!$A$2:$A$5000,0))&gt;=INDEX(DB_malas!$C$2:$C$5000,MATCH(I769,DB_malas!$A$2:$A$5000,0)),IF(INDEX(DB_materiali!$E$2:$E$5000,MATCH($C769,DB_materiali!$A$2:$A$5000,0))&lt;=INDEX(DB_malas!$D$2:$D$5000,MATCH(I769,DB_malas!$A$2:$A$5000,0)),IF(OR(INDEX(DB_materiali!$B$2:$B$5000,MATCH($C769,DB_materiali!$A$2:$A$5000,0))=INDEX(DB_malas!$B$2:$B$5000,MATCH(I769,DB_malas!$A$2:$A$5000,0)),$H769="ORG"),"✔",tulkojums!$A$38),tulkojums!$A$39),tulkojums!$A$39))</f>
        <v/>
      </c>
      <c r="R769" s="2" t="str">
        <f>IF(ISBLANK(J769),"",IF(INDEX(DB_materiali!$E$2:$E$5000,MATCH($C769,DB_materiali!$A$2:$A$5000,0))&gt;=INDEX(DB_malas!$C$2:$C$5000,MATCH(J769,DB_malas!$A$2:$A$5000,0)),IF(INDEX(DB_materiali!$E$2:$E$5000,MATCH($C769,DB_materiali!$A$2:$A$5000,0))&lt;=INDEX(DB_malas!$D$2:$D$5000,MATCH(J769,DB_malas!$A$2:$A$5000,0)),IF(INDEX(DB_materiali!$B$2:$B$5000,MATCH($C769,DB_materiali!$A$2:$A$5000,0))=INDEX(DB_malas!$B$2:$B$5000,MATCH(J769,DB_malas!$A$2:$A$5000,0)),"✔",tulkojums!$A$38),tulkojums!$A$39),tulkojums!$A$39))</f>
        <v/>
      </c>
      <c r="S769" s="2" t="str">
        <f>IF(ISBLANK(K769),"",IF(INDEX(DB_materiali!$E$2:$E$5000,MATCH($C769,DB_materiali!$A$2:$A$5000,0))&gt;=INDEX(DB_malas!$C$2:$C$5000,MATCH(K769,DB_malas!$A$2:$A$5000,0)),IF(INDEX(DB_materiali!$E$2:$E$5000,MATCH($C769,DB_materiali!$A$2:$A$5000,0))&lt;=INDEX(DB_malas!$D$2:$D$5000,MATCH(K769,DB_malas!$A$2:$A$5000,0)),IF(INDEX(DB_materiali!$B$2:$B$5000,MATCH($C769,DB_materiali!$A$2:$A$5000,0))=INDEX(DB_malas!$B$2:$B$5000,MATCH(K769,DB_malas!$A$2:$A$5000,0)),"✔",tulkojums!$A$38),tulkojums!$A$39),tulkojums!$A$39))</f>
        <v/>
      </c>
      <c r="T769" s="2"/>
      <c r="U769" s="2"/>
      <c r="V769" s="2"/>
      <c r="W769" s="2"/>
      <c r="X769" s="2"/>
      <c r="Y769" s="2"/>
      <c r="Z769" s="2"/>
    </row>
    <row r="770" spans="1:26" ht="15.75" customHeight="1">
      <c r="A770" s="17"/>
      <c r="B770" s="18"/>
      <c r="C770" s="19"/>
      <c r="D770" s="55"/>
      <c r="E770" s="55"/>
      <c r="F770" s="56"/>
      <c r="G770" s="57" t="str">
        <f>IF(ISBLANK(C770),"",
   IFERROR(
      IF(
         INDEX(DB_materiali!C$2:C$5000,
               MATCH(C770, DB_materiali!A$2:A$5000, 0)
         )="FALSE",
         "N",
         "Y"
      ),
   "")
)</f>
        <v/>
      </c>
      <c r="H770" s="20"/>
      <c r="I770" s="20"/>
      <c r="J770" s="20"/>
      <c r="K770" s="20"/>
      <c r="M770" s="2" t="str">
        <f>IF(ISBLANK(C770),"",IF(IFERROR(VLOOKUP(C770,DB_materiali!$A$2:$A$5000,1,FALSE),"Kļūda artikulā")=C770,"✔",tulkojums!A$42))</f>
        <v/>
      </c>
      <c r="N770" s="2" t="str">
        <f>IF(ISBLANK(C770),"",IF(ISNUMBER(F770)=TRUE,"✔",tulkojums!A$43))</f>
        <v/>
      </c>
      <c r="O770" s="2" t="str">
        <f>IF(ISBLANK(C770),"",IF(G770="Y","✔",IF(G770="X","✔",IF(G770="N","✔",tulkojums!A$44))))</f>
        <v/>
      </c>
      <c r="P770" s="2" t="str">
        <f>IF(ISBLANK(H770),"",IF(INDEX(DB_materiali!$E$2:$E$5000,MATCH($C770,DB_materiali!$A$2:$A$5000,0))&gt;=INDEX(DB_malas!$C$2:$C$5000,MATCH(H770,DB_malas!$A$2:$A$5000,0)),IF(INDEX(DB_materiali!$E$2:$E$5000,MATCH($C770,DB_materiali!$A$2:$A$5000,0))&lt;=INDEX(DB_malas!$D$2:$D$5000,MATCH(H770,DB_malas!$A$2:$A$5000,0)),IF(OR(INDEX(DB_materiali!$B$2:$B$5000,MATCH($C770,DB_materiali!$A$2:$A$5000,0))=INDEX(DB_malas!$B$2:$B$5000,MATCH(H770,DB_malas!$A$2:$A$5000,0)),$H770="ORG"),"✔",tulkojums!$A$38),tulkojums!$A$39),tulkojums!$A$39))</f>
        <v/>
      </c>
      <c r="Q770" s="2" t="str">
        <f>IF(ISBLANK(I770),"",IF(INDEX(DB_materiali!$E$2:$E$5000,MATCH($C770,DB_materiali!$A$2:$A$5000,0))&gt;=INDEX(DB_malas!$C$2:$C$5000,MATCH(I770,DB_malas!$A$2:$A$5000,0)),IF(INDEX(DB_materiali!$E$2:$E$5000,MATCH($C770,DB_materiali!$A$2:$A$5000,0))&lt;=INDEX(DB_malas!$D$2:$D$5000,MATCH(I770,DB_malas!$A$2:$A$5000,0)),IF(OR(INDEX(DB_materiali!$B$2:$B$5000,MATCH($C770,DB_materiali!$A$2:$A$5000,0))=INDEX(DB_malas!$B$2:$B$5000,MATCH(I770,DB_malas!$A$2:$A$5000,0)),$H770="ORG"),"✔",tulkojums!$A$38),tulkojums!$A$39),tulkojums!$A$39))</f>
        <v/>
      </c>
      <c r="R770" s="2" t="str">
        <f>IF(ISBLANK(J770),"",IF(INDEX(DB_materiali!$E$2:$E$5000,MATCH($C770,DB_materiali!$A$2:$A$5000,0))&gt;=INDEX(DB_malas!$C$2:$C$5000,MATCH(J770,DB_malas!$A$2:$A$5000,0)),IF(INDEX(DB_materiali!$E$2:$E$5000,MATCH($C770,DB_materiali!$A$2:$A$5000,0))&lt;=INDEX(DB_malas!$D$2:$D$5000,MATCH(J770,DB_malas!$A$2:$A$5000,0)),IF(INDEX(DB_materiali!$B$2:$B$5000,MATCH($C770,DB_materiali!$A$2:$A$5000,0))=INDEX(DB_malas!$B$2:$B$5000,MATCH(J770,DB_malas!$A$2:$A$5000,0)),"✔",tulkojums!$A$38),tulkojums!$A$39),tulkojums!$A$39))</f>
        <v/>
      </c>
      <c r="S770" s="2" t="str">
        <f>IF(ISBLANK(K770),"",IF(INDEX(DB_materiali!$E$2:$E$5000,MATCH($C770,DB_materiali!$A$2:$A$5000,0))&gt;=INDEX(DB_malas!$C$2:$C$5000,MATCH(K770,DB_malas!$A$2:$A$5000,0)),IF(INDEX(DB_materiali!$E$2:$E$5000,MATCH($C770,DB_materiali!$A$2:$A$5000,0))&lt;=INDEX(DB_malas!$D$2:$D$5000,MATCH(K770,DB_malas!$A$2:$A$5000,0)),IF(INDEX(DB_materiali!$B$2:$B$5000,MATCH($C770,DB_materiali!$A$2:$A$5000,0))=INDEX(DB_malas!$B$2:$B$5000,MATCH(K770,DB_malas!$A$2:$A$5000,0)),"✔",tulkojums!$A$38),tulkojums!$A$39),tulkojums!$A$39))</f>
        <v/>
      </c>
      <c r="T770" s="2"/>
      <c r="U770" s="2"/>
      <c r="V770" s="2"/>
      <c r="W770" s="2"/>
      <c r="X770" s="2"/>
      <c r="Y770" s="2"/>
      <c r="Z770" s="2"/>
    </row>
    <row r="771" spans="1:26" ht="15.75" customHeight="1">
      <c r="A771" s="17"/>
      <c r="B771" s="18"/>
      <c r="C771" s="19"/>
      <c r="D771" s="55"/>
      <c r="E771" s="55"/>
      <c r="F771" s="56"/>
      <c r="G771" s="57" t="str">
        <f>IF(ISBLANK(C771),"",
   IFERROR(
      IF(
         INDEX(DB_materiali!C$2:C$5000,
               MATCH(C771, DB_materiali!A$2:A$5000, 0)
         )="FALSE",
         "N",
         "Y"
      ),
   "")
)</f>
        <v/>
      </c>
      <c r="H771" s="20"/>
      <c r="I771" s="20"/>
      <c r="J771" s="20"/>
      <c r="K771" s="20"/>
      <c r="M771" s="2" t="str">
        <f>IF(ISBLANK(C771),"",IF(IFERROR(VLOOKUP(C771,DB_materiali!$A$2:$A$5000,1,FALSE),"Kļūda artikulā")=C771,"✔",tulkojums!A$42))</f>
        <v/>
      </c>
      <c r="N771" s="2" t="str">
        <f>IF(ISBLANK(C771),"",IF(ISNUMBER(F771)=TRUE,"✔",tulkojums!A$43))</f>
        <v/>
      </c>
      <c r="O771" s="2" t="str">
        <f>IF(ISBLANK(C771),"",IF(G771="Y","✔",IF(G771="X","✔",IF(G771="N","✔",tulkojums!A$44))))</f>
        <v/>
      </c>
      <c r="P771" s="2" t="str">
        <f>IF(ISBLANK(H771),"",IF(INDEX(DB_materiali!$E$2:$E$5000,MATCH($C771,DB_materiali!$A$2:$A$5000,0))&gt;=INDEX(DB_malas!$C$2:$C$5000,MATCH(H771,DB_malas!$A$2:$A$5000,0)),IF(INDEX(DB_materiali!$E$2:$E$5000,MATCH($C771,DB_materiali!$A$2:$A$5000,0))&lt;=INDEX(DB_malas!$D$2:$D$5000,MATCH(H771,DB_malas!$A$2:$A$5000,0)),IF(OR(INDEX(DB_materiali!$B$2:$B$5000,MATCH($C771,DB_materiali!$A$2:$A$5000,0))=INDEX(DB_malas!$B$2:$B$5000,MATCH(H771,DB_malas!$A$2:$A$5000,0)),$H771="ORG"),"✔",tulkojums!$A$38),tulkojums!$A$39),tulkojums!$A$39))</f>
        <v/>
      </c>
      <c r="Q771" s="2" t="str">
        <f>IF(ISBLANK(I771),"",IF(INDEX(DB_materiali!$E$2:$E$5000,MATCH($C771,DB_materiali!$A$2:$A$5000,0))&gt;=INDEX(DB_malas!$C$2:$C$5000,MATCH(I771,DB_malas!$A$2:$A$5000,0)),IF(INDEX(DB_materiali!$E$2:$E$5000,MATCH($C771,DB_materiali!$A$2:$A$5000,0))&lt;=INDEX(DB_malas!$D$2:$D$5000,MATCH(I771,DB_malas!$A$2:$A$5000,0)),IF(OR(INDEX(DB_materiali!$B$2:$B$5000,MATCH($C771,DB_materiali!$A$2:$A$5000,0))=INDEX(DB_malas!$B$2:$B$5000,MATCH(I771,DB_malas!$A$2:$A$5000,0)),$H771="ORG"),"✔",tulkojums!$A$38),tulkojums!$A$39),tulkojums!$A$39))</f>
        <v/>
      </c>
      <c r="R771" s="2" t="str">
        <f>IF(ISBLANK(J771),"",IF(INDEX(DB_materiali!$E$2:$E$5000,MATCH($C771,DB_materiali!$A$2:$A$5000,0))&gt;=INDEX(DB_malas!$C$2:$C$5000,MATCH(J771,DB_malas!$A$2:$A$5000,0)),IF(INDEX(DB_materiali!$E$2:$E$5000,MATCH($C771,DB_materiali!$A$2:$A$5000,0))&lt;=INDEX(DB_malas!$D$2:$D$5000,MATCH(J771,DB_malas!$A$2:$A$5000,0)),IF(INDEX(DB_materiali!$B$2:$B$5000,MATCH($C771,DB_materiali!$A$2:$A$5000,0))=INDEX(DB_malas!$B$2:$B$5000,MATCH(J771,DB_malas!$A$2:$A$5000,0)),"✔",tulkojums!$A$38),tulkojums!$A$39),tulkojums!$A$39))</f>
        <v/>
      </c>
      <c r="S771" s="2" t="str">
        <f>IF(ISBLANK(K771),"",IF(INDEX(DB_materiali!$E$2:$E$5000,MATCH($C771,DB_materiali!$A$2:$A$5000,0))&gt;=INDEX(DB_malas!$C$2:$C$5000,MATCH(K771,DB_malas!$A$2:$A$5000,0)),IF(INDEX(DB_materiali!$E$2:$E$5000,MATCH($C771,DB_materiali!$A$2:$A$5000,0))&lt;=INDEX(DB_malas!$D$2:$D$5000,MATCH(K771,DB_malas!$A$2:$A$5000,0)),IF(INDEX(DB_materiali!$B$2:$B$5000,MATCH($C771,DB_materiali!$A$2:$A$5000,0))=INDEX(DB_malas!$B$2:$B$5000,MATCH(K771,DB_malas!$A$2:$A$5000,0)),"✔",tulkojums!$A$38),tulkojums!$A$39),tulkojums!$A$39))</f>
        <v/>
      </c>
      <c r="T771" s="2"/>
      <c r="U771" s="2"/>
      <c r="V771" s="2"/>
      <c r="W771" s="2"/>
      <c r="X771" s="2"/>
      <c r="Y771" s="2"/>
      <c r="Z771" s="2"/>
    </row>
    <row r="772" spans="1:26" ht="15.75" customHeight="1">
      <c r="A772" s="17"/>
      <c r="B772" s="18"/>
      <c r="C772" s="19"/>
      <c r="D772" s="55"/>
      <c r="E772" s="55"/>
      <c r="F772" s="56"/>
      <c r="G772" s="57" t="str">
        <f>IF(ISBLANK(C772),"",
   IFERROR(
      IF(
         INDEX(DB_materiali!C$2:C$5000,
               MATCH(C772, DB_materiali!A$2:A$5000, 0)
         )="FALSE",
         "N",
         "Y"
      ),
   "")
)</f>
        <v/>
      </c>
      <c r="H772" s="20"/>
      <c r="I772" s="20"/>
      <c r="J772" s="20"/>
      <c r="K772" s="20"/>
      <c r="M772" s="2" t="str">
        <f>IF(ISBLANK(C772),"",IF(IFERROR(VLOOKUP(C772,DB_materiali!$A$2:$A$5000,1,FALSE),"Kļūda artikulā")=C772,"✔",tulkojums!A$42))</f>
        <v/>
      </c>
      <c r="N772" s="2" t="str">
        <f>IF(ISBLANK(C772),"",IF(ISNUMBER(F772)=TRUE,"✔",tulkojums!A$43))</f>
        <v/>
      </c>
      <c r="O772" s="2" t="str">
        <f>IF(ISBLANK(C772),"",IF(G772="Y","✔",IF(G772="X","✔",IF(G772="N","✔",tulkojums!A$44))))</f>
        <v/>
      </c>
      <c r="P772" s="2" t="str">
        <f>IF(ISBLANK(H772),"",IF(INDEX(DB_materiali!$E$2:$E$5000,MATCH($C772,DB_materiali!$A$2:$A$5000,0))&gt;=INDEX(DB_malas!$C$2:$C$5000,MATCH(H772,DB_malas!$A$2:$A$5000,0)),IF(INDEX(DB_materiali!$E$2:$E$5000,MATCH($C772,DB_materiali!$A$2:$A$5000,0))&lt;=INDEX(DB_malas!$D$2:$D$5000,MATCH(H772,DB_malas!$A$2:$A$5000,0)),IF(OR(INDEX(DB_materiali!$B$2:$B$5000,MATCH($C772,DB_materiali!$A$2:$A$5000,0))=INDEX(DB_malas!$B$2:$B$5000,MATCH(H772,DB_malas!$A$2:$A$5000,0)),$H772="ORG"),"✔",tulkojums!$A$38),tulkojums!$A$39),tulkojums!$A$39))</f>
        <v/>
      </c>
      <c r="Q772" s="2" t="str">
        <f>IF(ISBLANK(I772),"",IF(INDEX(DB_materiali!$E$2:$E$5000,MATCH($C772,DB_materiali!$A$2:$A$5000,0))&gt;=INDEX(DB_malas!$C$2:$C$5000,MATCH(I772,DB_malas!$A$2:$A$5000,0)),IF(INDEX(DB_materiali!$E$2:$E$5000,MATCH($C772,DB_materiali!$A$2:$A$5000,0))&lt;=INDEX(DB_malas!$D$2:$D$5000,MATCH(I772,DB_malas!$A$2:$A$5000,0)),IF(OR(INDEX(DB_materiali!$B$2:$B$5000,MATCH($C772,DB_materiali!$A$2:$A$5000,0))=INDEX(DB_malas!$B$2:$B$5000,MATCH(I772,DB_malas!$A$2:$A$5000,0)),$H772="ORG"),"✔",tulkojums!$A$38),tulkojums!$A$39),tulkojums!$A$39))</f>
        <v/>
      </c>
      <c r="R772" s="2" t="str">
        <f>IF(ISBLANK(J772),"",IF(INDEX(DB_materiali!$E$2:$E$5000,MATCH($C772,DB_materiali!$A$2:$A$5000,0))&gt;=INDEX(DB_malas!$C$2:$C$5000,MATCH(J772,DB_malas!$A$2:$A$5000,0)),IF(INDEX(DB_materiali!$E$2:$E$5000,MATCH($C772,DB_materiali!$A$2:$A$5000,0))&lt;=INDEX(DB_malas!$D$2:$D$5000,MATCH(J772,DB_malas!$A$2:$A$5000,0)),IF(INDEX(DB_materiali!$B$2:$B$5000,MATCH($C772,DB_materiali!$A$2:$A$5000,0))=INDEX(DB_malas!$B$2:$B$5000,MATCH(J772,DB_malas!$A$2:$A$5000,0)),"✔",tulkojums!$A$38),tulkojums!$A$39),tulkojums!$A$39))</f>
        <v/>
      </c>
      <c r="S772" s="2" t="str">
        <f>IF(ISBLANK(K772),"",IF(INDEX(DB_materiali!$E$2:$E$5000,MATCH($C772,DB_materiali!$A$2:$A$5000,0))&gt;=INDEX(DB_malas!$C$2:$C$5000,MATCH(K772,DB_malas!$A$2:$A$5000,0)),IF(INDEX(DB_materiali!$E$2:$E$5000,MATCH($C772,DB_materiali!$A$2:$A$5000,0))&lt;=INDEX(DB_malas!$D$2:$D$5000,MATCH(K772,DB_malas!$A$2:$A$5000,0)),IF(INDEX(DB_materiali!$B$2:$B$5000,MATCH($C772,DB_materiali!$A$2:$A$5000,0))=INDEX(DB_malas!$B$2:$B$5000,MATCH(K772,DB_malas!$A$2:$A$5000,0)),"✔",tulkojums!$A$38),tulkojums!$A$39),tulkojums!$A$39))</f>
        <v/>
      </c>
      <c r="T772" s="2"/>
      <c r="U772" s="2"/>
      <c r="V772" s="2"/>
      <c r="W772" s="2"/>
      <c r="X772" s="2"/>
      <c r="Y772" s="2"/>
      <c r="Z772" s="2"/>
    </row>
    <row r="773" spans="1:26" ht="15.75" customHeight="1">
      <c r="A773" s="17"/>
      <c r="B773" s="18"/>
      <c r="C773" s="19"/>
      <c r="D773" s="55"/>
      <c r="E773" s="55"/>
      <c r="F773" s="56"/>
      <c r="G773" s="57" t="str">
        <f>IF(ISBLANK(C773),"",
   IFERROR(
      IF(
         INDEX(DB_materiali!C$2:C$5000,
               MATCH(C773, DB_materiali!A$2:A$5000, 0)
         )="FALSE",
         "N",
         "Y"
      ),
   "")
)</f>
        <v/>
      </c>
      <c r="H773" s="20"/>
      <c r="I773" s="20"/>
      <c r="J773" s="20"/>
      <c r="K773" s="20"/>
      <c r="M773" s="2" t="str">
        <f>IF(ISBLANK(C773),"",IF(IFERROR(VLOOKUP(C773,DB_materiali!$A$2:$A$5000,1,FALSE),"Kļūda artikulā")=C773,"✔",tulkojums!A$42))</f>
        <v/>
      </c>
      <c r="N773" s="2" t="str">
        <f>IF(ISBLANK(C773),"",IF(ISNUMBER(F773)=TRUE,"✔",tulkojums!A$43))</f>
        <v/>
      </c>
      <c r="O773" s="2" t="str">
        <f>IF(ISBLANK(C773),"",IF(G773="Y","✔",IF(G773="X","✔",IF(G773="N","✔",tulkojums!A$44))))</f>
        <v/>
      </c>
      <c r="P773" s="2" t="str">
        <f>IF(ISBLANK(H773),"",IF(INDEX(DB_materiali!$E$2:$E$5000,MATCH($C773,DB_materiali!$A$2:$A$5000,0))&gt;=INDEX(DB_malas!$C$2:$C$5000,MATCH(H773,DB_malas!$A$2:$A$5000,0)),IF(INDEX(DB_materiali!$E$2:$E$5000,MATCH($C773,DB_materiali!$A$2:$A$5000,0))&lt;=INDEX(DB_malas!$D$2:$D$5000,MATCH(H773,DB_malas!$A$2:$A$5000,0)),IF(OR(INDEX(DB_materiali!$B$2:$B$5000,MATCH($C773,DB_materiali!$A$2:$A$5000,0))=INDEX(DB_malas!$B$2:$B$5000,MATCH(H773,DB_malas!$A$2:$A$5000,0)),$H773="ORG"),"✔",tulkojums!$A$38),tulkojums!$A$39),tulkojums!$A$39))</f>
        <v/>
      </c>
      <c r="Q773" s="2" t="str">
        <f>IF(ISBLANK(I773),"",IF(INDEX(DB_materiali!$E$2:$E$5000,MATCH($C773,DB_materiali!$A$2:$A$5000,0))&gt;=INDEX(DB_malas!$C$2:$C$5000,MATCH(I773,DB_malas!$A$2:$A$5000,0)),IF(INDEX(DB_materiali!$E$2:$E$5000,MATCH($C773,DB_materiali!$A$2:$A$5000,0))&lt;=INDEX(DB_malas!$D$2:$D$5000,MATCH(I773,DB_malas!$A$2:$A$5000,0)),IF(OR(INDEX(DB_materiali!$B$2:$B$5000,MATCH($C773,DB_materiali!$A$2:$A$5000,0))=INDEX(DB_malas!$B$2:$B$5000,MATCH(I773,DB_malas!$A$2:$A$5000,0)),$H773="ORG"),"✔",tulkojums!$A$38),tulkojums!$A$39),tulkojums!$A$39))</f>
        <v/>
      </c>
      <c r="R773" s="2" t="str">
        <f>IF(ISBLANK(J773),"",IF(INDEX(DB_materiali!$E$2:$E$5000,MATCH($C773,DB_materiali!$A$2:$A$5000,0))&gt;=INDEX(DB_malas!$C$2:$C$5000,MATCH(J773,DB_malas!$A$2:$A$5000,0)),IF(INDEX(DB_materiali!$E$2:$E$5000,MATCH($C773,DB_materiali!$A$2:$A$5000,0))&lt;=INDEX(DB_malas!$D$2:$D$5000,MATCH(J773,DB_malas!$A$2:$A$5000,0)),IF(INDEX(DB_materiali!$B$2:$B$5000,MATCH($C773,DB_materiali!$A$2:$A$5000,0))=INDEX(DB_malas!$B$2:$B$5000,MATCH(J773,DB_malas!$A$2:$A$5000,0)),"✔",tulkojums!$A$38),tulkojums!$A$39),tulkojums!$A$39))</f>
        <v/>
      </c>
      <c r="S773" s="2" t="str">
        <f>IF(ISBLANK(K773),"",IF(INDEX(DB_materiali!$E$2:$E$5000,MATCH($C773,DB_materiali!$A$2:$A$5000,0))&gt;=INDEX(DB_malas!$C$2:$C$5000,MATCH(K773,DB_malas!$A$2:$A$5000,0)),IF(INDEX(DB_materiali!$E$2:$E$5000,MATCH($C773,DB_materiali!$A$2:$A$5000,0))&lt;=INDEX(DB_malas!$D$2:$D$5000,MATCH(K773,DB_malas!$A$2:$A$5000,0)),IF(INDEX(DB_materiali!$B$2:$B$5000,MATCH($C773,DB_materiali!$A$2:$A$5000,0))=INDEX(DB_malas!$B$2:$B$5000,MATCH(K773,DB_malas!$A$2:$A$5000,0)),"✔",tulkojums!$A$38),tulkojums!$A$39),tulkojums!$A$39))</f>
        <v/>
      </c>
      <c r="T773" s="2"/>
      <c r="U773" s="2"/>
      <c r="V773" s="2"/>
      <c r="W773" s="2"/>
      <c r="X773" s="2"/>
      <c r="Y773" s="2"/>
      <c r="Z773" s="2"/>
    </row>
    <row r="774" spans="1:26" ht="15.75" customHeight="1">
      <c r="A774" s="17"/>
      <c r="B774" s="18"/>
      <c r="C774" s="19"/>
      <c r="D774" s="55"/>
      <c r="E774" s="55"/>
      <c r="F774" s="56"/>
      <c r="G774" s="57" t="str">
        <f>IF(ISBLANK(C774),"",
   IFERROR(
      IF(
         INDEX(DB_materiali!C$2:C$5000,
               MATCH(C774, DB_materiali!A$2:A$5000, 0)
         )="FALSE",
         "N",
         "Y"
      ),
   "")
)</f>
        <v/>
      </c>
      <c r="H774" s="20"/>
      <c r="I774" s="20"/>
      <c r="J774" s="20"/>
      <c r="K774" s="20"/>
      <c r="M774" s="2" t="str">
        <f>IF(ISBLANK(C774),"",IF(IFERROR(VLOOKUP(C774,DB_materiali!$A$2:$A$5000,1,FALSE),"Kļūda artikulā")=C774,"✔",tulkojums!A$42))</f>
        <v/>
      </c>
      <c r="N774" s="2" t="str">
        <f>IF(ISBLANK(C774),"",IF(ISNUMBER(F774)=TRUE,"✔",tulkojums!A$43))</f>
        <v/>
      </c>
      <c r="O774" s="2" t="str">
        <f>IF(ISBLANK(C774),"",IF(G774="Y","✔",IF(G774="X","✔",IF(G774="N","✔",tulkojums!A$44))))</f>
        <v/>
      </c>
      <c r="P774" s="2" t="str">
        <f>IF(ISBLANK(H774),"",IF(INDEX(DB_materiali!$E$2:$E$5000,MATCH($C774,DB_materiali!$A$2:$A$5000,0))&gt;=INDEX(DB_malas!$C$2:$C$5000,MATCH(H774,DB_malas!$A$2:$A$5000,0)),IF(INDEX(DB_materiali!$E$2:$E$5000,MATCH($C774,DB_materiali!$A$2:$A$5000,0))&lt;=INDEX(DB_malas!$D$2:$D$5000,MATCH(H774,DB_malas!$A$2:$A$5000,0)),IF(OR(INDEX(DB_materiali!$B$2:$B$5000,MATCH($C774,DB_materiali!$A$2:$A$5000,0))=INDEX(DB_malas!$B$2:$B$5000,MATCH(H774,DB_malas!$A$2:$A$5000,0)),$H774="ORG"),"✔",tulkojums!$A$38),tulkojums!$A$39),tulkojums!$A$39))</f>
        <v/>
      </c>
      <c r="Q774" s="2" t="str">
        <f>IF(ISBLANK(I774),"",IF(INDEX(DB_materiali!$E$2:$E$5000,MATCH($C774,DB_materiali!$A$2:$A$5000,0))&gt;=INDEX(DB_malas!$C$2:$C$5000,MATCH(I774,DB_malas!$A$2:$A$5000,0)),IF(INDEX(DB_materiali!$E$2:$E$5000,MATCH($C774,DB_materiali!$A$2:$A$5000,0))&lt;=INDEX(DB_malas!$D$2:$D$5000,MATCH(I774,DB_malas!$A$2:$A$5000,0)),IF(OR(INDEX(DB_materiali!$B$2:$B$5000,MATCH($C774,DB_materiali!$A$2:$A$5000,0))=INDEX(DB_malas!$B$2:$B$5000,MATCH(I774,DB_malas!$A$2:$A$5000,0)),$H774="ORG"),"✔",tulkojums!$A$38),tulkojums!$A$39),tulkojums!$A$39))</f>
        <v/>
      </c>
      <c r="R774" s="2" t="str">
        <f>IF(ISBLANK(J774),"",IF(INDEX(DB_materiali!$E$2:$E$5000,MATCH($C774,DB_materiali!$A$2:$A$5000,0))&gt;=INDEX(DB_malas!$C$2:$C$5000,MATCH(J774,DB_malas!$A$2:$A$5000,0)),IF(INDEX(DB_materiali!$E$2:$E$5000,MATCH($C774,DB_materiali!$A$2:$A$5000,0))&lt;=INDEX(DB_malas!$D$2:$D$5000,MATCH(J774,DB_malas!$A$2:$A$5000,0)),IF(INDEX(DB_materiali!$B$2:$B$5000,MATCH($C774,DB_materiali!$A$2:$A$5000,0))=INDEX(DB_malas!$B$2:$B$5000,MATCH(J774,DB_malas!$A$2:$A$5000,0)),"✔",tulkojums!$A$38),tulkojums!$A$39),tulkojums!$A$39))</f>
        <v/>
      </c>
      <c r="S774" s="2" t="str">
        <f>IF(ISBLANK(K774),"",IF(INDEX(DB_materiali!$E$2:$E$5000,MATCH($C774,DB_materiali!$A$2:$A$5000,0))&gt;=INDEX(DB_malas!$C$2:$C$5000,MATCH(K774,DB_malas!$A$2:$A$5000,0)),IF(INDEX(DB_materiali!$E$2:$E$5000,MATCH($C774,DB_materiali!$A$2:$A$5000,0))&lt;=INDEX(DB_malas!$D$2:$D$5000,MATCH(K774,DB_malas!$A$2:$A$5000,0)),IF(INDEX(DB_materiali!$B$2:$B$5000,MATCH($C774,DB_materiali!$A$2:$A$5000,0))=INDEX(DB_malas!$B$2:$B$5000,MATCH(K774,DB_malas!$A$2:$A$5000,0)),"✔",tulkojums!$A$38),tulkojums!$A$39),tulkojums!$A$39))</f>
        <v/>
      </c>
      <c r="T774" s="2"/>
      <c r="U774" s="2"/>
      <c r="V774" s="2"/>
      <c r="W774" s="2"/>
      <c r="X774" s="2"/>
      <c r="Y774" s="2"/>
      <c r="Z774" s="2"/>
    </row>
    <row r="775" spans="1:26" ht="15.75" customHeight="1">
      <c r="A775" s="17"/>
      <c r="B775" s="18"/>
      <c r="C775" s="19"/>
      <c r="D775" s="55"/>
      <c r="E775" s="55"/>
      <c r="F775" s="56"/>
      <c r="G775" s="57" t="str">
        <f>IF(ISBLANK(C775),"",
   IFERROR(
      IF(
         INDEX(DB_materiali!C$2:C$5000,
               MATCH(C775, DB_materiali!A$2:A$5000, 0)
         )="FALSE",
         "N",
         "Y"
      ),
   "")
)</f>
        <v/>
      </c>
      <c r="H775" s="20"/>
      <c r="I775" s="20"/>
      <c r="J775" s="20"/>
      <c r="K775" s="20"/>
      <c r="M775" s="2" t="str">
        <f>IF(ISBLANK(C775),"",IF(IFERROR(VLOOKUP(C775,DB_materiali!$A$2:$A$5000,1,FALSE),"Kļūda artikulā")=C775,"✔",tulkojums!A$42))</f>
        <v/>
      </c>
      <c r="N775" s="2" t="str">
        <f>IF(ISBLANK(C775),"",IF(ISNUMBER(F775)=TRUE,"✔",tulkojums!A$43))</f>
        <v/>
      </c>
      <c r="O775" s="2" t="str">
        <f>IF(ISBLANK(C775),"",IF(G775="Y","✔",IF(G775="X","✔",IF(G775="N","✔",tulkojums!A$44))))</f>
        <v/>
      </c>
      <c r="P775" s="2" t="str">
        <f>IF(ISBLANK(H775),"",IF(INDEX(DB_materiali!$E$2:$E$5000,MATCH($C775,DB_materiali!$A$2:$A$5000,0))&gt;=INDEX(DB_malas!$C$2:$C$5000,MATCH(H775,DB_malas!$A$2:$A$5000,0)),IF(INDEX(DB_materiali!$E$2:$E$5000,MATCH($C775,DB_materiali!$A$2:$A$5000,0))&lt;=INDEX(DB_malas!$D$2:$D$5000,MATCH(H775,DB_malas!$A$2:$A$5000,0)),IF(OR(INDEX(DB_materiali!$B$2:$B$5000,MATCH($C775,DB_materiali!$A$2:$A$5000,0))=INDEX(DB_malas!$B$2:$B$5000,MATCH(H775,DB_malas!$A$2:$A$5000,0)),$H775="ORG"),"✔",tulkojums!$A$38),tulkojums!$A$39),tulkojums!$A$39))</f>
        <v/>
      </c>
      <c r="Q775" s="2" t="str">
        <f>IF(ISBLANK(I775),"",IF(INDEX(DB_materiali!$E$2:$E$5000,MATCH($C775,DB_materiali!$A$2:$A$5000,0))&gt;=INDEX(DB_malas!$C$2:$C$5000,MATCH(I775,DB_malas!$A$2:$A$5000,0)),IF(INDEX(DB_materiali!$E$2:$E$5000,MATCH($C775,DB_materiali!$A$2:$A$5000,0))&lt;=INDEX(DB_malas!$D$2:$D$5000,MATCH(I775,DB_malas!$A$2:$A$5000,0)),IF(OR(INDEX(DB_materiali!$B$2:$B$5000,MATCH($C775,DB_materiali!$A$2:$A$5000,0))=INDEX(DB_malas!$B$2:$B$5000,MATCH(I775,DB_malas!$A$2:$A$5000,0)),$H775="ORG"),"✔",tulkojums!$A$38),tulkojums!$A$39),tulkojums!$A$39))</f>
        <v/>
      </c>
      <c r="R775" s="2" t="str">
        <f>IF(ISBLANK(J775),"",IF(INDEX(DB_materiali!$E$2:$E$5000,MATCH($C775,DB_materiali!$A$2:$A$5000,0))&gt;=INDEX(DB_malas!$C$2:$C$5000,MATCH(J775,DB_malas!$A$2:$A$5000,0)),IF(INDEX(DB_materiali!$E$2:$E$5000,MATCH($C775,DB_materiali!$A$2:$A$5000,0))&lt;=INDEX(DB_malas!$D$2:$D$5000,MATCH(J775,DB_malas!$A$2:$A$5000,0)),IF(INDEX(DB_materiali!$B$2:$B$5000,MATCH($C775,DB_materiali!$A$2:$A$5000,0))=INDEX(DB_malas!$B$2:$B$5000,MATCH(J775,DB_malas!$A$2:$A$5000,0)),"✔",tulkojums!$A$38),tulkojums!$A$39),tulkojums!$A$39))</f>
        <v/>
      </c>
      <c r="S775" s="2" t="str">
        <f>IF(ISBLANK(K775),"",IF(INDEX(DB_materiali!$E$2:$E$5000,MATCH($C775,DB_materiali!$A$2:$A$5000,0))&gt;=INDEX(DB_malas!$C$2:$C$5000,MATCH(K775,DB_malas!$A$2:$A$5000,0)),IF(INDEX(DB_materiali!$E$2:$E$5000,MATCH($C775,DB_materiali!$A$2:$A$5000,0))&lt;=INDEX(DB_malas!$D$2:$D$5000,MATCH(K775,DB_malas!$A$2:$A$5000,0)),IF(INDEX(DB_materiali!$B$2:$B$5000,MATCH($C775,DB_materiali!$A$2:$A$5000,0))=INDEX(DB_malas!$B$2:$B$5000,MATCH(K775,DB_malas!$A$2:$A$5000,0)),"✔",tulkojums!$A$38),tulkojums!$A$39),tulkojums!$A$39))</f>
        <v/>
      </c>
      <c r="T775" s="2"/>
      <c r="U775" s="2"/>
      <c r="V775" s="2"/>
      <c r="W775" s="2"/>
      <c r="X775" s="2"/>
      <c r="Y775" s="2"/>
      <c r="Z775" s="2"/>
    </row>
    <row r="776" spans="1:26" ht="15.75" customHeight="1">
      <c r="A776" s="17"/>
      <c r="B776" s="18"/>
      <c r="C776" s="19"/>
      <c r="D776" s="55"/>
      <c r="E776" s="55"/>
      <c r="F776" s="56"/>
      <c r="G776" s="57" t="str">
        <f>IF(ISBLANK(C776),"",
   IFERROR(
      IF(
         INDEX(DB_materiali!C$2:C$5000,
               MATCH(C776, DB_materiali!A$2:A$5000, 0)
         )="FALSE",
         "N",
         "Y"
      ),
   "")
)</f>
        <v/>
      </c>
      <c r="H776" s="20"/>
      <c r="I776" s="20"/>
      <c r="J776" s="20"/>
      <c r="K776" s="20"/>
      <c r="M776" s="2" t="str">
        <f>IF(ISBLANK(C776),"",IF(IFERROR(VLOOKUP(C776,DB_materiali!$A$2:$A$5000,1,FALSE),"Kļūda artikulā")=C776,"✔",tulkojums!A$42))</f>
        <v/>
      </c>
      <c r="N776" s="2" t="str">
        <f>IF(ISBLANK(C776),"",IF(ISNUMBER(F776)=TRUE,"✔",tulkojums!A$43))</f>
        <v/>
      </c>
      <c r="O776" s="2" t="str">
        <f>IF(ISBLANK(C776),"",IF(G776="Y","✔",IF(G776="X","✔",IF(G776="N","✔",tulkojums!A$44))))</f>
        <v/>
      </c>
      <c r="P776" s="2" t="str">
        <f>IF(ISBLANK(H776),"",IF(INDEX(DB_materiali!$E$2:$E$5000,MATCH($C776,DB_materiali!$A$2:$A$5000,0))&gt;=INDEX(DB_malas!$C$2:$C$5000,MATCH(H776,DB_malas!$A$2:$A$5000,0)),IF(INDEX(DB_materiali!$E$2:$E$5000,MATCH($C776,DB_materiali!$A$2:$A$5000,0))&lt;=INDEX(DB_malas!$D$2:$D$5000,MATCH(H776,DB_malas!$A$2:$A$5000,0)),IF(OR(INDEX(DB_materiali!$B$2:$B$5000,MATCH($C776,DB_materiali!$A$2:$A$5000,0))=INDEX(DB_malas!$B$2:$B$5000,MATCH(H776,DB_malas!$A$2:$A$5000,0)),$H776="ORG"),"✔",tulkojums!$A$38),tulkojums!$A$39),tulkojums!$A$39))</f>
        <v/>
      </c>
      <c r="Q776" s="2" t="str">
        <f>IF(ISBLANK(I776),"",IF(INDEX(DB_materiali!$E$2:$E$5000,MATCH($C776,DB_materiali!$A$2:$A$5000,0))&gt;=INDEX(DB_malas!$C$2:$C$5000,MATCH(I776,DB_malas!$A$2:$A$5000,0)),IF(INDEX(DB_materiali!$E$2:$E$5000,MATCH($C776,DB_materiali!$A$2:$A$5000,0))&lt;=INDEX(DB_malas!$D$2:$D$5000,MATCH(I776,DB_malas!$A$2:$A$5000,0)),IF(OR(INDEX(DB_materiali!$B$2:$B$5000,MATCH($C776,DB_materiali!$A$2:$A$5000,0))=INDEX(DB_malas!$B$2:$B$5000,MATCH(I776,DB_malas!$A$2:$A$5000,0)),$H776="ORG"),"✔",tulkojums!$A$38),tulkojums!$A$39),tulkojums!$A$39))</f>
        <v/>
      </c>
      <c r="R776" s="2" t="str">
        <f>IF(ISBLANK(J776),"",IF(INDEX(DB_materiali!$E$2:$E$5000,MATCH($C776,DB_materiali!$A$2:$A$5000,0))&gt;=INDEX(DB_malas!$C$2:$C$5000,MATCH(J776,DB_malas!$A$2:$A$5000,0)),IF(INDEX(DB_materiali!$E$2:$E$5000,MATCH($C776,DB_materiali!$A$2:$A$5000,0))&lt;=INDEX(DB_malas!$D$2:$D$5000,MATCH(J776,DB_malas!$A$2:$A$5000,0)),IF(INDEX(DB_materiali!$B$2:$B$5000,MATCH($C776,DB_materiali!$A$2:$A$5000,0))=INDEX(DB_malas!$B$2:$B$5000,MATCH(J776,DB_malas!$A$2:$A$5000,0)),"✔",tulkojums!$A$38),tulkojums!$A$39),tulkojums!$A$39))</f>
        <v/>
      </c>
      <c r="S776" s="2" t="str">
        <f>IF(ISBLANK(K776),"",IF(INDEX(DB_materiali!$E$2:$E$5000,MATCH($C776,DB_materiali!$A$2:$A$5000,0))&gt;=INDEX(DB_malas!$C$2:$C$5000,MATCH(K776,DB_malas!$A$2:$A$5000,0)),IF(INDEX(DB_materiali!$E$2:$E$5000,MATCH($C776,DB_materiali!$A$2:$A$5000,0))&lt;=INDEX(DB_malas!$D$2:$D$5000,MATCH(K776,DB_malas!$A$2:$A$5000,0)),IF(INDEX(DB_materiali!$B$2:$B$5000,MATCH($C776,DB_materiali!$A$2:$A$5000,0))=INDEX(DB_malas!$B$2:$B$5000,MATCH(K776,DB_malas!$A$2:$A$5000,0)),"✔",tulkojums!$A$38),tulkojums!$A$39),tulkojums!$A$39))</f>
        <v/>
      </c>
      <c r="T776" s="2"/>
      <c r="U776" s="2"/>
      <c r="V776" s="2"/>
      <c r="W776" s="2"/>
      <c r="X776" s="2"/>
      <c r="Y776" s="2"/>
      <c r="Z776" s="2"/>
    </row>
    <row r="777" spans="1:26" ht="15.75" customHeight="1">
      <c r="A777" s="17"/>
      <c r="B777" s="18"/>
      <c r="C777" s="19"/>
      <c r="D777" s="55"/>
      <c r="E777" s="55"/>
      <c r="F777" s="56"/>
      <c r="G777" s="57" t="str">
        <f>IF(ISBLANK(C777),"",
   IFERROR(
      IF(
         INDEX(DB_materiali!C$2:C$5000,
               MATCH(C777, DB_materiali!A$2:A$5000, 0)
         )="FALSE",
         "N",
         "Y"
      ),
   "")
)</f>
        <v/>
      </c>
      <c r="H777" s="20"/>
      <c r="I777" s="20"/>
      <c r="J777" s="20"/>
      <c r="K777" s="20"/>
      <c r="M777" s="2" t="str">
        <f>IF(ISBLANK(C777),"",IF(IFERROR(VLOOKUP(C777,DB_materiali!$A$2:$A$5000,1,FALSE),"Kļūda artikulā")=C777,"✔",tulkojums!A$42))</f>
        <v/>
      </c>
      <c r="N777" s="2" t="str">
        <f>IF(ISBLANK(C777),"",IF(ISNUMBER(F777)=TRUE,"✔",tulkojums!A$43))</f>
        <v/>
      </c>
      <c r="O777" s="2" t="str">
        <f>IF(ISBLANK(C777),"",IF(G777="Y","✔",IF(G777="X","✔",IF(G777="N","✔",tulkojums!A$44))))</f>
        <v/>
      </c>
      <c r="P777" s="2" t="str">
        <f>IF(ISBLANK(H777),"",IF(INDEX(DB_materiali!$E$2:$E$5000,MATCH($C777,DB_materiali!$A$2:$A$5000,0))&gt;=INDEX(DB_malas!$C$2:$C$5000,MATCH(H777,DB_malas!$A$2:$A$5000,0)),IF(INDEX(DB_materiali!$E$2:$E$5000,MATCH($C777,DB_materiali!$A$2:$A$5000,0))&lt;=INDEX(DB_malas!$D$2:$D$5000,MATCH(H777,DB_malas!$A$2:$A$5000,0)),IF(OR(INDEX(DB_materiali!$B$2:$B$5000,MATCH($C777,DB_materiali!$A$2:$A$5000,0))=INDEX(DB_malas!$B$2:$B$5000,MATCH(H777,DB_malas!$A$2:$A$5000,0)),$H777="ORG"),"✔",tulkojums!$A$38),tulkojums!$A$39),tulkojums!$A$39))</f>
        <v/>
      </c>
      <c r="Q777" s="2" t="str">
        <f>IF(ISBLANK(I777),"",IF(INDEX(DB_materiali!$E$2:$E$5000,MATCH($C777,DB_materiali!$A$2:$A$5000,0))&gt;=INDEX(DB_malas!$C$2:$C$5000,MATCH(I777,DB_malas!$A$2:$A$5000,0)),IF(INDEX(DB_materiali!$E$2:$E$5000,MATCH($C777,DB_materiali!$A$2:$A$5000,0))&lt;=INDEX(DB_malas!$D$2:$D$5000,MATCH(I777,DB_malas!$A$2:$A$5000,0)),IF(OR(INDEX(DB_materiali!$B$2:$B$5000,MATCH($C777,DB_materiali!$A$2:$A$5000,0))=INDEX(DB_malas!$B$2:$B$5000,MATCH(I777,DB_malas!$A$2:$A$5000,0)),$H777="ORG"),"✔",tulkojums!$A$38),tulkojums!$A$39),tulkojums!$A$39))</f>
        <v/>
      </c>
      <c r="R777" s="2" t="str">
        <f>IF(ISBLANK(J777),"",IF(INDEX(DB_materiali!$E$2:$E$5000,MATCH($C777,DB_materiali!$A$2:$A$5000,0))&gt;=INDEX(DB_malas!$C$2:$C$5000,MATCH(J777,DB_malas!$A$2:$A$5000,0)),IF(INDEX(DB_materiali!$E$2:$E$5000,MATCH($C777,DB_materiali!$A$2:$A$5000,0))&lt;=INDEX(DB_malas!$D$2:$D$5000,MATCH(J777,DB_malas!$A$2:$A$5000,0)),IF(INDEX(DB_materiali!$B$2:$B$5000,MATCH($C777,DB_materiali!$A$2:$A$5000,0))=INDEX(DB_malas!$B$2:$B$5000,MATCH(J777,DB_malas!$A$2:$A$5000,0)),"✔",tulkojums!$A$38),tulkojums!$A$39),tulkojums!$A$39))</f>
        <v/>
      </c>
      <c r="S777" s="2" t="str">
        <f>IF(ISBLANK(K777),"",IF(INDEX(DB_materiali!$E$2:$E$5000,MATCH($C777,DB_materiali!$A$2:$A$5000,0))&gt;=INDEX(DB_malas!$C$2:$C$5000,MATCH(K777,DB_malas!$A$2:$A$5000,0)),IF(INDEX(DB_materiali!$E$2:$E$5000,MATCH($C777,DB_materiali!$A$2:$A$5000,0))&lt;=INDEX(DB_malas!$D$2:$D$5000,MATCH(K777,DB_malas!$A$2:$A$5000,0)),IF(INDEX(DB_materiali!$B$2:$B$5000,MATCH($C777,DB_materiali!$A$2:$A$5000,0))=INDEX(DB_malas!$B$2:$B$5000,MATCH(K777,DB_malas!$A$2:$A$5000,0)),"✔",tulkojums!$A$38),tulkojums!$A$39),tulkojums!$A$39))</f>
        <v/>
      </c>
      <c r="T777" s="2"/>
      <c r="U777" s="2"/>
      <c r="V777" s="2"/>
      <c r="W777" s="2"/>
      <c r="X777" s="2"/>
      <c r="Y777" s="2"/>
      <c r="Z777" s="2"/>
    </row>
    <row r="778" spans="1:26" ht="15.75" customHeight="1">
      <c r="A778" s="17"/>
      <c r="B778" s="18"/>
      <c r="C778" s="19"/>
      <c r="D778" s="55"/>
      <c r="E778" s="55"/>
      <c r="F778" s="56"/>
      <c r="G778" s="57" t="str">
        <f>IF(ISBLANK(C778),"",
   IFERROR(
      IF(
         INDEX(DB_materiali!C$2:C$5000,
               MATCH(C778, DB_materiali!A$2:A$5000, 0)
         )="FALSE",
         "N",
         "Y"
      ),
   "")
)</f>
        <v/>
      </c>
      <c r="H778" s="20"/>
      <c r="I778" s="20"/>
      <c r="J778" s="20"/>
      <c r="K778" s="20"/>
      <c r="M778" s="2" t="str">
        <f>IF(ISBLANK(C778),"",IF(IFERROR(VLOOKUP(C778,DB_materiali!$A$2:$A$5000,1,FALSE),"Kļūda artikulā")=C778,"✔",tulkojums!A$42))</f>
        <v/>
      </c>
      <c r="N778" s="2" t="str">
        <f>IF(ISBLANK(C778),"",IF(ISNUMBER(F778)=TRUE,"✔",tulkojums!A$43))</f>
        <v/>
      </c>
      <c r="O778" s="2" t="str">
        <f>IF(ISBLANK(C778),"",IF(G778="Y","✔",IF(G778="X","✔",IF(G778="N","✔",tulkojums!A$44))))</f>
        <v/>
      </c>
      <c r="P778" s="2" t="str">
        <f>IF(ISBLANK(H778),"",IF(INDEX(DB_materiali!$E$2:$E$5000,MATCH($C778,DB_materiali!$A$2:$A$5000,0))&gt;=INDEX(DB_malas!$C$2:$C$5000,MATCH(H778,DB_malas!$A$2:$A$5000,0)),IF(INDEX(DB_materiali!$E$2:$E$5000,MATCH($C778,DB_materiali!$A$2:$A$5000,0))&lt;=INDEX(DB_malas!$D$2:$D$5000,MATCH(H778,DB_malas!$A$2:$A$5000,0)),IF(OR(INDEX(DB_materiali!$B$2:$B$5000,MATCH($C778,DB_materiali!$A$2:$A$5000,0))=INDEX(DB_malas!$B$2:$B$5000,MATCH(H778,DB_malas!$A$2:$A$5000,0)),$H778="ORG"),"✔",tulkojums!$A$38),tulkojums!$A$39),tulkojums!$A$39))</f>
        <v/>
      </c>
      <c r="Q778" s="2" t="str">
        <f>IF(ISBLANK(I778),"",IF(INDEX(DB_materiali!$E$2:$E$5000,MATCH($C778,DB_materiali!$A$2:$A$5000,0))&gt;=INDEX(DB_malas!$C$2:$C$5000,MATCH(I778,DB_malas!$A$2:$A$5000,0)),IF(INDEX(DB_materiali!$E$2:$E$5000,MATCH($C778,DB_materiali!$A$2:$A$5000,0))&lt;=INDEX(DB_malas!$D$2:$D$5000,MATCH(I778,DB_malas!$A$2:$A$5000,0)),IF(OR(INDEX(DB_materiali!$B$2:$B$5000,MATCH($C778,DB_materiali!$A$2:$A$5000,0))=INDEX(DB_malas!$B$2:$B$5000,MATCH(I778,DB_malas!$A$2:$A$5000,0)),$H778="ORG"),"✔",tulkojums!$A$38),tulkojums!$A$39),tulkojums!$A$39))</f>
        <v/>
      </c>
      <c r="R778" s="2" t="str">
        <f>IF(ISBLANK(J778),"",IF(INDEX(DB_materiali!$E$2:$E$5000,MATCH($C778,DB_materiali!$A$2:$A$5000,0))&gt;=INDEX(DB_malas!$C$2:$C$5000,MATCH(J778,DB_malas!$A$2:$A$5000,0)),IF(INDEX(DB_materiali!$E$2:$E$5000,MATCH($C778,DB_materiali!$A$2:$A$5000,0))&lt;=INDEX(DB_malas!$D$2:$D$5000,MATCH(J778,DB_malas!$A$2:$A$5000,0)),IF(INDEX(DB_materiali!$B$2:$B$5000,MATCH($C778,DB_materiali!$A$2:$A$5000,0))=INDEX(DB_malas!$B$2:$B$5000,MATCH(J778,DB_malas!$A$2:$A$5000,0)),"✔",tulkojums!$A$38),tulkojums!$A$39),tulkojums!$A$39))</f>
        <v/>
      </c>
      <c r="S778" s="2" t="str">
        <f>IF(ISBLANK(K778),"",IF(INDEX(DB_materiali!$E$2:$E$5000,MATCH($C778,DB_materiali!$A$2:$A$5000,0))&gt;=INDEX(DB_malas!$C$2:$C$5000,MATCH(K778,DB_malas!$A$2:$A$5000,0)),IF(INDEX(DB_materiali!$E$2:$E$5000,MATCH($C778,DB_materiali!$A$2:$A$5000,0))&lt;=INDEX(DB_malas!$D$2:$D$5000,MATCH(K778,DB_malas!$A$2:$A$5000,0)),IF(INDEX(DB_materiali!$B$2:$B$5000,MATCH($C778,DB_materiali!$A$2:$A$5000,0))=INDEX(DB_malas!$B$2:$B$5000,MATCH(K778,DB_malas!$A$2:$A$5000,0)),"✔",tulkojums!$A$38),tulkojums!$A$39),tulkojums!$A$39))</f>
        <v/>
      </c>
      <c r="T778" s="2"/>
      <c r="U778" s="2"/>
      <c r="V778" s="2"/>
      <c r="W778" s="2"/>
      <c r="X778" s="2"/>
      <c r="Y778" s="2"/>
      <c r="Z778" s="2"/>
    </row>
    <row r="779" spans="1:26" ht="15.75" customHeight="1">
      <c r="A779" s="17"/>
      <c r="B779" s="18"/>
      <c r="C779" s="19"/>
      <c r="D779" s="55"/>
      <c r="E779" s="55"/>
      <c r="F779" s="56"/>
      <c r="G779" s="57" t="str">
        <f>IF(ISBLANK(C779),"",
   IFERROR(
      IF(
         INDEX(DB_materiali!C$2:C$5000,
               MATCH(C779, DB_materiali!A$2:A$5000, 0)
         )="FALSE",
         "N",
         "Y"
      ),
   "")
)</f>
        <v/>
      </c>
      <c r="H779" s="20"/>
      <c r="I779" s="20"/>
      <c r="J779" s="20"/>
      <c r="K779" s="20"/>
      <c r="M779" s="2" t="str">
        <f>IF(ISBLANK(C779),"",IF(IFERROR(VLOOKUP(C779,DB_materiali!$A$2:$A$5000,1,FALSE),"Kļūda artikulā")=C779,"✔",tulkojums!A$42))</f>
        <v/>
      </c>
      <c r="N779" s="2" t="str">
        <f>IF(ISBLANK(C779),"",IF(ISNUMBER(F779)=TRUE,"✔",tulkojums!A$43))</f>
        <v/>
      </c>
      <c r="O779" s="2" t="str">
        <f>IF(ISBLANK(C779),"",IF(G779="Y","✔",IF(G779="X","✔",IF(G779="N","✔",tulkojums!A$44))))</f>
        <v/>
      </c>
      <c r="P779" s="2" t="str">
        <f>IF(ISBLANK(H779),"",IF(INDEX(DB_materiali!$E$2:$E$5000,MATCH($C779,DB_materiali!$A$2:$A$5000,0))&gt;=INDEX(DB_malas!$C$2:$C$5000,MATCH(H779,DB_malas!$A$2:$A$5000,0)),IF(INDEX(DB_materiali!$E$2:$E$5000,MATCH($C779,DB_materiali!$A$2:$A$5000,0))&lt;=INDEX(DB_malas!$D$2:$D$5000,MATCH(H779,DB_malas!$A$2:$A$5000,0)),IF(OR(INDEX(DB_materiali!$B$2:$B$5000,MATCH($C779,DB_materiali!$A$2:$A$5000,0))=INDEX(DB_malas!$B$2:$B$5000,MATCH(H779,DB_malas!$A$2:$A$5000,0)),$H779="ORG"),"✔",tulkojums!$A$38),tulkojums!$A$39),tulkojums!$A$39))</f>
        <v/>
      </c>
      <c r="Q779" s="2" t="str">
        <f>IF(ISBLANK(I779),"",IF(INDEX(DB_materiali!$E$2:$E$5000,MATCH($C779,DB_materiali!$A$2:$A$5000,0))&gt;=INDEX(DB_malas!$C$2:$C$5000,MATCH(I779,DB_malas!$A$2:$A$5000,0)),IF(INDEX(DB_materiali!$E$2:$E$5000,MATCH($C779,DB_materiali!$A$2:$A$5000,0))&lt;=INDEX(DB_malas!$D$2:$D$5000,MATCH(I779,DB_malas!$A$2:$A$5000,0)),IF(OR(INDEX(DB_materiali!$B$2:$B$5000,MATCH($C779,DB_materiali!$A$2:$A$5000,0))=INDEX(DB_malas!$B$2:$B$5000,MATCH(I779,DB_malas!$A$2:$A$5000,0)),$H779="ORG"),"✔",tulkojums!$A$38),tulkojums!$A$39),tulkojums!$A$39))</f>
        <v/>
      </c>
      <c r="R779" s="2" t="str">
        <f>IF(ISBLANK(J779),"",IF(INDEX(DB_materiali!$E$2:$E$5000,MATCH($C779,DB_materiali!$A$2:$A$5000,0))&gt;=INDEX(DB_malas!$C$2:$C$5000,MATCH(J779,DB_malas!$A$2:$A$5000,0)),IF(INDEX(DB_materiali!$E$2:$E$5000,MATCH($C779,DB_materiali!$A$2:$A$5000,0))&lt;=INDEX(DB_malas!$D$2:$D$5000,MATCH(J779,DB_malas!$A$2:$A$5000,0)),IF(INDEX(DB_materiali!$B$2:$B$5000,MATCH($C779,DB_materiali!$A$2:$A$5000,0))=INDEX(DB_malas!$B$2:$B$5000,MATCH(J779,DB_malas!$A$2:$A$5000,0)),"✔",tulkojums!$A$38),tulkojums!$A$39),tulkojums!$A$39))</f>
        <v/>
      </c>
      <c r="S779" s="2" t="str">
        <f>IF(ISBLANK(K779),"",IF(INDEX(DB_materiali!$E$2:$E$5000,MATCH($C779,DB_materiali!$A$2:$A$5000,0))&gt;=INDEX(DB_malas!$C$2:$C$5000,MATCH(K779,DB_malas!$A$2:$A$5000,0)),IF(INDEX(DB_materiali!$E$2:$E$5000,MATCH($C779,DB_materiali!$A$2:$A$5000,0))&lt;=INDEX(DB_malas!$D$2:$D$5000,MATCH(K779,DB_malas!$A$2:$A$5000,0)),IF(INDEX(DB_materiali!$B$2:$B$5000,MATCH($C779,DB_materiali!$A$2:$A$5000,0))=INDEX(DB_malas!$B$2:$B$5000,MATCH(K779,DB_malas!$A$2:$A$5000,0)),"✔",tulkojums!$A$38),tulkojums!$A$39),tulkojums!$A$39))</f>
        <v/>
      </c>
      <c r="T779" s="2"/>
      <c r="U779" s="2"/>
      <c r="V779" s="2"/>
      <c r="W779" s="2"/>
      <c r="X779" s="2"/>
      <c r="Y779" s="2"/>
      <c r="Z779" s="2"/>
    </row>
    <row r="780" spans="1:26" ht="15.75" customHeight="1">
      <c r="A780" s="17"/>
      <c r="B780" s="18"/>
      <c r="C780" s="19"/>
      <c r="D780" s="55"/>
      <c r="E780" s="55"/>
      <c r="F780" s="56"/>
      <c r="G780" s="57" t="str">
        <f>IF(ISBLANK(C780),"",
   IFERROR(
      IF(
         INDEX(DB_materiali!C$2:C$5000,
               MATCH(C780, DB_materiali!A$2:A$5000, 0)
         )="FALSE",
         "N",
         "Y"
      ),
   "")
)</f>
        <v/>
      </c>
      <c r="H780" s="20"/>
      <c r="I780" s="20"/>
      <c r="J780" s="20"/>
      <c r="K780" s="20"/>
      <c r="M780" s="2" t="str">
        <f>IF(ISBLANK(C780),"",IF(IFERROR(VLOOKUP(C780,DB_materiali!$A$2:$A$5000,1,FALSE),"Kļūda artikulā")=C780,"✔",tulkojums!A$42))</f>
        <v/>
      </c>
      <c r="N780" s="2" t="str">
        <f>IF(ISBLANK(C780),"",IF(ISNUMBER(F780)=TRUE,"✔",tulkojums!A$43))</f>
        <v/>
      </c>
      <c r="O780" s="2" t="str">
        <f>IF(ISBLANK(C780),"",IF(G780="Y","✔",IF(G780="X","✔",IF(G780="N","✔",tulkojums!A$44))))</f>
        <v/>
      </c>
      <c r="P780" s="2" t="str">
        <f>IF(ISBLANK(H780),"",IF(INDEX(DB_materiali!$E$2:$E$5000,MATCH($C780,DB_materiali!$A$2:$A$5000,0))&gt;=INDEX(DB_malas!$C$2:$C$5000,MATCH(H780,DB_malas!$A$2:$A$5000,0)),IF(INDEX(DB_materiali!$E$2:$E$5000,MATCH($C780,DB_materiali!$A$2:$A$5000,0))&lt;=INDEX(DB_malas!$D$2:$D$5000,MATCH(H780,DB_malas!$A$2:$A$5000,0)),IF(OR(INDEX(DB_materiali!$B$2:$B$5000,MATCH($C780,DB_materiali!$A$2:$A$5000,0))=INDEX(DB_malas!$B$2:$B$5000,MATCH(H780,DB_malas!$A$2:$A$5000,0)),$H780="ORG"),"✔",tulkojums!$A$38),tulkojums!$A$39),tulkojums!$A$39))</f>
        <v/>
      </c>
      <c r="Q780" s="2" t="str">
        <f>IF(ISBLANK(I780),"",IF(INDEX(DB_materiali!$E$2:$E$5000,MATCH($C780,DB_materiali!$A$2:$A$5000,0))&gt;=INDEX(DB_malas!$C$2:$C$5000,MATCH(I780,DB_malas!$A$2:$A$5000,0)),IF(INDEX(DB_materiali!$E$2:$E$5000,MATCH($C780,DB_materiali!$A$2:$A$5000,0))&lt;=INDEX(DB_malas!$D$2:$D$5000,MATCH(I780,DB_malas!$A$2:$A$5000,0)),IF(OR(INDEX(DB_materiali!$B$2:$B$5000,MATCH($C780,DB_materiali!$A$2:$A$5000,0))=INDEX(DB_malas!$B$2:$B$5000,MATCH(I780,DB_malas!$A$2:$A$5000,0)),$H780="ORG"),"✔",tulkojums!$A$38),tulkojums!$A$39),tulkojums!$A$39))</f>
        <v/>
      </c>
      <c r="R780" s="2" t="str">
        <f>IF(ISBLANK(J780),"",IF(INDEX(DB_materiali!$E$2:$E$5000,MATCH($C780,DB_materiali!$A$2:$A$5000,0))&gt;=INDEX(DB_malas!$C$2:$C$5000,MATCH(J780,DB_malas!$A$2:$A$5000,0)),IF(INDEX(DB_materiali!$E$2:$E$5000,MATCH($C780,DB_materiali!$A$2:$A$5000,0))&lt;=INDEX(DB_malas!$D$2:$D$5000,MATCH(J780,DB_malas!$A$2:$A$5000,0)),IF(INDEX(DB_materiali!$B$2:$B$5000,MATCH($C780,DB_materiali!$A$2:$A$5000,0))=INDEX(DB_malas!$B$2:$B$5000,MATCH(J780,DB_malas!$A$2:$A$5000,0)),"✔",tulkojums!$A$38),tulkojums!$A$39),tulkojums!$A$39))</f>
        <v/>
      </c>
      <c r="S780" s="2" t="str">
        <f>IF(ISBLANK(K780),"",IF(INDEX(DB_materiali!$E$2:$E$5000,MATCH($C780,DB_materiali!$A$2:$A$5000,0))&gt;=INDEX(DB_malas!$C$2:$C$5000,MATCH(K780,DB_malas!$A$2:$A$5000,0)),IF(INDEX(DB_materiali!$E$2:$E$5000,MATCH($C780,DB_materiali!$A$2:$A$5000,0))&lt;=INDEX(DB_malas!$D$2:$D$5000,MATCH(K780,DB_malas!$A$2:$A$5000,0)),IF(INDEX(DB_materiali!$B$2:$B$5000,MATCH($C780,DB_materiali!$A$2:$A$5000,0))=INDEX(DB_malas!$B$2:$B$5000,MATCH(K780,DB_malas!$A$2:$A$5000,0)),"✔",tulkojums!$A$38),tulkojums!$A$39),tulkojums!$A$39))</f>
        <v/>
      </c>
      <c r="T780" s="2"/>
      <c r="U780" s="2"/>
      <c r="V780" s="2"/>
      <c r="W780" s="2"/>
      <c r="X780" s="2"/>
      <c r="Y780" s="2"/>
      <c r="Z780" s="2"/>
    </row>
    <row r="781" spans="1:26" ht="15.75" customHeight="1">
      <c r="A781" s="17"/>
      <c r="B781" s="18"/>
      <c r="C781" s="19"/>
      <c r="D781" s="55"/>
      <c r="E781" s="55"/>
      <c r="F781" s="56"/>
      <c r="G781" s="57" t="str">
        <f>IF(ISBLANK(C781),"",
   IFERROR(
      IF(
         INDEX(DB_materiali!C$2:C$5000,
               MATCH(C781, DB_materiali!A$2:A$5000, 0)
         )="FALSE",
         "N",
         "Y"
      ),
   "")
)</f>
        <v/>
      </c>
      <c r="H781" s="20"/>
      <c r="I781" s="20"/>
      <c r="J781" s="20"/>
      <c r="K781" s="20"/>
      <c r="M781" s="2" t="str">
        <f>IF(ISBLANK(C781),"",IF(IFERROR(VLOOKUP(C781,DB_materiali!$A$2:$A$5000,1,FALSE),"Kļūda artikulā")=C781,"✔",tulkojums!A$42))</f>
        <v/>
      </c>
      <c r="N781" s="2" t="str">
        <f>IF(ISBLANK(C781),"",IF(ISNUMBER(F781)=TRUE,"✔",tulkojums!A$43))</f>
        <v/>
      </c>
      <c r="O781" s="2" t="str">
        <f>IF(ISBLANK(C781),"",IF(G781="Y","✔",IF(G781="X","✔",IF(G781="N","✔",tulkojums!A$44))))</f>
        <v/>
      </c>
      <c r="P781" s="2" t="str">
        <f>IF(ISBLANK(H781),"",IF(INDEX(DB_materiali!$E$2:$E$5000,MATCH($C781,DB_materiali!$A$2:$A$5000,0))&gt;=INDEX(DB_malas!$C$2:$C$5000,MATCH(H781,DB_malas!$A$2:$A$5000,0)),IF(INDEX(DB_materiali!$E$2:$E$5000,MATCH($C781,DB_materiali!$A$2:$A$5000,0))&lt;=INDEX(DB_malas!$D$2:$D$5000,MATCH(H781,DB_malas!$A$2:$A$5000,0)),IF(OR(INDEX(DB_materiali!$B$2:$B$5000,MATCH($C781,DB_materiali!$A$2:$A$5000,0))=INDEX(DB_malas!$B$2:$B$5000,MATCH(H781,DB_malas!$A$2:$A$5000,0)),$H781="ORG"),"✔",tulkojums!$A$38),tulkojums!$A$39),tulkojums!$A$39))</f>
        <v/>
      </c>
      <c r="Q781" s="2" t="str">
        <f>IF(ISBLANK(I781),"",IF(INDEX(DB_materiali!$E$2:$E$5000,MATCH($C781,DB_materiali!$A$2:$A$5000,0))&gt;=INDEX(DB_malas!$C$2:$C$5000,MATCH(I781,DB_malas!$A$2:$A$5000,0)),IF(INDEX(DB_materiali!$E$2:$E$5000,MATCH($C781,DB_materiali!$A$2:$A$5000,0))&lt;=INDEX(DB_malas!$D$2:$D$5000,MATCH(I781,DB_malas!$A$2:$A$5000,0)),IF(OR(INDEX(DB_materiali!$B$2:$B$5000,MATCH($C781,DB_materiali!$A$2:$A$5000,0))=INDEX(DB_malas!$B$2:$B$5000,MATCH(I781,DB_malas!$A$2:$A$5000,0)),$H781="ORG"),"✔",tulkojums!$A$38),tulkojums!$A$39),tulkojums!$A$39))</f>
        <v/>
      </c>
      <c r="R781" s="2" t="str">
        <f>IF(ISBLANK(J781),"",IF(INDEX(DB_materiali!$E$2:$E$5000,MATCH($C781,DB_materiali!$A$2:$A$5000,0))&gt;=INDEX(DB_malas!$C$2:$C$5000,MATCH(J781,DB_malas!$A$2:$A$5000,0)),IF(INDEX(DB_materiali!$E$2:$E$5000,MATCH($C781,DB_materiali!$A$2:$A$5000,0))&lt;=INDEX(DB_malas!$D$2:$D$5000,MATCH(J781,DB_malas!$A$2:$A$5000,0)),IF(INDEX(DB_materiali!$B$2:$B$5000,MATCH($C781,DB_materiali!$A$2:$A$5000,0))=INDEX(DB_malas!$B$2:$B$5000,MATCH(J781,DB_malas!$A$2:$A$5000,0)),"✔",tulkojums!$A$38),tulkojums!$A$39),tulkojums!$A$39))</f>
        <v/>
      </c>
      <c r="S781" s="2" t="str">
        <f>IF(ISBLANK(K781),"",IF(INDEX(DB_materiali!$E$2:$E$5000,MATCH($C781,DB_materiali!$A$2:$A$5000,0))&gt;=INDEX(DB_malas!$C$2:$C$5000,MATCH(K781,DB_malas!$A$2:$A$5000,0)),IF(INDEX(DB_materiali!$E$2:$E$5000,MATCH($C781,DB_materiali!$A$2:$A$5000,0))&lt;=INDEX(DB_malas!$D$2:$D$5000,MATCH(K781,DB_malas!$A$2:$A$5000,0)),IF(INDEX(DB_materiali!$B$2:$B$5000,MATCH($C781,DB_materiali!$A$2:$A$5000,0))=INDEX(DB_malas!$B$2:$B$5000,MATCH(K781,DB_malas!$A$2:$A$5000,0)),"✔",tulkojums!$A$38),tulkojums!$A$39),tulkojums!$A$39))</f>
        <v/>
      </c>
      <c r="T781" s="2"/>
      <c r="U781" s="2"/>
      <c r="V781" s="2"/>
      <c r="W781" s="2"/>
      <c r="X781" s="2"/>
      <c r="Y781" s="2"/>
      <c r="Z781" s="2"/>
    </row>
    <row r="782" spans="1:26" ht="15.75" customHeight="1">
      <c r="A782" s="17"/>
      <c r="B782" s="18"/>
      <c r="C782" s="19"/>
      <c r="D782" s="55"/>
      <c r="E782" s="55"/>
      <c r="F782" s="56"/>
      <c r="G782" s="57" t="str">
        <f>IF(ISBLANK(C782),"",
   IFERROR(
      IF(
         INDEX(DB_materiali!C$2:C$5000,
               MATCH(C782, DB_materiali!A$2:A$5000, 0)
         )="FALSE",
         "N",
         "Y"
      ),
   "")
)</f>
        <v/>
      </c>
      <c r="H782" s="20"/>
      <c r="I782" s="20"/>
      <c r="J782" s="20"/>
      <c r="K782" s="20"/>
      <c r="M782" s="2" t="str">
        <f>IF(ISBLANK(C782),"",IF(IFERROR(VLOOKUP(C782,DB_materiali!$A$2:$A$5000,1,FALSE),"Kļūda artikulā")=C782,"✔",tulkojums!A$42))</f>
        <v/>
      </c>
      <c r="N782" s="2" t="str">
        <f>IF(ISBLANK(C782),"",IF(ISNUMBER(F782)=TRUE,"✔",tulkojums!A$43))</f>
        <v/>
      </c>
      <c r="O782" s="2" t="str">
        <f>IF(ISBLANK(C782),"",IF(G782="Y","✔",IF(G782="X","✔",IF(G782="N","✔",tulkojums!A$44))))</f>
        <v/>
      </c>
      <c r="P782" s="2" t="str">
        <f>IF(ISBLANK(H782),"",IF(INDEX(DB_materiali!$E$2:$E$5000,MATCH($C782,DB_materiali!$A$2:$A$5000,0))&gt;=INDEX(DB_malas!$C$2:$C$5000,MATCH(H782,DB_malas!$A$2:$A$5000,0)),IF(INDEX(DB_materiali!$E$2:$E$5000,MATCH($C782,DB_materiali!$A$2:$A$5000,0))&lt;=INDEX(DB_malas!$D$2:$D$5000,MATCH(H782,DB_malas!$A$2:$A$5000,0)),IF(OR(INDEX(DB_materiali!$B$2:$B$5000,MATCH($C782,DB_materiali!$A$2:$A$5000,0))=INDEX(DB_malas!$B$2:$B$5000,MATCH(H782,DB_malas!$A$2:$A$5000,0)),$H782="ORG"),"✔",tulkojums!$A$38),tulkojums!$A$39),tulkojums!$A$39))</f>
        <v/>
      </c>
      <c r="Q782" s="2" t="str">
        <f>IF(ISBLANK(I782),"",IF(INDEX(DB_materiali!$E$2:$E$5000,MATCH($C782,DB_materiali!$A$2:$A$5000,0))&gt;=INDEX(DB_malas!$C$2:$C$5000,MATCH(I782,DB_malas!$A$2:$A$5000,0)),IF(INDEX(DB_materiali!$E$2:$E$5000,MATCH($C782,DB_materiali!$A$2:$A$5000,0))&lt;=INDEX(DB_malas!$D$2:$D$5000,MATCH(I782,DB_malas!$A$2:$A$5000,0)),IF(OR(INDEX(DB_materiali!$B$2:$B$5000,MATCH($C782,DB_materiali!$A$2:$A$5000,0))=INDEX(DB_malas!$B$2:$B$5000,MATCH(I782,DB_malas!$A$2:$A$5000,0)),$H782="ORG"),"✔",tulkojums!$A$38),tulkojums!$A$39),tulkojums!$A$39))</f>
        <v/>
      </c>
      <c r="R782" s="2" t="str">
        <f>IF(ISBLANK(J782),"",IF(INDEX(DB_materiali!$E$2:$E$5000,MATCH($C782,DB_materiali!$A$2:$A$5000,0))&gt;=INDEX(DB_malas!$C$2:$C$5000,MATCH(J782,DB_malas!$A$2:$A$5000,0)),IF(INDEX(DB_materiali!$E$2:$E$5000,MATCH($C782,DB_materiali!$A$2:$A$5000,0))&lt;=INDEX(DB_malas!$D$2:$D$5000,MATCH(J782,DB_malas!$A$2:$A$5000,0)),IF(INDEX(DB_materiali!$B$2:$B$5000,MATCH($C782,DB_materiali!$A$2:$A$5000,0))=INDEX(DB_malas!$B$2:$B$5000,MATCH(J782,DB_malas!$A$2:$A$5000,0)),"✔",tulkojums!$A$38),tulkojums!$A$39),tulkojums!$A$39))</f>
        <v/>
      </c>
      <c r="S782" s="2" t="str">
        <f>IF(ISBLANK(K782),"",IF(INDEX(DB_materiali!$E$2:$E$5000,MATCH($C782,DB_materiali!$A$2:$A$5000,0))&gt;=INDEX(DB_malas!$C$2:$C$5000,MATCH(K782,DB_malas!$A$2:$A$5000,0)),IF(INDEX(DB_materiali!$E$2:$E$5000,MATCH($C782,DB_materiali!$A$2:$A$5000,0))&lt;=INDEX(DB_malas!$D$2:$D$5000,MATCH(K782,DB_malas!$A$2:$A$5000,0)),IF(INDEX(DB_materiali!$B$2:$B$5000,MATCH($C782,DB_materiali!$A$2:$A$5000,0))=INDEX(DB_malas!$B$2:$B$5000,MATCH(K782,DB_malas!$A$2:$A$5000,0)),"✔",tulkojums!$A$38),tulkojums!$A$39),tulkojums!$A$39))</f>
        <v/>
      </c>
      <c r="T782" s="2"/>
      <c r="U782" s="2"/>
      <c r="V782" s="2"/>
      <c r="W782" s="2"/>
      <c r="X782" s="2"/>
      <c r="Y782" s="2"/>
      <c r="Z782" s="2"/>
    </row>
    <row r="783" spans="1:26" ht="15.75" customHeight="1">
      <c r="A783" s="17"/>
      <c r="B783" s="18"/>
      <c r="C783" s="19"/>
      <c r="D783" s="55"/>
      <c r="E783" s="55"/>
      <c r="F783" s="56"/>
      <c r="G783" s="57" t="str">
        <f>IF(ISBLANK(C783),"",
   IFERROR(
      IF(
         INDEX(DB_materiali!C$2:C$5000,
               MATCH(C783, DB_materiali!A$2:A$5000, 0)
         )="FALSE",
         "N",
         "Y"
      ),
   "")
)</f>
        <v/>
      </c>
      <c r="H783" s="20"/>
      <c r="I783" s="20"/>
      <c r="J783" s="20"/>
      <c r="K783" s="20"/>
      <c r="M783" s="2" t="str">
        <f>IF(ISBLANK(C783),"",IF(IFERROR(VLOOKUP(C783,DB_materiali!$A$2:$A$5000,1,FALSE),"Kļūda artikulā")=C783,"✔",tulkojums!A$42))</f>
        <v/>
      </c>
      <c r="N783" s="2" t="str">
        <f>IF(ISBLANK(C783),"",IF(ISNUMBER(F783)=TRUE,"✔",tulkojums!A$43))</f>
        <v/>
      </c>
      <c r="O783" s="2" t="str">
        <f>IF(ISBLANK(C783),"",IF(G783="Y","✔",IF(G783="X","✔",IF(G783="N","✔",tulkojums!A$44))))</f>
        <v/>
      </c>
      <c r="P783" s="2" t="str">
        <f>IF(ISBLANK(H783),"",IF(INDEX(DB_materiali!$E$2:$E$5000,MATCH($C783,DB_materiali!$A$2:$A$5000,0))&gt;=INDEX(DB_malas!$C$2:$C$5000,MATCH(H783,DB_malas!$A$2:$A$5000,0)),IF(INDEX(DB_materiali!$E$2:$E$5000,MATCH($C783,DB_materiali!$A$2:$A$5000,0))&lt;=INDEX(DB_malas!$D$2:$D$5000,MATCH(H783,DB_malas!$A$2:$A$5000,0)),IF(OR(INDEX(DB_materiali!$B$2:$B$5000,MATCH($C783,DB_materiali!$A$2:$A$5000,0))=INDEX(DB_malas!$B$2:$B$5000,MATCH(H783,DB_malas!$A$2:$A$5000,0)),$H783="ORG"),"✔",tulkojums!$A$38),tulkojums!$A$39),tulkojums!$A$39))</f>
        <v/>
      </c>
      <c r="Q783" s="2" t="str">
        <f>IF(ISBLANK(I783),"",IF(INDEX(DB_materiali!$E$2:$E$5000,MATCH($C783,DB_materiali!$A$2:$A$5000,0))&gt;=INDEX(DB_malas!$C$2:$C$5000,MATCH(I783,DB_malas!$A$2:$A$5000,0)),IF(INDEX(DB_materiali!$E$2:$E$5000,MATCH($C783,DB_materiali!$A$2:$A$5000,0))&lt;=INDEX(DB_malas!$D$2:$D$5000,MATCH(I783,DB_malas!$A$2:$A$5000,0)),IF(OR(INDEX(DB_materiali!$B$2:$B$5000,MATCH($C783,DB_materiali!$A$2:$A$5000,0))=INDEX(DB_malas!$B$2:$B$5000,MATCH(I783,DB_malas!$A$2:$A$5000,0)),$H783="ORG"),"✔",tulkojums!$A$38),tulkojums!$A$39),tulkojums!$A$39))</f>
        <v/>
      </c>
      <c r="R783" s="2" t="str">
        <f>IF(ISBLANK(J783),"",IF(INDEX(DB_materiali!$E$2:$E$5000,MATCH($C783,DB_materiali!$A$2:$A$5000,0))&gt;=INDEX(DB_malas!$C$2:$C$5000,MATCH(J783,DB_malas!$A$2:$A$5000,0)),IF(INDEX(DB_materiali!$E$2:$E$5000,MATCH($C783,DB_materiali!$A$2:$A$5000,0))&lt;=INDEX(DB_malas!$D$2:$D$5000,MATCH(J783,DB_malas!$A$2:$A$5000,0)),IF(INDEX(DB_materiali!$B$2:$B$5000,MATCH($C783,DB_materiali!$A$2:$A$5000,0))=INDEX(DB_malas!$B$2:$B$5000,MATCH(J783,DB_malas!$A$2:$A$5000,0)),"✔",tulkojums!$A$38),tulkojums!$A$39),tulkojums!$A$39))</f>
        <v/>
      </c>
      <c r="S783" s="2" t="str">
        <f>IF(ISBLANK(K783),"",IF(INDEX(DB_materiali!$E$2:$E$5000,MATCH($C783,DB_materiali!$A$2:$A$5000,0))&gt;=INDEX(DB_malas!$C$2:$C$5000,MATCH(K783,DB_malas!$A$2:$A$5000,0)),IF(INDEX(DB_materiali!$E$2:$E$5000,MATCH($C783,DB_materiali!$A$2:$A$5000,0))&lt;=INDEX(DB_malas!$D$2:$D$5000,MATCH(K783,DB_malas!$A$2:$A$5000,0)),IF(INDEX(DB_materiali!$B$2:$B$5000,MATCH($C783,DB_materiali!$A$2:$A$5000,0))=INDEX(DB_malas!$B$2:$B$5000,MATCH(K783,DB_malas!$A$2:$A$5000,0)),"✔",tulkojums!$A$38),tulkojums!$A$39),tulkojums!$A$39))</f>
        <v/>
      </c>
      <c r="T783" s="2"/>
      <c r="U783" s="2"/>
      <c r="V783" s="2"/>
      <c r="W783" s="2"/>
      <c r="X783" s="2"/>
      <c r="Y783" s="2"/>
      <c r="Z783" s="2"/>
    </row>
    <row r="784" spans="1:26" ht="15.75" customHeight="1">
      <c r="A784" s="17"/>
      <c r="B784" s="18"/>
      <c r="C784" s="19"/>
      <c r="D784" s="55"/>
      <c r="E784" s="55"/>
      <c r="F784" s="56"/>
      <c r="G784" s="57" t="str">
        <f>IF(ISBLANK(C784),"",
   IFERROR(
      IF(
         INDEX(DB_materiali!C$2:C$5000,
               MATCH(C784, DB_materiali!A$2:A$5000, 0)
         )="FALSE",
         "N",
         "Y"
      ),
   "")
)</f>
        <v/>
      </c>
      <c r="H784" s="20"/>
      <c r="I784" s="20"/>
      <c r="J784" s="20"/>
      <c r="K784" s="20"/>
      <c r="M784" s="2" t="str">
        <f>IF(ISBLANK(C784),"",IF(IFERROR(VLOOKUP(C784,DB_materiali!$A$2:$A$5000,1,FALSE),"Kļūda artikulā")=C784,"✔",tulkojums!A$42))</f>
        <v/>
      </c>
      <c r="N784" s="2" t="str">
        <f>IF(ISBLANK(C784),"",IF(ISNUMBER(F784)=TRUE,"✔",tulkojums!A$43))</f>
        <v/>
      </c>
      <c r="O784" s="2" t="str">
        <f>IF(ISBLANK(C784),"",IF(G784="Y","✔",IF(G784="X","✔",IF(G784="N","✔",tulkojums!A$44))))</f>
        <v/>
      </c>
      <c r="P784" s="2" t="str">
        <f>IF(ISBLANK(H784),"",IF(INDEX(DB_materiali!$E$2:$E$5000,MATCH($C784,DB_materiali!$A$2:$A$5000,0))&gt;=INDEX(DB_malas!$C$2:$C$5000,MATCH(H784,DB_malas!$A$2:$A$5000,0)),IF(INDEX(DB_materiali!$E$2:$E$5000,MATCH($C784,DB_materiali!$A$2:$A$5000,0))&lt;=INDEX(DB_malas!$D$2:$D$5000,MATCH(H784,DB_malas!$A$2:$A$5000,0)),IF(OR(INDEX(DB_materiali!$B$2:$B$5000,MATCH($C784,DB_materiali!$A$2:$A$5000,0))=INDEX(DB_malas!$B$2:$B$5000,MATCH(H784,DB_malas!$A$2:$A$5000,0)),$H784="ORG"),"✔",tulkojums!$A$38),tulkojums!$A$39),tulkojums!$A$39))</f>
        <v/>
      </c>
      <c r="Q784" s="2" t="str">
        <f>IF(ISBLANK(I784),"",IF(INDEX(DB_materiali!$E$2:$E$5000,MATCH($C784,DB_materiali!$A$2:$A$5000,0))&gt;=INDEX(DB_malas!$C$2:$C$5000,MATCH(I784,DB_malas!$A$2:$A$5000,0)),IF(INDEX(DB_materiali!$E$2:$E$5000,MATCH($C784,DB_materiali!$A$2:$A$5000,0))&lt;=INDEX(DB_malas!$D$2:$D$5000,MATCH(I784,DB_malas!$A$2:$A$5000,0)),IF(OR(INDEX(DB_materiali!$B$2:$B$5000,MATCH($C784,DB_materiali!$A$2:$A$5000,0))=INDEX(DB_malas!$B$2:$B$5000,MATCH(I784,DB_malas!$A$2:$A$5000,0)),$H784="ORG"),"✔",tulkojums!$A$38),tulkojums!$A$39),tulkojums!$A$39))</f>
        <v/>
      </c>
      <c r="R784" s="2" t="str">
        <f>IF(ISBLANK(J784),"",IF(INDEX(DB_materiali!$E$2:$E$5000,MATCH($C784,DB_materiali!$A$2:$A$5000,0))&gt;=INDEX(DB_malas!$C$2:$C$5000,MATCH(J784,DB_malas!$A$2:$A$5000,0)),IF(INDEX(DB_materiali!$E$2:$E$5000,MATCH($C784,DB_materiali!$A$2:$A$5000,0))&lt;=INDEX(DB_malas!$D$2:$D$5000,MATCH(J784,DB_malas!$A$2:$A$5000,0)),IF(INDEX(DB_materiali!$B$2:$B$5000,MATCH($C784,DB_materiali!$A$2:$A$5000,0))=INDEX(DB_malas!$B$2:$B$5000,MATCH(J784,DB_malas!$A$2:$A$5000,0)),"✔",tulkojums!$A$38),tulkojums!$A$39),tulkojums!$A$39))</f>
        <v/>
      </c>
      <c r="S784" s="2" t="str">
        <f>IF(ISBLANK(K784),"",IF(INDEX(DB_materiali!$E$2:$E$5000,MATCH($C784,DB_materiali!$A$2:$A$5000,0))&gt;=INDEX(DB_malas!$C$2:$C$5000,MATCH(K784,DB_malas!$A$2:$A$5000,0)),IF(INDEX(DB_materiali!$E$2:$E$5000,MATCH($C784,DB_materiali!$A$2:$A$5000,0))&lt;=INDEX(DB_malas!$D$2:$D$5000,MATCH(K784,DB_malas!$A$2:$A$5000,0)),IF(INDEX(DB_materiali!$B$2:$B$5000,MATCH($C784,DB_materiali!$A$2:$A$5000,0))=INDEX(DB_malas!$B$2:$B$5000,MATCH(K784,DB_malas!$A$2:$A$5000,0)),"✔",tulkojums!$A$38),tulkojums!$A$39),tulkojums!$A$39))</f>
        <v/>
      </c>
      <c r="T784" s="2"/>
      <c r="U784" s="2"/>
      <c r="V784" s="2"/>
      <c r="W784" s="2"/>
      <c r="X784" s="2"/>
      <c r="Y784" s="2"/>
      <c r="Z784" s="2"/>
    </row>
    <row r="785" spans="1:26" ht="15.75" customHeight="1">
      <c r="A785" s="17"/>
      <c r="B785" s="18"/>
      <c r="C785" s="19"/>
      <c r="D785" s="55"/>
      <c r="E785" s="55"/>
      <c r="F785" s="56"/>
      <c r="G785" s="57" t="str">
        <f>IF(ISBLANK(C785),"",
   IFERROR(
      IF(
         INDEX(DB_materiali!C$2:C$5000,
               MATCH(C785, DB_materiali!A$2:A$5000, 0)
         )="FALSE",
         "N",
         "Y"
      ),
   "")
)</f>
        <v/>
      </c>
      <c r="H785" s="20"/>
      <c r="I785" s="20"/>
      <c r="J785" s="20"/>
      <c r="K785" s="20"/>
      <c r="M785" s="2" t="str">
        <f>IF(ISBLANK(C785),"",IF(IFERROR(VLOOKUP(C785,DB_materiali!$A$2:$A$5000,1,FALSE),"Kļūda artikulā")=C785,"✔",tulkojums!A$42))</f>
        <v/>
      </c>
      <c r="N785" s="2" t="str">
        <f>IF(ISBLANK(C785),"",IF(ISNUMBER(F785)=TRUE,"✔",tulkojums!A$43))</f>
        <v/>
      </c>
      <c r="O785" s="2" t="str">
        <f>IF(ISBLANK(C785),"",IF(G785="Y","✔",IF(G785="X","✔",IF(G785="N","✔",tulkojums!A$44))))</f>
        <v/>
      </c>
      <c r="P785" s="2" t="str">
        <f>IF(ISBLANK(H785),"",IF(INDEX(DB_materiali!$E$2:$E$5000,MATCH($C785,DB_materiali!$A$2:$A$5000,0))&gt;=INDEX(DB_malas!$C$2:$C$5000,MATCH(H785,DB_malas!$A$2:$A$5000,0)),IF(INDEX(DB_materiali!$E$2:$E$5000,MATCH($C785,DB_materiali!$A$2:$A$5000,0))&lt;=INDEX(DB_malas!$D$2:$D$5000,MATCH(H785,DB_malas!$A$2:$A$5000,0)),IF(OR(INDEX(DB_materiali!$B$2:$B$5000,MATCH($C785,DB_materiali!$A$2:$A$5000,0))=INDEX(DB_malas!$B$2:$B$5000,MATCH(H785,DB_malas!$A$2:$A$5000,0)),$H785="ORG"),"✔",tulkojums!$A$38),tulkojums!$A$39),tulkojums!$A$39))</f>
        <v/>
      </c>
      <c r="Q785" s="2" t="str">
        <f>IF(ISBLANK(I785),"",IF(INDEX(DB_materiali!$E$2:$E$5000,MATCH($C785,DB_materiali!$A$2:$A$5000,0))&gt;=INDEX(DB_malas!$C$2:$C$5000,MATCH(I785,DB_malas!$A$2:$A$5000,0)),IF(INDEX(DB_materiali!$E$2:$E$5000,MATCH($C785,DB_materiali!$A$2:$A$5000,0))&lt;=INDEX(DB_malas!$D$2:$D$5000,MATCH(I785,DB_malas!$A$2:$A$5000,0)),IF(OR(INDEX(DB_materiali!$B$2:$B$5000,MATCH($C785,DB_materiali!$A$2:$A$5000,0))=INDEX(DB_malas!$B$2:$B$5000,MATCH(I785,DB_malas!$A$2:$A$5000,0)),$H785="ORG"),"✔",tulkojums!$A$38),tulkojums!$A$39),tulkojums!$A$39))</f>
        <v/>
      </c>
      <c r="R785" s="2" t="str">
        <f>IF(ISBLANK(J785),"",IF(INDEX(DB_materiali!$E$2:$E$5000,MATCH($C785,DB_materiali!$A$2:$A$5000,0))&gt;=INDEX(DB_malas!$C$2:$C$5000,MATCH(J785,DB_malas!$A$2:$A$5000,0)),IF(INDEX(DB_materiali!$E$2:$E$5000,MATCH($C785,DB_materiali!$A$2:$A$5000,0))&lt;=INDEX(DB_malas!$D$2:$D$5000,MATCH(J785,DB_malas!$A$2:$A$5000,0)),IF(INDEX(DB_materiali!$B$2:$B$5000,MATCH($C785,DB_materiali!$A$2:$A$5000,0))=INDEX(DB_malas!$B$2:$B$5000,MATCH(J785,DB_malas!$A$2:$A$5000,0)),"✔",tulkojums!$A$38),tulkojums!$A$39),tulkojums!$A$39))</f>
        <v/>
      </c>
      <c r="S785" s="2" t="str">
        <f>IF(ISBLANK(K785),"",IF(INDEX(DB_materiali!$E$2:$E$5000,MATCH($C785,DB_materiali!$A$2:$A$5000,0))&gt;=INDEX(DB_malas!$C$2:$C$5000,MATCH(K785,DB_malas!$A$2:$A$5000,0)),IF(INDEX(DB_materiali!$E$2:$E$5000,MATCH($C785,DB_materiali!$A$2:$A$5000,0))&lt;=INDEX(DB_malas!$D$2:$D$5000,MATCH(K785,DB_malas!$A$2:$A$5000,0)),IF(INDEX(DB_materiali!$B$2:$B$5000,MATCH($C785,DB_materiali!$A$2:$A$5000,0))=INDEX(DB_malas!$B$2:$B$5000,MATCH(K785,DB_malas!$A$2:$A$5000,0)),"✔",tulkojums!$A$38),tulkojums!$A$39),tulkojums!$A$39))</f>
        <v/>
      </c>
      <c r="T785" s="2"/>
      <c r="U785" s="2"/>
      <c r="V785" s="2"/>
      <c r="W785" s="2"/>
      <c r="X785" s="2"/>
      <c r="Y785" s="2"/>
      <c r="Z785" s="2"/>
    </row>
    <row r="786" spans="1:26" ht="15.75" customHeight="1">
      <c r="A786" s="17"/>
      <c r="B786" s="18"/>
      <c r="C786" s="19"/>
      <c r="D786" s="55"/>
      <c r="E786" s="55"/>
      <c r="F786" s="56"/>
      <c r="G786" s="57" t="str">
        <f>IF(ISBLANK(C786),"",
   IFERROR(
      IF(
         INDEX(DB_materiali!C$2:C$5000,
               MATCH(C786, DB_materiali!A$2:A$5000, 0)
         )="FALSE",
         "N",
         "Y"
      ),
   "")
)</f>
        <v/>
      </c>
      <c r="H786" s="20"/>
      <c r="I786" s="20"/>
      <c r="J786" s="20"/>
      <c r="K786" s="20"/>
      <c r="M786" s="2" t="str">
        <f>IF(ISBLANK(C786),"",IF(IFERROR(VLOOKUP(C786,DB_materiali!$A$2:$A$5000,1,FALSE),"Kļūda artikulā")=C786,"✔",tulkojums!A$42))</f>
        <v/>
      </c>
      <c r="N786" s="2" t="str">
        <f>IF(ISBLANK(C786),"",IF(ISNUMBER(F786)=TRUE,"✔",tulkojums!A$43))</f>
        <v/>
      </c>
      <c r="O786" s="2" t="str">
        <f>IF(ISBLANK(C786),"",IF(G786="Y","✔",IF(G786="X","✔",IF(G786="N","✔",tulkojums!A$44))))</f>
        <v/>
      </c>
      <c r="P786" s="2" t="str">
        <f>IF(ISBLANK(H786),"",IF(INDEX(DB_materiali!$E$2:$E$5000,MATCH($C786,DB_materiali!$A$2:$A$5000,0))&gt;=INDEX(DB_malas!$C$2:$C$5000,MATCH(H786,DB_malas!$A$2:$A$5000,0)),IF(INDEX(DB_materiali!$E$2:$E$5000,MATCH($C786,DB_materiali!$A$2:$A$5000,0))&lt;=INDEX(DB_malas!$D$2:$D$5000,MATCH(H786,DB_malas!$A$2:$A$5000,0)),IF(OR(INDEX(DB_materiali!$B$2:$B$5000,MATCH($C786,DB_materiali!$A$2:$A$5000,0))=INDEX(DB_malas!$B$2:$B$5000,MATCH(H786,DB_malas!$A$2:$A$5000,0)),$H786="ORG"),"✔",tulkojums!$A$38),tulkojums!$A$39),tulkojums!$A$39))</f>
        <v/>
      </c>
      <c r="Q786" s="2" t="str">
        <f>IF(ISBLANK(I786),"",IF(INDEX(DB_materiali!$E$2:$E$5000,MATCH($C786,DB_materiali!$A$2:$A$5000,0))&gt;=INDEX(DB_malas!$C$2:$C$5000,MATCH(I786,DB_malas!$A$2:$A$5000,0)),IF(INDEX(DB_materiali!$E$2:$E$5000,MATCH($C786,DB_materiali!$A$2:$A$5000,0))&lt;=INDEX(DB_malas!$D$2:$D$5000,MATCH(I786,DB_malas!$A$2:$A$5000,0)),IF(OR(INDEX(DB_materiali!$B$2:$B$5000,MATCH($C786,DB_materiali!$A$2:$A$5000,0))=INDEX(DB_malas!$B$2:$B$5000,MATCH(I786,DB_malas!$A$2:$A$5000,0)),$H786="ORG"),"✔",tulkojums!$A$38),tulkojums!$A$39),tulkojums!$A$39))</f>
        <v/>
      </c>
      <c r="R786" s="2" t="str">
        <f>IF(ISBLANK(J786),"",IF(INDEX(DB_materiali!$E$2:$E$5000,MATCH($C786,DB_materiali!$A$2:$A$5000,0))&gt;=INDEX(DB_malas!$C$2:$C$5000,MATCH(J786,DB_malas!$A$2:$A$5000,0)),IF(INDEX(DB_materiali!$E$2:$E$5000,MATCH($C786,DB_materiali!$A$2:$A$5000,0))&lt;=INDEX(DB_malas!$D$2:$D$5000,MATCH(J786,DB_malas!$A$2:$A$5000,0)),IF(INDEX(DB_materiali!$B$2:$B$5000,MATCH($C786,DB_materiali!$A$2:$A$5000,0))=INDEX(DB_malas!$B$2:$B$5000,MATCH(J786,DB_malas!$A$2:$A$5000,0)),"✔",tulkojums!$A$38),tulkojums!$A$39),tulkojums!$A$39))</f>
        <v/>
      </c>
      <c r="S786" s="2" t="str">
        <f>IF(ISBLANK(K786),"",IF(INDEX(DB_materiali!$E$2:$E$5000,MATCH($C786,DB_materiali!$A$2:$A$5000,0))&gt;=INDEX(DB_malas!$C$2:$C$5000,MATCH(K786,DB_malas!$A$2:$A$5000,0)),IF(INDEX(DB_materiali!$E$2:$E$5000,MATCH($C786,DB_materiali!$A$2:$A$5000,0))&lt;=INDEX(DB_malas!$D$2:$D$5000,MATCH(K786,DB_malas!$A$2:$A$5000,0)),IF(INDEX(DB_materiali!$B$2:$B$5000,MATCH($C786,DB_materiali!$A$2:$A$5000,0))=INDEX(DB_malas!$B$2:$B$5000,MATCH(K786,DB_malas!$A$2:$A$5000,0)),"✔",tulkojums!$A$38),tulkojums!$A$39),tulkojums!$A$39))</f>
        <v/>
      </c>
      <c r="T786" s="2"/>
      <c r="U786" s="2"/>
      <c r="V786" s="2"/>
      <c r="W786" s="2"/>
      <c r="X786" s="2"/>
      <c r="Y786" s="2"/>
      <c r="Z786" s="2"/>
    </row>
    <row r="787" spans="1:26" ht="15.75" customHeight="1">
      <c r="A787" s="17"/>
      <c r="B787" s="18"/>
      <c r="C787" s="19"/>
      <c r="D787" s="55"/>
      <c r="E787" s="55"/>
      <c r="F787" s="56"/>
      <c r="G787" s="57" t="str">
        <f>IF(ISBLANK(C787),"",
   IFERROR(
      IF(
         INDEX(DB_materiali!C$2:C$5000,
               MATCH(C787, DB_materiali!A$2:A$5000, 0)
         )="FALSE",
         "N",
         "Y"
      ),
   "")
)</f>
        <v/>
      </c>
      <c r="H787" s="20"/>
      <c r="I787" s="20"/>
      <c r="J787" s="20"/>
      <c r="K787" s="20"/>
      <c r="M787" s="2" t="str">
        <f>IF(ISBLANK(C787),"",IF(IFERROR(VLOOKUP(C787,DB_materiali!$A$2:$A$5000,1,FALSE),"Kļūda artikulā")=C787,"✔",tulkojums!A$42))</f>
        <v/>
      </c>
      <c r="N787" s="2" t="str">
        <f>IF(ISBLANK(C787),"",IF(ISNUMBER(F787)=TRUE,"✔",tulkojums!A$43))</f>
        <v/>
      </c>
      <c r="O787" s="2" t="str">
        <f>IF(ISBLANK(C787),"",IF(G787="Y","✔",IF(G787="X","✔",IF(G787="N","✔",tulkojums!A$44))))</f>
        <v/>
      </c>
      <c r="P787" s="2" t="str">
        <f>IF(ISBLANK(H787),"",IF(INDEX(DB_materiali!$E$2:$E$5000,MATCH($C787,DB_materiali!$A$2:$A$5000,0))&gt;=INDEX(DB_malas!$C$2:$C$5000,MATCH(H787,DB_malas!$A$2:$A$5000,0)),IF(INDEX(DB_materiali!$E$2:$E$5000,MATCH($C787,DB_materiali!$A$2:$A$5000,0))&lt;=INDEX(DB_malas!$D$2:$D$5000,MATCH(H787,DB_malas!$A$2:$A$5000,0)),IF(OR(INDEX(DB_materiali!$B$2:$B$5000,MATCH($C787,DB_materiali!$A$2:$A$5000,0))=INDEX(DB_malas!$B$2:$B$5000,MATCH(H787,DB_malas!$A$2:$A$5000,0)),$H787="ORG"),"✔",tulkojums!$A$38),tulkojums!$A$39),tulkojums!$A$39))</f>
        <v/>
      </c>
      <c r="Q787" s="2" t="str">
        <f>IF(ISBLANK(I787),"",IF(INDEX(DB_materiali!$E$2:$E$5000,MATCH($C787,DB_materiali!$A$2:$A$5000,0))&gt;=INDEX(DB_malas!$C$2:$C$5000,MATCH(I787,DB_malas!$A$2:$A$5000,0)),IF(INDEX(DB_materiali!$E$2:$E$5000,MATCH($C787,DB_materiali!$A$2:$A$5000,0))&lt;=INDEX(DB_malas!$D$2:$D$5000,MATCH(I787,DB_malas!$A$2:$A$5000,0)),IF(OR(INDEX(DB_materiali!$B$2:$B$5000,MATCH($C787,DB_materiali!$A$2:$A$5000,0))=INDEX(DB_malas!$B$2:$B$5000,MATCH(I787,DB_malas!$A$2:$A$5000,0)),$H787="ORG"),"✔",tulkojums!$A$38),tulkojums!$A$39),tulkojums!$A$39))</f>
        <v/>
      </c>
      <c r="R787" s="2" t="str">
        <f>IF(ISBLANK(J787),"",IF(INDEX(DB_materiali!$E$2:$E$5000,MATCH($C787,DB_materiali!$A$2:$A$5000,0))&gt;=INDEX(DB_malas!$C$2:$C$5000,MATCH(J787,DB_malas!$A$2:$A$5000,0)),IF(INDEX(DB_materiali!$E$2:$E$5000,MATCH($C787,DB_materiali!$A$2:$A$5000,0))&lt;=INDEX(DB_malas!$D$2:$D$5000,MATCH(J787,DB_malas!$A$2:$A$5000,0)),IF(INDEX(DB_materiali!$B$2:$B$5000,MATCH($C787,DB_materiali!$A$2:$A$5000,0))=INDEX(DB_malas!$B$2:$B$5000,MATCH(J787,DB_malas!$A$2:$A$5000,0)),"✔",tulkojums!$A$38),tulkojums!$A$39),tulkojums!$A$39))</f>
        <v/>
      </c>
      <c r="S787" s="2" t="str">
        <f>IF(ISBLANK(K787),"",IF(INDEX(DB_materiali!$E$2:$E$5000,MATCH($C787,DB_materiali!$A$2:$A$5000,0))&gt;=INDEX(DB_malas!$C$2:$C$5000,MATCH(K787,DB_malas!$A$2:$A$5000,0)),IF(INDEX(DB_materiali!$E$2:$E$5000,MATCH($C787,DB_materiali!$A$2:$A$5000,0))&lt;=INDEX(DB_malas!$D$2:$D$5000,MATCH(K787,DB_malas!$A$2:$A$5000,0)),IF(INDEX(DB_materiali!$B$2:$B$5000,MATCH($C787,DB_materiali!$A$2:$A$5000,0))=INDEX(DB_malas!$B$2:$B$5000,MATCH(K787,DB_malas!$A$2:$A$5000,0)),"✔",tulkojums!$A$38),tulkojums!$A$39),tulkojums!$A$39))</f>
        <v/>
      </c>
      <c r="T787" s="2"/>
      <c r="U787" s="2"/>
      <c r="V787" s="2"/>
      <c r="W787" s="2"/>
      <c r="X787" s="2"/>
      <c r="Y787" s="2"/>
      <c r="Z787" s="2"/>
    </row>
    <row r="788" spans="1:26" ht="15.75" customHeight="1">
      <c r="A788" s="17"/>
      <c r="B788" s="18"/>
      <c r="C788" s="19"/>
      <c r="D788" s="55"/>
      <c r="E788" s="55"/>
      <c r="F788" s="56"/>
      <c r="G788" s="57" t="str">
        <f>IF(ISBLANK(C788),"",
   IFERROR(
      IF(
         INDEX(DB_materiali!C$2:C$5000,
               MATCH(C788, DB_materiali!A$2:A$5000, 0)
         )="FALSE",
         "N",
         "Y"
      ),
   "")
)</f>
        <v/>
      </c>
      <c r="H788" s="20"/>
      <c r="I788" s="20"/>
      <c r="J788" s="20"/>
      <c r="K788" s="20"/>
      <c r="M788" s="2" t="str">
        <f>IF(ISBLANK(C788),"",IF(IFERROR(VLOOKUP(C788,DB_materiali!$A$2:$A$5000,1,FALSE),"Kļūda artikulā")=C788,"✔",tulkojums!A$42))</f>
        <v/>
      </c>
      <c r="N788" s="2" t="str">
        <f>IF(ISBLANK(C788),"",IF(ISNUMBER(F788)=TRUE,"✔",tulkojums!A$43))</f>
        <v/>
      </c>
      <c r="O788" s="2" t="str">
        <f>IF(ISBLANK(C788),"",IF(G788="Y","✔",IF(G788="X","✔",IF(G788="N","✔",tulkojums!A$44))))</f>
        <v/>
      </c>
      <c r="P788" s="2" t="str">
        <f>IF(ISBLANK(H788),"",IF(INDEX(DB_materiali!$E$2:$E$5000,MATCH($C788,DB_materiali!$A$2:$A$5000,0))&gt;=INDEX(DB_malas!$C$2:$C$5000,MATCH(H788,DB_malas!$A$2:$A$5000,0)),IF(INDEX(DB_materiali!$E$2:$E$5000,MATCH($C788,DB_materiali!$A$2:$A$5000,0))&lt;=INDEX(DB_malas!$D$2:$D$5000,MATCH(H788,DB_malas!$A$2:$A$5000,0)),IF(OR(INDEX(DB_materiali!$B$2:$B$5000,MATCH($C788,DB_materiali!$A$2:$A$5000,0))=INDEX(DB_malas!$B$2:$B$5000,MATCH(H788,DB_malas!$A$2:$A$5000,0)),$H788="ORG"),"✔",tulkojums!$A$38),tulkojums!$A$39),tulkojums!$A$39))</f>
        <v/>
      </c>
      <c r="Q788" s="2" t="str">
        <f>IF(ISBLANK(I788),"",IF(INDEX(DB_materiali!$E$2:$E$5000,MATCH($C788,DB_materiali!$A$2:$A$5000,0))&gt;=INDEX(DB_malas!$C$2:$C$5000,MATCH(I788,DB_malas!$A$2:$A$5000,0)),IF(INDEX(DB_materiali!$E$2:$E$5000,MATCH($C788,DB_materiali!$A$2:$A$5000,0))&lt;=INDEX(DB_malas!$D$2:$D$5000,MATCH(I788,DB_malas!$A$2:$A$5000,0)),IF(OR(INDEX(DB_materiali!$B$2:$B$5000,MATCH($C788,DB_materiali!$A$2:$A$5000,0))=INDEX(DB_malas!$B$2:$B$5000,MATCH(I788,DB_malas!$A$2:$A$5000,0)),$H788="ORG"),"✔",tulkojums!$A$38),tulkojums!$A$39),tulkojums!$A$39))</f>
        <v/>
      </c>
      <c r="R788" s="2" t="str">
        <f>IF(ISBLANK(J788),"",IF(INDEX(DB_materiali!$E$2:$E$5000,MATCH($C788,DB_materiali!$A$2:$A$5000,0))&gt;=INDEX(DB_malas!$C$2:$C$5000,MATCH(J788,DB_malas!$A$2:$A$5000,0)),IF(INDEX(DB_materiali!$E$2:$E$5000,MATCH($C788,DB_materiali!$A$2:$A$5000,0))&lt;=INDEX(DB_malas!$D$2:$D$5000,MATCH(J788,DB_malas!$A$2:$A$5000,0)),IF(INDEX(DB_materiali!$B$2:$B$5000,MATCH($C788,DB_materiali!$A$2:$A$5000,0))=INDEX(DB_malas!$B$2:$B$5000,MATCH(J788,DB_malas!$A$2:$A$5000,0)),"✔",tulkojums!$A$38),tulkojums!$A$39),tulkojums!$A$39))</f>
        <v/>
      </c>
      <c r="S788" s="2" t="str">
        <f>IF(ISBLANK(K788),"",IF(INDEX(DB_materiali!$E$2:$E$5000,MATCH($C788,DB_materiali!$A$2:$A$5000,0))&gt;=INDEX(DB_malas!$C$2:$C$5000,MATCH(K788,DB_malas!$A$2:$A$5000,0)),IF(INDEX(DB_materiali!$E$2:$E$5000,MATCH($C788,DB_materiali!$A$2:$A$5000,0))&lt;=INDEX(DB_malas!$D$2:$D$5000,MATCH(K788,DB_malas!$A$2:$A$5000,0)),IF(INDEX(DB_materiali!$B$2:$B$5000,MATCH($C788,DB_materiali!$A$2:$A$5000,0))=INDEX(DB_malas!$B$2:$B$5000,MATCH(K788,DB_malas!$A$2:$A$5000,0)),"✔",tulkojums!$A$38),tulkojums!$A$39),tulkojums!$A$39))</f>
        <v/>
      </c>
      <c r="T788" s="2"/>
      <c r="U788" s="2"/>
      <c r="V788" s="2"/>
      <c r="W788" s="2"/>
      <c r="X788" s="2"/>
      <c r="Y788" s="2"/>
      <c r="Z788" s="2"/>
    </row>
    <row r="789" spans="1:26" ht="15.75" customHeight="1">
      <c r="A789" s="17"/>
      <c r="B789" s="18"/>
      <c r="C789" s="19"/>
      <c r="D789" s="55"/>
      <c r="E789" s="55"/>
      <c r="F789" s="56"/>
      <c r="G789" s="57" t="str">
        <f>IF(ISBLANK(C789),"",
   IFERROR(
      IF(
         INDEX(DB_materiali!C$2:C$5000,
               MATCH(C789, DB_materiali!A$2:A$5000, 0)
         )="FALSE",
         "N",
         "Y"
      ),
   "")
)</f>
        <v/>
      </c>
      <c r="H789" s="20"/>
      <c r="I789" s="20"/>
      <c r="J789" s="20"/>
      <c r="K789" s="20"/>
      <c r="M789" s="2" t="str">
        <f>IF(ISBLANK(C789),"",IF(IFERROR(VLOOKUP(C789,DB_materiali!$A$2:$A$5000,1,FALSE),"Kļūda artikulā")=C789,"✔",tulkojums!A$42))</f>
        <v/>
      </c>
      <c r="N789" s="2" t="str">
        <f>IF(ISBLANK(C789),"",IF(ISNUMBER(F789)=TRUE,"✔",tulkojums!A$43))</f>
        <v/>
      </c>
      <c r="O789" s="2" t="str">
        <f>IF(ISBLANK(C789),"",IF(G789="Y","✔",IF(G789="X","✔",IF(G789="N","✔",tulkojums!A$44))))</f>
        <v/>
      </c>
      <c r="P789" s="2" t="str">
        <f>IF(ISBLANK(H789),"",IF(INDEX(DB_materiali!$E$2:$E$5000,MATCH($C789,DB_materiali!$A$2:$A$5000,0))&gt;=INDEX(DB_malas!$C$2:$C$5000,MATCH(H789,DB_malas!$A$2:$A$5000,0)),IF(INDEX(DB_materiali!$E$2:$E$5000,MATCH($C789,DB_materiali!$A$2:$A$5000,0))&lt;=INDEX(DB_malas!$D$2:$D$5000,MATCH(H789,DB_malas!$A$2:$A$5000,0)),IF(OR(INDEX(DB_materiali!$B$2:$B$5000,MATCH($C789,DB_materiali!$A$2:$A$5000,0))=INDEX(DB_malas!$B$2:$B$5000,MATCH(H789,DB_malas!$A$2:$A$5000,0)),$H789="ORG"),"✔",tulkojums!$A$38),tulkojums!$A$39),tulkojums!$A$39))</f>
        <v/>
      </c>
      <c r="Q789" s="2" t="str">
        <f>IF(ISBLANK(I789),"",IF(INDEX(DB_materiali!$E$2:$E$5000,MATCH($C789,DB_materiali!$A$2:$A$5000,0))&gt;=INDEX(DB_malas!$C$2:$C$5000,MATCH(I789,DB_malas!$A$2:$A$5000,0)),IF(INDEX(DB_materiali!$E$2:$E$5000,MATCH($C789,DB_materiali!$A$2:$A$5000,0))&lt;=INDEX(DB_malas!$D$2:$D$5000,MATCH(I789,DB_malas!$A$2:$A$5000,0)),IF(OR(INDEX(DB_materiali!$B$2:$B$5000,MATCH($C789,DB_materiali!$A$2:$A$5000,0))=INDEX(DB_malas!$B$2:$B$5000,MATCH(I789,DB_malas!$A$2:$A$5000,0)),$H789="ORG"),"✔",tulkojums!$A$38),tulkojums!$A$39),tulkojums!$A$39))</f>
        <v/>
      </c>
      <c r="R789" s="2" t="str">
        <f>IF(ISBLANK(J789),"",IF(INDEX(DB_materiali!$E$2:$E$5000,MATCH($C789,DB_materiali!$A$2:$A$5000,0))&gt;=INDEX(DB_malas!$C$2:$C$5000,MATCH(J789,DB_malas!$A$2:$A$5000,0)),IF(INDEX(DB_materiali!$E$2:$E$5000,MATCH($C789,DB_materiali!$A$2:$A$5000,0))&lt;=INDEX(DB_malas!$D$2:$D$5000,MATCH(J789,DB_malas!$A$2:$A$5000,0)),IF(INDEX(DB_materiali!$B$2:$B$5000,MATCH($C789,DB_materiali!$A$2:$A$5000,0))=INDEX(DB_malas!$B$2:$B$5000,MATCH(J789,DB_malas!$A$2:$A$5000,0)),"✔",tulkojums!$A$38),tulkojums!$A$39),tulkojums!$A$39))</f>
        <v/>
      </c>
      <c r="S789" s="2" t="str">
        <f>IF(ISBLANK(K789),"",IF(INDEX(DB_materiali!$E$2:$E$5000,MATCH($C789,DB_materiali!$A$2:$A$5000,0))&gt;=INDEX(DB_malas!$C$2:$C$5000,MATCH(K789,DB_malas!$A$2:$A$5000,0)),IF(INDEX(DB_materiali!$E$2:$E$5000,MATCH($C789,DB_materiali!$A$2:$A$5000,0))&lt;=INDEX(DB_malas!$D$2:$D$5000,MATCH(K789,DB_malas!$A$2:$A$5000,0)),IF(INDEX(DB_materiali!$B$2:$B$5000,MATCH($C789,DB_materiali!$A$2:$A$5000,0))=INDEX(DB_malas!$B$2:$B$5000,MATCH(K789,DB_malas!$A$2:$A$5000,0)),"✔",tulkojums!$A$38),tulkojums!$A$39),tulkojums!$A$39))</f>
        <v/>
      </c>
      <c r="T789" s="2"/>
      <c r="U789" s="2"/>
      <c r="V789" s="2"/>
      <c r="W789" s="2"/>
      <c r="X789" s="2"/>
      <c r="Y789" s="2"/>
      <c r="Z789" s="2"/>
    </row>
    <row r="790" spans="1:26" ht="15.75" customHeight="1">
      <c r="A790" s="17"/>
      <c r="B790" s="18"/>
      <c r="C790" s="19"/>
      <c r="D790" s="55"/>
      <c r="E790" s="55"/>
      <c r="F790" s="56"/>
      <c r="G790" s="57" t="str">
        <f>IF(ISBLANK(C790),"",
   IFERROR(
      IF(
         INDEX(DB_materiali!C$2:C$5000,
               MATCH(C790, DB_materiali!A$2:A$5000, 0)
         )="FALSE",
         "N",
         "Y"
      ),
   "")
)</f>
        <v/>
      </c>
      <c r="H790" s="20"/>
      <c r="I790" s="20"/>
      <c r="J790" s="20"/>
      <c r="K790" s="20"/>
      <c r="M790" s="2" t="str">
        <f>IF(ISBLANK(C790),"",IF(IFERROR(VLOOKUP(C790,DB_materiali!$A$2:$A$5000,1,FALSE),"Kļūda artikulā")=C790,"✔",tulkojums!A$42))</f>
        <v/>
      </c>
      <c r="N790" s="2" t="str">
        <f>IF(ISBLANK(C790),"",IF(ISNUMBER(F790)=TRUE,"✔",tulkojums!A$43))</f>
        <v/>
      </c>
      <c r="O790" s="2" t="str">
        <f>IF(ISBLANK(C790),"",IF(G790="Y","✔",IF(G790="X","✔",IF(G790="N","✔",tulkojums!A$44))))</f>
        <v/>
      </c>
      <c r="P790" s="2" t="str">
        <f>IF(ISBLANK(H790),"",IF(INDEX(DB_materiali!$E$2:$E$5000,MATCH($C790,DB_materiali!$A$2:$A$5000,0))&gt;=INDEX(DB_malas!$C$2:$C$5000,MATCH(H790,DB_malas!$A$2:$A$5000,0)),IF(INDEX(DB_materiali!$E$2:$E$5000,MATCH($C790,DB_materiali!$A$2:$A$5000,0))&lt;=INDEX(DB_malas!$D$2:$D$5000,MATCH(H790,DB_malas!$A$2:$A$5000,0)),IF(OR(INDEX(DB_materiali!$B$2:$B$5000,MATCH($C790,DB_materiali!$A$2:$A$5000,0))=INDEX(DB_malas!$B$2:$B$5000,MATCH(H790,DB_malas!$A$2:$A$5000,0)),$H790="ORG"),"✔",tulkojums!$A$38),tulkojums!$A$39),tulkojums!$A$39))</f>
        <v/>
      </c>
      <c r="Q790" s="2" t="str">
        <f>IF(ISBLANK(I790),"",IF(INDEX(DB_materiali!$E$2:$E$5000,MATCH($C790,DB_materiali!$A$2:$A$5000,0))&gt;=INDEX(DB_malas!$C$2:$C$5000,MATCH(I790,DB_malas!$A$2:$A$5000,0)),IF(INDEX(DB_materiali!$E$2:$E$5000,MATCH($C790,DB_materiali!$A$2:$A$5000,0))&lt;=INDEX(DB_malas!$D$2:$D$5000,MATCH(I790,DB_malas!$A$2:$A$5000,0)),IF(OR(INDEX(DB_materiali!$B$2:$B$5000,MATCH($C790,DB_materiali!$A$2:$A$5000,0))=INDEX(DB_malas!$B$2:$B$5000,MATCH(I790,DB_malas!$A$2:$A$5000,0)),$H790="ORG"),"✔",tulkojums!$A$38),tulkojums!$A$39),tulkojums!$A$39))</f>
        <v/>
      </c>
      <c r="R790" s="2" t="str">
        <f>IF(ISBLANK(J790),"",IF(INDEX(DB_materiali!$E$2:$E$5000,MATCH($C790,DB_materiali!$A$2:$A$5000,0))&gt;=INDEX(DB_malas!$C$2:$C$5000,MATCH(J790,DB_malas!$A$2:$A$5000,0)),IF(INDEX(DB_materiali!$E$2:$E$5000,MATCH($C790,DB_materiali!$A$2:$A$5000,0))&lt;=INDEX(DB_malas!$D$2:$D$5000,MATCH(J790,DB_malas!$A$2:$A$5000,0)),IF(INDEX(DB_materiali!$B$2:$B$5000,MATCH($C790,DB_materiali!$A$2:$A$5000,0))=INDEX(DB_malas!$B$2:$B$5000,MATCH(J790,DB_malas!$A$2:$A$5000,0)),"✔",tulkojums!$A$38),tulkojums!$A$39),tulkojums!$A$39))</f>
        <v/>
      </c>
      <c r="S790" s="2" t="str">
        <f>IF(ISBLANK(K790),"",IF(INDEX(DB_materiali!$E$2:$E$5000,MATCH($C790,DB_materiali!$A$2:$A$5000,0))&gt;=INDEX(DB_malas!$C$2:$C$5000,MATCH(K790,DB_malas!$A$2:$A$5000,0)),IF(INDEX(DB_materiali!$E$2:$E$5000,MATCH($C790,DB_materiali!$A$2:$A$5000,0))&lt;=INDEX(DB_malas!$D$2:$D$5000,MATCH(K790,DB_malas!$A$2:$A$5000,0)),IF(INDEX(DB_materiali!$B$2:$B$5000,MATCH($C790,DB_materiali!$A$2:$A$5000,0))=INDEX(DB_malas!$B$2:$B$5000,MATCH(K790,DB_malas!$A$2:$A$5000,0)),"✔",tulkojums!$A$38),tulkojums!$A$39),tulkojums!$A$39))</f>
        <v/>
      </c>
      <c r="T790" s="2"/>
      <c r="U790" s="2"/>
      <c r="V790" s="2"/>
      <c r="W790" s="2"/>
      <c r="X790" s="2"/>
      <c r="Y790" s="2"/>
      <c r="Z790" s="2"/>
    </row>
    <row r="791" spans="1:26" ht="15.75" customHeight="1">
      <c r="A791" s="17"/>
      <c r="B791" s="18"/>
      <c r="C791" s="19"/>
      <c r="D791" s="55"/>
      <c r="E791" s="55"/>
      <c r="F791" s="56"/>
      <c r="G791" s="57" t="str">
        <f>IF(ISBLANK(C791),"",
   IFERROR(
      IF(
         INDEX(DB_materiali!C$2:C$5000,
               MATCH(C791, DB_materiali!A$2:A$5000, 0)
         )="FALSE",
         "N",
         "Y"
      ),
   "")
)</f>
        <v/>
      </c>
      <c r="H791" s="20"/>
      <c r="I791" s="20"/>
      <c r="J791" s="20"/>
      <c r="K791" s="20"/>
      <c r="M791" s="2" t="str">
        <f>IF(ISBLANK(C791),"",IF(IFERROR(VLOOKUP(C791,DB_materiali!$A$2:$A$5000,1,FALSE),"Kļūda artikulā")=C791,"✔",tulkojums!A$42))</f>
        <v/>
      </c>
      <c r="N791" s="2" t="str">
        <f>IF(ISBLANK(C791),"",IF(ISNUMBER(F791)=TRUE,"✔",tulkojums!A$43))</f>
        <v/>
      </c>
      <c r="O791" s="2" t="str">
        <f>IF(ISBLANK(C791),"",IF(G791="Y","✔",IF(G791="X","✔",IF(G791="N","✔",tulkojums!A$44))))</f>
        <v/>
      </c>
      <c r="P791" s="2" t="str">
        <f>IF(ISBLANK(H791),"",IF(INDEX(DB_materiali!$E$2:$E$5000,MATCH($C791,DB_materiali!$A$2:$A$5000,0))&gt;=INDEX(DB_malas!$C$2:$C$5000,MATCH(H791,DB_malas!$A$2:$A$5000,0)),IF(INDEX(DB_materiali!$E$2:$E$5000,MATCH($C791,DB_materiali!$A$2:$A$5000,0))&lt;=INDEX(DB_malas!$D$2:$D$5000,MATCH(H791,DB_malas!$A$2:$A$5000,0)),IF(OR(INDEX(DB_materiali!$B$2:$B$5000,MATCH($C791,DB_materiali!$A$2:$A$5000,0))=INDEX(DB_malas!$B$2:$B$5000,MATCH(H791,DB_malas!$A$2:$A$5000,0)),$H791="ORG"),"✔",tulkojums!$A$38),tulkojums!$A$39),tulkojums!$A$39))</f>
        <v/>
      </c>
      <c r="Q791" s="2" t="str">
        <f>IF(ISBLANK(I791),"",IF(INDEX(DB_materiali!$E$2:$E$5000,MATCH($C791,DB_materiali!$A$2:$A$5000,0))&gt;=INDEX(DB_malas!$C$2:$C$5000,MATCH(I791,DB_malas!$A$2:$A$5000,0)),IF(INDEX(DB_materiali!$E$2:$E$5000,MATCH($C791,DB_materiali!$A$2:$A$5000,0))&lt;=INDEX(DB_malas!$D$2:$D$5000,MATCH(I791,DB_malas!$A$2:$A$5000,0)),IF(OR(INDEX(DB_materiali!$B$2:$B$5000,MATCH($C791,DB_materiali!$A$2:$A$5000,0))=INDEX(DB_malas!$B$2:$B$5000,MATCH(I791,DB_malas!$A$2:$A$5000,0)),$H791="ORG"),"✔",tulkojums!$A$38),tulkojums!$A$39),tulkojums!$A$39))</f>
        <v/>
      </c>
      <c r="R791" s="2" t="str">
        <f>IF(ISBLANK(J791),"",IF(INDEX(DB_materiali!$E$2:$E$5000,MATCH($C791,DB_materiali!$A$2:$A$5000,0))&gt;=INDEX(DB_malas!$C$2:$C$5000,MATCH(J791,DB_malas!$A$2:$A$5000,0)),IF(INDEX(DB_materiali!$E$2:$E$5000,MATCH($C791,DB_materiali!$A$2:$A$5000,0))&lt;=INDEX(DB_malas!$D$2:$D$5000,MATCH(J791,DB_malas!$A$2:$A$5000,0)),IF(INDEX(DB_materiali!$B$2:$B$5000,MATCH($C791,DB_materiali!$A$2:$A$5000,0))=INDEX(DB_malas!$B$2:$B$5000,MATCH(J791,DB_malas!$A$2:$A$5000,0)),"✔",tulkojums!$A$38),tulkojums!$A$39),tulkojums!$A$39))</f>
        <v/>
      </c>
      <c r="S791" s="2" t="str">
        <f>IF(ISBLANK(K791),"",IF(INDEX(DB_materiali!$E$2:$E$5000,MATCH($C791,DB_materiali!$A$2:$A$5000,0))&gt;=INDEX(DB_malas!$C$2:$C$5000,MATCH(K791,DB_malas!$A$2:$A$5000,0)),IF(INDEX(DB_materiali!$E$2:$E$5000,MATCH($C791,DB_materiali!$A$2:$A$5000,0))&lt;=INDEX(DB_malas!$D$2:$D$5000,MATCH(K791,DB_malas!$A$2:$A$5000,0)),IF(INDEX(DB_materiali!$B$2:$B$5000,MATCH($C791,DB_materiali!$A$2:$A$5000,0))=INDEX(DB_malas!$B$2:$B$5000,MATCH(K791,DB_malas!$A$2:$A$5000,0)),"✔",tulkojums!$A$38),tulkojums!$A$39),tulkojums!$A$39))</f>
        <v/>
      </c>
      <c r="T791" s="2"/>
      <c r="U791" s="2"/>
      <c r="V791" s="2"/>
      <c r="W791" s="2"/>
      <c r="X791" s="2"/>
      <c r="Y791" s="2"/>
      <c r="Z791" s="2"/>
    </row>
    <row r="792" spans="1:26" ht="15.75" customHeight="1">
      <c r="A792" s="17"/>
      <c r="B792" s="18"/>
      <c r="C792" s="19"/>
      <c r="D792" s="55"/>
      <c r="E792" s="55"/>
      <c r="F792" s="56"/>
      <c r="G792" s="57" t="str">
        <f>IF(ISBLANK(C792),"",
   IFERROR(
      IF(
         INDEX(DB_materiali!C$2:C$5000,
               MATCH(C792, DB_materiali!A$2:A$5000, 0)
         )="FALSE",
         "N",
         "Y"
      ),
   "")
)</f>
        <v/>
      </c>
      <c r="H792" s="20"/>
      <c r="I792" s="20"/>
      <c r="J792" s="20"/>
      <c r="K792" s="20"/>
      <c r="M792" s="2" t="str">
        <f>IF(ISBLANK(C792),"",IF(IFERROR(VLOOKUP(C792,DB_materiali!$A$2:$A$5000,1,FALSE),"Kļūda artikulā")=C792,"✔",tulkojums!A$42))</f>
        <v/>
      </c>
      <c r="N792" s="2" t="str">
        <f>IF(ISBLANK(C792),"",IF(ISNUMBER(F792)=TRUE,"✔",tulkojums!A$43))</f>
        <v/>
      </c>
      <c r="O792" s="2" t="str">
        <f>IF(ISBLANK(C792),"",IF(G792="Y","✔",IF(G792="X","✔",IF(G792="N","✔",tulkojums!A$44))))</f>
        <v/>
      </c>
      <c r="P792" s="2" t="str">
        <f>IF(ISBLANK(H792),"",IF(INDEX(DB_materiali!$E$2:$E$5000,MATCH($C792,DB_materiali!$A$2:$A$5000,0))&gt;=INDEX(DB_malas!$C$2:$C$5000,MATCH(H792,DB_malas!$A$2:$A$5000,0)),IF(INDEX(DB_materiali!$E$2:$E$5000,MATCH($C792,DB_materiali!$A$2:$A$5000,0))&lt;=INDEX(DB_malas!$D$2:$D$5000,MATCH(H792,DB_malas!$A$2:$A$5000,0)),IF(OR(INDEX(DB_materiali!$B$2:$B$5000,MATCH($C792,DB_materiali!$A$2:$A$5000,0))=INDEX(DB_malas!$B$2:$B$5000,MATCH(H792,DB_malas!$A$2:$A$5000,0)),$H792="ORG"),"✔",tulkojums!$A$38),tulkojums!$A$39),tulkojums!$A$39))</f>
        <v/>
      </c>
      <c r="Q792" s="2" t="str">
        <f>IF(ISBLANK(I792),"",IF(INDEX(DB_materiali!$E$2:$E$5000,MATCH($C792,DB_materiali!$A$2:$A$5000,0))&gt;=INDEX(DB_malas!$C$2:$C$5000,MATCH(I792,DB_malas!$A$2:$A$5000,0)),IF(INDEX(DB_materiali!$E$2:$E$5000,MATCH($C792,DB_materiali!$A$2:$A$5000,0))&lt;=INDEX(DB_malas!$D$2:$D$5000,MATCH(I792,DB_malas!$A$2:$A$5000,0)),IF(OR(INDEX(DB_materiali!$B$2:$B$5000,MATCH($C792,DB_materiali!$A$2:$A$5000,0))=INDEX(DB_malas!$B$2:$B$5000,MATCH(I792,DB_malas!$A$2:$A$5000,0)),$H792="ORG"),"✔",tulkojums!$A$38),tulkojums!$A$39),tulkojums!$A$39))</f>
        <v/>
      </c>
      <c r="R792" s="2" t="str">
        <f>IF(ISBLANK(J792),"",IF(INDEX(DB_materiali!$E$2:$E$5000,MATCH($C792,DB_materiali!$A$2:$A$5000,0))&gt;=INDEX(DB_malas!$C$2:$C$5000,MATCH(J792,DB_malas!$A$2:$A$5000,0)),IF(INDEX(DB_materiali!$E$2:$E$5000,MATCH($C792,DB_materiali!$A$2:$A$5000,0))&lt;=INDEX(DB_malas!$D$2:$D$5000,MATCH(J792,DB_malas!$A$2:$A$5000,0)),IF(INDEX(DB_materiali!$B$2:$B$5000,MATCH($C792,DB_materiali!$A$2:$A$5000,0))=INDEX(DB_malas!$B$2:$B$5000,MATCH(J792,DB_malas!$A$2:$A$5000,0)),"✔",tulkojums!$A$38),tulkojums!$A$39),tulkojums!$A$39))</f>
        <v/>
      </c>
      <c r="S792" s="2" t="str">
        <f>IF(ISBLANK(K792),"",IF(INDEX(DB_materiali!$E$2:$E$5000,MATCH($C792,DB_materiali!$A$2:$A$5000,0))&gt;=INDEX(DB_malas!$C$2:$C$5000,MATCH(K792,DB_malas!$A$2:$A$5000,0)),IF(INDEX(DB_materiali!$E$2:$E$5000,MATCH($C792,DB_materiali!$A$2:$A$5000,0))&lt;=INDEX(DB_malas!$D$2:$D$5000,MATCH(K792,DB_malas!$A$2:$A$5000,0)),IF(INDEX(DB_materiali!$B$2:$B$5000,MATCH($C792,DB_materiali!$A$2:$A$5000,0))=INDEX(DB_malas!$B$2:$B$5000,MATCH(K792,DB_malas!$A$2:$A$5000,0)),"✔",tulkojums!$A$38),tulkojums!$A$39),tulkojums!$A$39))</f>
        <v/>
      </c>
      <c r="T792" s="2"/>
      <c r="U792" s="2"/>
      <c r="V792" s="2"/>
      <c r="W792" s="2"/>
      <c r="X792" s="2"/>
      <c r="Y792" s="2"/>
      <c r="Z792" s="2"/>
    </row>
    <row r="793" spans="1:26" ht="15.75" customHeight="1">
      <c r="A793" s="17"/>
      <c r="B793" s="18"/>
      <c r="C793" s="19"/>
      <c r="D793" s="55"/>
      <c r="E793" s="55"/>
      <c r="F793" s="56"/>
      <c r="G793" s="57" t="str">
        <f>IF(ISBLANK(C793),"",
   IFERROR(
      IF(
         INDEX(DB_materiali!C$2:C$5000,
               MATCH(C793, DB_materiali!A$2:A$5000, 0)
         )="FALSE",
         "N",
         "Y"
      ),
   "")
)</f>
        <v/>
      </c>
      <c r="H793" s="20"/>
      <c r="I793" s="20"/>
      <c r="J793" s="20"/>
      <c r="K793" s="20"/>
      <c r="M793" s="2" t="str">
        <f>IF(ISBLANK(C793),"",IF(IFERROR(VLOOKUP(C793,DB_materiali!$A$2:$A$5000,1,FALSE),"Kļūda artikulā")=C793,"✔",tulkojums!A$42))</f>
        <v/>
      </c>
      <c r="N793" s="2" t="str">
        <f>IF(ISBLANK(C793),"",IF(ISNUMBER(F793)=TRUE,"✔",tulkojums!A$43))</f>
        <v/>
      </c>
      <c r="O793" s="2" t="str">
        <f>IF(ISBLANK(C793),"",IF(G793="Y","✔",IF(G793="X","✔",IF(G793="N","✔",tulkojums!A$44))))</f>
        <v/>
      </c>
      <c r="P793" s="2" t="str">
        <f>IF(ISBLANK(H793),"",IF(INDEX(DB_materiali!$E$2:$E$5000,MATCH($C793,DB_materiali!$A$2:$A$5000,0))&gt;=INDEX(DB_malas!$C$2:$C$5000,MATCH(H793,DB_malas!$A$2:$A$5000,0)),IF(INDEX(DB_materiali!$E$2:$E$5000,MATCH($C793,DB_materiali!$A$2:$A$5000,0))&lt;=INDEX(DB_malas!$D$2:$D$5000,MATCH(H793,DB_malas!$A$2:$A$5000,0)),IF(OR(INDEX(DB_materiali!$B$2:$B$5000,MATCH($C793,DB_materiali!$A$2:$A$5000,0))=INDEX(DB_malas!$B$2:$B$5000,MATCH(H793,DB_malas!$A$2:$A$5000,0)),$H793="ORG"),"✔",tulkojums!$A$38),tulkojums!$A$39),tulkojums!$A$39))</f>
        <v/>
      </c>
      <c r="Q793" s="2" t="str">
        <f>IF(ISBLANK(I793),"",IF(INDEX(DB_materiali!$E$2:$E$5000,MATCH($C793,DB_materiali!$A$2:$A$5000,0))&gt;=INDEX(DB_malas!$C$2:$C$5000,MATCH(I793,DB_malas!$A$2:$A$5000,0)),IF(INDEX(DB_materiali!$E$2:$E$5000,MATCH($C793,DB_materiali!$A$2:$A$5000,0))&lt;=INDEX(DB_malas!$D$2:$D$5000,MATCH(I793,DB_malas!$A$2:$A$5000,0)),IF(OR(INDEX(DB_materiali!$B$2:$B$5000,MATCH($C793,DB_materiali!$A$2:$A$5000,0))=INDEX(DB_malas!$B$2:$B$5000,MATCH(I793,DB_malas!$A$2:$A$5000,0)),$H793="ORG"),"✔",tulkojums!$A$38),tulkojums!$A$39),tulkojums!$A$39))</f>
        <v/>
      </c>
      <c r="R793" s="2" t="str">
        <f>IF(ISBLANK(J793),"",IF(INDEX(DB_materiali!$E$2:$E$5000,MATCH($C793,DB_materiali!$A$2:$A$5000,0))&gt;=INDEX(DB_malas!$C$2:$C$5000,MATCH(J793,DB_malas!$A$2:$A$5000,0)),IF(INDEX(DB_materiali!$E$2:$E$5000,MATCH($C793,DB_materiali!$A$2:$A$5000,0))&lt;=INDEX(DB_malas!$D$2:$D$5000,MATCH(J793,DB_malas!$A$2:$A$5000,0)),IF(INDEX(DB_materiali!$B$2:$B$5000,MATCH($C793,DB_materiali!$A$2:$A$5000,0))=INDEX(DB_malas!$B$2:$B$5000,MATCH(J793,DB_malas!$A$2:$A$5000,0)),"✔",tulkojums!$A$38),tulkojums!$A$39),tulkojums!$A$39))</f>
        <v/>
      </c>
      <c r="S793" s="2" t="str">
        <f>IF(ISBLANK(K793),"",IF(INDEX(DB_materiali!$E$2:$E$5000,MATCH($C793,DB_materiali!$A$2:$A$5000,0))&gt;=INDEX(DB_malas!$C$2:$C$5000,MATCH(K793,DB_malas!$A$2:$A$5000,0)),IF(INDEX(DB_materiali!$E$2:$E$5000,MATCH($C793,DB_materiali!$A$2:$A$5000,0))&lt;=INDEX(DB_malas!$D$2:$D$5000,MATCH(K793,DB_malas!$A$2:$A$5000,0)),IF(INDEX(DB_materiali!$B$2:$B$5000,MATCH($C793,DB_materiali!$A$2:$A$5000,0))=INDEX(DB_malas!$B$2:$B$5000,MATCH(K793,DB_malas!$A$2:$A$5000,0)),"✔",tulkojums!$A$38),tulkojums!$A$39),tulkojums!$A$39))</f>
        <v/>
      </c>
      <c r="T793" s="2"/>
      <c r="U793" s="2"/>
      <c r="V793" s="2"/>
      <c r="W793" s="2"/>
      <c r="X793" s="2"/>
      <c r="Y793" s="2"/>
      <c r="Z793" s="2"/>
    </row>
    <row r="794" spans="1:26" ht="15.75" customHeight="1">
      <c r="A794" s="17"/>
      <c r="B794" s="18"/>
      <c r="C794" s="19"/>
      <c r="D794" s="55"/>
      <c r="E794" s="55"/>
      <c r="F794" s="56"/>
      <c r="G794" s="57" t="str">
        <f>IF(ISBLANK(C794),"",
   IFERROR(
      IF(
         INDEX(DB_materiali!C$2:C$5000,
               MATCH(C794, DB_materiali!A$2:A$5000, 0)
         )="FALSE",
         "N",
         "Y"
      ),
   "")
)</f>
        <v/>
      </c>
      <c r="H794" s="20"/>
      <c r="I794" s="20"/>
      <c r="J794" s="20"/>
      <c r="K794" s="20"/>
      <c r="M794" s="2" t="str">
        <f>IF(ISBLANK(C794),"",IF(IFERROR(VLOOKUP(C794,DB_materiali!$A$2:$A$5000,1,FALSE),"Kļūda artikulā")=C794,"✔",tulkojums!A$42))</f>
        <v/>
      </c>
      <c r="N794" s="2" t="str">
        <f>IF(ISBLANK(C794),"",IF(ISNUMBER(F794)=TRUE,"✔",tulkojums!A$43))</f>
        <v/>
      </c>
      <c r="O794" s="2" t="str">
        <f>IF(ISBLANK(C794),"",IF(G794="Y","✔",IF(G794="X","✔",IF(G794="N","✔",tulkojums!A$44))))</f>
        <v/>
      </c>
      <c r="P794" s="2" t="str">
        <f>IF(ISBLANK(H794),"",IF(INDEX(DB_materiali!$E$2:$E$5000,MATCH($C794,DB_materiali!$A$2:$A$5000,0))&gt;=INDEX(DB_malas!$C$2:$C$5000,MATCH(H794,DB_malas!$A$2:$A$5000,0)),IF(INDEX(DB_materiali!$E$2:$E$5000,MATCH($C794,DB_materiali!$A$2:$A$5000,0))&lt;=INDEX(DB_malas!$D$2:$D$5000,MATCH(H794,DB_malas!$A$2:$A$5000,0)),IF(OR(INDEX(DB_materiali!$B$2:$B$5000,MATCH($C794,DB_materiali!$A$2:$A$5000,0))=INDEX(DB_malas!$B$2:$B$5000,MATCH(H794,DB_malas!$A$2:$A$5000,0)),$H794="ORG"),"✔",tulkojums!$A$38),tulkojums!$A$39),tulkojums!$A$39))</f>
        <v/>
      </c>
      <c r="Q794" s="2" t="str">
        <f>IF(ISBLANK(I794),"",IF(INDEX(DB_materiali!$E$2:$E$5000,MATCH($C794,DB_materiali!$A$2:$A$5000,0))&gt;=INDEX(DB_malas!$C$2:$C$5000,MATCH(I794,DB_malas!$A$2:$A$5000,0)),IF(INDEX(DB_materiali!$E$2:$E$5000,MATCH($C794,DB_materiali!$A$2:$A$5000,0))&lt;=INDEX(DB_malas!$D$2:$D$5000,MATCH(I794,DB_malas!$A$2:$A$5000,0)),IF(OR(INDEX(DB_materiali!$B$2:$B$5000,MATCH($C794,DB_materiali!$A$2:$A$5000,0))=INDEX(DB_malas!$B$2:$B$5000,MATCH(I794,DB_malas!$A$2:$A$5000,0)),$H794="ORG"),"✔",tulkojums!$A$38),tulkojums!$A$39),tulkojums!$A$39))</f>
        <v/>
      </c>
      <c r="R794" s="2" t="str">
        <f>IF(ISBLANK(J794),"",IF(INDEX(DB_materiali!$E$2:$E$5000,MATCH($C794,DB_materiali!$A$2:$A$5000,0))&gt;=INDEX(DB_malas!$C$2:$C$5000,MATCH(J794,DB_malas!$A$2:$A$5000,0)),IF(INDEX(DB_materiali!$E$2:$E$5000,MATCH($C794,DB_materiali!$A$2:$A$5000,0))&lt;=INDEX(DB_malas!$D$2:$D$5000,MATCH(J794,DB_malas!$A$2:$A$5000,0)),IF(INDEX(DB_materiali!$B$2:$B$5000,MATCH($C794,DB_materiali!$A$2:$A$5000,0))=INDEX(DB_malas!$B$2:$B$5000,MATCH(J794,DB_malas!$A$2:$A$5000,0)),"✔",tulkojums!$A$38),tulkojums!$A$39),tulkojums!$A$39))</f>
        <v/>
      </c>
      <c r="S794" s="2" t="str">
        <f>IF(ISBLANK(K794),"",IF(INDEX(DB_materiali!$E$2:$E$5000,MATCH($C794,DB_materiali!$A$2:$A$5000,0))&gt;=INDEX(DB_malas!$C$2:$C$5000,MATCH(K794,DB_malas!$A$2:$A$5000,0)),IF(INDEX(DB_materiali!$E$2:$E$5000,MATCH($C794,DB_materiali!$A$2:$A$5000,0))&lt;=INDEX(DB_malas!$D$2:$D$5000,MATCH(K794,DB_malas!$A$2:$A$5000,0)),IF(INDEX(DB_materiali!$B$2:$B$5000,MATCH($C794,DB_materiali!$A$2:$A$5000,0))=INDEX(DB_malas!$B$2:$B$5000,MATCH(K794,DB_malas!$A$2:$A$5000,0)),"✔",tulkojums!$A$38),tulkojums!$A$39),tulkojums!$A$39))</f>
        <v/>
      </c>
      <c r="T794" s="2"/>
      <c r="U794" s="2"/>
      <c r="V794" s="2"/>
      <c r="W794" s="2"/>
      <c r="X794" s="2"/>
      <c r="Y794" s="2"/>
      <c r="Z794" s="2"/>
    </row>
    <row r="795" spans="1:26" ht="15.75" customHeight="1">
      <c r="A795" s="17"/>
      <c r="B795" s="18"/>
      <c r="C795" s="19"/>
      <c r="D795" s="55"/>
      <c r="E795" s="55"/>
      <c r="F795" s="56"/>
      <c r="G795" s="57" t="str">
        <f>IF(ISBLANK(C795),"",
   IFERROR(
      IF(
         INDEX(DB_materiali!C$2:C$5000,
               MATCH(C795, DB_materiali!A$2:A$5000, 0)
         )="FALSE",
         "N",
         "Y"
      ),
   "")
)</f>
        <v/>
      </c>
      <c r="H795" s="20"/>
      <c r="I795" s="20"/>
      <c r="J795" s="20"/>
      <c r="K795" s="20"/>
      <c r="M795" s="2" t="str">
        <f>IF(ISBLANK(C795),"",IF(IFERROR(VLOOKUP(C795,DB_materiali!$A$2:$A$5000,1,FALSE),"Kļūda artikulā")=C795,"✔",tulkojums!A$42))</f>
        <v/>
      </c>
      <c r="N795" s="2" t="str">
        <f>IF(ISBLANK(C795),"",IF(ISNUMBER(F795)=TRUE,"✔",tulkojums!A$43))</f>
        <v/>
      </c>
      <c r="O795" s="2" t="str">
        <f>IF(ISBLANK(C795),"",IF(G795="Y","✔",IF(G795="X","✔",IF(G795="N","✔",tulkojums!A$44))))</f>
        <v/>
      </c>
      <c r="P795" s="2" t="str">
        <f>IF(ISBLANK(H795),"",IF(INDEX(DB_materiali!$E$2:$E$5000,MATCH($C795,DB_materiali!$A$2:$A$5000,0))&gt;=INDEX(DB_malas!$C$2:$C$5000,MATCH(H795,DB_malas!$A$2:$A$5000,0)),IF(INDEX(DB_materiali!$E$2:$E$5000,MATCH($C795,DB_materiali!$A$2:$A$5000,0))&lt;=INDEX(DB_malas!$D$2:$D$5000,MATCH(H795,DB_malas!$A$2:$A$5000,0)),IF(OR(INDEX(DB_materiali!$B$2:$B$5000,MATCH($C795,DB_materiali!$A$2:$A$5000,0))=INDEX(DB_malas!$B$2:$B$5000,MATCH(H795,DB_malas!$A$2:$A$5000,0)),$H795="ORG"),"✔",tulkojums!$A$38),tulkojums!$A$39),tulkojums!$A$39))</f>
        <v/>
      </c>
      <c r="Q795" s="2" t="str">
        <f>IF(ISBLANK(I795),"",IF(INDEX(DB_materiali!$E$2:$E$5000,MATCH($C795,DB_materiali!$A$2:$A$5000,0))&gt;=INDEX(DB_malas!$C$2:$C$5000,MATCH(I795,DB_malas!$A$2:$A$5000,0)),IF(INDEX(DB_materiali!$E$2:$E$5000,MATCH($C795,DB_materiali!$A$2:$A$5000,0))&lt;=INDEX(DB_malas!$D$2:$D$5000,MATCH(I795,DB_malas!$A$2:$A$5000,0)),IF(OR(INDEX(DB_materiali!$B$2:$B$5000,MATCH($C795,DB_materiali!$A$2:$A$5000,0))=INDEX(DB_malas!$B$2:$B$5000,MATCH(I795,DB_malas!$A$2:$A$5000,0)),$H795="ORG"),"✔",tulkojums!$A$38),tulkojums!$A$39),tulkojums!$A$39))</f>
        <v/>
      </c>
      <c r="R795" s="2" t="str">
        <f>IF(ISBLANK(J795),"",IF(INDEX(DB_materiali!$E$2:$E$5000,MATCH($C795,DB_materiali!$A$2:$A$5000,0))&gt;=INDEX(DB_malas!$C$2:$C$5000,MATCH(J795,DB_malas!$A$2:$A$5000,0)),IF(INDEX(DB_materiali!$E$2:$E$5000,MATCH($C795,DB_materiali!$A$2:$A$5000,0))&lt;=INDEX(DB_malas!$D$2:$D$5000,MATCH(J795,DB_malas!$A$2:$A$5000,0)),IF(INDEX(DB_materiali!$B$2:$B$5000,MATCH($C795,DB_materiali!$A$2:$A$5000,0))=INDEX(DB_malas!$B$2:$B$5000,MATCH(J795,DB_malas!$A$2:$A$5000,0)),"✔",tulkojums!$A$38),tulkojums!$A$39),tulkojums!$A$39))</f>
        <v/>
      </c>
      <c r="S795" s="2" t="str">
        <f>IF(ISBLANK(K795),"",IF(INDEX(DB_materiali!$E$2:$E$5000,MATCH($C795,DB_materiali!$A$2:$A$5000,0))&gt;=INDEX(DB_malas!$C$2:$C$5000,MATCH(K795,DB_malas!$A$2:$A$5000,0)),IF(INDEX(DB_materiali!$E$2:$E$5000,MATCH($C795,DB_materiali!$A$2:$A$5000,0))&lt;=INDEX(DB_malas!$D$2:$D$5000,MATCH(K795,DB_malas!$A$2:$A$5000,0)),IF(INDEX(DB_materiali!$B$2:$B$5000,MATCH($C795,DB_materiali!$A$2:$A$5000,0))=INDEX(DB_malas!$B$2:$B$5000,MATCH(K795,DB_malas!$A$2:$A$5000,0)),"✔",tulkojums!$A$38),tulkojums!$A$39),tulkojums!$A$39))</f>
        <v/>
      </c>
      <c r="T795" s="2"/>
      <c r="U795" s="2"/>
      <c r="V795" s="2"/>
      <c r="W795" s="2"/>
      <c r="X795" s="2"/>
      <c r="Y795" s="2"/>
      <c r="Z795" s="2"/>
    </row>
    <row r="796" spans="1:26" ht="15.75" customHeight="1">
      <c r="A796" s="17"/>
      <c r="B796" s="18"/>
      <c r="C796" s="19"/>
      <c r="D796" s="55"/>
      <c r="E796" s="55"/>
      <c r="F796" s="56"/>
      <c r="G796" s="57" t="str">
        <f>IF(ISBLANK(C796),"",
   IFERROR(
      IF(
         INDEX(DB_materiali!C$2:C$5000,
               MATCH(C796, DB_materiali!A$2:A$5000, 0)
         )="FALSE",
         "N",
         "Y"
      ),
   "")
)</f>
        <v/>
      </c>
      <c r="H796" s="20"/>
      <c r="I796" s="20"/>
      <c r="J796" s="20"/>
      <c r="K796" s="20"/>
      <c r="M796" s="2" t="str">
        <f>IF(ISBLANK(C796),"",IF(IFERROR(VLOOKUP(C796,DB_materiali!$A$2:$A$5000,1,FALSE),"Kļūda artikulā")=C796,"✔",tulkojums!A$42))</f>
        <v/>
      </c>
      <c r="N796" s="2" t="str">
        <f>IF(ISBLANK(C796),"",IF(ISNUMBER(F796)=TRUE,"✔",tulkojums!A$43))</f>
        <v/>
      </c>
      <c r="O796" s="2" t="str">
        <f>IF(ISBLANK(C796),"",IF(G796="Y","✔",IF(G796="X","✔",IF(G796="N","✔",tulkojums!A$44))))</f>
        <v/>
      </c>
      <c r="P796" s="2" t="str">
        <f>IF(ISBLANK(H796),"",IF(INDEX(DB_materiali!$E$2:$E$5000,MATCH($C796,DB_materiali!$A$2:$A$5000,0))&gt;=INDEX(DB_malas!$C$2:$C$5000,MATCH(H796,DB_malas!$A$2:$A$5000,0)),IF(INDEX(DB_materiali!$E$2:$E$5000,MATCH($C796,DB_materiali!$A$2:$A$5000,0))&lt;=INDEX(DB_malas!$D$2:$D$5000,MATCH(H796,DB_malas!$A$2:$A$5000,0)),IF(OR(INDEX(DB_materiali!$B$2:$B$5000,MATCH($C796,DB_materiali!$A$2:$A$5000,0))=INDEX(DB_malas!$B$2:$B$5000,MATCH(H796,DB_malas!$A$2:$A$5000,0)),$H796="ORG"),"✔",tulkojums!$A$38),tulkojums!$A$39),tulkojums!$A$39))</f>
        <v/>
      </c>
      <c r="Q796" s="2" t="str">
        <f>IF(ISBLANK(I796),"",IF(INDEX(DB_materiali!$E$2:$E$5000,MATCH($C796,DB_materiali!$A$2:$A$5000,0))&gt;=INDEX(DB_malas!$C$2:$C$5000,MATCH(I796,DB_malas!$A$2:$A$5000,0)),IF(INDEX(DB_materiali!$E$2:$E$5000,MATCH($C796,DB_materiali!$A$2:$A$5000,0))&lt;=INDEX(DB_malas!$D$2:$D$5000,MATCH(I796,DB_malas!$A$2:$A$5000,0)),IF(OR(INDEX(DB_materiali!$B$2:$B$5000,MATCH($C796,DB_materiali!$A$2:$A$5000,0))=INDEX(DB_malas!$B$2:$B$5000,MATCH(I796,DB_malas!$A$2:$A$5000,0)),$H796="ORG"),"✔",tulkojums!$A$38),tulkojums!$A$39),tulkojums!$A$39))</f>
        <v/>
      </c>
      <c r="R796" s="2" t="str">
        <f>IF(ISBLANK(J796),"",IF(INDEX(DB_materiali!$E$2:$E$5000,MATCH($C796,DB_materiali!$A$2:$A$5000,0))&gt;=INDEX(DB_malas!$C$2:$C$5000,MATCH(J796,DB_malas!$A$2:$A$5000,0)),IF(INDEX(DB_materiali!$E$2:$E$5000,MATCH($C796,DB_materiali!$A$2:$A$5000,0))&lt;=INDEX(DB_malas!$D$2:$D$5000,MATCH(J796,DB_malas!$A$2:$A$5000,0)),IF(INDEX(DB_materiali!$B$2:$B$5000,MATCH($C796,DB_materiali!$A$2:$A$5000,0))=INDEX(DB_malas!$B$2:$B$5000,MATCH(J796,DB_malas!$A$2:$A$5000,0)),"✔",tulkojums!$A$38),tulkojums!$A$39),tulkojums!$A$39))</f>
        <v/>
      </c>
      <c r="S796" s="2" t="str">
        <f>IF(ISBLANK(K796),"",IF(INDEX(DB_materiali!$E$2:$E$5000,MATCH($C796,DB_materiali!$A$2:$A$5000,0))&gt;=INDEX(DB_malas!$C$2:$C$5000,MATCH(K796,DB_malas!$A$2:$A$5000,0)),IF(INDEX(DB_materiali!$E$2:$E$5000,MATCH($C796,DB_materiali!$A$2:$A$5000,0))&lt;=INDEX(DB_malas!$D$2:$D$5000,MATCH(K796,DB_malas!$A$2:$A$5000,0)),IF(INDEX(DB_materiali!$B$2:$B$5000,MATCH($C796,DB_materiali!$A$2:$A$5000,0))=INDEX(DB_malas!$B$2:$B$5000,MATCH(K796,DB_malas!$A$2:$A$5000,0)),"✔",tulkojums!$A$38),tulkojums!$A$39),tulkojums!$A$39))</f>
        <v/>
      </c>
      <c r="T796" s="2"/>
      <c r="U796" s="2"/>
      <c r="V796" s="2"/>
      <c r="W796" s="2"/>
      <c r="X796" s="2"/>
      <c r="Y796" s="2"/>
      <c r="Z796" s="2"/>
    </row>
    <row r="797" spans="1:26" ht="15.75" customHeight="1">
      <c r="A797" s="17"/>
      <c r="B797" s="18"/>
      <c r="C797" s="19"/>
      <c r="D797" s="55"/>
      <c r="E797" s="55"/>
      <c r="F797" s="56"/>
      <c r="G797" s="57" t="str">
        <f>IF(ISBLANK(C797),"",
   IFERROR(
      IF(
         INDEX(DB_materiali!C$2:C$5000,
               MATCH(C797, DB_materiali!A$2:A$5000, 0)
         )="FALSE",
         "N",
         "Y"
      ),
   "")
)</f>
        <v/>
      </c>
      <c r="H797" s="20"/>
      <c r="I797" s="20"/>
      <c r="J797" s="20"/>
      <c r="K797" s="20"/>
      <c r="M797" s="2" t="str">
        <f>IF(ISBLANK(C797),"",IF(IFERROR(VLOOKUP(C797,DB_materiali!$A$2:$A$5000,1,FALSE),"Kļūda artikulā")=C797,"✔",tulkojums!A$42))</f>
        <v/>
      </c>
      <c r="N797" s="2" t="str">
        <f>IF(ISBLANK(C797),"",IF(ISNUMBER(F797)=TRUE,"✔",tulkojums!A$43))</f>
        <v/>
      </c>
      <c r="O797" s="2" t="str">
        <f>IF(ISBLANK(C797),"",IF(G797="Y","✔",IF(G797="X","✔",IF(G797="N","✔",tulkojums!A$44))))</f>
        <v/>
      </c>
      <c r="P797" s="2" t="str">
        <f>IF(ISBLANK(H797),"",IF(INDEX(DB_materiali!$E$2:$E$5000,MATCH($C797,DB_materiali!$A$2:$A$5000,0))&gt;=INDEX(DB_malas!$C$2:$C$5000,MATCH(H797,DB_malas!$A$2:$A$5000,0)),IF(INDEX(DB_materiali!$E$2:$E$5000,MATCH($C797,DB_materiali!$A$2:$A$5000,0))&lt;=INDEX(DB_malas!$D$2:$D$5000,MATCH(H797,DB_malas!$A$2:$A$5000,0)),IF(OR(INDEX(DB_materiali!$B$2:$B$5000,MATCH($C797,DB_materiali!$A$2:$A$5000,0))=INDEX(DB_malas!$B$2:$B$5000,MATCH(H797,DB_malas!$A$2:$A$5000,0)),$H797="ORG"),"✔",tulkojums!$A$38),tulkojums!$A$39),tulkojums!$A$39))</f>
        <v/>
      </c>
      <c r="Q797" s="2" t="str">
        <f>IF(ISBLANK(I797),"",IF(INDEX(DB_materiali!$E$2:$E$5000,MATCH($C797,DB_materiali!$A$2:$A$5000,0))&gt;=INDEX(DB_malas!$C$2:$C$5000,MATCH(I797,DB_malas!$A$2:$A$5000,0)),IF(INDEX(DB_materiali!$E$2:$E$5000,MATCH($C797,DB_materiali!$A$2:$A$5000,0))&lt;=INDEX(DB_malas!$D$2:$D$5000,MATCH(I797,DB_malas!$A$2:$A$5000,0)),IF(OR(INDEX(DB_materiali!$B$2:$B$5000,MATCH($C797,DB_materiali!$A$2:$A$5000,0))=INDEX(DB_malas!$B$2:$B$5000,MATCH(I797,DB_malas!$A$2:$A$5000,0)),$H797="ORG"),"✔",tulkojums!$A$38),tulkojums!$A$39),tulkojums!$A$39))</f>
        <v/>
      </c>
      <c r="R797" s="2" t="str">
        <f>IF(ISBLANK(J797),"",IF(INDEX(DB_materiali!$E$2:$E$5000,MATCH($C797,DB_materiali!$A$2:$A$5000,0))&gt;=INDEX(DB_malas!$C$2:$C$5000,MATCH(J797,DB_malas!$A$2:$A$5000,0)),IF(INDEX(DB_materiali!$E$2:$E$5000,MATCH($C797,DB_materiali!$A$2:$A$5000,0))&lt;=INDEX(DB_malas!$D$2:$D$5000,MATCH(J797,DB_malas!$A$2:$A$5000,0)),IF(INDEX(DB_materiali!$B$2:$B$5000,MATCH($C797,DB_materiali!$A$2:$A$5000,0))=INDEX(DB_malas!$B$2:$B$5000,MATCH(J797,DB_malas!$A$2:$A$5000,0)),"✔",tulkojums!$A$38),tulkojums!$A$39),tulkojums!$A$39))</f>
        <v/>
      </c>
      <c r="S797" s="2" t="str">
        <f>IF(ISBLANK(K797),"",IF(INDEX(DB_materiali!$E$2:$E$5000,MATCH($C797,DB_materiali!$A$2:$A$5000,0))&gt;=INDEX(DB_malas!$C$2:$C$5000,MATCH(K797,DB_malas!$A$2:$A$5000,0)),IF(INDEX(DB_materiali!$E$2:$E$5000,MATCH($C797,DB_materiali!$A$2:$A$5000,0))&lt;=INDEX(DB_malas!$D$2:$D$5000,MATCH(K797,DB_malas!$A$2:$A$5000,0)),IF(INDEX(DB_materiali!$B$2:$B$5000,MATCH($C797,DB_materiali!$A$2:$A$5000,0))=INDEX(DB_malas!$B$2:$B$5000,MATCH(K797,DB_malas!$A$2:$A$5000,0)),"✔",tulkojums!$A$38),tulkojums!$A$39),tulkojums!$A$39))</f>
        <v/>
      </c>
      <c r="T797" s="2"/>
      <c r="U797" s="2"/>
      <c r="V797" s="2"/>
      <c r="W797" s="2"/>
      <c r="X797" s="2"/>
      <c r="Y797" s="2"/>
      <c r="Z797" s="2"/>
    </row>
    <row r="798" spans="1:26" ht="15.75" customHeight="1">
      <c r="A798" s="17"/>
      <c r="B798" s="18"/>
      <c r="C798" s="19"/>
      <c r="D798" s="55"/>
      <c r="E798" s="55"/>
      <c r="F798" s="56"/>
      <c r="G798" s="57" t="str">
        <f>IF(ISBLANK(C798),"",
   IFERROR(
      IF(
         INDEX(DB_materiali!C$2:C$5000,
               MATCH(C798, DB_materiali!A$2:A$5000, 0)
         )="FALSE",
         "N",
         "Y"
      ),
   "")
)</f>
        <v/>
      </c>
      <c r="H798" s="20"/>
      <c r="I798" s="20"/>
      <c r="J798" s="20"/>
      <c r="K798" s="20"/>
      <c r="M798" s="2" t="str">
        <f>IF(ISBLANK(C798),"",IF(IFERROR(VLOOKUP(C798,DB_materiali!$A$2:$A$5000,1,FALSE),"Kļūda artikulā")=C798,"✔",tulkojums!A$42))</f>
        <v/>
      </c>
      <c r="N798" s="2" t="str">
        <f>IF(ISBLANK(C798),"",IF(ISNUMBER(F798)=TRUE,"✔",tulkojums!A$43))</f>
        <v/>
      </c>
      <c r="O798" s="2" t="str">
        <f>IF(ISBLANK(C798),"",IF(G798="Y","✔",IF(G798="X","✔",IF(G798="N","✔",tulkojums!A$44))))</f>
        <v/>
      </c>
      <c r="P798" s="2" t="str">
        <f>IF(ISBLANK(H798),"",IF(INDEX(DB_materiali!$E$2:$E$5000,MATCH($C798,DB_materiali!$A$2:$A$5000,0))&gt;=INDEX(DB_malas!$C$2:$C$5000,MATCH(H798,DB_malas!$A$2:$A$5000,0)),IF(INDEX(DB_materiali!$E$2:$E$5000,MATCH($C798,DB_materiali!$A$2:$A$5000,0))&lt;=INDEX(DB_malas!$D$2:$D$5000,MATCH(H798,DB_malas!$A$2:$A$5000,0)),IF(OR(INDEX(DB_materiali!$B$2:$B$5000,MATCH($C798,DB_materiali!$A$2:$A$5000,0))=INDEX(DB_malas!$B$2:$B$5000,MATCH(H798,DB_malas!$A$2:$A$5000,0)),$H798="ORG"),"✔",tulkojums!$A$38),tulkojums!$A$39),tulkojums!$A$39))</f>
        <v/>
      </c>
      <c r="Q798" s="2" t="str">
        <f>IF(ISBLANK(I798),"",IF(INDEX(DB_materiali!$E$2:$E$5000,MATCH($C798,DB_materiali!$A$2:$A$5000,0))&gt;=INDEX(DB_malas!$C$2:$C$5000,MATCH(I798,DB_malas!$A$2:$A$5000,0)),IF(INDEX(DB_materiali!$E$2:$E$5000,MATCH($C798,DB_materiali!$A$2:$A$5000,0))&lt;=INDEX(DB_malas!$D$2:$D$5000,MATCH(I798,DB_malas!$A$2:$A$5000,0)),IF(OR(INDEX(DB_materiali!$B$2:$B$5000,MATCH($C798,DB_materiali!$A$2:$A$5000,0))=INDEX(DB_malas!$B$2:$B$5000,MATCH(I798,DB_malas!$A$2:$A$5000,0)),$H798="ORG"),"✔",tulkojums!$A$38),tulkojums!$A$39),tulkojums!$A$39))</f>
        <v/>
      </c>
      <c r="R798" s="2" t="str">
        <f>IF(ISBLANK(J798),"",IF(INDEX(DB_materiali!$E$2:$E$5000,MATCH($C798,DB_materiali!$A$2:$A$5000,0))&gt;=INDEX(DB_malas!$C$2:$C$5000,MATCH(J798,DB_malas!$A$2:$A$5000,0)),IF(INDEX(DB_materiali!$E$2:$E$5000,MATCH($C798,DB_materiali!$A$2:$A$5000,0))&lt;=INDEX(DB_malas!$D$2:$D$5000,MATCH(J798,DB_malas!$A$2:$A$5000,0)),IF(INDEX(DB_materiali!$B$2:$B$5000,MATCH($C798,DB_materiali!$A$2:$A$5000,0))=INDEX(DB_malas!$B$2:$B$5000,MATCH(J798,DB_malas!$A$2:$A$5000,0)),"✔",tulkojums!$A$38),tulkojums!$A$39),tulkojums!$A$39))</f>
        <v/>
      </c>
      <c r="S798" s="2" t="str">
        <f>IF(ISBLANK(K798),"",IF(INDEX(DB_materiali!$E$2:$E$5000,MATCH($C798,DB_materiali!$A$2:$A$5000,0))&gt;=INDEX(DB_malas!$C$2:$C$5000,MATCH(K798,DB_malas!$A$2:$A$5000,0)),IF(INDEX(DB_materiali!$E$2:$E$5000,MATCH($C798,DB_materiali!$A$2:$A$5000,0))&lt;=INDEX(DB_malas!$D$2:$D$5000,MATCH(K798,DB_malas!$A$2:$A$5000,0)),IF(INDEX(DB_materiali!$B$2:$B$5000,MATCH($C798,DB_materiali!$A$2:$A$5000,0))=INDEX(DB_malas!$B$2:$B$5000,MATCH(K798,DB_malas!$A$2:$A$5000,0)),"✔",tulkojums!$A$38),tulkojums!$A$39),tulkojums!$A$39))</f>
        <v/>
      </c>
      <c r="T798" s="2"/>
      <c r="U798" s="2"/>
      <c r="V798" s="2"/>
      <c r="W798" s="2"/>
      <c r="X798" s="2"/>
      <c r="Y798" s="2"/>
      <c r="Z798" s="2"/>
    </row>
    <row r="799" spans="1:26" ht="15.75" customHeight="1">
      <c r="A799" s="17"/>
      <c r="B799" s="18"/>
      <c r="C799" s="19"/>
      <c r="D799" s="55"/>
      <c r="E799" s="55"/>
      <c r="F799" s="56"/>
      <c r="G799" s="57" t="str">
        <f>IF(ISBLANK(C799),"",
   IFERROR(
      IF(
         INDEX(DB_materiali!C$2:C$5000,
               MATCH(C799, DB_materiali!A$2:A$5000, 0)
         )="FALSE",
         "N",
         "Y"
      ),
   "")
)</f>
        <v/>
      </c>
      <c r="H799" s="20"/>
      <c r="I799" s="20"/>
      <c r="J799" s="20"/>
      <c r="K799" s="20"/>
      <c r="M799" s="2" t="str">
        <f>IF(ISBLANK(C799),"",IF(IFERROR(VLOOKUP(C799,DB_materiali!$A$2:$A$5000,1,FALSE),"Kļūda artikulā")=C799,"✔",tulkojums!A$42))</f>
        <v/>
      </c>
      <c r="N799" s="2" t="str">
        <f>IF(ISBLANK(C799),"",IF(ISNUMBER(F799)=TRUE,"✔",tulkojums!A$43))</f>
        <v/>
      </c>
      <c r="O799" s="2" t="str">
        <f>IF(ISBLANK(C799),"",IF(G799="Y","✔",IF(G799="X","✔",IF(G799="N","✔",tulkojums!A$44))))</f>
        <v/>
      </c>
      <c r="P799" s="2" t="str">
        <f>IF(ISBLANK(H799),"",IF(INDEX(DB_materiali!$E$2:$E$5000,MATCH($C799,DB_materiali!$A$2:$A$5000,0))&gt;=INDEX(DB_malas!$C$2:$C$5000,MATCH(H799,DB_malas!$A$2:$A$5000,0)),IF(INDEX(DB_materiali!$E$2:$E$5000,MATCH($C799,DB_materiali!$A$2:$A$5000,0))&lt;=INDEX(DB_malas!$D$2:$D$5000,MATCH(H799,DB_malas!$A$2:$A$5000,0)),IF(OR(INDEX(DB_materiali!$B$2:$B$5000,MATCH($C799,DB_materiali!$A$2:$A$5000,0))=INDEX(DB_malas!$B$2:$B$5000,MATCH(H799,DB_malas!$A$2:$A$5000,0)),$H799="ORG"),"✔",tulkojums!$A$38),tulkojums!$A$39),tulkojums!$A$39))</f>
        <v/>
      </c>
      <c r="Q799" s="2" t="str">
        <f>IF(ISBLANK(I799),"",IF(INDEX(DB_materiali!$E$2:$E$5000,MATCH($C799,DB_materiali!$A$2:$A$5000,0))&gt;=INDEX(DB_malas!$C$2:$C$5000,MATCH(I799,DB_malas!$A$2:$A$5000,0)),IF(INDEX(DB_materiali!$E$2:$E$5000,MATCH($C799,DB_materiali!$A$2:$A$5000,0))&lt;=INDEX(DB_malas!$D$2:$D$5000,MATCH(I799,DB_malas!$A$2:$A$5000,0)),IF(OR(INDEX(DB_materiali!$B$2:$B$5000,MATCH($C799,DB_materiali!$A$2:$A$5000,0))=INDEX(DB_malas!$B$2:$B$5000,MATCH(I799,DB_malas!$A$2:$A$5000,0)),$H799="ORG"),"✔",tulkojums!$A$38),tulkojums!$A$39),tulkojums!$A$39))</f>
        <v/>
      </c>
      <c r="R799" s="2" t="str">
        <f>IF(ISBLANK(J799),"",IF(INDEX(DB_materiali!$E$2:$E$5000,MATCH($C799,DB_materiali!$A$2:$A$5000,0))&gt;=INDEX(DB_malas!$C$2:$C$5000,MATCH(J799,DB_malas!$A$2:$A$5000,0)),IF(INDEX(DB_materiali!$E$2:$E$5000,MATCH($C799,DB_materiali!$A$2:$A$5000,0))&lt;=INDEX(DB_malas!$D$2:$D$5000,MATCH(J799,DB_malas!$A$2:$A$5000,0)),IF(INDEX(DB_materiali!$B$2:$B$5000,MATCH($C799,DB_materiali!$A$2:$A$5000,0))=INDEX(DB_malas!$B$2:$B$5000,MATCH(J799,DB_malas!$A$2:$A$5000,0)),"✔",tulkojums!$A$38),tulkojums!$A$39),tulkojums!$A$39))</f>
        <v/>
      </c>
      <c r="S799" s="2" t="str">
        <f>IF(ISBLANK(K799),"",IF(INDEX(DB_materiali!$E$2:$E$5000,MATCH($C799,DB_materiali!$A$2:$A$5000,0))&gt;=INDEX(DB_malas!$C$2:$C$5000,MATCH(K799,DB_malas!$A$2:$A$5000,0)),IF(INDEX(DB_materiali!$E$2:$E$5000,MATCH($C799,DB_materiali!$A$2:$A$5000,0))&lt;=INDEX(DB_malas!$D$2:$D$5000,MATCH(K799,DB_malas!$A$2:$A$5000,0)),IF(INDEX(DB_materiali!$B$2:$B$5000,MATCH($C799,DB_materiali!$A$2:$A$5000,0))=INDEX(DB_malas!$B$2:$B$5000,MATCH(K799,DB_malas!$A$2:$A$5000,0)),"✔",tulkojums!$A$38),tulkojums!$A$39),tulkojums!$A$39))</f>
        <v/>
      </c>
      <c r="T799" s="2"/>
      <c r="U799" s="2"/>
      <c r="V799" s="2"/>
      <c r="W799" s="2"/>
      <c r="X799" s="2"/>
      <c r="Y799" s="2"/>
      <c r="Z799" s="2"/>
    </row>
    <row r="800" spans="1:26" ht="15.75" customHeight="1">
      <c r="A800" s="17"/>
      <c r="B800" s="18"/>
      <c r="C800" s="19"/>
      <c r="D800" s="55"/>
      <c r="E800" s="55"/>
      <c r="F800" s="56"/>
      <c r="G800" s="57" t="str">
        <f>IF(ISBLANK(C800),"",
   IFERROR(
      IF(
         INDEX(DB_materiali!C$2:C$5000,
               MATCH(C800, DB_materiali!A$2:A$5000, 0)
         )="FALSE",
         "N",
         "Y"
      ),
   "")
)</f>
        <v/>
      </c>
      <c r="H800" s="20"/>
      <c r="I800" s="20"/>
      <c r="J800" s="20"/>
      <c r="K800" s="20"/>
      <c r="M800" s="2" t="str">
        <f>IF(ISBLANK(C800),"",IF(IFERROR(VLOOKUP(C800,DB_materiali!$A$2:$A$5000,1,FALSE),"Kļūda artikulā")=C800,"✔",tulkojums!A$42))</f>
        <v/>
      </c>
      <c r="N800" s="2" t="str">
        <f>IF(ISBLANK(C800),"",IF(ISNUMBER(F800)=TRUE,"✔",tulkojums!A$43))</f>
        <v/>
      </c>
      <c r="O800" s="2" t="str">
        <f>IF(ISBLANK(C800),"",IF(G800="Y","✔",IF(G800="X","✔",IF(G800="N","✔",tulkojums!A$44))))</f>
        <v/>
      </c>
      <c r="P800" s="2" t="str">
        <f>IF(ISBLANK(H800),"",IF(INDEX(DB_materiali!$E$2:$E$5000,MATCH($C800,DB_materiali!$A$2:$A$5000,0))&gt;=INDEX(DB_malas!$C$2:$C$5000,MATCH(H800,DB_malas!$A$2:$A$5000,0)),IF(INDEX(DB_materiali!$E$2:$E$5000,MATCH($C800,DB_materiali!$A$2:$A$5000,0))&lt;=INDEX(DB_malas!$D$2:$D$5000,MATCH(H800,DB_malas!$A$2:$A$5000,0)),IF(OR(INDEX(DB_materiali!$B$2:$B$5000,MATCH($C800,DB_materiali!$A$2:$A$5000,0))=INDEX(DB_malas!$B$2:$B$5000,MATCH(H800,DB_malas!$A$2:$A$5000,0)),$H800="ORG"),"✔",tulkojums!$A$38),tulkojums!$A$39),tulkojums!$A$39))</f>
        <v/>
      </c>
      <c r="Q800" s="2" t="str">
        <f>IF(ISBLANK(I800),"",IF(INDEX(DB_materiali!$E$2:$E$5000,MATCH($C800,DB_materiali!$A$2:$A$5000,0))&gt;=INDEX(DB_malas!$C$2:$C$5000,MATCH(I800,DB_malas!$A$2:$A$5000,0)),IF(INDEX(DB_materiali!$E$2:$E$5000,MATCH($C800,DB_materiali!$A$2:$A$5000,0))&lt;=INDEX(DB_malas!$D$2:$D$5000,MATCH(I800,DB_malas!$A$2:$A$5000,0)),IF(OR(INDEX(DB_materiali!$B$2:$B$5000,MATCH($C800,DB_materiali!$A$2:$A$5000,0))=INDEX(DB_malas!$B$2:$B$5000,MATCH(I800,DB_malas!$A$2:$A$5000,0)),$H800="ORG"),"✔",tulkojums!$A$38),tulkojums!$A$39),tulkojums!$A$39))</f>
        <v/>
      </c>
      <c r="R800" s="2" t="str">
        <f>IF(ISBLANK(J800),"",IF(INDEX(DB_materiali!$E$2:$E$5000,MATCH($C800,DB_materiali!$A$2:$A$5000,0))&gt;=INDEX(DB_malas!$C$2:$C$5000,MATCH(J800,DB_malas!$A$2:$A$5000,0)),IF(INDEX(DB_materiali!$E$2:$E$5000,MATCH($C800,DB_materiali!$A$2:$A$5000,0))&lt;=INDEX(DB_malas!$D$2:$D$5000,MATCH(J800,DB_malas!$A$2:$A$5000,0)),IF(INDEX(DB_materiali!$B$2:$B$5000,MATCH($C800,DB_materiali!$A$2:$A$5000,0))=INDEX(DB_malas!$B$2:$B$5000,MATCH(J800,DB_malas!$A$2:$A$5000,0)),"✔",tulkojums!$A$38),tulkojums!$A$39),tulkojums!$A$39))</f>
        <v/>
      </c>
      <c r="S800" s="2" t="str">
        <f>IF(ISBLANK(K800),"",IF(INDEX(DB_materiali!$E$2:$E$5000,MATCH($C800,DB_materiali!$A$2:$A$5000,0))&gt;=INDEX(DB_malas!$C$2:$C$5000,MATCH(K800,DB_malas!$A$2:$A$5000,0)),IF(INDEX(DB_materiali!$E$2:$E$5000,MATCH($C800,DB_materiali!$A$2:$A$5000,0))&lt;=INDEX(DB_malas!$D$2:$D$5000,MATCH(K800,DB_malas!$A$2:$A$5000,0)),IF(INDEX(DB_materiali!$B$2:$B$5000,MATCH($C800,DB_materiali!$A$2:$A$5000,0))=INDEX(DB_malas!$B$2:$B$5000,MATCH(K800,DB_malas!$A$2:$A$5000,0)),"✔",tulkojums!$A$38),tulkojums!$A$39),tulkojums!$A$39))</f>
        <v/>
      </c>
      <c r="T800" s="2"/>
      <c r="U800" s="2"/>
      <c r="V800" s="2"/>
      <c r="W800" s="2"/>
      <c r="X800" s="2"/>
      <c r="Y800" s="2"/>
      <c r="Z800" s="2"/>
    </row>
    <row r="801" spans="1:26" ht="15.75" customHeight="1">
      <c r="A801" s="17"/>
      <c r="B801" s="18"/>
      <c r="C801" s="19"/>
      <c r="D801" s="55"/>
      <c r="E801" s="55"/>
      <c r="F801" s="56"/>
      <c r="G801" s="57" t="str">
        <f>IF(ISBLANK(C801),"",
   IFERROR(
      IF(
         INDEX(DB_materiali!C$2:C$5000,
               MATCH(C801, DB_materiali!A$2:A$5000, 0)
         )="FALSE",
         "N",
         "Y"
      ),
   "")
)</f>
        <v/>
      </c>
      <c r="H801" s="20"/>
      <c r="I801" s="20"/>
      <c r="J801" s="20"/>
      <c r="K801" s="20"/>
      <c r="M801" s="2" t="str">
        <f>IF(ISBLANK(C801),"",IF(IFERROR(VLOOKUP(C801,DB_materiali!$A$2:$A$5000,1,FALSE),"Kļūda artikulā")=C801,"✔",tulkojums!A$42))</f>
        <v/>
      </c>
      <c r="N801" s="2" t="str">
        <f>IF(ISBLANK(C801),"",IF(ISNUMBER(F801)=TRUE,"✔",tulkojums!A$43))</f>
        <v/>
      </c>
      <c r="O801" s="2" t="str">
        <f>IF(ISBLANK(C801),"",IF(G801="Y","✔",IF(G801="X","✔",IF(G801="N","✔",tulkojums!A$44))))</f>
        <v/>
      </c>
      <c r="P801" s="2" t="str">
        <f>IF(ISBLANK(H801),"",IF(INDEX(DB_materiali!$E$2:$E$5000,MATCH($C801,DB_materiali!$A$2:$A$5000,0))&gt;=INDEX(DB_malas!$C$2:$C$5000,MATCH(H801,DB_malas!$A$2:$A$5000,0)),IF(INDEX(DB_materiali!$E$2:$E$5000,MATCH($C801,DB_materiali!$A$2:$A$5000,0))&lt;=INDEX(DB_malas!$D$2:$D$5000,MATCH(H801,DB_malas!$A$2:$A$5000,0)),IF(OR(INDEX(DB_materiali!$B$2:$B$5000,MATCH($C801,DB_materiali!$A$2:$A$5000,0))=INDEX(DB_malas!$B$2:$B$5000,MATCH(H801,DB_malas!$A$2:$A$5000,0)),$H801="ORG"),"✔",tulkojums!$A$38),tulkojums!$A$39),tulkojums!$A$39))</f>
        <v/>
      </c>
      <c r="Q801" s="2" t="str">
        <f>IF(ISBLANK(I801),"",IF(INDEX(DB_materiali!$E$2:$E$5000,MATCH($C801,DB_materiali!$A$2:$A$5000,0))&gt;=INDEX(DB_malas!$C$2:$C$5000,MATCH(I801,DB_malas!$A$2:$A$5000,0)),IF(INDEX(DB_materiali!$E$2:$E$5000,MATCH($C801,DB_materiali!$A$2:$A$5000,0))&lt;=INDEX(DB_malas!$D$2:$D$5000,MATCH(I801,DB_malas!$A$2:$A$5000,0)),IF(OR(INDEX(DB_materiali!$B$2:$B$5000,MATCH($C801,DB_materiali!$A$2:$A$5000,0))=INDEX(DB_malas!$B$2:$B$5000,MATCH(I801,DB_malas!$A$2:$A$5000,0)),$H801="ORG"),"✔",tulkojums!$A$38),tulkojums!$A$39),tulkojums!$A$39))</f>
        <v/>
      </c>
      <c r="R801" s="2" t="str">
        <f>IF(ISBLANK(J801),"",IF(INDEX(DB_materiali!$E$2:$E$5000,MATCH($C801,DB_materiali!$A$2:$A$5000,0))&gt;=INDEX(DB_malas!$C$2:$C$5000,MATCH(J801,DB_malas!$A$2:$A$5000,0)),IF(INDEX(DB_materiali!$E$2:$E$5000,MATCH($C801,DB_materiali!$A$2:$A$5000,0))&lt;=INDEX(DB_malas!$D$2:$D$5000,MATCH(J801,DB_malas!$A$2:$A$5000,0)),IF(INDEX(DB_materiali!$B$2:$B$5000,MATCH($C801,DB_materiali!$A$2:$A$5000,0))=INDEX(DB_malas!$B$2:$B$5000,MATCH(J801,DB_malas!$A$2:$A$5000,0)),"✔",tulkojums!$A$38),tulkojums!$A$39),tulkojums!$A$39))</f>
        <v/>
      </c>
      <c r="S801" s="2" t="str">
        <f>IF(ISBLANK(K801),"",IF(INDEX(DB_materiali!$E$2:$E$5000,MATCH($C801,DB_materiali!$A$2:$A$5000,0))&gt;=INDEX(DB_malas!$C$2:$C$5000,MATCH(K801,DB_malas!$A$2:$A$5000,0)),IF(INDEX(DB_materiali!$E$2:$E$5000,MATCH($C801,DB_materiali!$A$2:$A$5000,0))&lt;=INDEX(DB_malas!$D$2:$D$5000,MATCH(K801,DB_malas!$A$2:$A$5000,0)),IF(INDEX(DB_materiali!$B$2:$B$5000,MATCH($C801,DB_materiali!$A$2:$A$5000,0))=INDEX(DB_malas!$B$2:$B$5000,MATCH(K801,DB_malas!$A$2:$A$5000,0)),"✔",tulkojums!$A$38),tulkojums!$A$39),tulkojums!$A$39))</f>
        <v/>
      </c>
      <c r="T801" s="2"/>
      <c r="U801" s="2"/>
      <c r="V801" s="2"/>
      <c r="W801" s="2"/>
      <c r="X801" s="2"/>
      <c r="Y801" s="2"/>
      <c r="Z801" s="2"/>
    </row>
    <row r="802" spans="1:26" ht="15.75" customHeight="1">
      <c r="A802" s="17"/>
      <c r="B802" s="18"/>
      <c r="C802" s="19"/>
      <c r="D802" s="55"/>
      <c r="E802" s="55"/>
      <c r="F802" s="56"/>
      <c r="G802" s="57" t="str">
        <f>IF(ISBLANK(C802),"",
   IFERROR(
      IF(
         INDEX(DB_materiali!C$2:C$5000,
               MATCH(C802, DB_materiali!A$2:A$5000, 0)
         )="FALSE",
         "N",
         "Y"
      ),
   "")
)</f>
        <v/>
      </c>
      <c r="H802" s="20"/>
      <c r="I802" s="20"/>
      <c r="J802" s="20"/>
      <c r="K802" s="20"/>
      <c r="M802" s="2" t="str">
        <f>IF(ISBLANK(C802),"",IF(IFERROR(VLOOKUP(C802,DB_materiali!$A$2:$A$5000,1,FALSE),"Kļūda artikulā")=C802,"✔",tulkojums!A$42))</f>
        <v/>
      </c>
      <c r="N802" s="2" t="str">
        <f>IF(ISBLANK(C802),"",IF(ISNUMBER(F802)=TRUE,"✔",tulkojums!A$43))</f>
        <v/>
      </c>
      <c r="O802" s="2" t="str">
        <f>IF(ISBLANK(C802),"",IF(G802="Y","✔",IF(G802="X","✔",IF(G802="N","✔",tulkojums!A$44))))</f>
        <v/>
      </c>
      <c r="P802" s="2" t="str">
        <f>IF(ISBLANK(H802),"",IF(INDEX(DB_materiali!$E$2:$E$5000,MATCH($C802,DB_materiali!$A$2:$A$5000,0))&gt;=INDEX(DB_malas!$C$2:$C$5000,MATCH(H802,DB_malas!$A$2:$A$5000,0)),IF(INDEX(DB_materiali!$E$2:$E$5000,MATCH($C802,DB_materiali!$A$2:$A$5000,0))&lt;=INDEX(DB_malas!$D$2:$D$5000,MATCH(H802,DB_malas!$A$2:$A$5000,0)),IF(OR(INDEX(DB_materiali!$B$2:$B$5000,MATCH($C802,DB_materiali!$A$2:$A$5000,0))=INDEX(DB_malas!$B$2:$B$5000,MATCH(H802,DB_malas!$A$2:$A$5000,0)),$H802="ORG"),"✔",tulkojums!$A$38),tulkojums!$A$39),tulkojums!$A$39))</f>
        <v/>
      </c>
      <c r="Q802" s="2" t="str">
        <f>IF(ISBLANK(I802),"",IF(INDEX(DB_materiali!$E$2:$E$5000,MATCH($C802,DB_materiali!$A$2:$A$5000,0))&gt;=INDEX(DB_malas!$C$2:$C$5000,MATCH(I802,DB_malas!$A$2:$A$5000,0)),IF(INDEX(DB_materiali!$E$2:$E$5000,MATCH($C802,DB_materiali!$A$2:$A$5000,0))&lt;=INDEX(DB_malas!$D$2:$D$5000,MATCH(I802,DB_malas!$A$2:$A$5000,0)),IF(OR(INDEX(DB_materiali!$B$2:$B$5000,MATCH($C802,DB_materiali!$A$2:$A$5000,0))=INDEX(DB_malas!$B$2:$B$5000,MATCH(I802,DB_malas!$A$2:$A$5000,0)),$H802="ORG"),"✔",tulkojums!$A$38),tulkojums!$A$39),tulkojums!$A$39))</f>
        <v/>
      </c>
      <c r="R802" s="2" t="str">
        <f>IF(ISBLANK(J802),"",IF(INDEX(DB_materiali!$E$2:$E$5000,MATCH($C802,DB_materiali!$A$2:$A$5000,0))&gt;=INDEX(DB_malas!$C$2:$C$5000,MATCH(J802,DB_malas!$A$2:$A$5000,0)),IF(INDEX(DB_materiali!$E$2:$E$5000,MATCH($C802,DB_materiali!$A$2:$A$5000,0))&lt;=INDEX(DB_malas!$D$2:$D$5000,MATCH(J802,DB_malas!$A$2:$A$5000,0)),IF(INDEX(DB_materiali!$B$2:$B$5000,MATCH($C802,DB_materiali!$A$2:$A$5000,0))=INDEX(DB_malas!$B$2:$B$5000,MATCH(J802,DB_malas!$A$2:$A$5000,0)),"✔",tulkojums!$A$38),tulkojums!$A$39),tulkojums!$A$39))</f>
        <v/>
      </c>
      <c r="S802" s="2" t="str">
        <f>IF(ISBLANK(K802),"",IF(INDEX(DB_materiali!$E$2:$E$5000,MATCH($C802,DB_materiali!$A$2:$A$5000,0))&gt;=INDEX(DB_malas!$C$2:$C$5000,MATCH(K802,DB_malas!$A$2:$A$5000,0)),IF(INDEX(DB_materiali!$E$2:$E$5000,MATCH($C802,DB_materiali!$A$2:$A$5000,0))&lt;=INDEX(DB_malas!$D$2:$D$5000,MATCH(K802,DB_malas!$A$2:$A$5000,0)),IF(INDEX(DB_materiali!$B$2:$B$5000,MATCH($C802,DB_materiali!$A$2:$A$5000,0))=INDEX(DB_malas!$B$2:$B$5000,MATCH(K802,DB_malas!$A$2:$A$5000,0)),"✔",tulkojums!$A$38),tulkojums!$A$39),tulkojums!$A$39))</f>
        <v/>
      </c>
      <c r="T802" s="2"/>
      <c r="U802" s="2"/>
      <c r="V802" s="2"/>
      <c r="W802" s="2"/>
      <c r="X802" s="2"/>
      <c r="Y802" s="2"/>
      <c r="Z802" s="2"/>
    </row>
    <row r="803" spans="1:26" ht="15.75" customHeight="1">
      <c r="A803" s="17"/>
      <c r="B803" s="18"/>
      <c r="C803" s="19"/>
      <c r="D803" s="55"/>
      <c r="E803" s="55"/>
      <c r="F803" s="56"/>
      <c r="G803" s="57" t="str">
        <f>IF(ISBLANK(C803),"",
   IFERROR(
      IF(
         INDEX(DB_materiali!C$2:C$5000,
               MATCH(C803, DB_materiali!A$2:A$5000, 0)
         )="FALSE",
         "N",
         "Y"
      ),
   "")
)</f>
        <v/>
      </c>
      <c r="H803" s="20"/>
      <c r="I803" s="20"/>
      <c r="J803" s="20"/>
      <c r="K803" s="20"/>
      <c r="M803" s="2" t="str">
        <f>IF(ISBLANK(C803),"",IF(IFERROR(VLOOKUP(C803,DB_materiali!$A$2:$A$5000,1,FALSE),"Kļūda artikulā")=C803,"✔",tulkojums!A$42))</f>
        <v/>
      </c>
      <c r="N803" s="2" t="str">
        <f>IF(ISBLANK(C803),"",IF(ISNUMBER(F803)=TRUE,"✔",tulkojums!A$43))</f>
        <v/>
      </c>
      <c r="O803" s="2" t="str">
        <f>IF(ISBLANK(C803),"",IF(G803="Y","✔",IF(G803="X","✔",IF(G803="N","✔",tulkojums!A$44))))</f>
        <v/>
      </c>
      <c r="P803" s="2" t="str">
        <f>IF(ISBLANK(H803),"",IF(INDEX(DB_materiali!$E$2:$E$5000,MATCH($C803,DB_materiali!$A$2:$A$5000,0))&gt;=INDEX(DB_malas!$C$2:$C$5000,MATCH(H803,DB_malas!$A$2:$A$5000,0)),IF(INDEX(DB_materiali!$E$2:$E$5000,MATCH($C803,DB_materiali!$A$2:$A$5000,0))&lt;=INDEX(DB_malas!$D$2:$D$5000,MATCH(H803,DB_malas!$A$2:$A$5000,0)),IF(OR(INDEX(DB_materiali!$B$2:$B$5000,MATCH($C803,DB_materiali!$A$2:$A$5000,0))=INDEX(DB_malas!$B$2:$B$5000,MATCH(H803,DB_malas!$A$2:$A$5000,0)),$H803="ORG"),"✔",tulkojums!$A$38),tulkojums!$A$39),tulkojums!$A$39))</f>
        <v/>
      </c>
      <c r="Q803" s="2" t="str">
        <f>IF(ISBLANK(I803),"",IF(INDEX(DB_materiali!$E$2:$E$5000,MATCH($C803,DB_materiali!$A$2:$A$5000,0))&gt;=INDEX(DB_malas!$C$2:$C$5000,MATCH(I803,DB_malas!$A$2:$A$5000,0)),IF(INDEX(DB_materiali!$E$2:$E$5000,MATCH($C803,DB_materiali!$A$2:$A$5000,0))&lt;=INDEX(DB_malas!$D$2:$D$5000,MATCH(I803,DB_malas!$A$2:$A$5000,0)),IF(OR(INDEX(DB_materiali!$B$2:$B$5000,MATCH($C803,DB_materiali!$A$2:$A$5000,0))=INDEX(DB_malas!$B$2:$B$5000,MATCH(I803,DB_malas!$A$2:$A$5000,0)),$H803="ORG"),"✔",tulkojums!$A$38),tulkojums!$A$39),tulkojums!$A$39))</f>
        <v/>
      </c>
      <c r="R803" s="2" t="str">
        <f>IF(ISBLANK(J803),"",IF(INDEX(DB_materiali!$E$2:$E$5000,MATCH($C803,DB_materiali!$A$2:$A$5000,0))&gt;=INDEX(DB_malas!$C$2:$C$5000,MATCH(J803,DB_malas!$A$2:$A$5000,0)),IF(INDEX(DB_materiali!$E$2:$E$5000,MATCH($C803,DB_materiali!$A$2:$A$5000,0))&lt;=INDEX(DB_malas!$D$2:$D$5000,MATCH(J803,DB_malas!$A$2:$A$5000,0)),IF(INDEX(DB_materiali!$B$2:$B$5000,MATCH($C803,DB_materiali!$A$2:$A$5000,0))=INDEX(DB_malas!$B$2:$B$5000,MATCH(J803,DB_malas!$A$2:$A$5000,0)),"✔",tulkojums!$A$38),tulkojums!$A$39),tulkojums!$A$39))</f>
        <v/>
      </c>
      <c r="S803" s="2" t="str">
        <f>IF(ISBLANK(K803),"",IF(INDEX(DB_materiali!$E$2:$E$5000,MATCH($C803,DB_materiali!$A$2:$A$5000,0))&gt;=INDEX(DB_malas!$C$2:$C$5000,MATCH(K803,DB_malas!$A$2:$A$5000,0)),IF(INDEX(DB_materiali!$E$2:$E$5000,MATCH($C803,DB_materiali!$A$2:$A$5000,0))&lt;=INDEX(DB_malas!$D$2:$D$5000,MATCH(K803,DB_malas!$A$2:$A$5000,0)),IF(INDEX(DB_materiali!$B$2:$B$5000,MATCH($C803,DB_materiali!$A$2:$A$5000,0))=INDEX(DB_malas!$B$2:$B$5000,MATCH(K803,DB_malas!$A$2:$A$5000,0)),"✔",tulkojums!$A$38),tulkojums!$A$39),tulkojums!$A$39))</f>
        <v/>
      </c>
      <c r="T803" s="2"/>
      <c r="U803" s="2"/>
      <c r="V803" s="2"/>
      <c r="W803" s="2"/>
      <c r="X803" s="2"/>
      <c r="Y803" s="2"/>
      <c r="Z803" s="2"/>
    </row>
    <row r="804" spans="1:26" ht="15.75" customHeight="1">
      <c r="A804" s="17"/>
      <c r="B804" s="18"/>
      <c r="C804" s="19"/>
      <c r="D804" s="55"/>
      <c r="E804" s="55"/>
      <c r="F804" s="56"/>
      <c r="G804" s="57" t="str">
        <f>IF(ISBLANK(C804),"",
   IFERROR(
      IF(
         INDEX(DB_materiali!C$2:C$5000,
               MATCH(C804, DB_materiali!A$2:A$5000, 0)
         )="FALSE",
         "N",
         "Y"
      ),
   "")
)</f>
        <v/>
      </c>
      <c r="H804" s="20"/>
      <c r="I804" s="20"/>
      <c r="J804" s="20"/>
      <c r="K804" s="20"/>
      <c r="M804" s="2" t="str">
        <f>IF(ISBLANK(C804),"",IF(IFERROR(VLOOKUP(C804,DB_materiali!$A$2:$A$5000,1,FALSE),"Kļūda artikulā")=C804,"✔",tulkojums!A$42))</f>
        <v/>
      </c>
      <c r="N804" s="2" t="str">
        <f>IF(ISBLANK(C804),"",IF(ISNUMBER(F804)=TRUE,"✔",tulkojums!A$43))</f>
        <v/>
      </c>
      <c r="O804" s="2" t="str">
        <f>IF(ISBLANK(C804),"",IF(G804="Y","✔",IF(G804="X","✔",IF(G804="N","✔",tulkojums!A$44))))</f>
        <v/>
      </c>
      <c r="P804" s="2" t="str">
        <f>IF(ISBLANK(H804),"",IF(INDEX(DB_materiali!$E$2:$E$5000,MATCH($C804,DB_materiali!$A$2:$A$5000,0))&gt;=INDEX(DB_malas!$C$2:$C$5000,MATCH(H804,DB_malas!$A$2:$A$5000,0)),IF(INDEX(DB_materiali!$E$2:$E$5000,MATCH($C804,DB_materiali!$A$2:$A$5000,0))&lt;=INDEX(DB_malas!$D$2:$D$5000,MATCH(H804,DB_malas!$A$2:$A$5000,0)),IF(OR(INDEX(DB_materiali!$B$2:$B$5000,MATCH($C804,DB_materiali!$A$2:$A$5000,0))=INDEX(DB_malas!$B$2:$B$5000,MATCH(H804,DB_malas!$A$2:$A$5000,0)),$H804="ORG"),"✔",tulkojums!$A$38),tulkojums!$A$39),tulkojums!$A$39))</f>
        <v/>
      </c>
      <c r="Q804" s="2" t="str">
        <f>IF(ISBLANK(I804),"",IF(INDEX(DB_materiali!$E$2:$E$5000,MATCH($C804,DB_materiali!$A$2:$A$5000,0))&gt;=INDEX(DB_malas!$C$2:$C$5000,MATCH(I804,DB_malas!$A$2:$A$5000,0)),IF(INDEX(DB_materiali!$E$2:$E$5000,MATCH($C804,DB_materiali!$A$2:$A$5000,0))&lt;=INDEX(DB_malas!$D$2:$D$5000,MATCH(I804,DB_malas!$A$2:$A$5000,0)),IF(OR(INDEX(DB_materiali!$B$2:$B$5000,MATCH($C804,DB_materiali!$A$2:$A$5000,0))=INDEX(DB_malas!$B$2:$B$5000,MATCH(I804,DB_malas!$A$2:$A$5000,0)),$H804="ORG"),"✔",tulkojums!$A$38),tulkojums!$A$39),tulkojums!$A$39))</f>
        <v/>
      </c>
      <c r="R804" s="2" t="str">
        <f>IF(ISBLANK(J804),"",IF(INDEX(DB_materiali!$E$2:$E$5000,MATCH($C804,DB_materiali!$A$2:$A$5000,0))&gt;=INDEX(DB_malas!$C$2:$C$5000,MATCH(J804,DB_malas!$A$2:$A$5000,0)),IF(INDEX(DB_materiali!$E$2:$E$5000,MATCH($C804,DB_materiali!$A$2:$A$5000,0))&lt;=INDEX(DB_malas!$D$2:$D$5000,MATCH(J804,DB_malas!$A$2:$A$5000,0)),IF(INDEX(DB_materiali!$B$2:$B$5000,MATCH($C804,DB_materiali!$A$2:$A$5000,0))=INDEX(DB_malas!$B$2:$B$5000,MATCH(J804,DB_malas!$A$2:$A$5000,0)),"✔",tulkojums!$A$38),tulkojums!$A$39),tulkojums!$A$39))</f>
        <v/>
      </c>
      <c r="S804" s="2" t="str">
        <f>IF(ISBLANK(K804),"",IF(INDEX(DB_materiali!$E$2:$E$5000,MATCH($C804,DB_materiali!$A$2:$A$5000,0))&gt;=INDEX(DB_malas!$C$2:$C$5000,MATCH(K804,DB_malas!$A$2:$A$5000,0)),IF(INDEX(DB_materiali!$E$2:$E$5000,MATCH($C804,DB_materiali!$A$2:$A$5000,0))&lt;=INDEX(DB_malas!$D$2:$D$5000,MATCH(K804,DB_malas!$A$2:$A$5000,0)),IF(INDEX(DB_materiali!$B$2:$B$5000,MATCH($C804,DB_materiali!$A$2:$A$5000,0))=INDEX(DB_malas!$B$2:$B$5000,MATCH(K804,DB_malas!$A$2:$A$5000,0)),"✔",tulkojums!$A$38),tulkojums!$A$39),tulkojums!$A$39))</f>
        <v/>
      </c>
      <c r="T804" s="2"/>
      <c r="U804" s="2"/>
      <c r="V804" s="2"/>
      <c r="W804" s="2"/>
      <c r="X804" s="2"/>
      <c r="Y804" s="2"/>
      <c r="Z804" s="2"/>
    </row>
    <row r="805" spans="1:26" ht="15.75" customHeight="1">
      <c r="A805" s="17"/>
      <c r="B805" s="18"/>
      <c r="C805" s="19"/>
      <c r="D805" s="55"/>
      <c r="E805" s="55"/>
      <c r="F805" s="56"/>
      <c r="G805" s="57" t="str">
        <f>IF(ISBLANK(C805),"",
   IFERROR(
      IF(
         INDEX(DB_materiali!C$2:C$5000,
               MATCH(C805, DB_materiali!A$2:A$5000, 0)
         )="FALSE",
         "N",
         "Y"
      ),
   "")
)</f>
        <v/>
      </c>
      <c r="H805" s="20"/>
      <c r="I805" s="20"/>
      <c r="J805" s="20"/>
      <c r="K805" s="20"/>
      <c r="M805" s="2" t="str">
        <f>IF(ISBLANK(C805),"",IF(IFERROR(VLOOKUP(C805,DB_materiali!$A$2:$A$5000,1,FALSE),"Kļūda artikulā")=C805,"✔",tulkojums!A$42))</f>
        <v/>
      </c>
      <c r="N805" s="2" t="str">
        <f>IF(ISBLANK(C805),"",IF(ISNUMBER(F805)=TRUE,"✔",tulkojums!A$43))</f>
        <v/>
      </c>
      <c r="O805" s="2" t="str">
        <f>IF(ISBLANK(C805),"",IF(G805="Y","✔",IF(G805="X","✔",IF(G805="N","✔",tulkojums!A$44))))</f>
        <v/>
      </c>
      <c r="P805" s="2" t="str">
        <f>IF(ISBLANK(H805),"",IF(INDEX(DB_materiali!$E$2:$E$5000,MATCH($C805,DB_materiali!$A$2:$A$5000,0))&gt;=INDEX(DB_malas!$C$2:$C$5000,MATCH(H805,DB_malas!$A$2:$A$5000,0)),IF(INDEX(DB_materiali!$E$2:$E$5000,MATCH($C805,DB_materiali!$A$2:$A$5000,0))&lt;=INDEX(DB_malas!$D$2:$D$5000,MATCH(H805,DB_malas!$A$2:$A$5000,0)),IF(OR(INDEX(DB_materiali!$B$2:$B$5000,MATCH($C805,DB_materiali!$A$2:$A$5000,0))=INDEX(DB_malas!$B$2:$B$5000,MATCH(H805,DB_malas!$A$2:$A$5000,0)),$H805="ORG"),"✔",tulkojums!$A$38),tulkojums!$A$39),tulkojums!$A$39))</f>
        <v/>
      </c>
      <c r="Q805" s="2" t="str">
        <f>IF(ISBLANK(I805),"",IF(INDEX(DB_materiali!$E$2:$E$5000,MATCH($C805,DB_materiali!$A$2:$A$5000,0))&gt;=INDEX(DB_malas!$C$2:$C$5000,MATCH(I805,DB_malas!$A$2:$A$5000,0)),IF(INDEX(DB_materiali!$E$2:$E$5000,MATCH($C805,DB_materiali!$A$2:$A$5000,0))&lt;=INDEX(DB_malas!$D$2:$D$5000,MATCH(I805,DB_malas!$A$2:$A$5000,0)),IF(OR(INDEX(DB_materiali!$B$2:$B$5000,MATCH($C805,DB_materiali!$A$2:$A$5000,0))=INDEX(DB_malas!$B$2:$B$5000,MATCH(I805,DB_malas!$A$2:$A$5000,0)),$H805="ORG"),"✔",tulkojums!$A$38),tulkojums!$A$39),tulkojums!$A$39))</f>
        <v/>
      </c>
      <c r="R805" s="2" t="str">
        <f>IF(ISBLANK(J805),"",IF(INDEX(DB_materiali!$E$2:$E$5000,MATCH($C805,DB_materiali!$A$2:$A$5000,0))&gt;=INDEX(DB_malas!$C$2:$C$5000,MATCH(J805,DB_malas!$A$2:$A$5000,0)),IF(INDEX(DB_materiali!$E$2:$E$5000,MATCH($C805,DB_materiali!$A$2:$A$5000,0))&lt;=INDEX(DB_malas!$D$2:$D$5000,MATCH(J805,DB_malas!$A$2:$A$5000,0)),IF(INDEX(DB_materiali!$B$2:$B$5000,MATCH($C805,DB_materiali!$A$2:$A$5000,0))=INDEX(DB_malas!$B$2:$B$5000,MATCH(J805,DB_malas!$A$2:$A$5000,0)),"✔",tulkojums!$A$38),tulkojums!$A$39),tulkojums!$A$39))</f>
        <v/>
      </c>
      <c r="S805" s="2" t="str">
        <f>IF(ISBLANK(K805),"",IF(INDEX(DB_materiali!$E$2:$E$5000,MATCH($C805,DB_materiali!$A$2:$A$5000,0))&gt;=INDEX(DB_malas!$C$2:$C$5000,MATCH(K805,DB_malas!$A$2:$A$5000,0)),IF(INDEX(DB_materiali!$E$2:$E$5000,MATCH($C805,DB_materiali!$A$2:$A$5000,0))&lt;=INDEX(DB_malas!$D$2:$D$5000,MATCH(K805,DB_malas!$A$2:$A$5000,0)),IF(INDEX(DB_materiali!$B$2:$B$5000,MATCH($C805,DB_materiali!$A$2:$A$5000,0))=INDEX(DB_malas!$B$2:$B$5000,MATCH(K805,DB_malas!$A$2:$A$5000,0)),"✔",tulkojums!$A$38),tulkojums!$A$39),tulkojums!$A$39))</f>
        <v/>
      </c>
      <c r="T805" s="2"/>
      <c r="U805" s="2"/>
      <c r="V805" s="2"/>
      <c r="W805" s="2"/>
      <c r="X805" s="2"/>
      <c r="Y805" s="2"/>
      <c r="Z805" s="2"/>
    </row>
    <row r="806" spans="1:26" ht="15.75" customHeight="1">
      <c r="A806" s="17"/>
      <c r="B806" s="18"/>
      <c r="C806" s="19"/>
      <c r="D806" s="55"/>
      <c r="E806" s="55"/>
      <c r="F806" s="56"/>
      <c r="G806" s="57" t="str">
        <f>IF(ISBLANK(C806),"",
   IFERROR(
      IF(
         INDEX(DB_materiali!C$2:C$5000,
               MATCH(C806, DB_materiali!A$2:A$5000, 0)
         )="FALSE",
         "N",
         "Y"
      ),
   "")
)</f>
        <v/>
      </c>
      <c r="H806" s="20"/>
      <c r="I806" s="20"/>
      <c r="J806" s="20"/>
      <c r="K806" s="20"/>
      <c r="M806" s="2" t="str">
        <f>IF(ISBLANK(C806),"",IF(IFERROR(VLOOKUP(C806,DB_materiali!$A$2:$A$5000,1,FALSE),"Kļūda artikulā")=C806,"✔",tulkojums!A$42))</f>
        <v/>
      </c>
      <c r="N806" s="2" t="str">
        <f>IF(ISBLANK(C806),"",IF(ISNUMBER(F806)=TRUE,"✔",tulkojums!A$43))</f>
        <v/>
      </c>
      <c r="O806" s="2" t="str">
        <f>IF(ISBLANK(C806),"",IF(G806="Y","✔",IF(G806="X","✔",IF(G806="N","✔",tulkojums!A$44))))</f>
        <v/>
      </c>
      <c r="P806" s="2" t="str">
        <f>IF(ISBLANK(H806),"",IF(INDEX(DB_materiali!$E$2:$E$5000,MATCH($C806,DB_materiali!$A$2:$A$5000,0))&gt;=INDEX(DB_malas!$C$2:$C$5000,MATCH(H806,DB_malas!$A$2:$A$5000,0)),IF(INDEX(DB_materiali!$E$2:$E$5000,MATCH($C806,DB_materiali!$A$2:$A$5000,0))&lt;=INDEX(DB_malas!$D$2:$D$5000,MATCH(H806,DB_malas!$A$2:$A$5000,0)),IF(OR(INDEX(DB_materiali!$B$2:$B$5000,MATCH($C806,DB_materiali!$A$2:$A$5000,0))=INDEX(DB_malas!$B$2:$B$5000,MATCH(H806,DB_malas!$A$2:$A$5000,0)),$H806="ORG"),"✔",tulkojums!$A$38),tulkojums!$A$39),tulkojums!$A$39))</f>
        <v/>
      </c>
      <c r="Q806" s="2" t="str">
        <f>IF(ISBLANK(I806),"",IF(INDEX(DB_materiali!$E$2:$E$5000,MATCH($C806,DB_materiali!$A$2:$A$5000,0))&gt;=INDEX(DB_malas!$C$2:$C$5000,MATCH(I806,DB_malas!$A$2:$A$5000,0)),IF(INDEX(DB_materiali!$E$2:$E$5000,MATCH($C806,DB_materiali!$A$2:$A$5000,0))&lt;=INDEX(DB_malas!$D$2:$D$5000,MATCH(I806,DB_malas!$A$2:$A$5000,0)),IF(OR(INDEX(DB_materiali!$B$2:$B$5000,MATCH($C806,DB_materiali!$A$2:$A$5000,0))=INDEX(DB_malas!$B$2:$B$5000,MATCH(I806,DB_malas!$A$2:$A$5000,0)),$H806="ORG"),"✔",tulkojums!$A$38),tulkojums!$A$39),tulkojums!$A$39))</f>
        <v/>
      </c>
      <c r="R806" s="2" t="str">
        <f>IF(ISBLANK(J806),"",IF(INDEX(DB_materiali!$E$2:$E$5000,MATCH($C806,DB_materiali!$A$2:$A$5000,0))&gt;=INDEX(DB_malas!$C$2:$C$5000,MATCH(J806,DB_malas!$A$2:$A$5000,0)),IF(INDEX(DB_materiali!$E$2:$E$5000,MATCH($C806,DB_materiali!$A$2:$A$5000,0))&lt;=INDEX(DB_malas!$D$2:$D$5000,MATCH(J806,DB_malas!$A$2:$A$5000,0)),IF(INDEX(DB_materiali!$B$2:$B$5000,MATCH($C806,DB_materiali!$A$2:$A$5000,0))=INDEX(DB_malas!$B$2:$B$5000,MATCH(J806,DB_malas!$A$2:$A$5000,0)),"✔",tulkojums!$A$38),tulkojums!$A$39),tulkojums!$A$39))</f>
        <v/>
      </c>
      <c r="S806" s="2" t="str">
        <f>IF(ISBLANK(K806),"",IF(INDEX(DB_materiali!$E$2:$E$5000,MATCH($C806,DB_materiali!$A$2:$A$5000,0))&gt;=INDEX(DB_malas!$C$2:$C$5000,MATCH(K806,DB_malas!$A$2:$A$5000,0)),IF(INDEX(DB_materiali!$E$2:$E$5000,MATCH($C806,DB_materiali!$A$2:$A$5000,0))&lt;=INDEX(DB_malas!$D$2:$D$5000,MATCH(K806,DB_malas!$A$2:$A$5000,0)),IF(INDEX(DB_materiali!$B$2:$B$5000,MATCH($C806,DB_materiali!$A$2:$A$5000,0))=INDEX(DB_malas!$B$2:$B$5000,MATCH(K806,DB_malas!$A$2:$A$5000,0)),"✔",tulkojums!$A$38),tulkojums!$A$39),tulkojums!$A$39))</f>
        <v/>
      </c>
      <c r="T806" s="2"/>
      <c r="U806" s="2"/>
      <c r="V806" s="2"/>
      <c r="W806" s="2"/>
      <c r="X806" s="2"/>
      <c r="Y806" s="2"/>
      <c r="Z806" s="2"/>
    </row>
    <row r="807" spans="1:26" ht="15.75" customHeight="1">
      <c r="A807" s="17"/>
      <c r="B807" s="18"/>
      <c r="C807" s="19"/>
      <c r="D807" s="55"/>
      <c r="E807" s="55"/>
      <c r="F807" s="56"/>
      <c r="G807" s="57" t="str">
        <f>IF(ISBLANK(C807),"",
   IFERROR(
      IF(
         INDEX(DB_materiali!C$2:C$5000,
               MATCH(C807, DB_materiali!A$2:A$5000, 0)
         )="FALSE",
         "N",
         "Y"
      ),
   "")
)</f>
        <v/>
      </c>
      <c r="H807" s="20"/>
      <c r="I807" s="20"/>
      <c r="J807" s="20"/>
      <c r="K807" s="20"/>
      <c r="M807" s="2" t="str">
        <f>IF(ISBLANK(C807),"",IF(IFERROR(VLOOKUP(C807,DB_materiali!$A$2:$A$5000,1,FALSE),"Kļūda artikulā")=C807,"✔",tulkojums!A$42))</f>
        <v/>
      </c>
      <c r="N807" s="2" t="str">
        <f>IF(ISBLANK(C807),"",IF(ISNUMBER(F807)=TRUE,"✔",tulkojums!A$43))</f>
        <v/>
      </c>
      <c r="O807" s="2" t="str">
        <f>IF(ISBLANK(C807),"",IF(G807="Y","✔",IF(G807="X","✔",IF(G807="N","✔",tulkojums!A$44))))</f>
        <v/>
      </c>
      <c r="P807" s="2" t="str">
        <f>IF(ISBLANK(H807),"",IF(INDEX(DB_materiali!$E$2:$E$5000,MATCH($C807,DB_materiali!$A$2:$A$5000,0))&gt;=INDEX(DB_malas!$C$2:$C$5000,MATCH(H807,DB_malas!$A$2:$A$5000,0)),IF(INDEX(DB_materiali!$E$2:$E$5000,MATCH($C807,DB_materiali!$A$2:$A$5000,0))&lt;=INDEX(DB_malas!$D$2:$D$5000,MATCH(H807,DB_malas!$A$2:$A$5000,0)),IF(OR(INDEX(DB_materiali!$B$2:$B$5000,MATCH($C807,DB_materiali!$A$2:$A$5000,0))=INDEX(DB_malas!$B$2:$B$5000,MATCH(H807,DB_malas!$A$2:$A$5000,0)),$H807="ORG"),"✔",tulkojums!$A$38),tulkojums!$A$39),tulkojums!$A$39))</f>
        <v/>
      </c>
      <c r="Q807" s="2" t="str">
        <f>IF(ISBLANK(I807),"",IF(INDEX(DB_materiali!$E$2:$E$5000,MATCH($C807,DB_materiali!$A$2:$A$5000,0))&gt;=INDEX(DB_malas!$C$2:$C$5000,MATCH(I807,DB_malas!$A$2:$A$5000,0)),IF(INDEX(DB_materiali!$E$2:$E$5000,MATCH($C807,DB_materiali!$A$2:$A$5000,0))&lt;=INDEX(DB_malas!$D$2:$D$5000,MATCH(I807,DB_malas!$A$2:$A$5000,0)),IF(OR(INDEX(DB_materiali!$B$2:$B$5000,MATCH($C807,DB_materiali!$A$2:$A$5000,0))=INDEX(DB_malas!$B$2:$B$5000,MATCH(I807,DB_malas!$A$2:$A$5000,0)),$H807="ORG"),"✔",tulkojums!$A$38),tulkojums!$A$39),tulkojums!$A$39))</f>
        <v/>
      </c>
      <c r="R807" s="2" t="str">
        <f>IF(ISBLANK(J807),"",IF(INDEX(DB_materiali!$E$2:$E$5000,MATCH($C807,DB_materiali!$A$2:$A$5000,0))&gt;=INDEX(DB_malas!$C$2:$C$5000,MATCH(J807,DB_malas!$A$2:$A$5000,0)),IF(INDEX(DB_materiali!$E$2:$E$5000,MATCH($C807,DB_materiali!$A$2:$A$5000,0))&lt;=INDEX(DB_malas!$D$2:$D$5000,MATCH(J807,DB_malas!$A$2:$A$5000,0)),IF(INDEX(DB_materiali!$B$2:$B$5000,MATCH($C807,DB_materiali!$A$2:$A$5000,0))=INDEX(DB_malas!$B$2:$B$5000,MATCH(J807,DB_malas!$A$2:$A$5000,0)),"✔",tulkojums!$A$38),tulkojums!$A$39),tulkojums!$A$39))</f>
        <v/>
      </c>
      <c r="S807" s="2" t="str">
        <f>IF(ISBLANK(K807),"",IF(INDEX(DB_materiali!$E$2:$E$5000,MATCH($C807,DB_materiali!$A$2:$A$5000,0))&gt;=INDEX(DB_malas!$C$2:$C$5000,MATCH(K807,DB_malas!$A$2:$A$5000,0)),IF(INDEX(DB_materiali!$E$2:$E$5000,MATCH($C807,DB_materiali!$A$2:$A$5000,0))&lt;=INDEX(DB_malas!$D$2:$D$5000,MATCH(K807,DB_malas!$A$2:$A$5000,0)),IF(INDEX(DB_materiali!$B$2:$B$5000,MATCH($C807,DB_materiali!$A$2:$A$5000,0))=INDEX(DB_malas!$B$2:$B$5000,MATCH(K807,DB_malas!$A$2:$A$5000,0)),"✔",tulkojums!$A$38),tulkojums!$A$39),tulkojums!$A$39))</f>
        <v/>
      </c>
      <c r="T807" s="2"/>
      <c r="U807" s="2"/>
      <c r="V807" s="2"/>
      <c r="W807" s="2"/>
      <c r="X807" s="2"/>
      <c r="Y807" s="2"/>
      <c r="Z807" s="2"/>
    </row>
    <row r="808" spans="1:26" ht="15.75" customHeight="1">
      <c r="A808" s="17"/>
      <c r="B808" s="18"/>
      <c r="C808" s="19"/>
      <c r="D808" s="55"/>
      <c r="E808" s="55"/>
      <c r="F808" s="56"/>
      <c r="G808" s="57" t="str">
        <f>IF(ISBLANK(C808),"",
   IFERROR(
      IF(
         INDEX(DB_materiali!C$2:C$5000,
               MATCH(C808, DB_materiali!A$2:A$5000, 0)
         )="FALSE",
         "N",
         "Y"
      ),
   "")
)</f>
        <v/>
      </c>
      <c r="H808" s="20"/>
      <c r="I808" s="20"/>
      <c r="J808" s="20"/>
      <c r="K808" s="20"/>
      <c r="M808" s="2" t="str">
        <f>IF(ISBLANK(C808),"",IF(IFERROR(VLOOKUP(C808,DB_materiali!$A$2:$A$5000,1,FALSE),"Kļūda artikulā")=C808,"✔",tulkojums!A$42))</f>
        <v/>
      </c>
      <c r="N808" s="2" t="str">
        <f>IF(ISBLANK(C808),"",IF(ISNUMBER(F808)=TRUE,"✔",tulkojums!A$43))</f>
        <v/>
      </c>
      <c r="O808" s="2" t="str">
        <f>IF(ISBLANK(C808),"",IF(G808="Y","✔",IF(G808="X","✔",IF(G808="N","✔",tulkojums!A$44))))</f>
        <v/>
      </c>
      <c r="P808" s="2" t="str">
        <f>IF(ISBLANK(H808),"",IF(INDEX(DB_materiali!$E$2:$E$5000,MATCH($C808,DB_materiali!$A$2:$A$5000,0))&gt;=INDEX(DB_malas!$C$2:$C$5000,MATCH(H808,DB_malas!$A$2:$A$5000,0)),IF(INDEX(DB_materiali!$E$2:$E$5000,MATCH($C808,DB_materiali!$A$2:$A$5000,0))&lt;=INDEX(DB_malas!$D$2:$D$5000,MATCH(H808,DB_malas!$A$2:$A$5000,0)),IF(OR(INDEX(DB_materiali!$B$2:$B$5000,MATCH($C808,DB_materiali!$A$2:$A$5000,0))=INDEX(DB_malas!$B$2:$B$5000,MATCH(H808,DB_malas!$A$2:$A$5000,0)),$H808="ORG"),"✔",tulkojums!$A$38),tulkojums!$A$39),tulkojums!$A$39))</f>
        <v/>
      </c>
      <c r="Q808" s="2" t="str">
        <f>IF(ISBLANK(I808),"",IF(INDEX(DB_materiali!$E$2:$E$5000,MATCH($C808,DB_materiali!$A$2:$A$5000,0))&gt;=INDEX(DB_malas!$C$2:$C$5000,MATCH(I808,DB_malas!$A$2:$A$5000,0)),IF(INDEX(DB_materiali!$E$2:$E$5000,MATCH($C808,DB_materiali!$A$2:$A$5000,0))&lt;=INDEX(DB_malas!$D$2:$D$5000,MATCH(I808,DB_malas!$A$2:$A$5000,0)),IF(OR(INDEX(DB_materiali!$B$2:$B$5000,MATCH($C808,DB_materiali!$A$2:$A$5000,0))=INDEX(DB_malas!$B$2:$B$5000,MATCH(I808,DB_malas!$A$2:$A$5000,0)),$H808="ORG"),"✔",tulkojums!$A$38),tulkojums!$A$39),tulkojums!$A$39))</f>
        <v/>
      </c>
      <c r="R808" s="2" t="str">
        <f>IF(ISBLANK(J808),"",IF(INDEX(DB_materiali!$E$2:$E$5000,MATCH($C808,DB_materiali!$A$2:$A$5000,0))&gt;=INDEX(DB_malas!$C$2:$C$5000,MATCH(J808,DB_malas!$A$2:$A$5000,0)),IF(INDEX(DB_materiali!$E$2:$E$5000,MATCH($C808,DB_materiali!$A$2:$A$5000,0))&lt;=INDEX(DB_malas!$D$2:$D$5000,MATCH(J808,DB_malas!$A$2:$A$5000,0)),IF(INDEX(DB_materiali!$B$2:$B$5000,MATCH($C808,DB_materiali!$A$2:$A$5000,0))=INDEX(DB_malas!$B$2:$B$5000,MATCH(J808,DB_malas!$A$2:$A$5000,0)),"✔",tulkojums!$A$38),tulkojums!$A$39),tulkojums!$A$39))</f>
        <v/>
      </c>
      <c r="S808" s="2" t="str">
        <f>IF(ISBLANK(K808),"",IF(INDEX(DB_materiali!$E$2:$E$5000,MATCH($C808,DB_materiali!$A$2:$A$5000,0))&gt;=INDEX(DB_malas!$C$2:$C$5000,MATCH(K808,DB_malas!$A$2:$A$5000,0)),IF(INDEX(DB_materiali!$E$2:$E$5000,MATCH($C808,DB_materiali!$A$2:$A$5000,0))&lt;=INDEX(DB_malas!$D$2:$D$5000,MATCH(K808,DB_malas!$A$2:$A$5000,0)),IF(INDEX(DB_materiali!$B$2:$B$5000,MATCH($C808,DB_materiali!$A$2:$A$5000,0))=INDEX(DB_malas!$B$2:$B$5000,MATCH(K808,DB_malas!$A$2:$A$5000,0)),"✔",tulkojums!$A$38),tulkojums!$A$39),tulkojums!$A$39))</f>
        <v/>
      </c>
      <c r="T808" s="2"/>
      <c r="U808" s="2"/>
      <c r="V808" s="2"/>
      <c r="W808" s="2"/>
      <c r="X808" s="2"/>
      <c r="Y808" s="2"/>
      <c r="Z808" s="2"/>
    </row>
    <row r="809" spans="1:26" ht="15.75" customHeight="1">
      <c r="A809" s="17"/>
      <c r="B809" s="18"/>
      <c r="C809" s="19"/>
      <c r="D809" s="55"/>
      <c r="E809" s="55"/>
      <c r="F809" s="56"/>
      <c r="G809" s="57" t="str">
        <f>IF(ISBLANK(C809),"",
   IFERROR(
      IF(
         INDEX(DB_materiali!C$2:C$5000,
               MATCH(C809, DB_materiali!A$2:A$5000, 0)
         )="FALSE",
         "N",
         "Y"
      ),
   "")
)</f>
        <v/>
      </c>
      <c r="H809" s="20"/>
      <c r="I809" s="20"/>
      <c r="J809" s="20"/>
      <c r="K809" s="20"/>
      <c r="M809" s="2" t="str">
        <f>IF(ISBLANK(C809),"",IF(IFERROR(VLOOKUP(C809,DB_materiali!$A$2:$A$5000,1,FALSE),"Kļūda artikulā")=C809,"✔",tulkojums!A$42))</f>
        <v/>
      </c>
      <c r="N809" s="2" t="str">
        <f>IF(ISBLANK(C809),"",IF(ISNUMBER(F809)=TRUE,"✔",tulkojums!A$43))</f>
        <v/>
      </c>
      <c r="O809" s="2" t="str">
        <f>IF(ISBLANK(C809),"",IF(G809="Y","✔",IF(G809="X","✔",IF(G809="N","✔",tulkojums!A$44))))</f>
        <v/>
      </c>
      <c r="P809" s="2" t="str">
        <f>IF(ISBLANK(H809),"",IF(INDEX(DB_materiali!$E$2:$E$5000,MATCH($C809,DB_materiali!$A$2:$A$5000,0))&gt;=INDEX(DB_malas!$C$2:$C$5000,MATCH(H809,DB_malas!$A$2:$A$5000,0)),IF(INDEX(DB_materiali!$E$2:$E$5000,MATCH($C809,DB_materiali!$A$2:$A$5000,0))&lt;=INDEX(DB_malas!$D$2:$D$5000,MATCH(H809,DB_malas!$A$2:$A$5000,0)),IF(OR(INDEX(DB_materiali!$B$2:$B$5000,MATCH($C809,DB_materiali!$A$2:$A$5000,0))=INDEX(DB_malas!$B$2:$B$5000,MATCH(H809,DB_malas!$A$2:$A$5000,0)),$H809="ORG"),"✔",tulkojums!$A$38),tulkojums!$A$39),tulkojums!$A$39))</f>
        <v/>
      </c>
      <c r="Q809" s="2" t="str">
        <f>IF(ISBLANK(I809),"",IF(INDEX(DB_materiali!$E$2:$E$5000,MATCH($C809,DB_materiali!$A$2:$A$5000,0))&gt;=INDEX(DB_malas!$C$2:$C$5000,MATCH(I809,DB_malas!$A$2:$A$5000,0)),IF(INDEX(DB_materiali!$E$2:$E$5000,MATCH($C809,DB_materiali!$A$2:$A$5000,0))&lt;=INDEX(DB_malas!$D$2:$D$5000,MATCH(I809,DB_malas!$A$2:$A$5000,0)),IF(OR(INDEX(DB_materiali!$B$2:$B$5000,MATCH($C809,DB_materiali!$A$2:$A$5000,0))=INDEX(DB_malas!$B$2:$B$5000,MATCH(I809,DB_malas!$A$2:$A$5000,0)),$H809="ORG"),"✔",tulkojums!$A$38),tulkojums!$A$39),tulkojums!$A$39))</f>
        <v/>
      </c>
      <c r="R809" s="2" t="str">
        <f>IF(ISBLANK(J809),"",IF(INDEX(DB_materiali!$E$2:$E$5000,MATCH($C809,DB_materiali!$A$2:$A$5000,0))&gt;=INDEX(DB_malas!$C$2:$C$5000,MATCH(J809,DB_malas!$A$2:$A$5000,0)),IF(INDEX(DB_materiali!$E$2:$E$5000,MATCH($C809,DB_materiali!$A$2:$A$5000,0))&lt;=INDEX(DB_malas!$D$2:$D$5000,MATCH(J809,DB_malas!$A$2:$A$5000,0)),IF(INDEX(DB_materiali!$B$2:$B$5000,MATCH($C809,DB_materiali!$A$2:$A$5000,0))=INDEX(DB_malas!$B$2:$B$5000,MATCH(J809,DB_malas!$A$2:$A$5000,0)),"✔",tulkojums!$A$38),tulkojums!$A$39),tulkojums!$A$39))</f>
        <v/>
      </c>
      <c r="S809" s="2" t="str">
        <f>IF(ISBLANK(K809),"",IF(INDEX(DB_materiali!$E$2:$E$5000,MATCH($C809,DB_materiali!$A$2:$A$5000,0))&gt;=INDEX(DB_malas!$C$2:$C$5000,MATCH(K809,DB_malas!$A$2:$A$5000,0)),IF(INDEX(DB_materiali!$E$2:$E$5000,MATCH($C809,DB_materiali!$A$2:$A$5000,0))&lt;=INDEX(DB_malas!$D$2:$D$5000,MATCH(K809,DB_malas!$A$2:$A$5000,0)),IF(INDEX(DB_materiali!$B$2:$B$5000,MATCH($C809,DB_materiali!$A$2:$A$5000,0))=INDEX(DB_malas!$B$2:$B$5000,MATCH(K809,DB_malas!$A$2:$A$5000,0)),"✔",tulkojums!$A$38),tulkojums!$A$39),tulkojums!$A$39))</f>
        <v/>
      </c>
      <c r="T809" s="2"/>
      <c r="U809" s="2"/>
      <c r="V809" s="2"/>
      <c r="W809" s="2"/>
      <c r="X809" s="2"/>
      <c r="Y809" s="2"/>
      <c r="Z809" s="2"/>
    </row>
    <row r="810" spans="1:26" ht="15.75" customHeight="1">
      <c r="A810" s="17"/>
      <c r="B810" s="18"/>
      <c r="C810" s="19"/>
      <c r="D810" s="55"/>
      <c r="E810" s="55"/>
      <c r="F810" s="56"/>
      <c r="G810" s="57" t="str">
        <f>IF(ISBLANK(C810),"",
   IFERROR(
      IF(
         INDEX(DB_materiali!C$2:C$5000,
               MATCH(C810, DB_materiali!A$2:A$5000, 0)
         )="FALSE",
         "N",
         "Y"
      ),
   "")
)</f>
        <v/>
      </c>
      <c r="H810" s="20"/>
      <c r="I810" s="20"/>
      <c r="J810" s="20"/>
      <c r="K810" s="20"/>
      <c r="M810" s="2" t="str">
        <f>IF(ISBLANK(C810),"",IF(IFERROR(VLOOKUP(C810,DB_materiali!$A$2:$A$5000,1,FALSE),"Kļūda artikulā")=C810,"✔",tulkojums!A$42))</f>
        <v/>
      </c>
      <c r="N810" s="2" t="str">
        <f>IF(ISBLANK(C810),"",IF(ISNUMBER(F810)=TRUE,"✔",tulkojums!A$43))</f>
        <v/>
      </c>
      <c r="O810" s="2" t="str">
        <f>IF(ISBLANK(C810),"",IF(G810="Y","✔",IF(G810="X","✔",IF(G810="N","✔",tulkojums!A$44))))</f>
        <v/>
      </c>
      <c r="P810" s="2" t="str">
        <f>IF(ISBLANK(H810),"",IF(INDEX(DB_materiali!$E$2:$E$5000,MATCH($C810,DB_materiali!$A$2:$A$5000,0))&gt;=INDEX(DB_malas!$C$2:$C$5000,MATCH(H810,DB_malas!$A$2:$A$5000,0)),IF(INDEX(DB_materiali!$E$2:$E$5000,MATCH($C810,DB_materiali!$A$2:$A$5000,0))&lt;=INDEX(DB_malas!$D$2:$D$5000,MATCH(H810,DB_malas!$A$2:$A$5000,0)),IF(OR(INDEX(DB_materiali!$B$2:$B$5000,MATCH($C810,DB_materiali!$A$2:$A$5000,0))=INDEX(DB_malas!$B$2:$B$5000,MATCH(H810,DB_malas!$A$2:$A$5000,0)),$H810="ORG"),"✔",tulkojums!$A$38),tulkojums!$A$39),tulkojums!$A$39))</f>
        <v/>
      </c>
      <c r="Q810" s="2" t="str">
        <f>IF(ISBLANK(I810),"",IF(INDEX(DB_materiali!$E$2:$E$5000,MATCH($C810,DB_materiali!$A$2:$A$5000,0))&gt;=INDEX(DB_malas!$C$2:$C$5000,MATCH(I810,DB_malas!$A$2:$A$5000,0)),IF(INDEX(DB_materiali!$E$2:$E$5000,MATCH($C810,DB_materiali!$A$2:$A$5000,0))&lt;=INDEX(DB_malas!$D$2:$D$5000,MATCH(I810,DB_malas!$A$2:$A$5000,0)),IF(OR(INDEX(DB_materiali!$B$2:$B$5000,MATCH($C810,DB_materiali!$A$2:$A$5000,0))=INDEX(DB_malas!$B$2:$B$5000,MATCH(I810,DB_malas!$A$2:$A$5000,0)),$H810="ORG"),"✔",tulkojums!$A$38),tulkojums!$A$39),tulkojums!$A$39))</f>
        <v/>
      </c>
      <c r="R810" s="2" t="str">
        <f>IF(ISBLANK(J810),"",IF(INDEX(DB_materiali!$E$2:$E$5000,MATCH($C810,DB_materiali!$A$2:$A$5000,0))&gt;=INDEX(DB_malas!$C$2:$C$5000,MATCH(J810,DB_malas!$A$2:$A$5000,0)),IF(INDEX(DB_materiali!$E$2:$E$5000,MATCH($C810,DB_materiali!$A$2:$A$5000,0))&lt;=INDEX(DB_malas!$D$2:$D$5000,MATCH(J810,DB_malas!$A$2:$A$5000,0)),IF(INDEX(DB_materiali!$B$2:$B$5000,MATCH($C810,DB_materiali!$A$2:$A$5000,0))=INDEX(DB_malas!$B$2:$B$5000,MATCH(J810,DB_malas!$A$2:$A$5000,0)),"✔",tulkojums!$A$38),tulkojums!$A$39),tulkojums!$A$39))</f>
        <v/>
      </c>
      <c r="S810" s="2" t="str">
        <f>IF(ISBLANK(K810),"",IF(INDEX(DB_materiali!$E$2:$E$5000,MATCH($C810,DB_materiali!$A$2:$A$5000,0))&gt;=INDEX(DB_malas!$C$2:$C$5000,MATCH(K810,DB_malas!$A$2:$A$5000,0)),IF(INDEX(DB_materiali!$E$2:$E$5000,MATCH($C810,DB_materiali!$A$2:$A$5000,0))&lt;=INDEX(DB_malas!$D$2:$D$5000,MATCH(K810,DB_malas!$A$2:$A$5000,0)),IF(INDEX(DB_materiali!$B$2:$B$5000,MATCH($C810,DB_materiali!$A$2:$A$5000,0))=INDEX(DB_malas!$B$2:$B$5000,MATCH(K810,DB_malas!$A$2:$A$5000,0)),"✔",tulkojums!$A$38),tulkojums!$A$39),tulkojums!$A$39))</f>
        <v/>
      </c>
      <c r="T810" s="2"/>
      <c r="U810" s="2"/>
      <c r="V810" s="2"/>
      <c r="W810" s="2"/>
      <c r="X810" s="2"/>
      <c r="Y810" s="2"/>
      <c r="Z810" s="2"/>
    </row>
    <row r="811" spans="1:26" ht="15.75" customHeight="1">
      <c r="A811" s="17"/>
      <c r="B811" s="18"/>
      <c r="C811" s="19"/>
      <c r="D811" s="55"/>
      <c r="E811" s="55"/>
      <c r="F811" s="56"/>
      <c r="G811" s="57" t="str">
        <f>IF(ISBLANK(C811),"",
   IFERROR(
      IF(
         INDEX(DB_materiali!C$2:C$5000,
               MATCH(C811, DB_materiali!A$2:A$5000, 0)
         )="FALSE",
         "N",
         "Y"
      ),
   "")
)</f>
        <v/>
      </c>
      <c r="H811" s="20"/>
      <c r="I811" s="20"/>
      <c r="J811" s="20"/>
      <c r="K811" s="20"/>
      <c r="M811" s="2" t="str">
        <f>IF(ISBLANK(C811),"",IF(IFERROR(VLOOKUP(C811,DB_materiali!$A$2:$A$5000,1,FALSE),"Kļūda artikulā")=C811,"✔",tulkojums!A$42))</f>
        <v/>
      </c>
      <c r="N811" s="2" t="str">
        <f>IF(ISBLANK(C811),"",IF(ISNUMBER(F811)=TRUE,"✔",tulkojums!A$43))</f>
        <v/>
      </c>
      <c r="O811" s="2" t="str">
        <f>IF(ISBLANK(C811),"",IF(G811="Y","✔",IF(G811="X","✔",IF(G811="N","✔",tulkojums!A$44))))</f>
        <v/>
      </c>
      <c r="P811" s="2" t="str">
        <f>IF(ISBLANK(H811),"",IF(INDEX(DB_materiali!$E$2:$E$5000,MATCH($C811,DB_materiali!$A$2:$A$5000,0))&gt;=INDEX(DB_malas!$C$2:$C$5000,MATCH(H811,DB_malas!$A$2:$A$5000,0)),IF(INDEX(DB_materiali!$E$2:$E$5000,MATCH($C811,DB_materiali!$A$2:$A$5000,0))&lt;=INDEX(DB_malas!$D$2:$D$5000,MATCH(H811,DB_malas!$A$2:$A$5000,0)),IF(OR(INDEX(DB_materiali!$B$2:$B$5000,MATCH($C811,DB_materiali!$A$2:$A$5000,0))=INDEX(DB_malas!$B$2:$B$5000,MATCH(H811,DB_malas!$A$2:$A$5000,0)),$H811="ORG"),"✔",tulkojums!$A$38),tulkojums!$A$39),tulkojums!$A$39))</f>
        <v/>
      </c>
      <c r="Q811" s="2" t="str">
        <f>IF(ISBLANK(I811),"",IF(INDEX(DB_materiali!$E$2:$E$5000,MATCH($C811,DB_materiali!$A$2:$A$5000,0))&gt;=INDEX(DB_malas!$C$2:$C$5000,MATCH(I811,DB_malas!$A$2:$A$5000,0)),IF(INDEX(DB_materiali!$E$2:$E$5000,MATCH($C811,DB_materiali!$A$2:$A$5000,0))&lt;=INDEX(DB_malas!$D$2:$D$5000,MATCH(I811,DB_malas!$A$2:$A$5000,0)),IF(OR(INDEX(DB_materiali!$B$2:$B$5000,MATCH($C811,DB_materiali!$A$2:$A$5000,0))=INDEX(DB_malas!$B$2:$B$5000,MATCH(I811,DB_malas!$A$2:$A$5000,0)),$H811="ORG"),"✔",tulkojums!$A$38),tulkojums!$A$39),tulkojums!$A$39))</f>
        <v/>
      </c>
      <c r="R811" s="2" t="str">
        <f>IF(ISBLANK(J811),"",IF(INDEX(DB_materiali!$E$2:$E$5000,MATCH($C811,DB_materiali!$A$2:$A$5000,0))&gt;=INDEX(DB_malas!$C$2:$C$5000,MATCH(J811,DB_malas!$A$2:$A$5000,0)),IF(INDEX(DB_materiali!$E$2:$E$5000,MATCH($C811,DB_materiali!$A$2:$A$5000,0))&lt;=INDEX(DB_malas!$D$2:$D$5000,MATCH(J811,DB_malas!$A$2:$A$5000,0)),IF(INDEX(DB_materiali!$B$2:$B$5000,MATCH($C811,DB_materiali!$A$2:$A$5000,0))=INDEX(DB_malas!$B$2:$B$5000,MATCH(J811,DB_malas!$A$2:$A$5000,0)),"✔",tulkojums!$A$38),tulkojums!$A$39),tulkojums!$A$39))</f>
        <v/>
      </c>
      <c r="S811" s="2" t="str">
        <f>IF(ISBLANK(K811),"",IF(INDEX(DB_materiali!$E$2:$E$5000,MATCH($C811,DB_materiali!$A$2:$A$5000,0))&gt;=INDEX(DB_malas!$C$2:$C$5000,MATCH(K811,DB_malas!$A$2:$A$5000,0)),IF(INDEX(DB_materiali!$E$2:$E$5000,MATCH($C811,DB_materiali!$A$2:$A$5000,0))&lt;=INDEX(DB_malas!$D$2:$D$5000,MATCH(K811,DB_malas!$A$2:$A$5000,0)),IF(INDEX(DB_materiali!$B$2:$B$5000,MATCH($C811,DB_materiali!$A$2:$A$5000,0))=INDEX(DB_malas!$B$2:$B$5000,MATCH(K811,DB_malas!$A$2:$A$5000,0)),"✔",tulkojums!$A$38),tulkojums!$A$39),tulkojums!$A$39))</f>
        <v/>
      </c>
      <c r="T811" s="2"/>
      <c r="U811" s="2"/>
      <c r="V811" s="2"/>
      <c r="W811" s="2"/>
      <c r="X811" s="2"/>
      <c r="Y811" s="2"/>
      <c r="Z811" s="2"/>
    </row>
    <row r="812" spans="1:26" ht="15.75" customHeight="1">
      <c r="A812" s="17"/>
      <c r="B812" s="18"/>
      <c r="C812" s="19"/>
      <c r="D812" s="55"/>
      <c r="E812" s="55"/>
      <c r="F812" s="56"/>
      <c r="G812" s="57" t="str">
        <f>IF(ISBLANK(C812),"",
   IFERROR(
      IF(
         INDEX(DB_materiali!C$2:C$5000,
               MATCH(C812, DB_materiali!A$2:A$5000, 0)
         )="FALSE",
         "N",
         "Y"
      ),
   "")
)</f>
        <v/>
      </c>
      <c r="H812" s="20"/>
      <c r="I812" s="20"/>
      <c r="J812" s="20"/>
      <c r="K812" s="20"/>
      <c r="M812" s="2" t="str">
        <f>IF(ISBLANK(C812),"",IF(IFERROR(VLOOKUP(C812,DB_materiali!$A$2:$A$5000,1,FALSE),"Kļūda artikulā")=C812,"✔",tulkojums!A$42))</f>
        <v/>
      </c>
      <c r="N812" s="2" t="str">
        <f>IF(ISBLANK(C812),"",IF(ISNUMBER(F812)=TRUE,"✔",tulkojums!A$43))</f>
        <v/>
      </c>
      <c r="O812" s="2" t="str">
        <f>IF(ISBLANK(C812),"",IF(G812="Y","✔",IF(G812="X","✔",IF(G812="N","✔",tulkojums!A$44))))</f>
        <v/>
      </c>
      <c r="P812" s="2" t="str">
        <f>IF(ISBLANK(H812),"",IF(INDEX(DB_materiali!$E$2:$E$5000,MATCH($C812,DB_materiali!$A$2:$A$5000,0))&gt;=INDEX(DB_malas!$C$2:$C$5000,MATCH(H812,DB_malas!$A$2:$A$5000,0)),IF(INDEX(DB_materiali!$E$2:$E$5000,MATCH($C812,DB_materiali!$A$2:$A$5000,0))&lt;=INDEX(DB_malas!$D$2:$D$5000,MATCH(H812,DB_malas!$A$2:$A$5000,0)),IF(OR(INDEX(DB_materiali!$B$2:$B$5000,MATCH($C812,DB_materiali!$A$2:$A$5000,0))=INDEX(DB_malas!$B$2:$B$5000,MATCH(H812,DB_malas!$A$2:$A$5000,0)),$H812="ORG"),"✔",tulkojums!$A$38),tulkojums!$A$39),tulkojums!$A$39))</f>
        <v/>
      </c>
      <c r="Q812" s="2" t="str">
        <f>IF(ISBLANK(I812),"",IF(INDEX(DB_materiali!$E$2:$E$5000,MATCH($C812,DB_materiali!$A$2:$A$5000,0))&gt;=INDEX(DB_malas!$C$2:$C$5000,MATCH(I812,DB_malas!$A$2:$A$5000,0)),IF(INDEX(DB_materiali!$E$2:$E$5000,MATCH($C812,DB_materiali!$A$2:$A$5000,0))&lt;=INDEX(DB_malas!$D$2:$D$5000,MATCH(I812,DB_malas!$A$2:$A$5000,0)),IF(OR(INDEX(DB_materiali!$B$2:$B$5000,MATCH($C812,DB_materiali!$A$2:$A$5000,0))=INDEX(DB_malas!$B$2:$B$5000,MATCH(I812,DB_malas!$A$2:$A$5000,0)),$H812="ORG"),"✔",tulkojums!$A$38),tulkojums!$A$39),tulkojums!$A$39))</f>
        <v/>
      </c>
      <c r="R812" s="2" t="str">
        <f>IF(ISBLANK(J812),"",IF(INDEX(DB_materiali!$E$2:$E$5000,MATCH($C812,DB_materiali!$A$2:$A$5000,0))&gt;=INDEX(DB_malas!$C$2:$C$5000,MATCH(J812,DB_malas!$A$2:$A$5000,0)),IF(INDEX(DB_materiali!$E$2:$E$5000,MATCH($C812,DB_materiali!$A$2:$A$5000,0))&lt;=INDEX(DB_malas!$D$2:$D$5000,MATCH(J812,DB_malas!$A$2:$A$5000,0)),IF(INDEX(DB_materiali!$B$2:$B$5000,MATCH($C812,DB_materiali!$A$2:$A$5000,0))=INDEX(DB_malas!$B$2:$B$5000,MATCH(J812,DB_malas!$A$2:$A$5000,0)),"✔",tulkojums!$A$38),tulkojums!$A$39),tulkojums!$A$39))</f>
        <v/>
      </c>
      <c r="S812" s="2" t="str">
        <f>IF(ISBLANK(K812),"",IF(INDEX(DB_materiali!$E$2:$E$5000,MATCH($C812,DB_materiali!$A$2:$A$5000,0))&gt;=INDEX(DB_malas!$C$2:$C$5000,MATCH(K812,DB_malas!$A$2:$A$5000,0)),IF(INDEX(DB_materiali!$E$2:$E$5000,MATCH($C812,DB_materiali!$A$2:$A$5000,0))&lt;=INDEX(DB_malas!$D$2:$D$5000,MATCH(K812,DB_malas!$A$2:$A$5000,0)),IF(INDEX(DB_materiali!$B$2:$B$5000,MATCH($C812,DB_materiali!$A$2:$A$5000,0))=INDEX(DB_malas!$B$2:$B$5000,MATCH(K812,DB_malas!$A$2:$A$5000,0)),"✔",tulkojums!$A$38),tulkojums!$A$39),tulkojums!$A$39))</f>
        <v/>
      </c>
      <c r="T812" s="2"/>
      <c r="U812" s="2"/>
      <c r="V812" s="2"/>
      <c r="W812" s="2"/>
      <c r="X812" s="2"/>
      <c r="Y812" s="2"/>
      <c r="Z812" s="2"/>
    </row>
    <row r="813" spans="1:26" ht="15.75" customHeight="1">
      <c r="A813" s="17"/>
      <c r="B813" s="18"/>
      <c r="C813" s="19"/>
      <c r="D813" s="55"/>
      <c r="E813" s="55"/>
      <c r="F813" s="56"/>
      <c r="G813" s="57" t="str">
        <f>IF(ISBLANK(C813),"",
   IFERROR(
      IF(
         INDEX(DB_materiali!C$2:C$5000,
               MATCH(C813, DB_materiali!A$2:A$5000, 0)
         )="FALSE",
         "N",
         "Y"
      ),
   "")
)</f>
        <v/>
      </c>
      <c r="H813" s="20"/>
      <c r="I813" s="20"/>
      <c r="J813" s="20"/>
      <c r="K813" s="20"/>
      <c r="M813" s="2" t="str">
        <f>IF(ISBLANK(C813),"",IF(IFERROR(VLOOKUP(C813,DB_materiali!$A$2:$A$5000,1,FALSE),"Kļūda artikulā")=C813,"✔",tulkojums!A$42))</f>
        <v/>
      </c>
      <c r="N813" s="2" t="str">
        <f>IF(ISBLANK(C813),"",IF(ISNUMBER(F813)=TRUE,"✔",tulkojums!A$43))</f>
        <v/>
      </c>
      <c r="O813" s="2" t="str">
        <f>IF(ISBLANK(C813),"",IF(G813="Y","✔",IF(G813="X","✔",IF(G813="N","✔",tulkojums!A$44))))</f>
        <v/>
      </c>
      <c r="P813" s="2" t="str">
        <f>IF(ISBLANK(H813),"",IF(INDEX(DB_materiali!$E$2:$E$5000,MATCH($C813,DB_materiali!$A$2:$A$5000,0))&gt;=INDEX(DB_malas!$C$2:$C$5000,MATCH(H813,DB_malas!$A$2:$A$5000,0)),IF(INDEX(DB_materiali!$E$2:$E$5000,MATCH($C813,DB_materiali!$A$2:$A$5000,0))&lt;=INDEX(DB_malas!$D$2:$D$5000,MATCH(H813,DB_malas!$A$2:$A$5000,0)),IF(OR(INDEX(DB_materiali!$B$2:$B$5000,MATCH($C813,DB_materiali!$A$2:$A$5000,0))=INDEX(DB_malas!$B$2:$B$5000,MATCH(H813,DB_malas!$A$2:$A$5000,0)),$H813="ORG"),"✔",tulkojums!$A$38),tulkojums!$A$39),tulkojums!$A$39))</f>
        <v/>
      </c>
      <c r="Q813" s="2" t="str">
        <f>IF(ISBLANK(I813),"",IF(INDEX(DB_materiali!$E$2:$E$5000,MATCH($C813,DB_materiali!$A$2:$A$5000,0))&gt;=INDEX(DB_malas!$C$2:$C$5000,MATCH(I813,DB_malas!$A$2:$A$5000,0)),IF(INDEX(DB_materiali!$E$2:$E$5000,MATCH($C813,DB_materiali!$A$2:$A$5000,0))&lt;=INDEX(DB_malas!$D$2:$D$5000,MATCH(I813,DB_malas!$A$2:$A$5000,0)),IF(OR(INDEX(DB_materiali!$B$2:$B$5000,MATCH($C813,DB_materiali!$A$2:$A$5000,0))=INDEX(DB_malas!$B$2:$B$5000,MATCH(I813,DB_malas!$A$2:$A$5000,0)),$H813="ORG"),"✔",tulkojums!$A$38),tulkojums!$A$39),tulkojums!$A$39))</f>
        <v/>
      </c>
      <c r="R813" s="2" t="str">
        <f>IF(ISBLANK(J813),"",IF(INDEX(DB_materiali!$E$2:$E$5000,MATCH($C813,DB_materiali!$A$2:$A$5000,0))&gt;=INDEX(DB_malas!$C$2:$C$5000,MATCH(J813,DB_malas!$A$2:$A$5000,0)),IF(INDEX(DB_materiali!$E$2:$E$5000,MATCH($C813,DB_materiali!$A$2:$A$5000,0))&lt;=INDEX(DB_malas!$D$2:$D$5000,MATCH(J813,DB_malas!$A$2:$A$5000,0)),IF(INDEX(DB_materiali!$B$2:$B$5000,MATCH($C813,DB_materiali!$A$2:$A$5000,0))=INDEX(DB_malas!$B$2:$B$5000,MATCH(J813,DB_malas!$A$2:$A$5000,0)),"✔",tulkojums!$A$38),tulkojums!$A$39),tulkojums!$A$39))</f>
        <v/>
      </c>
      <c r="S813" s="2" t="str">
        <f>IF(ISBLANK(K813),"",IF(INDEX(DB_materiali!$E$2:$E$5000,MATCH($C813,DB_materiali!$A$2:$A$5000,0))&gt;=INDEX(DB_malas!$C$2:$C$5000,MATCH(K813,DB_malas!$A$2:$A$5000,0)),IF(INDEX(DB_materiali!$E$2:$E$5000,MATCH($C813,DB_materiali!$A$2:$A$5000,0))&lt;=INDEX(DB_malas!$D$2:$D$5000,MATCH(K813,DB_malas!$A$2:$A$5000,0)),IF(INDEX(DB_materiali!$B$2:$B$5000,MATCH($C813,DB_materiali!$A$2:$A$5000,0))=INDEX(DB_malas!$B$2:$B$5000,MATCH(K813,DB_malas!$A$2:$A$5000,0)),"✔",tulkojums!$A$38),tulkojums!$A$39),tulkojums!$A$39))</f>
        <v/>
      </c>
      <c r="T813" s="2"/>
      <c r="U813" s="2"/>
      <c r="V813" s="2"/>
      <c r="W813" s="2"/>
      <c r="X813" s="2"/>
      <c r="Y813" s="2"/>
      <c r="Z813" s="2"/>
    </row>
    <row r="814" spans="1:26" ht="15.75" customHeight="1">
      <c r="A814" s="17"/>
      <c r="B814" s="18"/>
      <c r="C814" s="19"/>
      <c r="D814" s="55"/>
      <c r="E814" s="55"/>
      <c r="F814" s="56"/>
      <c r="G814" s="57" t="str">
        <f>IF(ISBLANK(C814),"",
   IFERROR(
      IF(
         INDEX(DB_materiali!C$2:C$5000,
               MATCH(C814, DB_materiali!A$2:A$5000, 0)
         )="FALSE",
         "N",
         "Y"
      ),
   "")
)</f>
        <v/>
      </c>
      <c r="H814" s="20"/>
      <c r="I814" s="20"/>
      <c r="J814" s="20"/>
      <c r="K814" s="20"/>
      <c r="M814" s="2" t="str">
        <f>IF(ISBLANK(C814),"",IF(IFERROR(VLOOKUP(C814,DB_materiali!$A$2:$A$5000,1,FALSE),"Kļūda artikulā")=C814,"✔",tulkojums!A$42))</f>
        <v/>
      </c>
      <c r="N814" s="2" t="str">
        <f>IF(ISBLANK(C814),"",IF(ISNUMBER(F814)=TRUE,"✔",tulkojums!A$43))</f>
        <v/>
      </c>
      <c r="O814" s="2" t="str">
        <f>IF(ISBLANK(C814),"",IF(G814="Y","✔",IF(G814="X","✔",IF(G814="N","✔",tulkojums!A$44))))</f>
        <v/>
      </c>
      <c r="P814" s="2" t="str">
        <f>IF(ISBLANK(H814),"",IF(INDEX(DB_materiali!$E$2:$E$5000,MATCH($C814,DB_materiali!$A$2:$A$5000,0))&gt;=INDEX(DB_malas!$C$2:$C$5000,MATCH(H814,DB_malas!$A$2:$A$5000,0)),IF(INDEX(DB_materiali!$E$2:$E$5000,MATCH($C814,DB_materiali!$A$2:$A$5000,0))&lt;=INDEX(DB_malas!$D$2:$D$5000,MATCH(H814,DB_malas!$A$2:$A$5000,0)),IF(OR(INDEX(DB_materiali!$B$2:$B$5000,MATCH($C814,DB_materiali!$A$2:$A$5000,0))=INDEX(DB_malas!$B$2:$B$5000,MATCH(H814,DB_malas!$A$2:$A$5000,0)),$H814="ORG"),"✔",tulkojums!$A$38),tulkojums!$A$39),tulkojums!$A$39))</f>
        <v/>
      </c>
      <c r="Q814" s="2" t="str">
        <f>IF(ISBLANK(I814),"",IF(INDEX(DB_materiali!$E$2:$E$5000,MATCH($C814,DB_materiali!$A$2:$A$5000,0))&gt;=INDEX(DB_malas!$C$2:$C$5000,MATCH(I814,DB_malas!$A$2:$A$5000,0)),IF(INDEX(DB_materiali!$E$2:$E$5000,MATCH($C814,DB_materiali!$A$2:$A$5000,0))&lt;=INDEX(DB_malas!$D$2:$D$5000,MATCH(I814,DB_malas!$A$2:$A$5000,0)),IF(OR(INDEX(DB_materiali!$B$2:$B$5000,MATCH($C814,DB_materiali!$A$2:$A$5000,0))=INDEX(DB_malas!$B$2:$B$5000,MATCH(I814,DB_malas!$A$2:$A$5000,0)),$H814="ORG"),"✔",tulkojums!$A$38),tulkojums!$A$39),tulkojums!$A$39))</f>
        <v/>
      </c>
      <c r="R814" s="2" t="str">
        <f>IF(ISBLANK(J814),"",IF(INDEX(DB_materiali!$E$2:$E$5000,MATCH($C814,DB_materiali!$A$2:$A$5000,0))&gt;=INDEX(DB_malas!$C$2:$C$5000,MATCH(J814,DB_malas!$A$2:$A$5000,0)),IF(INDEX(DB_materiali!$E$2:$E$5000,MATCH($C814,DB_materiali!$A$2:$A$5000,0))&lt;=INDEX(DB_malas!$D$2:$D$5000,MATCH(J814,DB_malas!$A$2:$A$5000,0)),IF(INDEX(DB_materiali!$B$2:$B$5000,MATCH($C814,DB_materiali!$A$2:$A$5000,0))=INDEX(DB_malas!$B$2:$B$5000,MATCH(J814,DB_malas!$A$2:$A$5000,0)),"✔",tulkojums!$A$38),tulkojums!$A$39),tulkojums!$A$39))</f>
        <v/>
      </c>
      <c r="S814" s="2" t="str">
        <f>IF(ISBLANK(K814),"",IF(INDEX(DB_materiali!$E$2:$E$5000,MATCH($C814,DB_materiali!$A$2:$A$5000,0))&gt;=INDEX(DB_malas!$C$2:$C$5000,MATCH(K814,DB_malas!$A$2:$A$5000,0)),IF(INDEX(DB_materiali!$E$2:$E$5000,MATCH($C814,DB_materiali!$A$2:$A$5000,0))&lt;=INDEX(DB_malas!$D$2:$D$5000,MATCH(K814,DB_malas!$A$2:$A$5000,0)),IF(INDEX(DB_materiali!$B$2:$B$5000,MATCH($C814,DB_materiali!$A$2:$A$5000,0))=INDEX(DB_malas!$B$2:$B$5000,MATCH(K814,DB_malas!$A$2:$A$5000,0)),"✔",tulkojums!$A$38),tulkojums!$A$39),tulkojums!$A$39))</f>
        <v/>
      </c>
      <c r="T814" s="2"/>
      <c r="U814" s="2"/>
      <c r="V814" s="2"/>
      <c r="W814" s="2"/>
      <c r="X814" s="2"/>
      <c r="Y814" s="2"/>
      <c r="Z814" s="2"/>
    </row>
    <row r="815" spans="1:26" ht="15.75" customHeight="1">
      <c r="A815" s="17"/>
      <c r="B815" s="18"/>
      <c r="C815" s="19"/>
      <c r="D815" s="55"/>
      <c r="E815" s="55"/>
      <c r="F815" s="56"/>
      <c r="G815" s="57" t="str">
        <f>IF(ISBLANK(C815),"",
   IFERROR(
      IF(
         INDEX(DB_materiali!C$2:C$5000,
               MATCH(C815, DB_materiali!A$2:A$5000, 0)
         )="FALSE",
         "N",
         "Y"
      ),
   "")
)</f>
        <v/>
      </c>
      <c r="H815" s="20"/>
      <c r="I815" s="20"/>
      <c r="J815" s="20"/>
      <c r="K815" s="20"/>
      <c r="M815" s="2" t="str">
        <f>IF(ISBLANK(C815),"",IF(IFERROR(VLOOKUP(C815,DB_materiali!$A$2:$A$5000,1,FALSE),"Kļūda artikulā")=C815,"✔",tulkojums!A$42))</f>
        <v/>
      </c>
      <c r="N815" s="2" t="str">
        <f>IF(ISBLANK(C815),"",IF(ISNUMBER(F815)=TRUE,"✔",tulkojums!A$43))</f>
        <v/>
      </c>
      <c r="O815" s="2" t="str">
        <f>IF(ISBLANK(C815),"",IF(G815="Y","✔",IF(G815="X","✔",IF(G815="N","✔",tulkojums!A$44))))</f>
        <v/>
      </c>
      <c r="P815" s="2" t="str">
        <f>IF(ISBLANK(H815),"",IF(INDEX(DB_materiali!$E$2:$E$5000,MATCH($C815,DB_materiali!$A$2:$A$5000,0))&gt;=INDEX(DB_malas!$C$2:$C$5000,MATCH(H815,DB_malas!$A$2:$A$5000,0)),IF(INDEX(DB_materiali!$E$2:$E$5000,MATCH($C815,DB_materiali!$A$2:$A$5000,0))&lt;=INDEX(DB_malas!$D$2:$D$5000,MATCH(H815,DB_malas!$A$2:$A$5000,0)),IF(OR(INDEX(DB_materiali!$B$2:$B$5000,MATCH($C815,DB_materiali!$A$2:$A$5000,0))=INDEX(DB_malas!$B$2:$B$5000,MATCH(H815,DB_malas!$A$2:$A$5000,0)),$H815="ORG"),"✔",tulkojums!$A$38),tulkojums!$A$39),tulkojums!$A$39))</f>
        <v/>
      </c>
      <c r="Q815" s="2" t="str">
        <f>IF(ISBLANK(I815),"",IF(INDEX(DB_materiali!$E$2:$E$5000,MATCH($C815,DB_materiali!$A$2:$A$5000,0))&gt;=INDEX(DB_malas!$C$2:$C$5000,MATCH(I815,DB_malas!$A$2:$A$5000,0)),IF(INDEX(DB_materiali!$E$2:$E$5000,MATCH($C815,DB_materiali!$A$2:$A$5000,0))&lt;=INDEX(DB_malas!$D$2:$D$5000,MATCH(I815,DB_malas!$A$2:$A$5000,0)),IF(OR(INDEX(DB_materiali!$B$2:$B$5000,MATCH($C815,DB_materiali!$A$2:$A$5000,0))=INDEX(DB_malas!$B$2:$B$5000,MATCH(I815,DB_malas!$A$2:$A$5000,0)),$H815="ORG"),"✔",tulkojums!$A$38),tulkojums!$A$39),tulkojums!$A$39))</f>
        <v/>
      </c>
      <c r="R815" s="2" t="str">
        <f>IF(ISBLANK(J815),"",IF(INDEX(DB_materiali!$E$2:$E$5000,MATCH($C815,DB_materiali!$A$2:$A$5000,0))&gt;=INDEX(DB_malas!$C$2:$C$5000,MATCH(J815,DB_malas!$A$2:$A$5000,0)),IF(INDEX(DB_materiali!$E$2:$E$5000,MATCH($C815,DB_materiali!$A$2:$A$5000,0))&lt;=INDEX(DB_malas!$D$2:$D$5000,MATCH(J815,DB_malas!$A$2:$A$5000,0)),IF(INDEX(DB_materiali!$B$2:$B$5000,MATCH($C815,DB_materiali!$A$2:$A$5000,0))=INDEX(DB_malas!$B$2:$B$5000,MATCH(J815,DB_malas!$A$2:$A$5000,0)),"✔",tulkojums!$A$38),tulkojums!$A$39),tulkojums!$A$39))</f>
        <v/>
      </c>
      <c r="S815" s="2" t="str">
        <f>IF(ISBLANK(K815),"",IF(INDEX(DB_materiali!$E$2:$E$5000,MATCH($C815,DB_materiali!$A$2:$A$5000,0))&gt;=INDEX(DB_malas!$C$2:$C$5000,MATCH(K815,DB_malas!$A$2:$A$5000,0)),IF(INDEX(DB_materiali!$E$2:$E$5000,MATCH($C815,DB_materiali!$A$2:$A$5000,0))&lt;=INDEX(DB_malas!$D$2:$D$5000,MATCH(K815,DB_malas!$A$2:$A$5000,0)),IF(INDEX(DB_materiali!$B$2:$B$5000,MATCH($C815,DB_materiali!$A$2:$A$5000,0))=INDEX(DB_malas!$B$2:$B$5000,MATCH(K815,DB_malas!$A$2:$A$5000,0)),"✔",tulkojums!$A$38),tulkojums!$A$39),tulkojums!$A$39))</f>
        <v/>
      </c>
      <c r="T815" s="2"/>
      <c r="U815" s="2"/>
      <c r="V815" s="2"/>
      <c r="W815" s="2"/>
      <c r="X815" s="2"/>
      <c r="Y815" s="2"/>
      <c r="Z815" s="2"/>
    </row>
    <row r="816" spans="1:26" ht="15.75" customHeight="1">
      <c r="A816" s="17"/>
      <c r="B816" s="18"/>
      <c r="C816" s="19"/>
      <c r="D816" s="55"/>
      <c r="E816" s="55"/>
      <c r="F816" s="56"/>
      <c r="G816" s="57" t="str">
        <f>IF(ISBLANK(C816),"",
   IFERROR(
      IF(
         INDEX(DB_materiali!C$2:C$5000,
               MATCH(C816, DB_materiali!A$2:A$5000, 0)
         )="FALSE",
         "N",
         "Y"
      ),
   "")
)</f>
        <v/>
      </c>
      <c r="H816" s="20"/>
      <c r="I816" s="20"/>
      <c r="J816" s="20"/>
      <c r="K816" s="20"/>
      <c r="M816" s="2" t="str">
        <f>IF(ISBLANK(C816),"",IF(IFERROR(VLOOKUP(C816,DB_materiali!$A$2:$A$5000,1,FALSE),"Kļūda artikulā")=C816,"✔",tulkojums!A$42))</f>
        <v/>
      </c>
      <c r="N816" s="2" t="str">
        <f>IF(ISBLANK(C816),"",IF(ISNUMBER(F816)=TRUE,"✔",tulkojums!A$43))</f>
        <v/>
      </c>
      <c r="O816" s="2" t="str">
        <f>IF(ISBLANK(C816),"",IF(G816="Y","✔",IF(G816="X","✔",IF(G816="N","✔",tulkojums!A$44))))</f>
        <v/>
      </c>
      <c r="P816" s="2" t="str">
        <f>IF(ISBLANK(H816),"",IF(INDEX(DB_materiali!$E$2:$E$5000,MATCH($C816,DB_materiali!$A$2:$A$5000,0))&gt;=INDEX(DB_malas!$C$2:$C$5000,MATCH(H816,DB_malas!$A$2:$A$5000,0)),IF(INDEX(DB_materiali!$E$2:$E$5000,MATCH($C816,DB_materiali!$A$2:$A$5000,0))&lt;=INDEX(DB_malas!$D$2:$D$5000,MATCH(H816,DB_malas!$A$2:$A$5000,0)),IF(OR(INDEX(DB_materiali!$B$2:$B$5000,MATCH($C816,DB_materiali!$A$2:$A$5000,0))=INDEX(DB_malas!$B$2:$B$5000,MATCH(H816,DB_malas!$A$2:$A$5000,0)),$H816="ORG"),"✔",tulkojums!$A$38),tulkojums!$A$39),tulkojums!$A$39))</f>
        <v/>
      </c>
      <c r="Q816" s="2" t="str">
        <f>IF(ISBLANK(I816),"",IF(INDEX(DB_materiali!$E$2:$E$5000,MATCH($C816,DB_materiali!$A$2:$A$5000,0))&gt;=INDEX(DB_malas!$C$2:$C$5000,MATCH(I816,DB_malas!$A$2:$A$5000,0)),IF(INDEX(DB_materiali!$E$2:$E$5000,MATCH($C816,DB_materiali!$A$2:$A$5000,0))&lt;=INDEX(DB_malas!$D$2:$D$5000,MATCH(I816,DB_malas!$A$2:$A$5000,0)),IF(OR(INDEX(DB_materiali!$B$2:$B$5000,MATCH($C816,DB_materiali!$A$2:$A$5000,0))=INDEX(DB_malas!$B$2:$B$5000,MATCH(I816,DB_malas!$A$2:$A$5000,0)),$H816="ORG"),"✔",tulkojums!$A$38),tulkojums!$A$39),tulkojums!$A$39))</f>
        <v/>
      </c>
      <c r="R816" s="2" t="str">
        <f>IF(ISBLANK(J816),"",IF(INDEX(DB_materiali!$E$2:$E$5000,MATCH($C816,DB_materiali!$A$2:$A$5000,0))&gt;=INDEX(DB_malas!$C$2:$C$5000,MATCH(J816,DB_malas!$A$2:$A$5000,0)),IF(INDEX(DB_materiali!$E$2:$E$5000,MATCH($C816,DB_materiali!$A$2:$A$5000,0))&lt;=INDEX(DB_malas!$D$2:$D$5000,MATCH(J816,DB_malas!$A$2:$A$5000,0)),IF(INDEX(DB_materiali!$B$2:$B$5000,MATCH($C816,DB_materiali!$A$2:$A$5000,0))=INDEX(DB_malas!$B$2:$B$5000,MATCH(J816,DB_malas!$A$2:$A$5000,0)),"✔",tulkojums!$A$38),tulkojums!$A$39),tulkojums!$A$39))</f>
        <v/>
      </c>
      <c r="S816" s="2" t="str">
        <f>IF(ISBLANK(K816),"",IF(INDEX(DB_materiali!$E$2:$E$5000,MATCH($C816,DB_materiali!$A$2:$A$5000,0))&gt;=INDEX(DB_malas!$C$2:$C$5000,MATCH(K816,DB_malas!$A$2:$A$5000,0)),IF(INDEX(DB_materiali!$E$2:$E$5000,MATCH($C816,DB_materiali!$A$2:$A$5000,0))&lt;=INDEX(DB_malas!$D$2:$D$5000,MATCH(K816,DB_malas!$A$2:$A$5000,0)),IF(INDEX(DB_materiali!$B$2:$B$5000,MATCH($C816,DB_materiali!$A$2:$A$5000,0))=INDEX(DB_malas!$B$2:$B$5000,MATCH(K816,DB_malas!$A$2:$A$5000,0)),"✔",tulkojums!$A$38),tulkojums!$A$39),tulkojums!$A$39))</f>
        <v/>
      </c>
      <c r="T816" s="2"/>
      <c r="U816" s="2"/>
      <c r="V816" s="2"/>
      <c r="W816" s="2"/>
      <c r="X816" s="2"/>
      <c r="Y816" s="2"/>
      <c r="Z816" s="2"/>
    </row>
    <row r="817" spans="1:26" ht="15.75" customHeight="1">
      <c r="A817" s="17"/>
      <c r="B817" s="18"/>
      <c r="C817" s="19"/>
      <c r="D817" s="55"/>
      <c r="E817" s="55"/>
      <c r="F817" s="56"/>
      <c r="G817" s="57" t="str">
        <f>IF(ISBLANK(C817),"",
   IFERROR(
      IF(
         INDEX(DB_materiali!C$2:C$5000,
               MATCH(C817, DB_materiali!A$2:A$5000, 0)
         )="FALSE",
         "N",
         "Y"
      ),
   "")
)</f>
        <v/>
      </c>
      <c r="H817" s="20"/>
      <c r="I817" s="20"/>
      <c r="J817" s="20"/>
      <c r="K817" s="20"/>
      <c r="M817" s="2" t="str">
        <f>IF(ISBLANK(C817),"",IF(IFERROR(VLOOKUP(C817,DB_materiali!$A$2:$A$5000,1,FALSE),"Kļūda artikulā")=C817,"✔",tulkojums!A$42))</f>
        <v/>
      </c>
      <c r="N817" s="2" t="str">
        <f>IF(ISBLANK(C817),"",IF(ISNUMBER(F817)=TRUE,"✔",tulkojums!A$43))</f>
        <v/>
      </c>
      <c r="O817" s="2" t="str">
        <f>IF(ISBLANK(C817),"",IF(G817="Y","✔",IF(G817="X","✔",IF(G817="N","✔",tulkojums!A$44))))</f>
        <v/>
      </c>
      <c r="P817" s="2" t="str">
        <f>IF(ISBLANK(H817),"",IF(INDEX(DB_materiali!$E$2:$E$5000,MATCH($C817,DB_materiali!$A$2:$A$5000,0))&gt;=INDEX(DB_malas!$C$2:$C$5000,MATCH(H817,DB_malas!$A$2:$A$5000,0)),IF(INDEX(DB_materiali!$E$2:$E$5000,MATCH($C817,DB_materiali!$A$2:$A$5000,0))&lt;=INDEX(DB_malas!$D$2:$D$5000,MATCH(H817,DB_malas!$A$2:$A$5000,0)),IF(OR(INDEX(DB_materiali!$B$2:$B$5000,MATCH($C817,DB_materiali!$A$2:$A$5000,0))=INDEX(DB_malas!$B$2:$B$5000,MATCH(H817,DB_malas!$A$2:$A$5000,0)),$H817="ORG"),"✔",tulkojums!$A$38),tulkojums!$A$39),tulkojums!$A$39))</f>
        <v/>
      </c>
      <c r="Q817" s="2" t="str">
        <f>IF(ISBLANK(I817),"",IF(INDEX(DB_materiali!$E$2:$E$5000,MATCH($C817,DB_materiali!$A$2:$A$5000,0))&gt;=INDEX(DB_malas!$C$2:$C$5000,MATCH(I817,DB_malas!$A$2:$A$5000,0)),IF(INDEX(DB_materiali!$E$2:$E$5000,MATCH($C817,DB_materiali!$A$2:$A$5000,0))&lt;=INDEX(DB_malas!$D$2:$D$5000,MATCH(I817,DB_malas!$A$2:$A$5000,0)),IF(OR(INDEX(DB_materiali!$B$2:$B$5000,MATCH($C817,DB_materiali!$A$2:$A$5000,0))=INDEX(DB_malas!$B$2:$B$5000,MATCH(I817,DB_malas!$A$2:$A$5000,0)),$H817="ORG"),"✔",tulkojums!$A$38),tulkojums!$A$39),tulkojums!$A$39))</f>
        <v/>
      </c>
      <c r="R817" s="2" t="str">
        <f>IF(ISBLANK(J817),"",IF(INDEX(DB_materiali!$E$2:$E$5000,MATCH($C817,DB_materiali!$A$2:$A$5000,0))&gt;=INDEX(DB_malas!$C$2:$C$5000,MATCH(J817,DB_malas!$A$2:$A$5000,0)),IF(INDEX(DB_materiali!$E$2:$E$5000,MATCH($C817,DB_materiali!$A$2:$A$5000,0))&lt;=INDEX(DB_malas!$D$2:$D$5000,MATCH(J817,DB_malas!$A$2:$A$5000,0)),IF(INDEX(DB_materiali!$B$2:$B$5000,MATCH($C817,DB_materiali!$A$2:$A$5000,0))=INDEX(DB_malas!$B$2:$B$5000,MATCH(J817,DB_malas!$A$2:$A$5000,0)),"✔",tulkojums!$A$38),tulkojums!$A$39),tulkojums!$A$39))</f>
        <v/>
      </c>
      <c r="S817" s="2" t="str">
        <f>IF(ISBLANK(K817),"",IF(INDEX(DB_materiali!$E$2:$E$5000,MATCH($C817,DB_materiali!$A$2:$A$5000,0))&gt;=INDEX(DB_malas!$C$2:$C$5000,MATCH(K817,DB_malas!$A$2:$A$5000,0)),IF(INDEX(DB_materiali!$E$2:$E$5000,MATCH($C817,DB_materiali!$A$2:$A$5000,0))&lt;=INDEX(DB_malas!$D$2:$D$5000,MATCH(K817,DB_malas!$A$2:$A$5000,0)),IF(INDEX(DB_materiali!$B$2:$B$5000,MATCH($C817,DB_materiali!$A$2:$A$5000,0))=INDEX(DB_malas!$B$2:$B$5000,MATCH(K817,DB_malas!$A$2:$A$5000,0)),"✔",tulkojums!$A$38),tulkojums!$A$39),tulkojums!$A$39))</f>
        <v/>
      </c>
      <c r="T817" s="2"/>
      <c r="U817" s="2"/>
      <c r="V817" s="2"/>
      <c r="W817" s="2"/>
      <c r="X817" s="2"/>
      <c r="Y817" s="2"/>
      <c r="Z817" s="2"/>
    </row>
    <row r="818" spans="1:26" ht="15.75" customHeight="1">
      <c r="A818" s="17"/>
      <c r="B818" s="18"/>
      <c r="C818" s="19"/>
      <c r="D818" s="55"/>
      <c r="E818" s="55"/>
      <c r="F818" s="56"/>
      <c r="G818" s="57" t="str">
        <f>IF(ISBLANK(C818),"",
   IFERROR(
      IF(
         INDEX(DB_materiali!C$2:C$5000,
               MATCH(C818, DB_materiali!A$2:A$5000, 0)
         )="FALSE",
         "N",
         "Y"
      ),
   "")
)</f>
        <v/>
      </c>
      <c r="H818" s="20"/>
      <c r="I818" s="20"/>
      <c r="J818" s="20"/>
      <c r="K818" s="20"/>
      <c r="M818" s="2" t="str">
        <f>IF(ISBLANK(C818),"",IF(IFERROR(VLOOKUP(C818,DB_materiali!$A$2:$A$5000,1,FALSE),"Kļūda artikulā")=C818,"✔",tulkojums!A$42))</f>
        <v/>
      </c>
      <c r="N818" s="2" t="str">
        <f>IF(ISBLANK(C818),"",IF(ISNUMBER(F818)=TRUE,"✔",tulkojums!A$43))</f>
        <v/>
      </c>
      <c r="O818" s="2" t="str">
        <f>IF(ISBLANK(C818),"",IF(G818="Y","✔",IF(G818="X","✔",IF(G818="N","✔",tulkojums!A$44))))</f>
        <v/>
      </c>
      <c r="P818" s="2" t="str">
        <f>IF(ISBLANK(H818),"",IF(INDEX(DB_materiali!$E$2:$E$5000,MATCH($C818,DB_materiali!$A$2:$A$5000,0))&gt;=INDEX(DB_malas!$C$2:$C$5000,MATCH(H818,DB_malas!$A$2:$A$5000,0)),IF(INDEX(DB_materiali!$E$2:$E$5000,MATCH($C818,DB_materiali!$A$2:$A$5000,0))&lt;=INDEX(DB_malas!$D$2:$D$5000,MATCH(H818,DB_malas!$A$2:$A$5000,0)),IF(OR(INDEX(DB_materiali!$B$2:$B$5000,MATCH($C818,DB_materiali!$A$2:$A$5000,0))=INDEX(DB_malas!$B$2:$B$5000,MATCH(H818,DB_malas!$A$2:$A$5000,0)),$H818="ORG"),"✔",tulkojums!$A$38),tulkojums!$A$39),tulkojums!$A$39))</f>
        <v/>
      </c>
      <c r="Q818" s="2" t="str">
        <f>IF(ISBLANK(I818),"",IF(INDEX(DB_materiali!$E$2:$E$5000,MATCH($C818,DB_materiali!$A$2:$A$5000,0))&gt;=INDEX(DB_malas!$C$2:$C$5000,MATCH(I818,DB_malas!$A$2:$A$5000,0)),IF(INDEX(DB_materiali!$E$2:$E$5000,MATCH($C818,DB_materiali!$A$2:$A$5000,0))&lt;=INDEX(DB_malas!$D$2:$D$5000,MATCH(I818,DB_malas!$A$2:$A$5000,0)),IF(OR(INDEX(DB_materiali!$B$2:$B$5000,MATCH($C818,DB_materiali!$A$2:$A$5000,0))=INDEX(DB_malas!$B$2:$B$5000,MATCH(I818,DB_malas!$A$2:$A$5000,0)),$H818="ORG"),"✔",tulkojums!$A$38),tulkojums!$A$39),tulkojums!$A$39))</f>
        <v/>
      </c>
      <c r="R818" s="2" t="str">
        <f>IF(ISBLANK(J818),"",IF(INDEX(DB_materiali!$E$2:$E$5000,MATCH($C818,DB_materiali!$A$2:$A$5000,0))&gt;=INDEX(DB_malas!$C$2:$C$5000,MATCH(J818,DB_malas!$A$2:$A$5000,0)),IF(INDEX(DB_materiali!$E$2:$E$5000,MATCH($C818,DB_materiali!$A$2:$A$5000,0))&lt;=INDEX(DB_malas!$D$2:$D$5000,MATCH(J818,DB_malas!$A$2:$A$5000,0)),IF(INDEX(DB_materiali!$B$2:$B$5000,MATCH($C818,DB_materiali!$A$2:$A$5000,0))=INDEX(DB_malas!$B$2:$B$5000,MATCH(J818,DB_malas!$A$2:$A$5000,0)),"✔",tulkojums!$A$38),tulkojums!$A$39),tulkojums!$A$39))</f>
        <v/>
      </c>
      <c r="S818" s="2" t="str">
        <f>IF(ISBLANK(K818),"",IF(INDEX(DB_materiali!$E$2:$E$5000,MATCH($C818,DB_materiali!$A$2:$A$5000,0))&gt;=INDEX(DB_malas!$C$2:$C$5000,MATCH(K818,DB_malas!$A$2:$A$5000,0)),IF(INDEX(DB_materiali!$E$2:$E$5000,MATCH($C818,DB_materiali!$A$2:$A$5000,0))&lt;=INDEX(DB_malas!$D$2:$D$5000,MATCH(K818,DB_malas!$A$2:$A$5000,0)),IF(INDEX(DB_materiali!$B$2:$B$5000,MATCH($C818,DB_materiali!$A$2:$A$5000,0))=INDEX(DB_malas!$B$2:$B$5000,MATCH(K818,DB_malas!$A$2:$A$5000,0)),"✔",tulkojums!$A$38),tulkojums!$A$39),tulkojums!$A$39))</f>
        <v/>
      </c>
      <c r="T818" s="2"/>
      <c r="U818" s="2"/>
      <c r="V818" s="2"/>
      <c r="W818" s="2"/>
      <c r="X818" s="2"/>
      <c r="Y818" s="2"/>
      <c r="Z818" s="2"/>
    </row>
    <row r="819" spans="1:26" ht="15.75" customHeight="1">
      <c r="A819" s="17"/>
      <c r="B819" s="18"/>
      <c r="C819" s="19"/>
      <c r="D819" s="55"/>
      <c r="E819" s="55"/>
      <c r="F819" s="56"/>
      <c r="G819" s="57" t="str">
        <f>IF(ISBLANK(C819),"",
   IFERROR(
      IF(
         INDEX(DB_materiali!C$2:C$5000,
               MATCH(C819, DB_materiali!A$2:A$5000, 0)
         )="FALSE",
         "N",
         "Y"
      ),
   "")
)</f>
        <v/>
      </c>
      <c r="H819" s="20"/>
      <c r="I819" s="20"/>
      <c r="J819" s="20"/>
      <c r="K819" s="20"/>
      <c r="M819" s="2" t="str">
        <f>IF(ISBLANK(C819),"",IF(IFERROR(VLOOKUP(C819,DB_materiali!$A$2:$A$5000,1,FALSE),"Kļūda artikulā")=C819,"✔",tulkojums!A$42))</f>
        <v/>
      </c>
      <c r="N819" s="2" t="str">
        <f>IF(ISBLANK(C819),"",IF(ISNUMBER(F819)=TRUE,"✔",tulkojums!A$43))</f>
        <v/>
      </c>
      <c r="O819" s="2" t="str">
        <f>IF(ISBLANK(C819),"",IF(G819="Y","✔",IF(G819="X","✔",IF(G819="N","✔",tulkojums!A$44))))</f>
        <v/>
      </c>
      <c r="P819" s="2" t="str">
        <f>IF(ISBLANK(H819),"",IF(INDEX(DB_materiali!$E$2:$E$5000,MATCH($C819,DB_materiali!$A$2:$A$5000,0))&gt;=INDEX(DB_malas!$C$2:$C$5000,MATCH(H819,DB_malas!$A$2:$A$5000,0)),IF(INDEX(DB_materiali!$E$2:$E$5000,MATCH($C819,DB_materiali!$A$2:$A$5000,0))&lt;=INDEX(DB_malas!$D$2:$D$5000,MATCH(H819,DB_malas!$A$2:$A$5000,0)),IF(OR(INDEX(DB_materiali!$B$2:$B$5000,MATCH($C819,DB_materiali!$A$2:$A$5000,0))=INDEX(DB_malas!$B$2:$B$5000,MATCH(H819,DB_malas!$A$2:$A$5000,0)),$H819="ORG"),"✔",tulkojums!$A$38),tulkojums!$A$39),tulkojums!$A$39))</f>
        <v/>
      </c>
      <c r="Q819" s="2" t="str">
        <f>IF(ISBLANK(I819),"",IF(INDEX(DB_materiali!$E$2:$E$5000,MATCH($C819,DB_materiali!$A$2:$A$5000,0))&gt;=INDEX(DB_malas!$C$2:$C$5000,MATCH(I819,DB_malas!$A$2:$A$5000,0)),IF(INDEX(DB_materiali!$E$2:$E$5000,MATCH($C819,DB_materiali!$A$2:$A$5000,0))&lt;=INDEX(DB_malas!$D$2:$D$5000,MATCH(I819,DB_malas!$A$2:$A$5000,0)),IF(OR(INDEX(DB_materiali!$B$2:$B$5000,MATCH($C819,DB_materiali!$A$2:$A$5000,0))=INDEX(DB_malas!$B$2:$B$5000,MATCH(I819,DB_malas!$A$2:$A$5000,0)),$H819="ORG"),"✔",tulkojums!$A$38),tulkojums!$A$39),tulkojums!$A$39))</f>
        <v/>
      </c>
      <c r="R819" s="2" t="str">
        <f>IF(ISBLANK(J819),"",IF(INDEX(DB_materiali!$E$2:$E$5000,MATCH($C819,DB_materiali!$A$2:$A$5000,0))&gt;=INDEX(DB_malas!$C$2:$C$5000,MATCH(J819,DB_malas!$A$2:$A$5000,0)),IF(INDEX(DB_materiali!$E$2:$E$5000,MATCH($C819,DB_materiali!$A$2:$A$5000,0))&lt;=INDEX(DB_malas!$D$2:$D$5000,MATCH(J819,DB_malas!$A$2:$A$5000,0)),IF(INDEX(DB_materiali!$B$2:$B$5000,MATCH($C819,DB_materiali!$A$2:$A$5000,0))=INDEX(DB_malas!$B$2:$B$5000,MATCH(J819,DB_malas!$A$2:$A$5000,0)),"✔",tulkojums!$A$38),tulkojums!$A$39),tulkojums!$A$39))</f>
        <v/>
      </c>
      <c r="S819" s="2" t="str">
        <f>IF(ISBLANK(K819),"",IF(INDEX(DB_materiali!$E$2:$E$5000,MATCH($C819,DB_materiali!$A$2:$A$5000,0))&gt;=INDEX(DB_malas!$C$2:$C$5000,MATCH(K819,DB_malas!$A$2:$A$5000,0)),IF(INDEX(DB_materiali!$E$2:$E$5000,MATCH($C819,DB_materiali!$A$2:$A$5000,0))&lt;=INDEX(DB_malas!$D$2:$D$5000,MATCH(K819,DB_malas!$A$2:$A$5000,0)),IF(INDEX(DB_materiali!$B$2:$B$5000,MATCH($C819,DB_materiali!$A$2:$A$5000,0))=INDEX(DB_malas!$B$2:$B$5000,MATCH(K819,DB_malas!$A$2:$A$5000,0)),"✔",tulkojums!$A$38),tulkojums!$A$39),tulkojums!$A$39))</f>
        <v/>
      </c>
      <c r="T819" s="2"/>
      <c r="U819" s="2"/>
      <c r="V819" s="2"/>
      <c r="W819" s="2"/>
      <c r="X819" s="2"/>
      <c r="Y819" s="2"/>
      <c r="Z819" s="2"/>
    </row>
    <row r="820" spans="1:26" ht="15.75" customHeight="1">
      <c r="A820" s="17"/>
      <c r="B820" s="18"/>
      <c r="C820" s="19"/>
      <c r="D820" s="55"/>
      <c r="E820" s="55"/>
      <c r="F820" s="56"/>
      <c r="G820" s="57" t="str">
        <f>IF(ISBLANK(C820),"",
   IFERROR(
      IF(
         INDEX(DB_materiali!C$2:C$5000,
               MATCH(C820, DB_materiali!A$2:A$5000, 0)
         )="FALSE",
         "N",
         "Y"
      ),
   "")
)</f>
        <v/>
      </c>
      <c r="H820" s="20"/>
      <c r="I820" s="20"/>
      <c r="J820" s="20"/>
      <c r="K820" s="20"/>
      <c r="M820" s="2" t="str">
        <f>IF(ISBLANK(C820),"",IF(IFERROR(VLOOKUP(C820,DB_materiali!$A$2:$A$5000,1,FALSE),"Kļūda artikulā")=C820,"✔",tulkojums!A$42))</f>
        <v/>
      </c>
      <c r="N820" s="2" t="str">
        <f>IF(ISBLANK(C820),"",IF(ISNUMBER(F820)=TRUE,"✔",tulkojums!A$43))</f>
        <v/>
      </c>
      <c r="O820" s="2" t="str">
        <f>IF(ISBLANK(C820),"",IF(G820="Y","✔",IF(G820="X","✔",IF(G820="N","✔",tulkojums!A$44))))</f>
        <v/>
      </c>
      <c r="P820" s="2" t="str">
        <f>IF(ISBLANK(H820),"",IF(INDEX(DB_materiali!$E$2:$E$5000,MATCH($C820,DB_materiali!$A$2:$A$5000,0))&gt;=INDEX(DB_malas!$C$2:$C$5000,MATCH(H820,DB_malas!$A$2:$A$5000,0)),IF(INDEX(DB_materiali!$E$2:$E$5000,MATCH($C820,DB_materiali!$A$2:$A$5000,0))&lt;=INDEX(DB_malas!$D$2:$D$5000,MATCH(H820,DB_malas!$A$2:$A$5000,0)),IF(OR(INDEX(DB_materiali!$B$2:$B$5000,MATCH($C820,DB_materiali!$A$2:$A$5000,0))=INDEX(DB_malas!$B$2:$B$5000,MATCH(H820,DB_malas!$A$2:$A$5000,0)),$H820="ORG"),"✔",tulkojums!$A$38),tulkojums!$A$39),tulkojums!$A$39))</f>
        <v/>
      </c>
      <c r="Q820" s="2" t="str">
        <f>IF(ISBLANK(I820),"",IF(INDEX(DB_materiali!$E$2:$E$5000,MATCH($C820,DB_materiali!$A$2:$A$5000,0))&gt;=INDEX(DB_malas!$C$2:$C$5000,MATCH(I820,DB_malas!$A$2:$A$5000,0)),IF(INDEX(DB_materiali!$E$2:$E$5000,MATCH($C820,DB_materiali!$A$2:$A$5000,0))&lt;=INDEX(DB_malas!$D$2:$D$5000,MATCH(I820,DB_malas!$A$2:$A$5000,0)),IF(OR(INDEX(DB_materiali!$B$2:$B$5000,MATCH($C820,DB_materiali!$A$2:$A$5000,0))=INDEX(DB_malas!$B$2:$B$5000,MATCH(I820,DB_malas!$A$2:$A$5000,0)),$H820="ORG"),"✔",tulkojums!$A$38),tulkojums!$A$39),tulkojums!$A$39))</f>
        <v/>
      </c>
      <c r="R820" s="2" t="str">
        <f>IF(ISBLANK(J820),"",IF(INDEX(DB_materiali!$E$2:$E$5000,MATCH($C820,DB_materiali!$A$2:$A$5000,0))&gt;=INDEX(DB_malas!$C$2:$C$5000,MATCH(J820,DB_malas!$A$2:$A$5000,0)),IF(INDEX(DB_materiali!$E$2:$E$5000,MATCH($C820,DB_materiali!$A$2:$A$5000,0))&lt;=INDEX(DB_malas!$D$2:$D$5000,MATCH(J820,DB_malas!$A$2:$A$5000,0)),IF(INDEX(DB_materiali!$B$2:$B$5000,MATCH($C820,DB_materiali!$A$2:$A$5000,0))=INDEX(DB_malas!$B$2:$B$5000,MATCH(J820,DB_malas!$A$2:$A$5000,0)),"✔",tulkojums!$A$38),tulkojums!$A$39),tulkojums!$A$39))</f>
        <v/>
      </c>
      <c r="S820" s="2" t="str">
        <f>IF(ISBLANK(K820),"",IF(INDEX(DB_materiali!$E$2:$E$5000,MATCH($C820,DB_materiali!$A$2:$A$5000,0))&gt;=INDEX(DB_malas!$C$2:$C$5000,MATCH(K820,DB_malas!$A$2:$A$5000,0)),IF(INDEX(DB_materiali!$E$2:$E$5000,MATCH($C820,DB_materiali!$A$2:$A$5000,0))&lt;=INDEX(DB_malas!$D$2:$D$5000,MATCH(K820,DB_malas!$A$2:$A$5000,0)),IF(INDEX(DB_materiali!$B$2:$B$5000,MATCH($C820,DB_materiali!$A$2:$A$5000,0))=INDEX(DB_malas!$B$2:$B$5000,MATCH(K820,DB_malas!$A$2:$A$5000,0)),"✔",tulkojums!$A$38),tulkojums!$A$39),tulkojums!$A$39))</f>
        <v/>
      </c>
      <c r="T820" s="2"/>
      <c r="U820" s="2"/>
      <c r="V820" s="2"/>
      <c r="W820" s="2"/>
      <c r="X820" s="2"/>
      <c r="Y820" s="2"/>
      <c r="Z820" s="2"/>
    </row>
    <row r="821" spans="1:26" ht="15.75" customHeight="1">
      <c r="A821" s="17"/>
      <c r="B821" s="18"/>
      <c r="C821" s="19"/>
      <c r="D821" s="55"/>
      <c r="E821" s="55"/>
      <c r="F821" s="56"/>
      <c r="G821" s="57" t="str">
        <f>IF(ISBLANK(C821),"",
   IFERROR(
      IF(
         INDEX(DB_materiali!C$2:C$5000,
               MATCH(C821, DB_materiali!A$2:A$5000, 0)
         )="FALSE",
         "N",
         "Y"
      ),
   "")
)</f>
        <v/>
      </c>
      <c r="H821" s="20"/>
      <c r="I821" s="20"/>
      <c r="J821" s="20"/>
      <c r="K821" s="20"/>
      <c r="M821" s="2" t="str">
        <f>IF(ISBLANK(C821),"",IF(IFERROR(VLOOKUP(C821,DB_materiali!$A$2:$A$5000,1,FALSE),"Kļūda artikulā")=C821,"✔",tulkojums!A$42))</f>
        <v/>
      </c>
      <c r="N821" s="2" t="str">
        <f>IF(ISBLANK(C821),"",IF(ISNUMBER(F821)=TRUE,"✔",tulkojums!A$43))</f>
        <v/>
      </c>
      <c r="O821" s="2" t="str">
        <f>IF(ISBLANK(C821),"",IF(G821="Y","✔",IF(G821="X","✔",IF(G821="N","✔",tulkojums!A$44))))</f>
        <v/>
      </c>
      <c r="P821" s="2" t="str">
        <f>IF(ISBLANK(H821),"",IF(INDEX(DB_materiali!$E$2:$E$5000,MATCH($C821,DB_materiali!$A$2:$A$5000,0))&gt;=INDEX(DB_malas!$C$2:$C$5000,MATCH(H821,DB_malas!$A$2:$A$5000,0)),IF(INDEX(DB_materiali!$E$2:$E$5000,MATCH($C821,DB_materiali!$A$2:$A$5000,0))&lt;=INDEX(DB_malas!$D$2:$D$5000,MATCH(H821,DB_malas!$A$2:$A$5000,0)),IF(OR(INDEX(DB_materiali!$B$2:$B$5000,MATCH($C821,DB_materiali!$A$2:$A$5000,0))=INDEX(DB_malas!$B$2:$B$5000,MATCH(H821,DB_malas!$A$2:$A$5000,0)),$H821="ORG"),"✔",tulkojums!$A$38),tulkojums!$A$39),tulkojums!$A$39))</f>
        <v/>
      </c>
      <c r="Q821" s="2" t="str">
        <f>IF(ISBLANK(I821),"",IF(INDEX(DB_materiali!$E$2:$E$5000,MATCH($C821,DB_materiali!$A$2:$A$5000,0))&gt;=INDEX(DB_malas!$C$2:$C$5000,MATCH(I821,DB_malas!$A$2:$A$5000,0)),IF(INDEX(DB_materiali!$E$2:$E$5000,MATCH($C821,DB_materiali!$A$2:$A$5000,0))&lt;=INDEX(DB_malas!$D$2:$D$5000,MATCH(I821,DB_malas!$A$2:$A$5000,0)),IF(OR(INDEX(DB_materiali!$B$2:$B$5000,MATCH($C821,DB_materiali!$A$2:$A$5000,0))=INDEX(DB_malas!$B$2:$B$5000,MATCH(I821,DB_malas!$A$2:$A$5000,0)),$H821="ORG"),"✔",tulkojums!$A$38),tulkojums!$A$39),tulkojums!$A$39))</f>
        <v/>
      </c>
      <c r="R821" s="2" t="str">
        <f>IF(ISBLANK(J821),"",IF(INDEX(DB_materiali!$E$2:$E$5000,MATCH($C821,DB_materiali!$A$2:$A$5000,0))&gt;=INDEX(DB_malas!$C$2:$C$5000,MATCH(J821,DB_malas!$A$2:$A$5000,0)),IF(INDEX(DB_materiali!$E$2:$E$5000,MATCH($C821,DB_materiali!$A$2:$A$5000,0))&lt;=INDEX(DB_malas!$D$2:$D$5000,MATCH(J821,DB_malas!$A$2:$A$5000,0)),IF(INDEX(DB_materiali!$B$2:$B$5000,MATCH($C821,DB_materiali!$A$2:$A$5000,0))=INDEX(DB_malas!$B$2:$B$5000,MATCH(J821,DB_malas!$A$2:$A$5000,0)),"✔",tulkojums!$A$38),tulkojums!$A$39),tulkojums!$A$39))</f>
        <v/>
      </c>
      <c r="S821" s="2" t="str">
        <f>IF(ISBLANK(K821),"",IF(INDEX(DB_materiali!$E$2:$E$5000,MATCH($C821,DB_materiali!$A$2:$A$5000,0))&gt;=INDEX(DB_malas!$C$2:$C$5000,MATCH(K821,DB_malas!$A$2:$A$5000,0)),IF(INDEX(DB_materiali!$E$2:$E$5000,MATCH($C821,DB_materiali!$A$2:$A$5000,0))&lt;=INDEX(DB_malas!$D$2:$D$5000,MATCH(K821,DB_malas!$A$2:$A$5000,0)),IF(INDEX(DB_materiali!$B$2:$B$5000,MATCH($C821,DB_materiali!$A$2:$A$5000,0))=INDEX(DB_malas!$B$2:$B$5000,MATCH(K821,DB_malas!$A$2:$A$5000,0)),"✔",tulkojums!$A$38),tulkojums!$A$39),tulkojums!$A$39))</f>
        <v/>
      </c>
      <c r="T821" s="2"/>
      <c r="U821" s="2"/>
      <c r="V821" s="2"/>
      <c r="W821" s="2"/>
      <c r="X821" s="2"/>
      <c r="Y821" s="2"/>
      <c r="Z821" s="2"/>
    </row>
    <row r="822" spans="1:26" ht="15.75" customHeight="1">
      <c r="A822" s="17"/>
      <c r="B822" s="18"/>
      <c r="C822" s="19"/>
      <c r="D822" s="55"/>
      <c r="E822" s="55"/>
      <c r="F822" s="56"/>
      <c r="G822" s="57" t="str">
        <f>IF(ISBLANK(C822),"",
   IFERROR(
      IF(
         INDEX(DB_materiali!C$2:C$5000,
               MATCH(C822, DB_materiali!A$2:A$5000, 0)
         )="FALSE",
         "N",
         "Y"
      ),
   "")
)</f>
        <v/>
      </c>
      <c r="H822" s="20"/>
      <c r="I822" s="20"/>
      <c r="J822" s="20"/>
      <c r="K822" s="20"/>
      <c r="M822" s="2" t="str">
        <f>IF(ISBLANK(C822),"",IF(IFERROR(VLOOKUP(C822,DB_materiali!$A$2:$A$5000,1,FALSE),"Kļūda artikulā")=C822,"✔",tulkojums!A$42))</f>
        <v/>
      </c>
      <c r="N822" s="2" t="str">
        <f>IF(ISBLANK(C822),"",IF(ISNUMBER(F822)=TRUE,"✔",tulkojums!A$43))</f>
        <v/>
      </c>
      <c r="O822" s="2" t="str">
        <f>IF(ISBLANK(C822),"",IF(G822="Y","✔",IF(G822="X","✔",IF(G822="N","✔",tulkojums!A$44))))</f>
        <v/>
      </c>
      <c r="P822" s="2" t="str">
        <f>IF(ISBLANK(H822),"",IF(INDEX(DB_materiali!$E$2:$E$5000,MATCH($C822,DB_materiali!$A$2:$A$5000,0))&gt;=INDEX(DB_malas!$C$2:$C$5000,MATCH(H822,DB_malas!$A$2:$A$5000,0)),IF(INDEX(DB_materiali!$E$2:$E$5000,MATCH($C822,DB_materiali!$A$2:$A$5000,0))&lt;=INDEX(DB_malas!$D$2:$D$5000,MATCH(H822,DB_malas!$A$2:$A$5000,0)),IF(OR(INDEX(DB_materiali!$B$2:$B$5000,MATCH($C822,DB_materiali!$A$2:$A$5000,0))=INDEX(DB_malas!$B$2:$B$5000,MATCH(H822,DB_malas!$A$2:$A$5000,0)),$H822="ORG"),"✔",tulkojums!$A$38),tulkojums!$A$39),tulkojums!$A$39))</f>
        <v/>
      </c>
      <c r="Q822" s="2" t="str">
        <f>IF(ISBLANK(I822),"",IF(INDEX(DB_materiali!$E$2:$E$5000,MATCH($C822,DB_materiali!$A$2:$A$5000,0))&gt;=INDEX(DB_malas!$C$2:$C$5000,MATCH(I822,DB_malas!$A$2:$A$5000,0)),IF(INDEX(DB_materiali!$E$2:$E$5000,MATCH($C822,DB_materiali!$A$2:$A$5000,0))&lt;=INDEX(DB_malas!$D$2:$D$5000,MATCH(I822,DB_malas!$A$2:$A$5000,0)),IF(OR(INDEX(DB_materiali!$B$2:$B$5000,MATCH($C822,DB_materiali!$A$2:$A$5000,0))=INDEX(DB_malas!$B$2:$B$5000,MATCH(I822,DB_malas!$A$2:$A$5000,0)),$H822="ORG"),"✔",tulkojums!$A$38),tulkojums!$A$39),tulkojums!$A$39))</f>
        <v/>
      </c>
      <c r="R822" s="2" t="str">
        <f>IF(ISBLANK(J822),"",IF(INDEX(DB_materiali!$E$2:$E$5000,MATCH($C822,DB_materiali!$A$2:$A$5000,0))&gt;=INDEX(DB_malas!$C$2:$C$5000,MATCH(J822,DB_malas!$A$2:$A$5000,0)),IF(INDEX(DB_materiali!$E$2:$E$5000,MATCH($C822,DB_materiali!$A$2:$A$5000,0))&lt;=INDEX(DB_malas!$D$2:$D$5000,MATCH(J822,DB_malas!$A$2:$A$5000,0)),IF(INDEX(DB_materiali!$B$2:$B$5000,MATCH($C822,DB_materiali!$A$2:$A$5000,0))=INDEX(DB_malas!$B$2:$B$5000,MATCH(J822,DB_malas!$A$2:$A$5000,0)),"✔",tulkojums!$A$38),tulkojums!$A$39),tulkojums!$A$39))</f>
        <v/>
      </c>
      <c r="S822" s="2" t="str">
        <f>IF(ISBLANK(K822),"",IF(INDEX(DB_materiali!$E$2:$E$5000,MATCH($C822,DB_materiali!$A$2:$A$5000,0))&gt;=INDEX(DB_malas!$C$2:$C$5000,MATCH(K822,DB_malas!$A$2:$A$5000,0)),IF(INDEX(DB_materiali!$E$2:$E$5000,MATCH($C822,DB_materiali!$A$2:$A$5000,0))&lt;=INDEX(DB_malas!$D$2:$D$5000,MATCH(K822,DB_malas!$A$2:$A$5000,0)),IF(INDEX(DB_materiali!$B$2:$B$5000,MATCH($C822,DB_materiali!$A$2:$A$5000,0))=INDEX(DB_malas!$B$2:$B$5000,MATCH(K822,DB_malas!$A$2:$A$5000,0)),"✔",tulkojums!$A$38),tulkojums!$A$39),tulkojums!$A$39))</f>
        <v/>
      </c>
      <c r="T822" s="2"/>
      <c r="U822" s="2"/>
      <c r="V822" s="2"/>
      <c r="W822" s="2"/>
      <c r="X822" s="2"/>
      <c r="Y822" s="2"/>
      <c r="Z822" s="2"/>
    </row>
    <row r="823" spans="1:26" ht="15.75" customHeight="1">
      <c r="A823" s="17"/>
      <c r="B823" s="18"/>
      <c r="C823" s="19"/>
      <c r="D823" s="55"/>
      <c r="E823" s="55"/>
      <c r="F823" s="56"/>
      <c r="G823" s="57" t="str">
        <f>IF(ISBLANK(C823),"",
   IFERROR(
      IF(
         INDEX(DB_materiali!C$2:C$5000,
               MATCH(C823, DB_materiali!A$2:A$5000, 0)
         )="FALSE",
         "N",
         "Y"
      ),
   "")
)</f>
        <v/>
      </c>
      <c r="H823" s="20"/>
      <c r="I823" s="20"/>
      <c r="J823" s="20"/>
      <c r="K823" s="20"/>
      <c r="M823" s="2" t="str">
        <f>IF(ISBLANK(C823),"",IF(IFERROR(VLOOKUP(C823,DB_materiali!$A$2:$A$5000,1,FALSE),"Kļūda artikulā")=C823,"✔",tulkojums!A$42))</f>
        <v/>
      </c>
      <c r="N823" s="2" t="str">
        <f>IF(ISBLANK(C823),"",IF(ISNUMBER(F823)=TRUE,"✔",tulkojums!A$43))</f>
        <v/>
      </c>
      <c r="O823" s="2" t="str">
        <f>IF(ISBLANK(C823),"",IF(G823="Y","✔",IF(G823="X","✔",IF(G823="N","✔",tulkojums!A$44))))</f>
        <v/>
      </c>
      <c r="P823" s="2" t="str">
        <f>IF(ISBLANK(H823),"",IF(INDEX(DB_materiali!$E$2:$E$5000,MATCH($C823,DB_materiali!$A$2:$A$5000,0))&gt;=INDEX(DB_malas!$C$2:$C$5000,MATCH(H823,DB_malas!$A$2:$A$5000,0)),IF(INDEX(DB_materiali!$E$2:$E$5000,MATCH($C823,DB_materiali!$A$2:$A$5000,0))&lt;=INDEX(DB_malas!$D$2:$D$5000,MATCH(H823,DB_malas!$A$2:$A$5000,0)),IF(OR(INDEX(DB_materiali!$B$2:$B$5000,MATCH($C823,DB_materiali!$A$2:$A$5000,0))=INDEX(DB_malas!$B$2:$B$5000,MATCH(H823,DB_malas!$A$2:$A$5000,0)),$H823="ORG"),"✔",tulkojums!$A$38),tulkojums!$A$39),tulkojums!$A$39))</f>
        <v/>
      </c>
      <c r="Q823" s="2" t="str">
        <f>IF(ISBLANK(I823),"",IF(INDEX(DB_materiali!$E$2:$E$5000,MATCH($C823,DB_materiali!$A$2:$A$5000,0))&gt;=INDEX(DB_malas!$C$2:$C$5000,MATCH(I823,DB_malas!$A$2:$A$5000,0)),IF(INDEX(DB_materiali!$E$2:$E$5000,MATCH($C823,DB_materiali!$A$2:$A$5000,0))&lt;=INDEX(DB_malas!$D$2:$D$5000,MATCH(I823,DB_malas!$A$2:$A$5000,0)),IF(OR(INDEX(DB_materiali!$B$2:$B$5000,MATCH($C823,DB_materiali!$A$2:$A$5000,0))=INDEX(DB_malas!$B$2:$B$5000,MATCH(I823,DB_malas!$A$2:$A$5000,0)),$H823="ORG"),"✔",tulkojums!$A$38),tulkojums!$A$39),tulkojums!$A$39))</f>
        <v/>
      </c>
      <c r="R823" s="2" t="str">
        <f>IF(ISBLANK(J823),"",IF(INDEX(DB_materiali!$E$2:$E$5000,MATCH($C823,DB_materiali!$A$2:$A$5000,0))&gt;=INDEX(DB_malas!$C$2:$C$5000,MATCH(J823,DB_malas!$A$2:$A$5000,0)),IF(INDEX(DB_materiali!$E$2:$E$5000,MATCH($C823,DB_materiali!$A$2:$A$5000,0))&lt;=INDEX(DB_malas!$D$2:$D$5000,MATCH(J823,DB_malas!$A$2:$A$5000,0)),IF(INDEX(DB_materiali!$B$2:$B$5000,MATCH($C823,DB_materiali!$A$2:$A$5000,0))=INDEX(DB_malas!$B$2:$B$5000,MATCH(J823,DB_malas!$A$2:$A$5000,0)),"✔",tulkojums!$A$38),tulkojums!$A$39),tulkojums!$A$39))</f>
        <v/>
      </c>
      <c r="S823" s="2" t="str">
        <f>IF(ISBLANK(K823),"",IF(INDEX(DB_materiali!$E$2:$E$5000,MATCH($C823,DB_materiali!$A$2:$A$5000,0))&gt;=INDEX(DB_malas!$C$2:$C$5000,MATCH(K823,DB_malas!$A$2:$A$5000,0)),IF(INDEX(DB_materiali!$E$2:$E$5000,MATCH($C823,DB_materiali!$A$2:$A$5000,0))&lt;=INDEX(DB_malas!$D$2:$D$5000,MATCH(K823,DB_malas!$A$2:$A$5000,0)),IF(INDEX(DB_materiali!$B$2:$B$5000,MATCH($C823,DB_materiali!$A$2:$A$5000,0))=INDEX(DB_malas!$B$2:$B$5000,MATCH(K823,DB_malas!$A$2:$A$5000,0)),"✔",tulkojums!$A$38),tulkojums!$A$39),tulkojums!$A$39))</f>
        <v/>
      </c>
      <c r="T823" s="2"/>
      <c r="U823" s="2"/>
      <c r="V823" s="2"/>
      <c r="W823" s="2"/>
      <c r="X823" s="2"/>
      <c r="Y823" s="2"/>
      <c r="Z823" s="2"/>
    </row>
    <row r="824" spans="1:26" ht="15.75" customHeight="1">
      <c r="A824" s="17"/>
      <c r="B824" s="18"/>
      <c r="C824" s="19"/>
      <c r="D824" s="55"/>
      <c r="E824" s="55"/>
      <c r="F824" s="56"/>
      <c r="G824" s="57" t="str">
        <f>IF(ISBLANK(C824),"",
   IFERROR(
      IF(
         INDEX(DB_materiali!C$2:C$5000,
               MATCH(C824, DB_materiali!A$2:A$5000, 0)
         )="FALSE",
         "N",
         "Y"
      ),
   "")
)</f>
        <v/>
      </c>
      <c r="H824" s="20"/>
      <c r="I824" s="20"/>
      <c r="J824" s="20"/>
      <c r="K824" s="20"/>
      <c r="M824" s="2" t="str">
        <f>IF(ISBLANK(C824),"",IF(IFERROR(VLOOKUP(C824,DB_materiali!$A$2:$A$5000,1,FALSE),"Kļūda artikulā")=C824,"✔",tulkojums!A$42))</f>
        <v/>
      </c>
      <c r="N824" s="2" t="str">
        <f>IF(ISBLANK(C824),"",IF(ISNUMBER(F824)=TRUE,"✔",tulkojums!A$43))</f>
        <v/>
      </c>
      <c r="O824" s="2" t="str">
        <f>IF(ISBLANK(C824),"",IF(G824="Y","✔",IF(G824="X","✔",IF(G824="N","✔",tulkojums!A$44))))</f>
        <v/>
      </c>
      <c r="P824" s="2" t="str">
        <f>IF(ISBLANK(H824),"",IF(INDEX(DB_materiali!$E$2:$E$5000,MATCH($C824,DB_materiali!$A$2:$A$5000,0))&gt;=INDEX(DB_malas!$C$2:$C$5000,MATCH(H824,DB_malas!$A$2:$A$5000,0)),IF(INDEX(DB_materiali!$E$2:$E$5000,MATCH($C824,DB_materiali!$A$2:$A$5000,0))&lt;=INDEX(DB_malas!$D$2:$D$5000,MATCH(H824,DB_malas!$A$2:$A$5000,0)),IF(OR(INDEX(DB_materiali!$B$2:$B$5000,MATCH($C824,DB_materiali!$A$2:$A$5000,0))=INDEX(DB_malas!$B$2:$B$5000,MATCH(H824,DB_malas!$A$2:$A$5000,0)),$H824="ORG"),"✔",tulkojums!$A$38),tulkojums!$A$39),tulkojums!$A$39))</f>
        <v/>
      </c>
      <c r="Q824" s="2" t="str">
        <f>IF(ISBLANK(I824),"",IF(INDEX(DB_materiali!$E$2:$E$5000,MATCH($C824,DB_materiali!$A$2:$A$5000,0))&gt;=INDEX(DB_malas!$C$2:$C$5000,MATCH(I824,DB_malas!$A$2:$A$5000,0)),IF(INDEX(DB_materiali!$E$2:$E$5000,MATCH($C824,DB_materiali!$A$2:$A$5000,0))&lt;=INDEX(DB_malas!$D$2:$D$5000,MATCH(I824,DB_malas!$A$2:$A$5000,0)),IF(OR(INDEX(DB_materiali!$B$2:$B$5000,MATCH($C824,DB_materiali!$A$2:$A$5000,0))=INDEX(DB_malas!$B$2:$B$5000,MATCH(I824,DB_malas!$A$2:$A$5000,0)),$H824="ORG"),"✔",tulkojums!$A$38),tulkojums!$A$39),tulkojums!$A$39))</f>
        <v/>
      </c>
      <c r="R824" s="2" t="str">
        <f>IF(ISBLANK(J824),"",IF(INDEX(DB_materiali!$E$2:$E$5000,MATCH($C824,DB_materiali!$A$2:$A$5000,0))&gt;=INDEX(DB_malas!$C$2:$C$5000,MATCH(J824,DB_malas!$A$2:$A$5000,0)),IF(INDEX(DB_materiali!$E$2:$E$5000,MATCH($C824,DB_materiali!$A$2:$A$5000,0))&lt;=INDEX(DB_malas!$D$2:$D$5000,MATCH(J824,DB_malas!$A$2:$A$5000,0)),IF(INDEX(DB_materiali!$B$2:$B$5000,MATCH($C824,DB_materiali!$A$2:$A$5000,0))=INDEX(DB_malas!$B$2:$B$5000,MATCH(J824,DB_malas!$A$2:$A$5000,0)),"✔",tulkojums!$A$38),tulkojums!$A$39),tulkojums!$A$39))</f>
        <v/>
      </c>
      <c r="S824" s="2" t="str">
        <f>IF(ISBLANK(K824),"",IF(INDEX(DB_materiali!$E$2:$E$5000,MATCH($C824,DB_materiali!$A$2:$A$5000,0))&gt;=INDEX(DB_malas!$C$2:$C$5000,MATCH(K824,DB_malas!$A$2:$A$5000,0)),IF(INDEX(DB_materiali!$E$2:$E$5000,MATCH($C824,DB_materiali!$A$2:$A$5000,0))&lt;=INDEX(DB_malas!$D$2:$D$5000,MATCH(K824,DB_malas!$A$2:$A$5000,0)),IF(INDEX(DB_materiali!$B$2:$B$5000,MATCH($C824,DB_materiali!$A$2:$A$5000,0))=INDEX(DB_malas!$B$2:$B$5000,MATCH(K824,DB_malas!$A$2:$A$5000,0)),"✔",tulkojums!$A$38),tulkojums!$A$39),tulkojums!$A$39))</f>
        <v/>
      </c>
      <c r="T824" s="2"/>
      <c r="U824" s="2"/>
      <c r="V824" s="2"/>
      <c r="W824" s="2"/>
      <c r="X824" s="2"/>
      <c r="Y824" s="2"/>
      <c r="Z824" s="2"/>
    </row>
    <row r="825" spans="1:26" ht="15.75" customHeight="1">
      <c r="A825" s="17"/>
      <c r="B825" s="18"/>
      <c r="C825" s="19"/>
      <c r="D825" s="55"/>
      <c r="E825" s="55"/>
      <c r="F825" s="56"/>
      <c r="G825" s="57" t="str">
        <f>IF(ISBLANK(C825),"",
   IFERROR(
      IF(
         INDEX(DB_materiali!C$2:C$5000,
               MATCH(C825, DB_materiali!A$2:A$5000, 0)
         )="FALSE",
         "N",
         "Y"
      ),
   "")
)</f>
        <v/>
      </c>
      <c r="H825" s="20"/>
      <c r="I825" s="20"/>
      <c r="J825" s="20"/>
      <c r="K825" s="20"/>
      <c r="M825" s="2" t="str">
        <f>IF(ISBLANK(C825),"",IF(IFERROR(VLOOKUP(C825,DB_materiali!$A$2:$A$5000,1,FALSE),"Kļūda artikulā")=C825,"✔",tulkojums!A$42))</f>
        <v/>
      </c>
      <c r="N825" s="2" t="str">
        <f>IF(ISBLANK(C825),"",IF(ISNUMBER(F825)=TRUE,"✔",tulkojums!A$43))</f>
        <v/>
      </c>
      <c r="O825" s="2" t="str">
        <f>IF(ISBLANK(C825),"",IF(G825="Y","✔",IF(G825="X","✔",IF(G825="N","✔",tulkojums!A$44))))</f>
        <v/>
      </c>
      <c r="P825" s="2" t="str">
        <f>IF(ISBLANK(H825),"",IF(INDEX(DB_materiali!$E$2:$E$5000,MATCH($C825,DB_materiali!$A$2:$A$5000,0))&gt;=INDEX(DB_malas!$C$2:$C$5000,MATCH(H825,DB_malas!$A$2:$A$5000,0)),IF(INDEX(DB_materiali!$E$2:$E$5000,MATCH($C825,DB_materiali!$A$2:$A$5000,0))&lt;=INDEX(DB_malas!$D$2:$D$5000,MATCH(H825,DB_malas!$A$2:$A$5000,0)),IF(OR(INDEX(DB_materiali!$B$2:$B$5000,MATCH($C825,DB_materiali!$A$2:$A$5000,0))=INDEX(DB_malas!$B$2:$B$5000,MATCH(H825,DB_malas!$A$2:$A$5000,0)),$H825="ORG"),"✔",tulkojums!$A$38),tulkojums!$A$39),tulkojums!$A$39))</f>
        <v/>
      </c>
      <c r="Q825" s="2" t="str">
        <f>IF(ISBLANK(I825),"",IF(INDEX(DB_materiali!$E$2:$E$5000,MATCH($C825,DB_materiali!$A$2:$A$5000,0))&gt;=INDEX(DB_malas!$C$2:$C$5000,MATCH(I825,DB_malas!$A$2:$A$5000,0)),IF(INDEX(DB_materiali!$E$2:$E$5000,MATCH($C825,DB_materiali!$A$2:$A$5000,0))&lt;=INDEX(DB_malas!$D$2:$D$5000,MATCH(I825,DB_malas!$A$2:$A$5000,0)),IF(OR(INDEX(DB_materiali!$B$2:$B$5000,MATCH($C825,DB_materiali!$A$2:$A$5000,0))=INDEX(DB_malas!$B$2:$B$5000,MATCH(I825,DB_malas!$A$2:$A$5000,0)),$H825="ORG"),"✔",tulkojums!$A$38),tulkojums!$A$39),tulkojums!$A$39))</f>
        <v/>
      </c>
      <c r="R825" s="2" t="str">
        <f>IF(ISBLANK(J825),"",IF(INDEX(DB_materiali!$E$2:$E$5000,MATCH($C825,DB_materiali!$A$2:$A$5000,0))&gt;=INDEX(DB_malas!$C$2:$C$5000,MATCH(J825,DB_malas!$A$2:$A$5000,0)),IF(INDEX(DB_materiali!$E$2:$E$5000,MATCH($C825,DB_materiali!$A$2:$A$5000,0))&lt;=INDEX(DB_malas!$D$2:$D$5000,MATCH(J825,DB_malas!$A$2:$A$5000,0)),IF(INDEX(DB_materiali!$B$2:$B$5000,MATCH($C825,DB_materiali!$A$2:$A$5000,0))=INDEX(DB_malas!$B$2:$B$5000,MATCH(J825,DB_malas!$A$2:$A$5000,0)),"✔",tulkojums!$A$38),tulkojums!$A$39),tulkojums!$A$39))</f>
        <v/>
      </c>
      <c r="S825" s="2" t="str">
        <f>IF(ISBLANK(K825),"",IF(INDEX(DB_materiali!$E$2:$E$5000,MATCH($C825,DB_materiali!$A$2:$A$5000,0))&gt;=INDEX(DB_malas!$C$2:$C$5000,MATCH(K825,DB_malas!$A$2:$A$5000,0)),IF(INDEX(DB_materiali!$E$2:$E$5000,MATCH($C825,DB_materiali!$A$2:$A$5000,0))&lt;=INDEX(DB_malas!$D$2:$D$5000,MATCH(K825,DB_malas!$A$2:$A$5000,0)),IF(INDEX(DB_materiali!$B$2:$B$5000,MATCH($C825,DB_materiali!$A$2:$A$5000,0))=INDEX(DB_malas!$B$2:$B$5000,MATCH(K825,DB_malas!$A$2:$A$5000,0)),"✔",tulkojums!$A$38),tulkojums!$A$39),tulkojums!$A$39))</f>
        <v/>
      </c>
      <c r="T825" s="2"/>
      <c r="U825" s="2"/>
      <c r="V825" s="2"/>
      <c r="W825" s="2"/>
      <c r="X825" s="2"/>
      <c r="Y825" s="2"/>
      <c r="Z825" s="2"/>
    </row>
    <row r="826" spans="1:26" ht="15.75" customHeight="1">
      <c r="A826" s="17"/>
      <c r="B826" s="18"/>
      <c r="C826" s="19"/>
      <c r="D826" s="55"/>
      <c r="E826" s="55"/>
      <c r="F826" s="56"/>
      <c r="G826" s="57" t="str">
        <f>IF(ISBLANK(C826),"",
   IFERROR(
      IF(
         INDEX(DB_materiali!C$2:C$5000,
               MATCH(C826, DB_materiali!A$2:A$5000, 0)
         )="FALSE",
         "N",
         "Y"
      ),
   "")
)</f>
        <v/>
      </c>
      <c r="H826" s="20"/>
      <c r="I826" s="20"/>
      <c r="J826" s="20"/>
      <c r="K826" s="20"/>
      <c r="M826" s="2" t="str">
        <f>IF(ISBLANK(C826),"",IF(IFERROR(VLOOKUP(C826,DB_materiali!$A$2:$A$5000,1,FALSE),"Kļūda artikulā")=C826,"✔",tulkojums!A$42))</f>
        <v/>
      </c>
      <c r="N826" s="2" t="str">
        <f>IF(ISBLANK(C826),"",IF(ISNUMBER(F826)=TRUE,"✔",tulkojums!A$43))</f>
        <v/>
      </c>
      <c r="O826" s="2" t="str">
        <f>IF(ISBLANK(C826),"",IF(G826="Y","✔",IF(G826="X","✔",IF(G826="N","✔",tulkojums!A$44))))</f>
        <v/>
      </c>
      <c r="P826" s="2" t="str">
        <f>IF(ISBLANK(H826),"",IF(INDEX(DB_materiali!$E$2:$E$5000,MATCH($C826,DB_materiali!$A$2:$A$5000,0))&gt;=INDEX(DB_malas!$C$2:$C$5000,MATCH(H826,DB_malas!$A$2:$A$5000,0)),IF(INDEX(DB_materiali!$E$2:$E$5000,MATCH($C826,DB_materiali!$A$2:$A$5000,0))&lt;=INDEX(DB_malas!$D$2:$D$5000,MATCH(H826,DB_malas!$A$2:$A$5000,0)),IF(OR(INDEX(DB_materiali!$B$2:$B$5000,MATCH($C826,DB_materiali!$A$2:$A$5000,0))=INDEX(DB_malas!$B$2:$B$5000,MATCH(H826,DB_malas!$A$2:$A$5000,0)),$H826="ORG"),"✔",tulkojums!$A$38),tulkojums!$A$39),tulkojums!$A$39))</f>
        <v/>
      </c>
      <c r="Q826" s="2" t="str">
        <f>IF(ISBLANK(I826),"",IF(INDEX(DB_materiali!$E$2:$E$5000,MATCH($C826,DB_materiali!$A$2:$A$5000,0))&gt;=INDEX(DB_malas!$C$2:$C$5000,MATCH(I826,DB_malas!$A$2:$A$5000,0)),IF(INDEX(DB_materiali!$E$2:$E$5000,MATCH($C826,DB_materiali!$A$2:$A$5000,0))&lt;=INDEX(DB_malas!$D$2:$D$5000,MATCH(I826,DB_malas!$A$2:$A$5000,0)),IF(OR(INDEX(DB_materiali!$B$2:$B$5000,MATCH($C826,DB_materiali!$A$2:$A$5000,0))=INDEX(DB_malas!$B$2:$B$5000,MATCH(I826,DB_malas!$A$2:$A$5000,0)),$H826="ORG"),"✔",tulkojums!$A$38),tulkojums!$A$39),tulkojums!$A$39))</f>
        <v/>
      </c>
      <c r="R826" s="2" t="str">
        <f>IF(ISBLANK(J826),"",IF(INDEX(DB_materiali!$E$2:$E$5000,MATCH($C826,DB_materiali!$A$2:$A$5000,0))&gt;=INDEX(DB_malas!$C$2:$C$5000,MATCH(J826,DB_malas!$A$2:$A$5000,0)),IF(INDEX(DB_materiali!$E$2:$E$5000,MATCH($C826,DB_materiali!$A$2:$A$5000,0))&lt;=INDEX(DB_malas!$D$2:$D$5000,MATCH(J826,DB_malas!$A$2:$A$5000,0)),IF(INDEX(DB_materiali!$B$2:$B$5000,MATCH($C826,DB_materiali!$A$2:$A$5000,0))=INDEX(DB_malas!$B$2:$B$5000,MATCH(J826,DB_malas!$A$2:$A$5000,0)),"✔",tulkojums!$A$38),tulkojums!$A$39),tulkojums!$A$39))</f>
        <v/>
      </c>
      <c r="S826" s="2" t="str">
        <f>IF(ISBLANK(K826),"",IF(INDEX(DB_materiali!$E$2:$E$5000,MATCH($C826,DB_materiali!$A$2:$A$5000,0))&gt;=INDEX(DB_malas!$C$2:$C$5000,MATCH(K826,DB_malas!$A$2:$A$5000,0)),IF(INDEX(DB_materiali!$E$2:$E$5000,MATCH($C826,DB_materiali!$A$2:$A$5000,0))&lt;=INDEX(DB_malas!$D$2:$D$5000,MATCH(K826,DB_malas!$A$2:$A$5000,0)),IF(INDEX(DB_materiali!$B$2:$B$5000,MATCH($C826,DB_materiali!$A$2:$A$5000,0))=INDEX(DB_malas!$B$2:$B$5000,MATCH(K826,DB_malas!$A$2:$A$5000,0)),"✔",tulkojums!$A$38),tulkojums!$A$39),tulkojums!$A$39))</f>
        <v/>
      </c>
      <c r="T826" s="2"/>
      <c r="U826" s="2"/>
      <c r="V826" s="2"/>
      <c r="W826" s="2"/>
      <c r="X826" s="2"/>
      <c r="Y826" s="2"/>
      <c r="Z826" s="2"/>
    </row>
    <row r="827" spans="1:26" ht="15.75" customHeight="1">
      <c r="A827" s="17"/>
      <c r="B827" s="18"/>
      <c r="C827" s="19"/>
      <c r="D827" s="55"/>
      <c r="E827" s="55"/>
      <c r="F827" s="56"/>
      <c r="G827" s="57" t="str">
        <f>IF(ISBLANK(C827),"",
   IFERROR(
      IF(
         INDEX(DB_materiali!C$2:C$5000,
               MATCH(C827, DB_materiali!A$2:A$5000, 0)
         )="FALSE",
         "N",
         "Y"
      ),
   "")
)</f>
        <v/>
      </c>
      <c r="H827" s="20"/>
      <c r="I827" s="20"/>
      <c r="J827" s="20"/>
      <c r="K827" s="20"/>
      <c r="M827" s="2" t="str">
        <f>IF(ISBLANK(C827),"",IF(IFERROR(VLOOKUP(C827,DB_materiali!$A$2:$A$5000,1,FALSE),"Kļūda artikulā")=C827,"✔",tulkojums!A$42))</f>
        <v/>
      </c>
      <c r="N827" s="2" t="str">
        <f>IF(ISBLANK(C827),"",IF(ISNUMBER(F827)=TRUE,"✔",tulkojums!A$43))</f>
        <v/>
      </c>
      <c r="O827" s="2" t="str">
        <f>IF(ISBLANK(C827),"",IF(G827="Y","✔",IF(G827="X","✔",IF(G827="N","✔",tulkojums!A$44))))</f>
        <v/>
      </c>
      <c r="P827" s="2" t="str">
        <f>IF(ISBLANK(H827),"",IF(INDEX(DB_materiali!$E$2:$E$5000,MATCH($C827,DB_materiali!$A$2:$A$5000,0))&gt;=INDEX(DB_malas!$C$2:$C$5000,MATCH(H827,DB_malas!$A$2:$A$5000,0)),IF(INDEX(DB_materiali!$E$2:$E$5000,MATCH($C827,DB_materiali!$A$2:$A$5000,0))&lt;=INDEX(DB_malas!$D$2:$D$5000,MATCH(H827,DB_malas!$A$2:$A$5000,0)),IF(OR(INDEX(DB_materiali!$B$2:$B$5000,MATCH($C827,DB_materiali!$A$2:$A$5000,0))=INDEX(DB_malas!$B$2:$B$5000,MATCH(H827,DB_malas!$A$2:$A$5000,0)),$H827="ORG"),"✔",tulkojums!$A$38),tulkojums!$A$39),tulkojums!$A$39))</f>
        <v/>
      </c>
      <c r="Q827" s="2" t="str">
        <f>IF(ISBLANK(I827),"",IF(INDEX(DB_materiali!$E$2:$E$5000,MATCH($C827,DB_materiali!$A$2:$A$5000,0))&gt;=INDEX(DB_malas!$C$2:$C$5000,MATCH(I827,DB_malas!$A$2:$A$5000,0)),IF(INDEX(DB_materiali!$E$2:$E$5000,MATCH($C827,DB_materiali!$A$2:$A$5000,0))&lt;=INDEX(DB_malas!$D$2:$D$5000,MATCH(I827,DB_malas!$A$2:$A$5000,0)),IF(OR(INDEX(DB_materiali!$B$2:$B$5000,MATCH($C827,DB_materiali!$A$2:$A$5000,0))=INDEX(DB_malas!$B$2:$B$5000,MATCH(I827,DB_malas!$A$2:$A$5000,0)),$H827="ORG"),"✔",tulkojums!$A$38),tulkojums!$A$39),tulkojums!$A$39))</f>
        <v/>
      </c>
      <c r="R827" s="2" t="str">
        <f>IF(ISBLANK(J827),"",IF(INDEX(DB_materiali!$E$2:$E$5000,MATCH($C827,DB_materiali!$A$2:$A$5000,0))&gt;=INDEX(DB_malas!$C$2:$C$5000,MATCH(J827,DB_malas!$A$2:$A$5000,0)),IF(INDEX(DB_materiali!$E$2:$E$5000,MATCH($C827,DB_materiali!$A$2:$A$5000,0))&lt;=INDEX(DB_malas!$D$2:$D$5000,MATCH(J827,DB_malas!$A$2:$A$5000,0)),IF(INDEX(DB_materiali!$B$2:$B$5000,MATCH($C827,DB_materiali!$A$2:$A$5000,0))=INDEX(DB_malas!$B$2:$B$5000,MATCH(J827,DB_malas!$A$2:$A$5000,0)),"✔",tulkojums!$A$38),tulkojums!$A$39),tulkojums!$A$39))</f>
        <v/>
      </c>
      <c r="S827" s="2" t="str">
        <f>IF(ISBLANK(K827),"",IF(INDEX(DB_materiali!$E$2:$E$5000,MATCH($C827,DB_materiali!$A$2:$A$5000,0))&gt;=INDEX(DB_malas!$C$2:$C$5000,MATCH(K827,DB_malas!$A$2:$A$5000,0)),IF(INDEX(DB_materiali!$E$2:$E$5000,MATCH($C827,DB_materiali!$A$2:$A$5000,0))&lt;=INDEX(DB_malas!$D$2:$D$5000,MATCH(K827,DB_malas!$A$2:$A$5000,0)),IF(INDEX(DB_materiali!$B$2:$B$5000,MATCH($C827,DB_materiali!$A$2:$A$5000,0))=INDEX(DB_malas!$B$2:$B$5000,MATCH(K827,DB_malas!$A$2:$A$5000,0)),"✔",tulkojums!$A$38),tulkojums!$A$39),tulkojums!$A$39))</f>
        <v/>
      </c>
      <c r="T827" s="2"/>
      <c r="U827" s="2"/>
      <c r="V827" s="2"/>
      <c r="W827" s="2"/>
      <c r="X827" s="2"/>
      <c r="Y827" s="2"/>
      <c r="Z827" s="2"/>
    </row>
    <row r="828" spans="1:26" ht="15.75" customHeight="1">
      <c r="A828" s="17"/>
      <c r="B828" s="18"/>
      <c r="C828" s="19"/>
      <c r="D828" s="55"/>
      <c r="E828" s="55"/>
      <c r="F828" s="56"/>
      <c r="G828" s="57" t="str">
        <f>IF(ISBLANK(C828),"",
   IFERROR(
      IF(
         INDEX(DB_materiali!C$2:C$5000,
               MATCH(C828, DB_materiali!A$2:A$5000, 0)
         )="FALSE",
         "N",
         "Y"
      ),
   "")
)</f>
        <v/>
      </c>
      <c r="H828" s="20"/>
      <c r="I828" s="20"/>
      <c r="J828" s="20"/>
      <c r="K828" s="20"/>
      <c r="M828" s="2" t="str">
        <f>IF(ISBLANK(C828),"",IF(IFERROR(VLOOKUP(C828,DB_materiali!$A$2:$A$5000,1,FALSE),"Kļūda artikulā")=C828,"✔",tulkojums!A$42))</f>
        <v/>
      </c>
      <c r="N828" s="2" t="str">
        <f>IF(ISBLANK(C828),"",IF(ISNUMBER(F828)=TRUE,"✔",tulkojums!A$43))</f>
        <v/>
      </c>
      <c r="O828" s="2" t="str">
        <f>IF(ISBLANK(C828),"",IF(G828="Y","✔",IF(G828="X","✔",IF(G828="N","✔",tulkojums!A$44))))</f>
        <v/>
      </c>
      <c r="P828" s="2" t="str">
        <f>IF(ISBLANK(H828),"",IF(INDEX(DB_materiali!$E$2:$E$5000,MATCH($C828,DB_materiali!$A$2:$A$5000,0))&gt;=INDEX(DB_malas!$C$2:$C$5000,MATCH(H828,DB_malas!$A$2:$A$5000,0)),IF(INDEX(DB_materiali!$E$2:$E$5000,MATCH($C828,DB_materiali!$A$2:$A$5000,0))&lt;=INDEX(DB_malas!$D$2:$D$5000,MATCH(H828,DB_malas!$A$2:$A$5000,0)),IF(OR(INDEX(DB_materiali!$B$2:$B$5000,MATCH($C828,DB_materiali!$A$2:$A$5000,0))=INDEX(DB_malas!$B$2:$B$5000,MATCH(H828,DB_malas!$A$2:$A$5000,0)),$H828="ORG"),"✔",tulkojums!$A$38),tulkojums!$A$39),tulkojums!$A$39))</f>
        <v/>
      </c>
      <c r="Q828" s="2" t="str">
        <f>IF(ISBLANK(I828),"",IF(INDEX(DB_materiali!$E$2:$E$5000,MATCH($C828,DB_materiali!$A$2:$A$5000,0))&gt;=INDEX(DB_malas!$C$2:$C$5000,MATCH(I828,DB_malas!$A$2:$A$5000,0)),IF(INDEX(DB_materiali!$E$2:$E$5000,MATCH($C828,DB_materiali!$A$2:$A$5000,0))&lt;=INDEX(DB_malas!$D$2:$D$5000,MATCH(I828,DB_malas!$A$2:$A$5000,0)),IF(OR(INDEX(DB_materiali!$B$2:$B$5000,MATCH($C828,DB_materiali!$A$2:$A$5000,0))=INDEX(DB_malas!$B$2:$B$5000,MATCH(I828,DB_malas!$A$2:$A$5000,0)),$H828="ORG"),"✔",tulkojums!$A$38),tulkojums!$A$39),tulkojums!$A$39))</f>
        <v/>
      </c>
      <c r="R828" s="2" t="str">
        <f>IF(ISBLANK(J828),"",IF(INDEX(DB_materiali!$E$2:$E$5000,MATCH($C828,DB_materiali!$A$2:$A$5000,0))&gt;=INDEX(DB_malas!$C$2:$C$5000,MATCH(J828,DB_malas!$A$2:$A$5000,0)),IF(INDEX(DB_materiali!$E$2:$E$5000,MATCH($C828,DB_materiali!$A$2:$A$5000,0))&lt;=INDEX(DB_malas!$D$2:$D$5000,MATCH(J828,DB_malas!$A$2:$A$5000,0)),IF(INDEX(DB_materiali!$B$2:$B$5000,MATCH($C828,DB_materiali!$A$2:$A$5000,0))=INDEX(DB_malas!$B$2:$B$5000,MATCH(J828,DB_malas!$A$2:$A$5000,0)),"✔",tulkojums!$A$38),tulkojums!$A$39),tulkojums!$A$39))</f>
        <v/>
      </c>
      <c r="S828" s="2" t="str">
        <f>IF(ISBLANK(K828),"",IF(INDEX(DB_materiali!$E$2:$E$5000,MATCH($C828,DB_materiali!$A$2:$A$5000,0))&gt;=INDEX(DB_malas!$C$2:$C$5000,MATCH(K828,DB_malas!$A$2:$A$5000,0)),IF(INDEX(DB_materiali!$E$2:$E$5000,MATCH($C828,DB_materiali!$A$2:$A$5000,0))&lt;=INDEX(DB_malas!$D$2:$D$5000,MATCH(K828,DB_malas!$A$2:$A$5000,0)),IF(INDEX(DB_materiali!$B$2:$B$5000,MATCH($C828,DB_materiali!$A$2:$A$5000,0))=INDEX(DB_malas!$B$2:$B$5000,MATCH(K828,DB_malas!$A$2:$A$5000,0)),"✔",tulkojums!$A$38),tulkojums!$A$39),tulkojums!$A$39))</f>
        <v/>
      </c>
      <c r="T828" s="2"/>
      <c r="U828" s="2"/>
      <c r="V828" s="2"/>
      <c r="W828" s="2"/>
      <c r="X828" s="2"/>
      <c r="Y828" s="2"/>
      <c r="Z828" s="2"/>
    </row>
    <row r="829" spans="1:26" ht="15.75" customHeight="1">
      <c r="A829" s="17"/>
      <c r="B829" s="18"/>
      <c r="C829" s="19"/>
      <c r="D829" s="55"/>
      <c r="E829" s="55"/>
      <c r="F829" s="56"/>
      <c r="G829" s="57" t="str">
        <f>IF(ISBLANK(C829),"",
   IFERROR(
      IF(
         INDEX(DB_materiali!C$2:C$5000,
               MATCH(C829, DB_materiali!A$2:A$5000, 0)
         )="FALSE",
         "N",
         "Y"
      ),
   "")
)</f>
        <v/>
      </c>
      <c r="H829" s="20"/>
      <c r="I829" s="20"/>
      <c r="J829" s="20"/>
      <c r="K829" s="20"/>
      <c r="M829" s="2" t="str">
        <f>IF(ISBLANK(C829),"",IF(IFERROR(VLOOKUP(C829,DB_materiali!$A$2:$A$5000,1,FALSE),"Kļūda artikulā")=C829,"✔",tulkojums!A$42))</f>
        <v/>
      </c>
      <c r="N829" s="2" t="str">
        <f>IF(ISBLANK(C829),"",IF(ISNUMBER(F829)=TRUE,"✔",tulkojums!A$43))</f>
        <v/>
      </c>
      <c r="O829" s="2" t="str">
        <f>IF(ISBLANK(C829),"",IF(G829="Y","✔",IF(G829="X","✔",IF(G829="N","✔",tulkojums!A$44))))</f>
        <v/>
      </c>
      <c r="P829" s="2" t="str">
        <f>IF(ISBLANK(H829),"",IF(INDEX(DB_materiali!$E$2:$E$5000,MATCH($C829,DB_materiali!$A$2:$A$5000,0))&gt;=INDEX(DB_malas!$C$2:$C$5000,MATCH(H829,DB_malas!$A$2:$A$5000,0)),IF(INDEX(DB_materiali!$E$2:$E$5000,MATCH($C829,DB_materiali!$A$2:$A$5000,0))&lt;=INDEX(DB_malas!$D$2:$D$5000,MATCH(H829,DB_malas!$A$2:$A$5000,0)),IF(OR(INDEX(DB_materiali!$B$2:$B$5000,MATCH($C829,DB_materiali!$A$2:$A$5000,0))=INDEX(DB_malas!$B$2:$B$5000,MATCH(H829,DB_malas!$A$2:$A$5000,0)),$H829="ORG"),"✔",tulkojums!$A$38),tulkojums!$A$39),tulkojums!$A$39))</f>
        <v/>
      </c>
      <c r="Q829" s="2" t="str">
        <f>IF(ISBLANK(I829),"",IF(INDEX(DB_materiali!$E$2:$E$5000,MATCH($C829,DB_materiali!$A$2:$A$5000,0))&gt;=INDEX(DB_malas!$C$2:$C$5000,MATCH(I829,DB_malas!$A$2:$A$5000,0)),IF(INDEX(DB_materiali!$E$2:$E$5000,MATCH($C829,DB_materiali!$A$2:$A$5000,0))&lt;=INDEX(DB_malas!$D$2:$D$5000,MATCH(I829,DB_malas!$A$2:$A$5000,0)),IF(OR(INDEX(DB_materiali!$B$2:$B$5000,MATCH($C829,DB_materiali!$A$2:$A$5000,0))=INDEX(DB_malas!$B$2:$B$5000,MATCH(I829,DB_malas!$A$2:$A$5000,0)),$H829="ORG"),"✔",tulkojums!$A$38),tulkojums!$A$39),tulkojums!$A$39))</f>
        <v/>
      </c>
      <c r="R829" s="2" t="str">
        <f>IF(ISBLANK(J829),"",IF(INDEX(DB_materiali!$E$2:$E$5000,MATCH($C829,DB_materiali!$A$2:$A$5000,0))&gt;=INDEX(DB_malas!$C$2:$C$5000,MATCH(J829,DB_malas!$A$2:$A$5000,0)),IF(INDEX(DB_materiali!$E$2:$E$5000,MATCH($C829,DB_materiali!$A$2:$A$5000,0))&lt;=INDEX(DB_malas!$D$2:$D$5000,MATCH(J829,DB_malas!$A$2:$A$5000,0)),IF(INDEX(DB_materiali!$B$2:$B$5000,MATCH($C829,DB_materiali!$A$2:$A$5000,0))=INDEX(DB_malas!$B$2:$B$5000,MATCH(J829,DB_malas!$A$2:$A$5000,0)),"✔",tulkojums!$A$38),tulkojums!$A$39),tulkojums!$A$39))</f>
        <v/>
      </c>
      <c r="S829" s="2" t="str">
        <f>IF(ISBLANK(K829),"",IF(INDEX(DB_materiali!$E$2:$E$5000,MATCH($C829,DB_materiali!$A$2:$A$5000,0))&gt;=INDEX(DB_malas!$C$2:$C$5000,MATCH(K829,DB_malas!$A$2:$A$5000,0)),IF(INDEX(DB_materiali!$E$2:$E$5000,MATCH($C829,DB_materiali!$A$2:$A$5000,0))&lt;=INDEX(DB_malas!$D$2:$D$5000,MATCH(K829,DB_malas!$A$2:$A$5000,0)),IF(INDEX(DB_materiali!$B$2:$B$5000,MATCH($C829,DB_materiali!$A$2:$A$5000,0))=INDEX(DB_malas!$B$2:$B$5000,MATCH(K829,DB_malas!$A$2:$A$5000,0)),"✔",tulkojums!$A$38),tulkojums!$A$39),tulkojums!$A$39))</f>
        <v/>
      </c>
      <c r="T829" s="2"/>
      <c r="U829" s="2"/>
      <c r="V829" s="2"/>
      <c r="W829" s="2"/>
      <c r="X829" s="2"/>
      <c r="Y829" s="2"/>
      <c r="Z829" s="2"/>
    </row>
    <row r="830" spans="1:26" ht="15.75" customHeight="1">
      <c r="A830" s="17"/>
      <c r="B830" s="18"/>
      <c r="C830" s="19"/>
      <c r="D830" s="55"/>
      <c r="E830" s="55"/>
      <c r="F830" s="56"/>
      <c r="G830" s="57" t="str">
        <f>IF(ISBLANK(C830),"",
   IFERROR(
      IF(
         INDEX(DB_materiali!C$2:C$5000,
               MATCH(C830, DB_materiali!A$2:A$5000, 0)
         )="FALSE",
         "N",
         "Y"
      ),
   "")
)</f>
        <v/>
      </c>
      <c r="H830" s="20"/>
      <c r="I830" s="20"/>
      <c r="J830" s="20"/>
      <c r="K830" s="20"/>
      <c r="M830" s="2" t="str">
        <f>IF(ISBLANK(C830),"",IF(IFERROR(VLOOKUP(C830,DB_materiali!$A$2:$A$5000,1,FALSE),"Kļūda artikulā")=C830,"✔",tulkojums!A$42))</f>
        <v/>
      </c>
      <c r="N830" s="2" t="str">
        <f>IF(ISBLANK(C830),"",IF(ISNUMBER(F830)=TRUE,"✔",tulkojums!A$43))</f>
        <v/>
      </c>
      <c r="O830" s="2" t="str">
        <f>IF(ISBLANK(C830),"",IF(G830="Y","✔",IF(G830="X","✔",IF(G830="N","✔",tulkojums!A$44))))</f>
        <v/>
      </c>
      <c r="P830" s="2" t="str">
        <f>IF(ISBLANK(H830),"",IF(INDEX(DB_materiali!$E$2:$E$5000,MATCH($C830,DB_materiali!$A$2:$A$5000,0))&gt;=INDEX(DB_malas!$C$2:$C$5000,MATCH(H830,DB_malas!$A$2:$A$5000,0)),IF(INDEX(DB_materiali!$E$2:$E$5000,MATCH($C830,DB_materiali!$A$2:$A$5000,0))&lt;=INDEX(DB_malas!$D$2:$D$5000,MATCH(H830,DB_malas!$A$2:$A$5000,0)),IF(OR(INDEX(DB_materiali!$B$2:$B$5000,MATCH($C830,DB_materiali!$A$2:$A$5000,0))=INDEX(DB_malas!$B$2:$B$5000,MATCH(H830,DB_malas!$A$2:$A$5000,0)),$H830="ORG"),"✔",tulkojums!$A$38),tulkojums!$A$39),tulkojums!$A$39))</f>
        <v/>
      </c>
      <c r="Q830" s="2" t="str">
        <f>IF(ISBLANK(I830),"",IF(INDEX(DB_materiali!$E$2:$E$5000,MATCH($C830,DB_materiali!$A$2:$A$5000,0))&gt;=INDEX(DB_malas!$C$2:$C$5000,MATCH(I830,DB_malas!$A$2:$A$5000,0)),IF(INDEX(DB_materiali!$E$2:$E$5000,MATCH($C830,DB_materiali!$A$2:$A$5000,0))&lt;=INDEX(DB_malas!$D$2:$D$5000,MATCH(I830,DB_malas!$A$2:$A$5000,0)),IF(OR(INDEX(DB_materiali!$B$2:$B$5000,MATCH($C830,DB_materiali!$A$2:$A$5000,0))=INDEX(DB_malas!$B$2:$B$5000,MATCH(I830,DB_malas!$A$2:$A$5000,0)),$H830="ORG"),"✔",tulkojums!$A$38),tulkojums!$A$39),tulkojums!$A$39))</f>
        <v/>
      </c>
      <c r="R830" s="2" t="str">
        <f>IF(ISBLANK(J830),"",IF(INDEX(DB_materiali!$E$2:$E$5000,MATCH($C830,DB_materiali!$A$2:$A$5000,0))&gt;=INDEX(DB_malas!$C$2:$C$5000,MATCH(J830,DB_malas!$A$2:$A$5000,0)),IF(INDEX(DB_materiali!$E$2:$E$5000,MATCH($C830,DB_materiali!$A$2:$A$5000,0))&lt;=INDEX(DB_malas!$D$2:$D$5000,MATCH(J830,DB_malas!$A$2:$A$5000,0)),IF(INDEX(DB_materiali!$B$2:$B$5000,MATCH($C830,DB_materiali!$A$2:$A$5000,0))=INDEX(DB_malas!$B$2:$B$5000,MATCH(J830,DB_malas!$A$2:$A$5000,0)),"✔",tulkojums!$A$38),tulkojums!$A$39),tulkojums!$A$39))</f>
        <v/>
      </c>
      <c r="S830" s="2" t="str">
        <f>IF(ISBLANK(K830),"",IF(INDEX(DB_materiali!$E$2:$E$5000,MATCH($C830,DB_materiali!$A$2:$A$5000,0))&gt;=INDEX(DB_malas!$C$2:$C$5000,MATCH(K830,DB_malas!$A$2:$A$5000,0)),IF(INDEX(DB_materiali!$E$2:$E$5000,MATCH($C830,DB_materiali!$A$2:$A$5000,0))&lt;=INDEX(DB_malas!$D$2:$D$5000,MATCH(K830,DB_malas!$A$2:$A$5000,0)),IF(INDEX(DB_materiali!$B$2:$B$5000,MATCH($C830,DB_materiali!$A$2:$A$5000,0))=INDEX(DB_malas!$B$2:$B$5000,MATCH(K830,DB_malas!$A$2:$A$5000,0)),"✔",tulkojums!$A$38),tulkojums!$A$39),tulkojums!$A$39))</f>
        <v/>
      </c>
      <c r="T830" s="2"/>
      <c r="U830" s="2"/>
      <c r="V830" s="2"/>
      <c r="W830" s="2"/>
      <c r="X830" s="2"/>
      <c r="Y830" s="2"/>
      <c r="Z830" s="2"/>
    </row>
    <row r="831" spans="1:26" ht="15.75" customHeight="1">
      <c r="A831" s="17"/>
      <c r="B831" s="18"/>
      <c r="C831" s="19"/>
      <c r="D831" s="55"/>
      <c r="E831" s="55"/>
      <c r="F831" s="56"/>
      <c r="G831" s="57" t="str">
        <f>IF(ISBLANK(C831),"",
   IFERROR(
      IF(
         INDEX(DB_materiali!C$2:C$5000,
               MATCH(C831, DB_materiali!A$2:A$5000, 0)
         )="FALSE",
         "N",
         "Y"
      ),
   "")
)</f>
        <v/>
      </c>
      <c r="H831" s="20"/>
      <c r="I831" s="20"/>
      <c r="J831" s="20"/>
      <c r="K831" s="20"/>
      <c r="M831" s="2" t="str">
        <f>IF(ISBLANK(C831),"",IF(IFERROR(VLOOKUP(C831,DB_materiali!$A$2:$A$5000,1,FALSE),"Kļūda artikulā")=C831,"✔",tulkojums!A$42))</f>
        <v/>
      </c>
      <c r="N831" s="2" t="str">
        <f>IF(ISBLANK(C831),"",IF(ISNUMBER(F831)=TRUE,"✔",tulkojums!A$43))</f>
        <v/>
      </c>
      <c r="O831" s="2" t="str">
        <f>IF(ISBLANK(C831),"",IF(G831="Y","✔",IF(G831="X","✔",IF(G831="N","✔",tulkojums!A$44))))</f>
        <v/>
      </c>
      <c r="P831" s="2" t="str">
        <f>IF(ISBLANK(H831),"",IF(INDEX(DB_materiali!$E$2:$E$5000,MATCH($C831,DB_materiali!$A$2:$A$5000,0))&gt;=INDEX(DB_malas!$C$2:$C$5000,MATCH(H831,DB_malas!$A$2:$A$5000,0)),IF(INDEX(DB_materiali!$E$2:$E$5000,MATCH($C831,DB_materiali!$A$2:$A$5000,0))&lt;=INDEX(DB_malas!$D$2:$D$5000,MATCH(H831,DB_malas!$A$2:$A$5000,0)),IF(OR(INDEX(DB_materiali!$B$2:$B$5000,MATCH($C831,DB_materiali!$A$2:$A$5000,0))=INDEX(DB_malas!$B$2:$B$5000,MATCH(H831,DB_malas!$A$2:$A$5000,0)),$H831="ORG"),"✔",tulkojums!$A$38),tulkojums!$A$39),tulkojums!$A$39))</f>
        <v/>
      </c>
      <c r="Q831" s="2" t="str">
        <f>IF(ISBLANK(I831),"",IF(INDEX(DB_materiali!$E$2:$E$5000,MATCH($C831,DB_materiali!$A$2:$A$5000,0))&gt;=INDEX(DB_malas!$C$2:$C$5000,MATCH(I831,DB_malas!$A$2:$A$5000,0)),IF(INDEX(DB_materiali!$E$2:$E$5000,MATCH($C831,DB_materiali!$A$2:$A$5000,0))&lt;=INDEX(DB_malas!$D$2:$D$5000,MATCH(I831,DB_malas!$A$2:$A$5000,0)),IF(OR(INDEX(DB_materiali!$B$2:$B$5000,MATCH($C831,DB_materiali!$A$2:$A$5000,0))=INDEX(DB_malas!$B$2:$B$5000,MATCH(I831,DB_malas!$A$2:$A$5000,0)),$H831="ORG"),"✔",tulkojums!$A$38),tulkojums!$A$39),tulkojums!$A$39))</f>
        <v/>
      </c>
      <c r="R831" s="2" t="str">
        <f>IF(ISBLANK(J831),"",IF(INDEX(DB_materiali!$E$2:$E$5000,MATCH($C831,DB_materiali!$A$2:$A$5000,0))&gt;=INDEX(DB_malas!$C$2:$C$5000,MATCH(J831,DB_malas!$A$2:$A$5000,0)),IF(INDEX(DB_materiali!$E$2:$E$5000,MATCH($C831,DB_materiali!$A$2:$A$5000,0))&lt;=INDEX(DB_malas!$D$2:$D$5000,MATCH(J831,DB_malas!$A$2:$A$5000,0)),IF(INDEX(DB_materiali!$B$2:$B$5000,MATCH($C831,DB_materiali!$A$2:$A$5000,0))=INDEX(DB_malas!$B$2:$B$5000,MATCH(J831,DB_malas!$A$2:$A$5000,0)),"✔",tulkojums!$A$38),tulkojums!$A$39),tulkojums!$A$39))</f>
        <v/>
      </c>
      <c r="S831" s="2" t="str">
        <f>IF(ISBLANK(K831),"",IF(INDEX(DB_materiali!$E$2:$E$5000,MATCH($C831,DB_materiali!$A$2:$A$5000,0))&gt;=INDEX(DB_malas!$C$2:$C$5000,MATCH(K831,DB_malas!$A$2:$A$5000,0)),IF(INDEX(DB_materiali!$E$2:$E$5000,MATCH($C831,DB_materiali!$A$2:$A$5000,0))&lt;=INDEX(DB_malas!$D$2:$D$5000,MATCH(K831,DB_malas!$A$2:$A$5000,0)),IF(INDEX(DB_materiali!$B$2:$B$5000,MATCH($C831,DB_materiali!$A$2:$A$5000,0))=INDEX(DB_malas!$B$2:$B$5000,MATCH(K831,DB_malas!$A$2:$A$5000,0)),"✔",tulkojums!$A$38),tulkojums!$A$39),tulkojums!$A$39))</f>
        <v/>
      </c>
      <c r="T831" s="2"/>
      <c r="U831" s="2"/>
      <c r="V831" s="2"/>
      <c r="W831" s="2"/>
      <c r="X831" s="2"/>
      <c r="Y831" s="2"/>
      <c r="Z831" s="2"/>
    </row>
    <row r="832" spans="1:26" ht="15.75" customHeight="1">
      <c r="A832" s="17"/>
      <c r="B832" s="18"/>
      <c r="C832" s="19"/>
      <c r="D832" s="55"/>
      <c r="E832" s="55"/>
      <c r="F832" s="56"/>
      <c r="G832" s="57" t="str">
        <f>IF(ISBLANK(C832),"",
   IFERROR(
      IF(
         INDEX(DB_materiali!C$2:C$5000,
               MATCH(C832, DB_materiali!A$2:A$5000, 0)
         )="FALSE",
         "N",
         "Y"
      ),
   "")
)</f>
        <v/>
      </c>
      <c r="H832" s="20"/>
      <c r="I832" s="20"/>
      <c r="J832" s="20"/>
      <c r="K832" s="20"/>
      <c r="M832" s="2" t="str">
        <f>IF(ISBLANK(C832),"",IF(IFERROR(VLOOKUP(C832,DB_materiali!$A$2:$A$5000,1,FALSE),"Kļūda artikulā")=C832,"✔",tulkojums!A$42))</f>
        <v/>
      </c>
      <c r="N832" s="2" t="str">
        <f>IF(ISBLANK(C832),"",IF(ISNUMBER(F832)=TRUE,"✔",tulkojums!A$43))</f>
        <v/>
      </c>
      <c r="O832" s="2" t="str">
        <f>IF(ISBLANK(C832),"",IF(G832="Y","✔",IF(G832="X","✔",IF(G832="N","✔",tulkojums!A$44))))</f>
        <v/>
      </c>
      <c r="P832" s="2" t="str">
        <f>IF(ISBLANK(H832),"",IF(INDEX(DB_materiali!$E$2:$E$5000,MATCH($C832,DB_materiali!$A$2:$A$5000,0))&gt;=INDEX(DB_malas!$C$2:$C$5000,MATCH(H832,DB_malas!$A$2:$A$5000,0)),IF(INDEX(DB_materiali!$E$2:$E$5000,MATCH($C832,DB_materiali!$A$2:$A$5000,0))&lt;=INDEX(DB_malas!$D$2:$D$5000,MATCH(H832,DB_malas!$A$2:$A$5000,0)),IF(OR(INDEX(DB_materiali!$B$2:$B$5000,MATCH($C832,DB_materiali!$A$2:$A$5000,0))=INDEX(DB_malas!$B$2:$B$5000,MATCH(H832,DB_malas!$A$2:$A$5000,0)),$H832="ORG"),"✔",tulkojums!$A$38),tulkojums!$A$39),tulkojums!$A$39))</f>
        <v/>
      </c>
      <c r="Q832" s="2" t="str">
        <f>IF(ISBLANK(I832),"",IF(INDEX(DB_materiali!$E$2:$E$5000,MATCH($C832,DB_materiali!$A$2:$A$5000,0))&gt;=INDEX(DB_malas!$C$2:$C$5000,MATCH(I832,DB_malas!$A$2:$A$5000,0)),IF(INDEX(DB_materiali!$E$2:$E$5000,MATCH($C832,DB_materiali!$A$2:$A$5000,0))&lt;=INDEX(DB_malas!$D$2:$D$5000,MATCH(I832,DB_malas!$A$2:$A$5000,0)),IF(OR(INDEX(DB_materiali!$B$2:$B$5000,MATCH($C832,DB_materiali!$A$2:$A$5000,0))=INDEX(DB_malas!$B$2:$B$5000,MATCH(I832,DB_malas!$A$2:$A$5000,0)),$H832="ORG"),"✔",tulkojums!$A$38),tulkojums!$A$39),tulkojums!$A$39))</f>
        <v/>
      </c>
      <c r="R832" s="2" t="str">
        <f>IF(ISBLANK(J832),"",IF(INDEX(DB_materiali!$E$2:$E$5000,MATCH($C832,DB_materiali!$A$2:$A$5000,0))&gt;=INDEX(DB_malas!$C$2:$C$5000,MATCH(J832,DB_malas!$A$2:$A$5000,0)),IF(INDEX(DB_materiali!$E$2:$E$5000,MATCH($C832,DB_materiali!$A$2:$A$5000,0))&lt;=INDEX(DB_malas!$D$2:$D$5000,MATCH(J832,DB_malas!$A$2:$A$5000,0)),IF(INDEX(DB_materiali!$B$2:$B$5000,MATCH($C832,DB_materiali!$A$2:$A$5000,0))=INDEX(DB_malas!$B$2:$B$5000,MATCH(J832,DB_malas!$A$2:$A$5000,0)),"✔",tulkojums!$A$38),tulkojums!$A$39),tulkojums!$A$39))</f>
        <v/>
      </c>
      <c r="S832" s="2" t="str">
        <f>IF(ISBLANK(K832),"",IF(INDEX(DB_materiali!$E$2:$E$5000,MATCH($C832,DB_materiali!$A$2:$A$5000,0))&gt;=INDEX(DB_malas!$C$2:$C$5000,MATCH(K832,DB_malas!$A$2:$A$5000,0)),IF(INDEX(DB_materiali!$E$2:$E$5000,MATCH($C832,DB_materiali!$A$2:$A$5000,0))&lt;=INDEX(DB_malas!$D$2:$D$5000,MATCH(K832,DB_malas!$A$2:$A$5000,0)),IF(INDEX(DB_materiali!$B$2:$B$5000,MATCH($C832,DB_materiali!$A$2:$A$5000,0))=INDEX(DB_malas!$B$2:$B$5000,MATCH(K832,DB_malas!$A$2:$A$5000,0)),"✔",tulkojums!$A$38),tulkojums!$A$39),tulkojums!$A$39))</f>
        <v/>
      </c>
      <c r="T832" s="2"/>
      <c r="U832" s="2"/>
      <c r="V832" s="2"/>
      <c r="W832" s="2"/>
      <c r="X832" s="2"/>
      <c r="Y832" s="2"/>
      <c r="Z832" s="2"/>
    </row>
    <row r="833" spans="1:26" ht="15.75" customHeight="1">
      <c r="A833" s="17"/>
      <c r="B833" s="18"/>
      <c r="C833" s="19"/>
      <c r="D833" s="55"/>
      <c r="E833" s="55"/>
      <c r="F833" s="56"/>
      <c r="G833" s="57" t="str">
        <f>IF(ISBLANK(C833),"",
   IFERROR(
      IF(
         INDEX(DB_materiali!C$2:C$5000,
               MATCH(C833, DB_materiali!A$2:A$5000, 0)
         )="FALSE",
         "N",
         "Y"
      ),
   "")
)</f>
        <v/>
      </c>
      <c r="H833" s="20"/>
      <c r="I833" s="20"/>
      <c r="J833" s="20"/>
      <c r="K833" s="20"/>
      <c r="M833" s="2" t="str">
        <f>IF(ISBLANK(C833),"",IF(IFERROR(VLOOKUP(C833,DB_materiali!$A$2:$A$5000,1,FALSE),"Kļūda artikulā")=C833,"✔",tulkojums!A$42))</f>
        <v/>
      </c>
      <c r="N833" s="2" t="str">
        <f>IF(ISBLANK(C833),"",IF(ISNUMBER(F833)=TRUE,"✔",tulkojums!A$43))</f>
        <v/>
      </c>
      <c r="O833" s="2" t="str">
        <f>IF(ISBLANK(C833),"",IF(G833="Y","✔",IF(G833="X","✔",IF(G833="N","✔",tulkojums!A$44))))</f>
        <v/>
      </c>
      <c r="P833" s="2" t="str">
        <f>IF(ISBLANK(H833),"",IF(INDEX(DB_materiali!$E$2:$E$5000,MATCH($C833,DB_materiali!$A$2:$A$5000,0))&gt;=INDEX(DB_malas!$C$2:$C$5000,MATCH(H833,DB_malas!$A$2:$A$5000,0)),IF(INDEX(DB_materiali!$E$2:$E$5000,MATCH($C833,DB_materiali!$A$2:$A$5000,0))&lt;=INDEX(DB_malas!$D$2:$D$5000,MATCH(H833,DB_malas!$A$2:$A$5000,0)),IF(OR(INDEX(DB_materiali!$B$2:$B$5000,MATCH($C833,DB_materiali!$A$2:$A$5000,0))=INDEX(DB_malas!$B$2:$B$5000,MATCH(H833,DB_malas!$A$2:$A$5000,0)),$H833="ORG"),"✔",tulkojums!$A$38),tulkojums!$A$39),tulkojums!$A$39))</f>
        <v/>
      </c>
      <c r="Q833" s="2" t="str">
        <f>IF(ISBLANK(I833),"",IF(INDEX(DB_materiali!$E$2:$E$5000,MATCH($C833,DB_materiali!$A$2:$A$5000,0))&gt;=INDEX(DB_malas!$C$2:$C$5000,MATCH(I833,DB_malas!$A$2:$A$5000,0)),IF(INDEX(DB_materiali!$E$2:$E$5000,MATCH($C833,DB_materiali!$A$2:$A$5000,0))&lt;=INDEX(DB_malas!$D$2:$D$5000,MATCH(I833,DB_malas!$A$2:$A$5000,0)),IF(OR(INDEX(DB_materiali!$B$2:$B$5000,MATCH($C833,DB_materiali!$A$2:$A$5000,0))=INDEX(DB_malas!$B$2:$B$5000,MATCH(I833,DB_malas!$A$2:$A$5000,0)),$H833="ORG"),"✔",tulkojums!$A$38),tulkojums!$A$39),tulkojums!$A$39))</f>
        <v/>
      </c>
      <c r="R833" s="2" t="str">
        <f>IF(ISBLANK(J833),"",IF(INDEX(DB_materiali!$E$2:$E$5000,MATCH($C833,DB_materiali!$A$2:$A$5000,0))&gt;=INDEX(DB_malas!$C$2:$C$5000,MATCH(J833,DB_malas!$A$2:$A$5000,0)),IF(INDEX(DB_materiali!$E$2:$E$5000,MATCH($C833,DB_materiali!$A$2:$A$5000,0))&lt;=INDEX(DB_malas!$D$2:$D$5000,MATCH(J833,DB_malas!$A$2:$A$5000,0)),IF(INDEX(DB_materiali!$B$2:$B$5000,MATCH($C833,DB_materiali!$A$2:$A$5000,0))=INDEX(DB_malas!$B$2:$B$5000,MATCH(J833,DB_malas!$A$2:$A$5000,0)),"✔",tulkojums!$A$38),tulkojums!$A$39),tulkojums!$A$39))</f>
        <v/>
      </c>
      <c r="S833" s="2" t="str">
        <f>IF(ISBLANK(K833),"",IF(INDEX(DB_materiali!$E$2:$E$5000,MATCH($C833,DB_materiali!$A$2:$A$5000,0))&gt;=INDEX(DB_malas!$C$2:$C$5000,MATCH(K833,DB_malas!$A$2:$A$5000,0)),IF(INDEX(DB_materiali!$E$2:$E$5000,MATCH($C833,DB_materiali!$A$2:$A$5000,0))&lt;=INDEX(DB_malas!$D$2:$D$5000,MATCH(K833,DB_malas!$A$2:$A$5000,0)),IF(INDEX(DB_materiali!$B$2:$B$5000,MATCH($C833,DB_materiali!$A$2:$A$5000,0))=INDEX(DB_malas!$B$2:$B$5000,MATCH(K833,DB_malas!$A$2:$A$5000,0)),"✔",tulkojums!$A$38),tulkojums!$A$39),tulkojums!$A$39))</f>
        <v/>
      </c>
      <c r="T833" s="2"/>
      <c r="U833" s="2"/>
      <c r="V833" s="2"/>
      <c r="W833" s="2"/>
      <c r="X833" s="2"/>
      <c r="Y833" s="2"/>
      <c r="Z833" s="2"/>
    </row>
    <row r="834" spans="1:26" ht="15.75" customHeight="1">
      <c r="A834" s="17"/>
      <c r="B834" s="18"/>
      <c r="C834" s="19"/>
      <c r="D834" s="55"/>
      <c r="E834" s="55"/>
      <c r="F834" s="56"/>
      <c r="G834" s="57" t="str">
        <f>IF(ISBLANK(C834),"",
   IFERROR(
      IF(
         INDEX(DB_materiali!C$2:C$5000,
               MATCH(C834, DB_materiali!A$2:A$5000, 0)
         )="FALSE",
         "N",
         "Y"
      ),
   "")
)</f>
        <v/>
      </c>
      <c r="H834" s="20"/>
      <c r="I834" s="20"/>
      <c r="J834" s="20"/>
      <c r="K834" s="20"/>
      <c r="M834" s="2" t="str">
        <f>IF(ISBLANK(C834),"",IF(IFERROR(VLOOKUP(C834,DB_materiali!$A$2:$A$5000,1,FALSE),"Kļūda artikulā")=C834,"✔",tulkojums!A$42))</f>
        <v/>
      </c>
      <c r="N834" s="2" t="str">
        <f>IF(ISBLANK(C834),"",IF(ISNUMBER(F834)=TRUE,"✔",tulkojums!A$43))</f>
        <v/>
      </c>
      <c r="O834" s="2" t="str">
        <f>IF(ISBLANK(C834),"",IF(G834="Y","✔",IF(G834="X","✔",IF(G834="N","✔",tulkojums!A$44))))</f>
        <v/>
      </c>
      <c r="P834" s="2" t="str">
        <f>IF(ISBLANK(H834),"",IF(INDEX(DB_materiali!$E$2:$E$5000,MATCH($C834,DB_materiali!$A$2:$A$5000,0))&gt;=INDEX(DB_malas!$C$2:$C$5000,MATCH(H834,DB_malas!$A$2:$A$5000,0)),IF(INDEX(DB_materiali!$E$2:$E$5000,MATCH($C834,DB_materiali!$A$2:$A$5000,0))&lt;=INDEX(DB_malas!$D$2:$D$5000,MATCH(H834,DB_malas!$A$2:$A$5000,0)),IF(OR(INDEX(DB_materiali!$B$2:$B$5000,MATCH($C834,DB_materiali!$A$2:$A$5000,0))=INDEX(DB_malas!$B$2:$B$5000,MATCH(H834,DB_malas!$A$2:$A$5000,0)),$H834="ORG"),"✔",tulkojums!$A$38),tulkojums!$A$39),tulkojums!$A$39))</f>
        <v/>
      </c>
      <c r="Q834" s="2" t="str">
        <f>IF(ISBLANK(I834),"",IF(INDEX(DB_materiali!$E$2:$E$5000,MATCH($C834,DB_materiali!$A$2:$A$5000,0))&gt;=INDEX(DB_malas!$C$2:$C$5000,MATCH(I834,DB_malas!$A$2:$A$5000,0)),IF(INDEX(DB_materiali!$E$2:$E$5000,MATCH($C834,DB_materiali!$A$2:$A$5000,0))&lt;=INDEX(DB_malas!$D$2:$D$5000,MATCH(I834,DB_malas!$A$2:$A$5000,0)),IF(OR(INDEX(DB_materiali!$B$2:$B$5000,MATCH($C834,DB_materiali!$A$2:$A$5000,0))=INDEX(DB_malas!$B$2:$B$5000,MATCH(I834,DB_malas!$A$2:$A$5000,0)),$H834="ORG"),"✔",tulkojums!$A$38),tulkojums!$A$39),tulkojums!$A$39))</f>
        <v/>
      </c>
      <c r="R834" s="2" t="str">
        <f>IF(ISBLANK(J834),"",IF(INDEX(DB_materiali!$E$2:$E$5000,MATCH($C834,DB_materiali!$A$2:$A$5000,0))&gt;=INDEX(DB_malas!$C$2:$C$5000,MATCH(J834,DB_malas!$A$2:$A$5000,0)),IF(INDEX(DB_materiali!$E$2:$E$5000,MATCH($C834,DB_materiali!$A$2:$A$5000,0))&lt;=INDEX(DB_malas!$D$2:$D$5000,MATCH(J834,DB_malas!$A$2:$A$5000,0)),IF(INDEX(DB_materiali!$B$2:$B$5000,MATCH($C834,DB_materiali!$A$2:$A$5000,0))=INDEX(DB_malas!$B$2:$B$5000,MATCH(J834,DB_malas!$A$2:$A$5000,0)),"✔",tulkojums!$A$38),tulkojums!$A$39),tulkojums!$A$39))</f>
        <v/>
      </c>
      <c r="S834" s="2" t="str">
        <f>IF(ISBLANK(K834),"",IF(INDEX(DB_materiali!$E$2:$E$5000,MATCH($C834,DB_materiali!$A$2:$A$5000,0))&gt;=INDEX(DB_malas!$C$2:$C$5000,MATCH(K834,DB_malas!$A$2:$A$5000,0)),IF(INDEX(DB_materiali!$E$2:$E$5000,MATCH($C834,DB_materiali!$A$2:$A$5000,0))&lt;=INDEX(DB_malas!$D$2:$D$5000,MATCH(K834,DB_malas!$A$2:$A$5000,0)),IF(INDEX(DB_materiali!$B$2:$B$5000,MATCH($C834,DB_materiali!$A$2:$A$5000,0))=INDEX(DB_malas!$B$2:$B$5000,MATCH(K834,DB_malas!$A$2:$A$5000,0)),"✔",tulkojums!$A$38),tulkojums!$A$39),tulkojums!$A$39))</f>
        <v/>
      </c>
      <c r="T834" s="2"/>
      <c r="U834" s="2"/>
      <c r="V834" s="2"/>
      <c r="W834" s="2"/>
      <c r="X834" s="2"/>
      <c r="Y834" s="2"/>
      <c r="Z834" s="2"/>
    </row>
    <row r="835" spans="1:26" ht="15.75" customHeight="1">
      <c r="A835" s="17"/>
      <c r="B835" s="18"/>
      <c r="C835" s="19"/>
      <c r="D835" s="55"/>
      <c r="E835" s="55"/>
      <c r="F835" s="56"/>
      <c r="G835" s="57" t="str">
        <f>IF(ISBLANK(C835),"",
   IFERROR(
      IF(
         INDEX(DB_materiali!C$2:C$5000,
               MATCH(C835, DB_materiali!A$2:A$5000, 0)
         )="FALSE",
         "N",
         "Y"
      ),
   "")
)</f>
        <v/>
      </c>
      <c r="H835" s="20"/>
      <c r="I835" s="20"/>
      <c r="J835" s="20"/>
      <c r="K835" s="20"/>
      <c r="M835" s="2" t="str">
        <f>IF(ISBLANK(C835),"",IF(IFERROR(VLOOKUP(C835,DB_materiali!$A$2:$A$5000,1,FALSE),"Kļūda artikulā")=C835,"✔",tulkojums!A$42))</f>
        <v/>
      </c>
      <c r="N835" s="2" t="str">
        <f>IF(ISBLANK(C835),"",IF(ISNUMBER(F835)=TRUE,"✔",tulkojums!A$43))</f>
        <v/>
      </c>
      <c r="O835" s="2" t="str">
        <f>IF(ISBLANK(C835),"",IF(G835="Y","✔",IF(G835="X","✔",IF(G835="N","✔",tulkojums!A$44))))</f>
        <v/>
      </c>
      <c r="P835" s="2" t="str">
        <f>IF(ISBLANK(H835),"",IF(INDEX(DB_materiali!$E$2:$E$5000,MATCH($C835,DB_materiali!$A$2:$A$5000,0))&gt;=INDEX(DB_malas!$C$2:$C$5000,MATCH(H835,DB_malas!$A$2:$A$5000,0)),IF(INDEX(DB_materiali!$E$2:$E$5000,MATCH($C835,DB_materiali!$A$2:$A$5000,0))&lt;=INDEX(DB_malas!$D$2:$D$5000,MATCH(H835,DB_malas!$A$2:$A$5000,0)),IF(OR(INDEX(DB_materiali!$B$2:$B$5000,MATCH($C835,DB_materiali!$A$2:$A$5000,0))=INDEX(DB_malas!$B$2:$B$5000,MATCH(H835,DB_malas!$A$2:$A$5000,0)),$H835="ORG"),"✔",tulkojums!$A$38),tulkojums!$A$39),tulkojums!$A$39))</f>
        <v/>
      </c>
      <c r="Q835" s="2" t="str">
        <f>IF(ISBLANK(I835),"",IF(INDEX(DB_materiali!$E$2:$E$5000,MATCH($C835,DB_materiali!$A$2:$A$5000,0))&gt;=INDEX(DB_malas!$C$2:$C$5000,MATCH(I835,DB_malas!$A$2:$A$5000,0)),IF(INDEX(DB_materiali!$E$2:$E$5000,MATCH($C835,DB_materiali!$A$2:$A$5000,0))&lt;=INDEX(DB_malas!$D$2:$D$5000,MATCH(I835,DB_malas!$A$2:$A$5000,0)),IF(OR(INDEX(DB_materiali!$B$2:$B$5000,MATCH($C835,DB_materiali!$A$2:$A$5000,0))=INDEX(DB_malas!$B$2:$B$5000,MATCH(I835,DB_malas!$A$2:$A$5000,0)),$H835="ORG"),"✔",tulkojums!$A$38),tulkojums!$A$39),tulkojums!$A$39))</f>
        <v/>
      </c>
      <c r="R835" s="2" t="str">
        <f>IF(ISBLANK(J835),"",IF(INDEX(DB_materiali!$E$2:$E$5000,MATCH($C835,DB_materiali!$A$2:$A$5000,0))&gt;=INDEX(DB_malas!$C$2:$C$5000,MATCH(J835,DB_malas!$A$2:$A$5000,0)),IF(INDEX(DB_materiali!$E$2:$E$5000,MATCH($C835,DB_materiali!$A$2:$A$5000,0))&lt;=INDEX(DB_malas!$D$2:$D$5000,MATCH(J835,DB_malas!$A$2:$A$5000,0)),IF(INDEX(DB_materiali!$B$2:$B$5000,MATCH($C835,DB_materiali!$A$2:$A$5000,0))=INDEX(DB_malas!$B$2:$B$5000,MATCH(J835,DB_malas!$A$2:$A$5000,0)),"✔",tulkojums!$A$38),tulkojums!$A$39),tulkojums!$A$39))</f>
        <v/>
      </c>
      <c r="S835" s="2" t="str">
        <f>IF(ISBLANK(K835),"",IF(INDEX(DB_materiali!$E$2:$E$5000,MATCH($C835,DB_materiali!$A$2:$A$5000,0))&gt;=INDEX(DB_malas!$C$2:$C$5000,MATCH(K835,DB_malas!$A$2:$A$5000,0)),IF(INDEX(DB_materiali!$E$2:$E$5000,MATCH($C835,DB_materiali!$A$2:$A$5000,0))&lt;=INDEX(DB_malas!$D$2:$D$5000,MATCH(K835,DB_malas!$A$2:$A$5000,0)),IF(INDEX(DB_materiali!$B$2:$B$5000,MATCH($C835,DB_materiali!$A$2:$A$5000,0))=INDEX(DB_malas!$B$2:$B$5000,MATCH(K835,DB_malas!$A$2:$A$5000,0)),"✔",tulkojums!$A$38),tulkojums!$A$39),tulkojums!$A$39))</f>
        <v/>
      </c>
      <c r="T835" s="2"/>
      <c r="U835" s="2"/>
      <c r="V835" s="2"/>
      <c r="W835" s="2"/>
      <c r="X835" s="2"/>
      <c r="Y835" s="2"/>
      <c r="Z835" s="2"/>
    </row>
    <row r="836" spans="1:26" ht="15.75" customHeight="1">
      <c r="A836" s="17"/>
      <c r="B836" s="18"/>
      <c r="C836" s="19"/>
      <c r="D836" s="55"/>
      <c r="E836" s="55"/>
      <c r="F836" s="56"/>
      <c r="G836" s="57" t="str">
        <f>IF(ISBLANK(C836),"",
   IFERROR(
      IF(
         INDEX(DB_materiali!C$2:C$5000,
               MATCH(C836, DB_materiali!A$2:A$5000, 0)
         )="FALSE",
         "N",
         "Y"
      ),
   "")
)</f>
        <v/>
      </c>
      <c r="H836" s="20"/>
      <c r="I836" s="20"/>
      <c r="J836" s="20"/>
      <c r="K836" s="20"/>
      <c r="M836" s="2" t="str">
        <f>IF(ISBLANK(C836),"",IF(IFERROR(VLOOKUP(C836,DB_materiali!$A$2:$A$5000,1,FALSE),"Kļūda artikulā")=C836,"✔",tulkojums!A$42))</f>
        <v/>
      </c>
      <c r="N836" s="2" t="str">
        <f>IF(ISBLANK(C836),"",IF(ISNUMBER(F836)=TRUE,"✔",tulkojums!A$43))</f>
        <v/>
      </c>
      <c r="O836" s="2" t="str">
        <f>IF(ISBLANK(C836),"",IF(G836="Y","✔",IF(G836="X","✔",IF(G836="N","✔",tulkojums!A$44))))</f>
        <v/>
      </c>
      <c r="P836" s="2" t="str">
        <f>IF(ISBLANK(H836),"",IF(INDEX(DB_materiali!$E$2:$E$5000,MATCH($C836,DB_materiali!$A$2:$A$5000,0))&gt;=INDEX(DB_malas!$C$2:$C$5000,MATCH(H836,DB_malas!$A$2:$A$5000,0)),IF(INDEX(DB_materiali!$E$2:$E$5000,MATCH($C836,DB_materiali!$A$2:$A$5000,0))&lt;=INDEX(DB_malas!$D$2:$D$5000,MATCH(H836,DB_malas!$A$2:$A$5000,0)),IF(OR(INDEX(DB_materiali!$B$2:$B$5000,MATCH($C836,DB_materiali!$A$2:$A$5000,0))=INDEX(DB_malas!$B$2:$B$5000,MATCH(H836,DB_malas!$A$2:$A$5000,0)),$H836="ORG"),"✔",tulkojums!$A$38),tulkojums!$A$39),tulkojums!$A$39))</f>
        <v/>
      </c>
      <c r="Q836" s="2" t="str">
        <f>IF(ISBLANK(I836),"",IF(INDEX(DB_materiali!$E$2:$E$5000,MATCH($C836,DB_materiali!$A$2:$A$5000,0))&gt;=INDEX(DB_malas!$C$2:$C$5000,MATCH(I836,DB_malas!$A$2:$A$5000,0)),IF(INDEX(DB_materiali!$E$2:$E$5000,MATCH($C836,DB_materiali!$A$2:$A$5000,0))&lt;=INDEX(DB_malas!$D$2:$D$5000,MATCH(I836,DB_malas!$A$2:$A$5000,0)),IF(OR(INDEX(DB_materiali!$B$2:$B$5000,MATCH($C836,DB_materiali!$A$2:$A$5000,0))=INDEX(DB_malas!$B$2:$B$5000,MATCH(I836,DB_malas!$A$2:$A$5000,0)),$H836="ORG"),"✔",tulkojums!$A$38),tulkojums!$A$39),tulkojums!$A$39))</f>
        <v/>
      </c>
      <c r="R836" s="2" t="str">
        <f>IF(ISBLANK(J836),"",IF(INDEX(DB_materiali!$E$2:$E$5000,MATCH($C836,DB_materiali!$A$2:$A$5000,0))&gt;=INDEX(DB_malas!$C$2:$C$5000,MATCH(J836,DB_malas!$A$2:$A$5000,0)),IF(INDEX(DB_materiali!$E$2:$E$5000,MATCH($C836,DB_materiali!$A$2:$A$5000,0))&lt;=INDEX(DB_malas!$D$2:$D$5000,MATCH(J836,DB_malas!$A$2:$A$5000,0)),IF(INDEX(DB_materiali!$B$2:$B$5000,MATCH($C836,DB_materiali!$A$2:$A$5000,0))=INDEX(DB_malas!$B$2:$B$5000,MATCH(J836,DB_malas!$A$2:$A$5000,0)),"✔",tulkojums!$A$38),tulkojums!$A$39),tulkojums!$A$39))</f>
        <v/>
      </c>
      <c r="S836" s="2" t="str">
        <f>IF(ISBLANK(K836),"",IF(INDEX(DB_materiali!$E$2:$E$5000,MATCH($C836,DB_materiali!$A$2:$A$5000,0))&gt;=INDEX(DB_malas!$C$2:$C$5000,MATCH(K836,DB_malas!$A$2:$A$5000,0)),IF(INDEX(DB_materiali!$E$2:$E$5000,MATCH($C836,DB_materiali!$A$2:$A$5000,0))&lt;=INDEX(DB_malas!$D$2:$D$5000,MATCH(K836,DB_malas!$A$2:$A$5000,0)),IF(INDEX(DB_materiali!$B$2:$B$5000,MATCH($C836,DB_materiali!$A$2:$A$5000,0))=INDEX(DB_malas!$B$2:$B$5000,MATCH(K836,DB_malas!$A$2:$A$5000,0)),"✔",tulkojums!$A$38),tulkojums!$A$39),tulkojums!$A$39))</f>
        <v/>
      </c>
      <c r="T836" s="2"/>
      <c r="U836" s="2"/>
      <c r="V836" s="2"/>
      <c r="W836" s="2"/>
      <c r="X836" s="2"/>
      <c r="Y836" s="2"/>
      <c r="Z836" s="2"/>
    </row>
    <row r="837" spans="1:26" ht="15.75" customHeight="1">
      <c r="A837" s="17"/>
      <c r="B837" s="18"/>
      <c r="C837" s="19"/>
      <c r="D837" s="55"/>
      <c r="E837" s="55"/>
      <c r="F837" s="56"/>
      <c r="G837" s="57" t="str">
        <f>IF(ISBLANK(C837),"",
   IFERROR(
      IF(
         INDEX(DB_materiali!C$2:C$5000,
               MATCH(C837, DB_materiali!A$2:A$5000, 0)
         )="FALSE",
         "N",
         "Y"
      ),
   "")
)</f>
        <v/>
      </c>
      <c r="H837" s="20"/>
      <c r="I837" s="20"/>
      <c r="J837" s="20"/>
      <c r="K837" s="20"/>
      <c r="M837" s="2" t="str">
        <f>IF(ISBLANK(C837),"",IF(IFERROR(VLOOKUP(C837,DB_materiali!$A$2:$A$5000,1,FALSE),"Kļūda artikulā")=C837,"✔",tulkojums!A$42))</f>
        <v/>
      </c>
      <c r="N837" s="2" t="str">
        <f>IF(ISBLANK(C837),"",IF(ISNUMBER(F837)=TRUE,"✔",tulkojums!A$43))</f>
        <v/>
      </c>
      <c r="O837" s="2" t="str">
        <f>IF(ISBLANK(C837),"",IF(G837="Y","✔",IF(G837="X","✔",IF(G837="N","✔",tulkojums!A$44))))</f>
        <v/>
      </c>
      <c r="P837" s="2" t="str">
        <f>IF(ISBLANK(H837),"",IF(INDEX(DB_materiali!$E$2:$E$5000,MATCH($C837,DB_materiali!$A$2:$A$5000,0))&gt;=INDEX(DB_malas!$C$2:$C$5000,MATCH(H837,DB_malas!$A$2:$A$5000,0)),IF(INDEX(DB_materiali!$E$2:$E$5000,MATCH($C837,DB_materiali!$A$2:$A$5000,0))&lt;=INDEX(DB_malas!$D$2:$D$5000,MATCH(H837,DB_malas!$A$2:$A$5000,0)),IF(OR(INDEX(DB_materiali!$B$2:$B$5000,MATCH($C837,DB_materiali!$A$2:$A$5000,0))=INDEX(DB_malas!$B$2:$B$5000,MATCH(H837,DB_malas!$A$2:$A$5000,0)),$H837="ORG"),"✔",tulkojums!$A$38),tulkojums!$A$39),tulkojums!$A$39))</f>
        <v/>
      </c>
      <c r="Q837" s="2" t="str">
        <f>IF(ISBLANK(I837),"",IF(INDEX(DB_materiali!$E$2:$E$5000,MATCH($C837,DB_materiali!$A$2:$A$5000,0))&gt;=INDEX(DB_malas!$C$2:$C$5000,MATCH(I837,DB_malas!$A$2:$A$5000,0)),IF(INDEX(DB_materiali!$E$2:$E$5000,MATCH($C837,DB_materiali!$A$2:$A$5000,0))&lt;=INDEX(DB_malas!$D$2:$D$5000,MATCH(I837,DB_malas!$A$2:$A$5000,0)),IF(OR(INDEX(DB_materiali!$B$2:$B$5000,MATCH($C837,DB_materiali!$A$2:$A$5000,0))=INDEX(DB_malas!$B$2:$B$5000,MATCH(I837,DB_malas!$A$2:$A$5000,0)),$H837="ORG"),"✔",tulkojums!$A$38),tulkojums!$A$39),tulkojums!$A$39))</f>
        <v/>
      </c>
      <c r="R837" s="2" t="str">
        <f>IF(ISBLANK(J837),"",IF(INDEX(DB_materiali!$E$2:$E$5000,MATCH($C837,DB_materiali!$A$2:$A$5000,0))&gt;=INDEX(DB_malas!$C$2:$C$5000,MATCH(J837,DB_malas!$A$2:$A$5000,0)),IF(INDEX(DB_materiali!$E$2:$E$5000,MATCH($C837,DB_materiali!$A$2:$A$5000,0))&lt;=INDEX(DB_malas!$D$2:$D$5000,MATCH(J837,DB_malas!$A$2:$A$5000,0)),IF(INDEX(DB_materiali!$B$2:$B$5000,MATCH($C837,DB_materiali!$A$2:$A$5000,0))=INDEX(DB_malas!$B$2:$B$5000,MATCH(J837,DB_malas!$A$2:$A$5000,0)),"✔",tulkojums!$A$38),tulkojums!$A$39),tulkojums!$A$39))</f>
        <v/>
      </c>
      <c r="S837" s="2" t="str">
        <f>IF(ISBLANK(K837),"",IF(INDEX(DB_materiali!$E$2:$E$5000,MATCH($C837,DB_materiali!$A$2:$A$5000,0))&gt;=INDEX(DB_malas!$C$2:$C$5000,MATCH(K837,DB_malas!$A$2:$A$5000,0)),IF(INDEX(DB_materiali!$E$2:$E$5000,MATCH($C837,DB_materiali!$A$2:$A$5000,0))&lt;=INDEX(DB_malas!$D$2:$D$5000,MATCH(K837,DB_malas!$A$2:$A$5000,0)),IF(INDEX(DB_materiali!$B$2:$B$5000,MATCH($C837,DB_materiali!$A$2:$A$5000,0))=INDEX(DB_malas!$B$2:$B$5000,MATCH(K837,DB_malas!$A$2:$A$5000,0)),"✔",tulkojums!$A$38),tulkojums!$A$39),tulkojums!$A$39))</f>
        <v/>
      </c>
      <c r="T837" s="2"/>
      <c r="U837" s="2"/>
      <c r="V837" s="2"/>
      <c r="W837" s="2"/>
      <c r="X837" s="2"/>
      <c r="Y837" s="2"/>
      <c r="Z837" s="2"/>
    </row>
    <row r="838" spans="1:26" ht="15.75" customHeight="1">
      <c r="A838" s="17"/>
      <c r="B838" s="18"/>
      <c r="C838" s="19"/>
      <c r="D838" s="55"/>
      <c r="E838" s="55"/>
      <c r="F838" s="56"/>
      <c r="G838" s="57" t="str">
        <f>IF(ISBLANK(C838),"",
   IFERROR(
      IF(
         INDEX(DB_materiali!C$2:C$5000,
               MATCH(C838, DB_materiali!A$2:A$5000, 0)
         )="FALSE",
         "N",
         "Y"
      ),
   "")
)</f>
        <v/>
      </c>
      <c r="H838" s="20"/>
      <c r="I838" s="20"/>
      <c r="J838" s="20"/>
      <c r="K838" s="20"/>
      <c r="M838" s="2" t="str">
        <f>IF(ISBLANK(C838),"",IF(IFERROR(VLOOKUP(C838,DB_materiali!$A$2:$A$5000,1,FALSE),"Kļūda artikulā")=C838,"✔",tulkojums!A$42))</f>
        <v/>
      </c>
      <c r="N838" s="2" t="str">
        <f>IF(ISBLANK(C838),"",IF(ISNUMBER(F838)=TRUE,"✔",tulkojums!A$43))</f>
        <v/>
      </c>
      <c r="O838" s="2" t="str">
        <f>IF(ISBLANK(C838),"",IF(G838="Y","✔",IF(G838="X","✔",IF(G838="N","✔",tulkojums!A$44))))</f>
        <v/>
      </c>
      <c r="P838" s="2" t="str">
        <f>IF(ISBLANK(H838),"",IF(INDEX(DB_materiali!$E$2:$E$5000,MATCH($C838,DB_materiali!$A$2:$A$5000,0))&gt;=INDEX(DB_malas!$C$2:$C$5000,MATCH(H838,DB_malas!$A$2:$A$5000,0)),IF(INDEX(DB_materiali!$E$2:$E$5000,MATCH($C838,DB_materiali!$A$2:$A$5000,0))&lt;=INDEX(DB_malas!$D$2:$D$5000,MATCH(H838,DB_malas!$A$2:$A$5000,0)),IF(OR(INDEX(DB_materiali!$B$2:$B$5000,MATCH($C838,DB_materiali!$A$2:$A$5000,0))=INDEX(DB_malas!$B$2:$B$5000,MATCH(H838,DB_malas!$A$2:$A$5000,0)),$H838="ORG"),"✔",tulkojums!$A$38),tulkojums!$A$39),tulkojums!$A$39))</f>
        <v/>
      </c>
      <c r="Q838" s="2" t="str">
        <f>IF(ISBLANK(I838),"",IF(INDEX(DB_materiali!$E$2:$E$5000,MATCH($C838,DB_materiali!$A$2:$A$5000,0))&gt;=INDEX(DB_malas!$C$2:$C$5000,MATCH(I838,DB_malas!$A$2:$A$5000,0)),IF(INDEX(DB_materiali!$E$2:$E$5000,MATCH($C838,DB_materiali!$A$2:$A$5000,0))&lt;=INDEX(DB_malas!$D$2:$D$5000,MATCH(I838,DB_malas!$A$2:$A$5000,0)),IF(OR(INDEX(DB_materiali!$B$2:$B$5000,MATCH($C838,DB_materiali!$A$2:$A$5000,0))=INDEX(DB_malas!$B$2:$B$5000,MATCH(I838,DB_malas!$A$2:$A$5000,0)),$H838="ORG"),"✔",tulkojums!$A$38),tulkojums!$A$39),tulkojums!$A$39))</f>
        <v/>
      </c>
      <c r="R838" s="2" t="str">
        <f>IF(ISBLANK(J838),"",IF(INDEX(DB_materiali!$E$2:$E$5000,MATCH($C838,DB_materiali!$A$2:$A$5000,0))&gt;=INDEX(DB_malas!$C$2:$C$5000,MATCH(J838,DB_malas!$A$2:$A$5000,0)),IF(INDEX(DB_materiali!$E$2:$E$5000,MATCH($C838,DB_materiali!$A$2:$A$5000,0))&lt;=INDEX(DB_malas!$D$2:$D$5000,MATCH(J838,DB_malas!$A$2:$A$5000,0)),IF(INDEX(DB_materiali!$B$2:$B$5000,MATCH($C838,DB_materiali!$A$2:$A$5000,0))=INDEX(DB_malas!$B$2:$B$5000,MATCH(J838,DB_malas!$A$2:$A$5000,0)),"✔",tulkojums!$A$38),tulkojums!$A$39),tulkojums!$A$39))</f>
        <v/>
      </c>
      <c r="S838" s="2" t="str">
        <f>IF(ISBLANK(K838),"",IF(INDEX(DB_materiali!$E$2:$E$5000,MATCH($C838,DB_materiali!$A$2:$A$5000,0))&gt;=INDEX(DB_malas!$C$2:$C$5000,MATCH(K838,DB_malas!$A$2:$A$5000,0)),IF(INDEX(DB_materiali!$E$2:$E$5000,MATCH($C838,DB_materiali!$A$2:$A$5000,0))&lt;=INDEX(DB_malas!$D$2:$D$5000,MATCH(K838,DB_malas!$A$2:$A$5000,0)),IF(INDEX(DB_materiali!$B$2:$B$5000,MATCH($C838,DB_materiali!$A$2:$A$5000,0))=INDEX(DB_malas!$B$2:$B$5000,MATCH(K838,DB_malas!$A$2:$A$5000,0)),"✔",tulkojums!$A$38),tulkojums!$A$39),tulkojums!$A$39))</f>
        <v/>
      </c>
      <c r="T838" s="2"/>
      <c r="U838" s="2"/>
      <c r="V838" s="2"/>
      <c r="W838" s="2"/>
      <c r="X838" s="2"/>
      <c r="Y838" s="2"/>
      <c r="Z838" s="2"/>
    </row>
    <row r="839" spans="1:26" ht="15.75" customHeight="1">
      <c r="A839" s="17"/>
      <c r="B839" s="18"/>
      <c r="C839" s="19"/>
      <c r="D839" s="55"/>
      <c r="E839" s="55"/>
      <c r="F839" s="56"/>
      <c r="G839" s="57" t="str">
        <f>IF(ISBLANK(C839),"",
   IFERROR(
      IF(
         INDEX(DB_materiali!C$2:C$5000,
               MATCH(C839, DB_materiali!A$2:A$5000, 0)
         )="FALSE",
         "N",
         "Y"
      ),
   "")
)</f>
        <v/>
      </c>
      <c r="H839" s="20"/>
      <c r="I839" s="20"/>
      <c r="J839" s="20"/>
      <c r="K839" s="20"/>
      <c r="M839" s="2" t="str">
        <f>IF(ISBLANK(C839),"",IF(IFERROR(VLOOKUP(C839,DB_materiali!$A$2:$A$5000,1,FALSE),"Kļūda artikulā")=C839,"✔",tulkojums!A$42))</f>
        <v/>
      </c>
      <c r="N839" s="2" t="str">
        <f>IF(ISBLANK(C839),"",IF(ISNUMBER(F839)=TRUE,"✔",tulkojums!A$43))</f>
        <v/>
      </c>
      <c r="O839" s="2" t="str">
        <f>IF(ISBLANK(C839),"",IF(G839="Y","✔",IF(G839="X","✔",IF(G839="N","✔",tulkojums!A$44))))</f>
        <v/>
      </c>
      <c r="P839" s="2" t="str">
        <f>IF(ISBLANK(H839),"",IF(INDEX(DB_materiali!$E$2:$E$5000,MATCH($C839,DB_materiali!$A$2:$A$5000,0))&gt;=INDEX(DB_malas!$C$2:$C$5000,MATCH(H839,DB_malas!$A$2:$A$5000,0)),IF(INDEX(DB_materiali!$E$2:$E$5000,MATCH($C839,DB_materiali!$A$2:$A$5000,0))&lt;=INDEX(DB_malas!$D$2:$D$5000,MATCH(H839,DB_malas!$A$2:$A$5000,0)),IF(OR(INDEX(DB_materiali!$B$2:$B$5000,MATCH($C839,DB_materiali!$A$2:$A$5000,0))=INDEX(DB_malas!$B$2:$B$5000,MATCH(H839,DB_malas!$A$2:$A$5000,0)),$H839="ORG"),"✔",tulkojums!$A$38),tulkojums!$A$39),tulkojums!$A$39))</f>
        <v/>
      </c>
      <c r="Q839" s="2" t="str">
        <f>IF(ISBLANK(I839),"",IF(INDEX(DB_materiali!$E$2:$E$5000,MATCH($C839,DB_materiali!$A$2:$A$5000,0))&gt;=INDEX(DB_malas!$C$2:$C$5000,MATCH(I839,DB_malas!$A$2:$A$5000,0)),IF(INDEX(DB_materiali!$E$2:$E$5000,MATCH($C839,DB_materiali!$A$2:$A$5000,0))&lt;=INDEX(DB_malas!$D$2:$D$5000,MATCH(I839,DB_malas!$A$2:$A$5000,0)),IF(OR(INDEX(DB_materiali!$B$2:$B$5000,MATCH($C839,DB_materiali!$A$2:$A$5000,0))=INDEX(DB_malas!$B$2:$B$5000,MATCH(I839,DB_malas!$A$2:$A$5000,0)),$H839="ORG"),"✔",tulkojums!$A$38),tulkojums!$A$39),tulkojums!$A$39))</f>
        <v/>
      </c>
      <c r="R839" s="2" t="str">
        <f>IF(ISBLANK(J839),"",IF(INDEX(DB_materiali!$E$2:$E$5000,MATCH($C839,DB_materiali!$A$2:$A$5000,0))&gt;=INDEX(DB_malas!$C$2:$C$5000,MATCH(J839,DB_malas!$A$2:$A$5000,0)),IF(INDEX(DB_materiali!$E$2:$E$5000,MATCH($C839,DB_materiali!$A$2:$A$5000,0))&lt;=INDEX(DB_malas!$D$2:$D$5000,MATCH(J839,DB_malas!$A$2:$A$5000,0)),IF(INDEX(DB_materiali!$B$2:$B$5000,MATCH($C839,DB_materiali!$A$2:$A$5000,0))=INDEX(DB_malas!$B$2:$B$5000,MATCH(J839,DB_malas!$A$2:$A$5000,0)),"✔",tulkojums!$A$38),tulkojums!$A$39),tulkojums!$A$39))</f>
        <v/>
      </c>
      <c r="S839" s="2" t="str">
        <f>IF(ISBLANK(K839),"",IF(INDEX(DB_materiali!$E$2:$E$5000,MATCH($C839,DB_materiali!$A$2:$A$5000,0))&gt;=INDEX(DB_malas!$C$2:$C$5000,MATCH(K839,DB_malas!$A$2:$A$5000,0)),IF(INDEX(DB_materiali!$E$2:$E$5000,MATCH($C839,DB_materiali!$A$2:$A$5000,0))&lt;=INDEX(DB_malas!$D$2:$D$5000,MATCH(K839,DB_malas!$A$2:$A$5000,0)),IF(INDEX(DB_materiali!$B$2:$B$5000,MATCH($C839,DB_materiali!$A$2:$A$5000,0))=INDEX(DB_malas!$B$2:$B$5000,MATCH(K839,DB_malas!$A$2:$A$5000,0)),"✔",tulkojums!$A$38),tulkojums!$A$39),tulkojums!$A$39))</f>
        <v/>
      </c>
      <c r="T839" s="2"/>
      <c r="U839" s="2"/>
      <c r="V839" s="2"/>
      <c r="W839" s="2"/>
      <c r="X839" s="2"/>
      <c r="Y839" s="2"/>
      <c r="Z839" s="2"/>
    </row>
    <row r="840" spans="1:26" ht="15.75" customHeight="1">
      <c r="A840" s="17"/>
      <c r="B840" s="18"/>
      <c r="C840" s="19"/>
      <c r="D840" s="55"/>
      <c r="E840" s="55"/>
      <c r="F840" s="56"/>
      <c r="G840" s="57" t="str">
        <f>IF(ISBLANK(C840),"",
   IFERROR(
      IF(
         INDEX(DB_materiali!C$2:C$5000,
               MATCH(C840, DB_materiali!A$2:A$5000, 0)
         )="FALSE",
         "N",
         "Y"
      ),
   "")
)</f>
        <v/>
      </c>
      <c r="H840" s="20"/>
      <c r="I840" s="20"/>
      <c r="J840" s="20"/>
      <c r="K840" s="20"/>
      <c r="M840" s="2" t="str">
        <f>IF(ISBLANK(C840),"",IF(IFERROR(VLOOKUP(C840,DB_materiali!$A$2:$A$5000,1,FALSE),"Kļūda artikulā")=C840,"✔",tulkojums!A$42))</f>
        <v/>
      </c>
      <c r="N840" s="2" t="str">
        <f>IF(ISBLANK(C840),"",IF(ISNUMBER(F840)=TRUE,"✔",tulkojums!A$43))</f>
        <v/>
      </c>
      <c r="O840" s="2" t="str">
        <f>IF(ISBLANK(C840),"",IF(G840="Y","✔",IF(G840="X","✔",IF(G840="N","✔",tulkojums!A$44))))</f>
        <v/>
      </c>
      <c r="P840" s="2" t="str">
        <f>IF(ISBLANK(H840),"",IF(INDEX(DB_materiali!$E$2:$E$5000,MATCH($C840,DB_materiali!$A$2:$A$5000,0))&gt;=INDEX(DB_malas!$C$2:$C$5000,MATCH(H840,DB_malas!$A$2:$A$5000,0)),IF(INDEX(DB_materiali!$E$2:$E$5000,MATCH($C840,DB_materiali!$A$2:$A$5000,0))&lt;=INDEX(DB_malas!$D$2:$D$5000,MATCH(H840,DB_malas!$A$2:$A$5000,0)),IF(OR(INDEX(DB_materiali!$B$2:$B$5000,MATCH($C840,DB_materiali!$A$2:$A$5000,0))=INDEX(DB_malas!$B$2:$B$5000,MATCH(H840,DB_malas!$A$2:$A$5000,0)),$H840="ORG"),"✔",tulkojums!$A$38),tulkojums!$A$39),tulkojums!$A$39))</f>
        <v/>
      </c>
      <c r="Q840" s="2" t="str">
        <f>IF(ISBLANK(I840),"",IF(INDEX(DB_materiali!$E$2:$E$5000,MATCH($C840,DB_materiali!$A$2:$A$5000,0))&gt;=INDEX(DB_malas!$C$2:$C$5000,MATCH(I840,DB_malas!$A$2:$A$5000,0)),IF(INDEX(DB_materiali!$E$2:$E$5000,MATCH($C840,DB_materiali!$A$2:$A$5000,0))&lt;=INDEX(DB_malas!$D$2:$D$5000,MATCH(I840,DB_malas!$A$2:$A$5000,0)),IF(OR(INDEX(DB_materiali!$B$2:$B$5000,MATCH($C840,DB_materiali!$A$2:$A$5000,0))=INDEX(DB_malas!$B$2:$B$5000,MATCH(I840,DB_malas!$A$2:$A$5000,0)),$H840="ORG"),"✔",tulkojums!$A$38),tulkojums!$A$39),tulkojums!$A$39))</f>
        <v/>
      </c>
      <c r="R840" s="2" t="str">
        <f>IF(ISBLANK(J840),"",IF(INDEX(DB_materiali!$E$2:$E$5000,MATCH($C840,DB_materiali!$A$2:$A$5000,0))&gt;=INDEX(DB_malas!$C$2:$C$5000,MATCH(J840,DB_malas!$A$2:$A$5000,0)),IF(INDEX(DB_materiali!$E$2:$E$5000,MATCH($C840,DB_materiali!$A$2:$A$5000,0))&lt;=INDEX(DB_malas!$D$2:$D$5000,MATCH(J840,DB_malas!$A$2:$A$5000,0)),IF(INDEX(DB_materiali!$B$2:$B$5000,MATCH($C840,DB_materiali!$A$2:$A$5000,0))=INDEX(DB_malas!$B$2:$B$5000,MATCH(J840,DB_malas!$A$2:$A$5000,0)),"✔",tulkojums!$A$38),tulkojums!$A$39),tulkojums!$A$39))</f>
        <v/>
      </c>
      <c r="S840" s="2" t="str">
        <f>IF(ISBLANK(K840),"",IF(INDEX(DB_materiali!$E$2:$E$5000,MATCH($C840,DB_materiali!$A$2:$A$5000,0))&gt;=INDEX(DB_malas!$C$2:$C$5000,MATCH(K840,DB_malas!$A$2:$A$5000,0)),IF(INDEX(DB_materiali!$E$2:$E$5000,MATCH($C840,DB_materiali!$A$2:$A$5000,0))&lt;=INDEX(DB_malas!$D$2:$D$5000,MATCH(K840,DB_malas!$A$2:$A$5000,0)),IF(INDEX(DB_materiali!$B$2:$B$5000,MATCH($C840,DB_materiali!$A$2:$A$5000,0))=INDEX(DB_malas!$B$2:$B$5000,MATCH(K840,DB_malas!$A$2:$A$5000,0)),"✔",tulkojums!$A$38),tulkojums!$A$39),tulkojums!$A$39))</f>
        <v/>
      </c>
      <c r="T840" s="2"/>
      <c r="U840" s="2"/>
      <c r="V840" s="2"/>
      <c r="W840" s="2"/>
      <c r="X840" s="2"/>
      <c r="Y840" s="2"/>
      <c r="Z840" s="2"/>
    </row>
    <row r="841" spans="1:26" ht="15.75" customHeight="1">
      <c r="A841" s="17"/>
      <c r="B841" s="18"/>
      <c r="C841" s="19"/>
      <c r="D841" s="55"/>
      <c r="E841" s="55"/>
      <c r="F841" s="56"/>
      <c r="G841" s="57" t="str">
        <f>IF(ISBLANK(C841),"",
   IFERROR(
      IF(
         INDEX(DB_materiali!C$2:C$5000,
               MATCH(C841, DB_materiali!A$2:A$5000, 0)
         )="FALSE",
         "N",
         "Y"
      ),
   "")
)</f>
        <v/>
      </c>
      <c r="H841" s="20"/>
      <c r="I841" s="20"/>
      <c r="J841" s="20"/>
      <c r="K841" s="20"/>
      <c r="M841" s="2" t="str">
        <f>IF(ISBLANK(C841),"",IF(IFERROR(VLOOKUP(C841,DB_materiali!$A$2:$A$5000,1,FALSE),"Kļūda artikulā")=C841,"✔",tulkojums!A$42))</f>
        <v/>
      </c>
      <c r="N841" s="2" t="str">
        <f>IF(ISBLANK(C841),"",IF(ISNUMBER(F841)=TRUE,"✔",tulkojums!A$43))</f>
        <v/>
      </c>
      <c r="O841" s="2" t="str">
        <f>IF(ISBLANK(C841),"",IF(G841="Y","✔",IF(G841="X","✔",IF(G841="N","✔",tulkojums!A$44))))</f>
        <v/>
      </c>
      <c r="P841" s="2" t="str">
        <f>IF(ISBLANK(H841),"",IF(INDEX(DB_materiali!$E$2:$E$5000,MATCH($C841,DB_materiali!$A$2:$A$5000,0))&gt;=INDEX(DB_malas!$C$2:$C$5000,MATCH(H841,DB_malas!$A$2:$A$5000,0)),IF(INDEX(DB_materiali!$E$2:$E$5000,MATCH($C841,DB_materiali!$A$2:$A$5000,0))&lt;=INDEX(DB_malas!$D$2:$D$5000,MATCH(H841,DB_malas!$A$2:$A$5000,0)),IF(OR(INDEX(DB_materiali!$B$2:$B$5000,MATCH($C841,DB_materiali!$A$2:$A$5000,0))=INDEX(DB_malas!$B$2:$B$5000,MATCH(H841,DB_malas!$A$2:$A$5000,0)),$H841="ORG"),"✔",tulkojums!$A$38),tulkojums!$A$39),tulkojums!$A$39))</f>
        <v/>
      </c>
      <c r="Q841" s="2" t="str">
        <f>IF(ISBLANK(I841),"",IF(INDEX(DB_materiali!$E$2:$E$5000,MATCH($C841,DB_materiali!$A$2:$A$5000,0))&gt;=INDEX(DB_malas!$C$2:$C$5000,MATCH(I841,DB_malas!$A$2:$A$5000,0)),IF(INDEX(DB_materiali!$E$2:$E$5000,MATCH($C841,DB_materiali!$A$2:$A$5000,0))&lt;=INDEX(DB_malas!$D$2:$D$5000,MATCH(I841,DB_malas!$A$2:$A$5000,0)),IF(OR(INDEX(DB_materiali!$B$2:$B$5000,MATCH($C841,DB_materiali!$A$2:$A$5000,0))=INDEX(DB_malas!$B$2:$B$5000,MATCH(I841,DB_malas!$A$2:$A$5000,0)),$H841="ORG"),"✔",tulkojums!$A$38),tulkojums!$A$39),tulkojums!$A$39))</f>
        <v/>
      </c>
      <c r="R841" s="2" t="str">
        <f>IF(ISBLANK(J841),"",IF(INDEX(DB_materiali!$E$2:$E$5000,MATCH($C841,DB_materiali!$A$2:$A$5000,0))&gt;=INDEX(DB_malas!$C$2:$C$5000,MATCH(J841,DB_malas!$A$2:$A$5000,0)),IF(INDEX(DB_materiali!$E$2:$E$5000,MATCH($C841,DB_materiali!$A$2:$A$5000,0))&lt;=INDEX(DB_malas!$D$2:$D$5000,MATCH(J841,DB_malas!$A$2:$A$5000,0)),IF(INDEX(DB_materiali!$B$2:$B$5000,MATCH($C841,DB_materiali!$A$2:$A$5000,0))=INDEX(DB_malas!$B$2:$B$5000,MATCH(J841,DB_malas!$A$2:$A$5000,0)),"✔",tulkojums!$A$38),tulkojums!$A$39),tulkojums!$A$39))</f>
        <v/>
      </c>
      <c r="S841" s="2" t="str">
        <f>IF(ISBLANK(K841),"",IF(INDEX(DB_materiali!$E$2:$E$5000,MATCH($C841,DB_materiali!$A$2:$A$5000,0))&gt;=INDEX(DB_malas!$C$2:$C$5000,MATCH(K841,DB_malas!$A$2:$A$5000,0)),IF(INDEX(DB_materiali!$E$2:$E$5000,MATCH($C841,DB_materiali!$A$2:$A$5000,0))&lt;=INDEX(DB_malas!$D$2:$D$5000,MATCH(K841,DB_malas!$A$2:$A$5000,0)),IF(INDEX(DB_materiali!$B$2:$B$5000,MATCH($C841,DB_materiali!$A$2:$A$5000,0))=INDEX(DB_malas!$B$2:$B$5000,MATCH(K841,DB_malas!$A$2:$A$5000,0)),"✔",tulkojums!$A$38),tulkojums!$A$39),tulkojums!$A$39))</f>
        <v/>
      </c>
      <c r="T841" s="2"/>
      <c r="U841" s="2"/>
      <c r="V841" s="2"/>
      <c r="W841" s="2"/>
      <c r="X841" s="2"/>
      <c r="Y841" s="2"/>
      <c r="Z841" s="2"/>
    </row>
    <row r="842" spans="1:26" ht="15.75" customHeight="1">
      <c r="A842" s="17"/>
      <c r="B842" s="18"/>
      <c r="C842" s="19"/>
      <c r="D842" s="55"/>
      <c r="E842" s="55"/>
      <c r="F842" s="56"/>
      <c r="G842" s="57" t="str">
        <f>IF(ISBLANK(C842),"",
   IFERROR(
      IF(
         INDEX(DB_materiali!C$2:C$5000,
               MATCH(C842, DB_materiali!A$2:A$5000, 0)
         )="FALSE",
         "N",
         "Y"
      ),
   "")
)</f>
        <v/>
      </c>
      <c r="H842" s="20"/>
      <c r="I842" s="20"/>
      <c r="J842" s="20"/>
      <c r="K842" s="20"/>
      <c r="M842" s="2" t="str">
        <f>IF(ISBLANK(C842),"",IF(IFERROR(VLOOKUP(C842,DB_materiali!$A$2:$A$5000,1,FALSE),"Kļūda artikulā")=C842,"✔",tulkojums!A$42))</f>
        <v/>
      </c>
      <c r="N842" s="2" t="str">
        <f>IF(ISBLANK(C842),"",IF(ISNUMBER(F842)=TRUE,"✔",tulkojums!A$43))</f>
        <v/>
      </c>
      <c r="O842" s="2" t="str">
        <f>IF(ISBLANK(C842),"",IF(G842="Y","✔",IF(G842="X","✔",IF(G842="N","✔",tulkojums!A$44))))</f>
        <v/>
      </c>
      <c r="P842" s="2" t="str">
        <f>IF(ISBLANK(H842),"",IF(INDEX(DB_materiali!$E$2:$E$5000,MATCH($C842,DB_materiali!$A$2:$A$5000,0))&gt;=INDEX(DB_malas!$C$2:$C$5000,MATCH(H842,DB_malas!$A$2:$A$5000,0)),IF(INDEX(DB_materiali!$E$2:$E$5000,MATCH($C842,DB_materiali!$A$2:$A$5000,0))&lt;=INDEX(DB_malas!$D$2:$D$5000,MATCH(H842,DB_malas!$A$2:$A$5000,0)),IF(OR(INDEX(DB_materiali!$B$2:$B$5000,MATCH($C842,DB_materiali!$A$2:$A$5000,0))=INDEX(DB_malas!$B$2:$B$5000,MATCH(H842,DB_malas!$A$2:$A$5000,0)),$H842="ORG"),"✔",tulkojums!$A$38),tulkojums!$A$39),tulkojums!$A$39))</f>
        <v/>
      </c>
      <c r="Q842" s="2" t="str">
        <f>IF(ISBLANK(I842),"",IF(INDEX(DB_materiali!$E$2:$E$5000,MATCH($C842,DB_materiali!$A$2:$A$5000,0))&gt;=INDEX(DB_malas!$C$2:$C$5000,MATCH(I842,DB_malas!$A$2:$A$5000,0)),IF(INDEX(DB_materiali!$E$2:$E$5000,MATCH($C842,DB_materiali!$A$2:$A$5000,0))&lt;=INDEX(DB_malas!$D$2:$D$5000,MATCH(I842,DB_malas!$A$2:$A$5000,0)),IF(OR(INDEX(DB_materiali!$B$2:$B$5000,MATCH($C842,DB_materiali!$A$2:$A$5000,0))=INDEX(DB_malas!$B$2:$B$5000,MATCH(I842,DB_malas!$A$2:$A$5000,0)),$H842="ORG"),"✔",tulkojums!$A$38),tulkojums!$A$39),tulkojums!$A$39))</f>
        <v/>
      </c>
      <c r="R842" s="2" t="str">
        <f>IF(ISBLANK(J842),"",IF(INDEX(DB_materiali!$E$2:$E$5000,MATCH($C842,DB_materiali!$A$2:$A$5000,0))&gt;=INDEX(DB_malas!$C$2:$C$5000,MATCH(J842,DB_malas!$A$2:$A$5000,0)),IF(INDEX(DB_materiali!$E$2:$E$5000,MATCH($C842,DB_materiali!$A$2:$A$5000,0))&lt;=INDEX(DB_malas!$D$2:$D$5000,MATCH(J842,DB_malas!$A$2:$A$5000,0)),IF(INDEX(DB_materiali!$B$2:$B$5000,MATCH($C842,DB_materiali!$A$2:$A$5000,0))=INDEX(DB_malas!$B$2:$B$5000,MATCH(J842,DB_malas!$A$2:$A$5000,0)),"✔",tulkojums!$A$38),tulkojums!$A$39),tulkojums!$A$39))</f>
        <v/>
      </c>
      <c r="S842" s="2" t="str">
        <f>IF(ISBLANK(K842),"",IF(INDEX(DB_materiali!$E$2:$E$5000,MATCH($C842,DB_materiali!$A$2:$A$5000,0))&gt;=INDEX(DB_malas!$C$2:$C$5000,MATCH(K842,DB_malas!$A$2:$A$5000,0)),IF(INDEX(DB_materiali!$E$2:$E$5000,MATCH($C842,DB_materiali!$A$2:$A$5000,0))&lt;=INDEX(DB_malas!$D$2:$D$5000,MATCH(K842,DB_malas!$A$2:$A$5000,0)),IF(INDEX(DB_materiali!$B$2:$B$5000,MATCH($C842,DB_materiali!$A$2:$A$5000,0))=INDEX(DB_malas!$B$2:$B$5000,MATCH(K842,DB_malas!$A$2:$A$5000,0)),"✔",tulkojums!$A$38),tulkojums!$A$39),tulkojums!$A$39))</f>
        <v/>
      </c>
      <c r="T842" s="2"/>
      <c r="U842" s="2"/>
      <c r="V842" s="2"/>
      <c r="W842" s="2"/>
      <c r="X842" s="2"/>
      <c r="Y842" s="2"/>
      <c r="Z842" s="2"/>
    </row>
    <row r="843" spans="1:26" ht="15.75" customHeight="1">
      <c r="A843" s="17"/>
      <c r="B843" s="18"/>
      <c r="C843" s="19"/>
      <c r="D843" s="55"/>
      <c r="E843" s="55"/>
      <c r="F843" s="56"/>
      <c r="G843" s="57" t="str">
        <f>IF(ISBLANK(C843),"",
   IFERROR(
      IF(
         INDEX(DB_materiali!C$2:C$5000,
               MATCH(C843, DB_materiali!A$2:A$5000, 0)
         )="FALSE",
         "N",
         "Y"
      ),
   "")
)</f>
        <v/>
      </c>
      <c r="H843" s="20"/>
      <c r="I843" s="20"/>
      <c r="J843" s="20"/>
      <c r="K843" s="20"/>
      <c r="M843" s="2" t="str">
        <f>IF(ISBLANK(C843),"",IF(IFERROR(VLOOKUP(C843,DB_materiali!$A$2:$A$5000,1,FALSE),"Kļūda artikulā")=C843,"✔",tulkojums!A$42))</f>
        <v/>
      </c>
      <c r="N843" s="2" t="str">
        <f>IF(ISBLANK(C843),"",IF(ISNUMBER(F843)=TRUE,"✔",tulkojums!A$43))</f>
        <v/>
      </c>
      <c r="O843" s="2" t="str">
        <f>IF(ISBLANK(C843),"",IF(G843="Y","✔",IF(G843="X","✔",IF(G843="N","✔",tulkojums!A$44))))</f>
        <v/>
      </c>
      <c r="P843" s="2" t="str">
        <f>IF(ISBLANK(H843),"",IF(INDEX(DB_materiali!$E$2:$E$5000,MATCH($C843,DB_materiali!$A$2:$A$5000,0))&gt;=INDEX(DB_malas!$C$2:$C$5000,MATCH(H843,DB_malas!$A$2:$A$5000,0)),IF(INDEX(DB_materiali!$E$2:$E$5000,MATCH($C843,DB_materiali!$A$2:$A$5000,0))&lt;=INDEX(DB_malas!$D$2:$D$5000,MATCH(H843,DB_malas!$A$2:$A$5000,0)),IF(OR(INDEX(DB_materiali!$B$2:$B$5000,MATCH($C843,DB_materiali!$A$2:$A$5000,0))=INDEX(DB_malas!$B$2:$B$5000,MATCH(H843,DB_malas!$A$2:$A$5000,0)),$H843="ORG"),"✔",tulkojums!$A$38),tulkojums!$A$39),tulkojums!$A$39))</f>
        <v/>
      </c>
      <c r="Q843" s="2" t="str">
        <f>IF(ISBLANK(I843),"",IF(INDEX(DB_materiali!$E$2:$E$5000,MATCH($C843,DB_materiali!$A$2:$A$5000,0))&gt;=INDEX(DB_malas!$C$2:$C$5000,MATCH(I843,DB_malas!$A$2:$A$5000,0)),IF(INDEX(DB_materiali!$E$2:$E$5000,MATCH($C843,DB_materiali!$A$2:$A$5000,0))&lt;=INDEX(DB_malas!$D$2:$D$5000,MATCH(I843,DB_malas!$A$2:$A$5000,0)),IF(OR(INDEX(DB_materiali!$B$2:$B$5000,MATCH($C843,DB_materiali!$A$2:$A$5000,0))=INDEX(DB_malas!$B$2:$B$5000,MATCH(I843,DB_malas!$A$2:$A$5000,0)),$H843="ORG"),"✔",tulkojums!$A$38),tulkojums!$A$39),tulkojums!$A$39))</f>
        <v/>
      </c>
      <c r="R843" s="2" t="str">
        <f>IF(ISBLANK(J843),"",IF(INDEX(DB_materiali!$E$2:$E$5000,MATCH($C843,DB_materiali!$A$2:$A$5000,0))&gt;=INDEX(DB_malas!$C$2:$C$5000,MATCH(J843,DB_malas!$A$2:$A$5000,0)),IF(INDEX(DB_materiali!$E$2:$E$5000,MATCH($C843,DB_materiali!$A$2:$A$5000,0))&lt;=INDEX(DB_malas!$D$2:$D$5000,MATCH(J843,DB_malas!$A$2:$A$5000,0)),IF(INDEX(DB_materiali!$B$2:$B$5000,MATCH($C843,DB_materiali!$A$2:$A$5000,0))=INDEX(DB_malas!$B$2:$B$5000,MATCH(J843,DB_malas!$A$2:$A$5000,0)),"✔",tulkojums!$A$38),tulkojums!$A$39),tulkojums!$A$39))</f>
        <v/>
      </c>
      <c r="S843" s="2" t="str">
        <f>IF(ISBLANK(K843),"",IF(INDEX(DB_materiali!$E$2:$E$5000,MATCH($C843,DB_materiali!$A$2:$A$5000,0))&gt;=INDEX(DB_malas!$C$2:$C$5000,MATCH(K843,DB_malas!$A$2:$A$5000,0)),IF(INDEX(DB_materiali!$E$2:$E$5000,MATCH($C843,DB_materiali!$A$2:$A$5000,0))&lt;=INDEX(DB_malas!$D$2:$D$5000,MATCH(K843,DB_malas!$A$2:$A$5000,0)),IF(INDEX(DB_materiali!$B$2:$B$5000,MATCH($C843,DB_materiali!$A$2:$A$5000,0))=INDEX(DB_malas!$B$2:$B$5000,MATCH(K843,DB_malas!$A$2:$A$5000,0)),"✔",tulkojums!$A$38),tulkojums!$A$39),tulkojums!$A$39))</f>
        <v/>
      </c>
      <c r="T843" s="2"/>
      <c r="U843" s="2"/>
      <c r="V843" s="2"/>
      <c r="W843" s="2"/>
      <c r="X843" s="2"/>
      <c r="Y843" s="2"/>
      <c r="Z843" s="2"/>
    </row>
    <row r="844" spans="1:26" ht="15.75" customHeight="1">
      <c r="A844" s="17"/>
      <c r="B844" s="18"/>
      <c r="C844" s="19"/>
      <c r="D844" s="55"/>
      <c r="E844" s="55"/>
      <c r="F844" s="56"/>
      <c r="G844" s="57" t="str">
        <f>IF(ISBLANK(C844),"",
   IFERROR(
      IF(
         INDEX(DB_materiali!C$2:C$5000,
               MATCH(C844, DB_materiali!A$2:A$5000, 0)
         )="FALSE",
         "N",
         "Y"
      ),
   "")
)</f>
        <v/>
      </c>
      <c r="H844" s="20"/>
      <c r="I844" s="20"/>
      <c r="J844" s="20"/>
      <c r="K844" s="20"/>
      <c r="M844" s="2" t="str">
        <f>IF(ISBLANK(C844),"",IF(IFERROR(VLOOKUP(C844,DB_materiali!$A$2:$A$5000,1,FALSE),"Kļūda artikulā")=C844,"✔",tulkojums!A$42))</f>
        <v/>
      </c>
      <c r="N844" s="2" t="str">
        <f>IF(ISBLANK(C844),"",IF(ISNUMBER(F844)=TRUE,"✔",tulkojums!A$43))</f>
        <v/>
      </c>
      <c r="O844" s="2" t="str">
        <f>IF(ISBLANK(C844),"",IF(G844="Y","✔",IF(G844="X","✔",IF(G844="N","✔",tulkojums!A$44))))</f>
        <v/>
      </c>
      <c r="P844" s="2" t="str">
        <f>IF(ISBLANK(H844),"",IF(INDEX(DB_materiali!$E$2:$E$5000,MATCH($C844,DB_materiali!$A$2:$A$5000,0))&gt;=INDEX(DB_malas!$C$2:$C$5000,MATCH(H844,DB_malas!$A$2:$A$5000,0)),IF(INDEX(DB_materiali!$E$2:$E$5000,MATCH($C844,DB_materiali!$A$2:$A$5000,0))&lt;=INDEX(DB_malas!$D$2:$D$5000,MATCH(H844,DB_malas!$A$2:$A$5000,0)),IF(OR(INDEX(DB_materiali!$B$2:$B$5000,MATCH($C844,DB_materiali!$A$2:$A$5000,0))=INDEX(DB_malas!$B$2:$B$5000,MATCH(H844,DB_malas!$A$2:$A$5000,0)),$H844="ORG"),"✔",tulkojums!$A$38),tulkojums!$A$39),tulkojums!$A$39))</f>
        <v/>
      </c>
      <c r="Q844" s="2" t="str">
        <f>IF(ISBLANK(I844),"",IF(INDEX(DB_materiali!$E$2:$E$5000,MATCH($C844,DB_materiali!$A$2:$A$5000,0))&gt;=INDEX(DB_malas!$C$2:$C$5000,MATCH(I844,DB_malas!$A$2:$A$5000,0)),IF(INDEX(DB_materiali!$E$2:$E$5000,MATCH($C844,DB_materiali!$A$2:$A$5000,0))&lt;=INDEX(DB_malas!$D$2:$D$5000,MATCH(I844,DB_malas!$A$2:$A$5000,0)),IF(OR(INDEX(DB_materiali!$B$2:$B$5000,MATCH($C844,DB_materiali!$A$2:$A$5000,0))=INDEX(DB_malas!$B$2:$B$5000,MATCH(I844,DB_malas!$A$2:$A$5000,0)),$H844="ORG"),"✔",tulkojums!$A$38),tulkojums!$A$39),tulkojums!$A$39))</f>
        <v/>
      </c>
      <c r="R844" s="2" t="str">
        <f>IF(ISBLANK(J844),"",IF(INDEX(DB_materiali!$E$2:$E$5000,MATCH($C844,DB_materiali!$A$2:$A$5000,0))&gt;=INDEX(DB_malas!$C$2:$C$5000,MATCH(J844,DB_malas!$A$2:$A$5000,0)),IF(INDEX(DB_materiali!$E$2:$E$5000,MATCH($C844,DB_materiali!$A$2:$A$5000,0))&lt;=INDEX(DB_malas!$D$2:$D$5000,MATCH(J844,DB_malas!$A$2:$A$5000,0)),IF(INDEX(DB_materiali!$B$2:$B$5000,MATCH($C844,DB_materiali!$A$2:$A$5000,0))=INDEX(DB_malas!$B$2:$B$5000,MATCH(J844,DB_malas!$A$2:$A$5000,0)),"✔",tulkojums!$A$38),tulkojums!$A$39),tulkojums!$A$39))</f>
        <v/>
      </c>
      <c r="S844" s="2" t="str">
        <f>IF(ISBLANK(K844),"",IF(INDEX(DB_materiali!$E$2:$E$5000,MATCH($C844,DB_materiali!$A$2:$A$5000,0))&gt;=INDEX(DB_malas!$C$2:$C$5000,MATCH(K844,DB_malas!$A$2:$A$5000,0)),IF(INDEX(DB_materiali!$E$2:$E$5000,MATCH($C844,DB_materiali!$A$2:$A$5000,0))&lt;=INDEX(DB_malas!$D$2:$D$5000,MATCH(K844,DB_malas!$A$2:$A$5000,0)),IF(INDEX(DB_materiali!$B$2:$B$5000,MATCH($C844,DB_materiali!$A$2:$A$5000,0))=INDEX(DB_malas!$B$2:$B$5000,MATCH(K844,DB_malas!$A$2:$A$5000,0)),"✔",tulkojums!$A$38),tulkojums!$A$39),tulkojums!$A$39))</f>
        <v/>
      </c>
      <c r="T844" s="2"/>
      <c r="U844" s="2"/>
      <c r="V844" s="2"/>
      <c r="W844" s="2"/>
      <c r="X844" s="2"/>
      <c r="Y844" s="2"/>
      <c r="Z844" s="2"/>
    </row>
    <row r="845" spans="1:26" ht="15.75" customHeight="1">
      <c r="A845" s="17"/>
      <c r="B845" s="18"/>
      <c r="C845" s="19"/>
      <c r="D845" s="55"/>
      <c r="E845" s="55"/>
      <c r="F845" s="56"/>
      <c r="G845" s="57" t="str">
        <f>IF(ISBLANK(C845),"",
   IFERROR(
      IF(
         INDEX(DB_materiali!C$2:C$5000,
               MATCH(C845, DB_materiali!A$2:A$5000, 0)
         )="FALSE",
         "N",
         "Y"
      ),
   "")
)</f>
        <v/>
      </c>
      <c r="H845" s="20"/>
      <c r="I845" s="20"/>
      <c r="J845" s="20"/>
      <c r="K845" s="20"/>
      <c r="M845" s="2" t="str">
        <f>IF(ISBLANK(C845),"",IF(IFERROR(VLOOKUP(C845,DB_materiali!$A$2:$A$5000,1,FALSE),"Kļūda artikulā")=C845,"✔",tulkojums!A$42))</f>
        <v/>
      </c>
      <c r="N845" s="2" t="str">
        <f>IF(ISBLANK(C845),"",IF(ISNUMBER(F845)=TRUE,"✔",tulkojums!A$43))</f>
        <v/>
      </c>
      <c r="O845" s="2" t="str">
        <f>IF(ISBLANK(C845),"",IF(G845="Y","✔",IF(G845="X","✔",IF(G845="N","✔",tulkojums!A$44))))</f>
        <v/>
      </c>
      <c r="P845" s="2" t="str">
        <f>IF(ISBLANK(H845),"",IF(INDEX(DB_materiali!$E$2:$E$5000,MATCH($C845,DB_materiali!$A$2:$A$5000,0))&gt;=INDEX(DB_malas!$C$2:$C$5000,MATCH(H845,DB_malas!$A$2:$A$5000,0)),IF(INDEX(DB_materiali!$E$2:$E$5000,MATCH($C845,DB_materiali!$A$2:$A$5000,0))&lt;=INDEX(DB_malas!$D$2:$D$5000,MATCH(H845,DB_malas!$A$2:$A$5000,0)),IF(OR(INDEX(DB_materiali!$B$2:$B$5000,MATCH($C845,DB_materiali!$A$2:$A$5000,0))=INDEX(DB_malas!$B$2:$B$5000,MATCH(H845,DB_malas!$A$2:$A$5000,0)),$H845="ORG"),"✔",tulkojums!$A$38),tulkojums!$A$39),tulkojums!$A$39))</f>
        <v/>
      </c>
      <c r="Q845" s="2" t="str">
        <f>IF(ISBLANK(I845),"",IF(INDEX(DB_materiali!$E$2:$E$5000,MATCH($C845,DB_materiali!$A$2:$A$5000,0))&gt;=INDEX(DB_malas!$C$2:$C$5000,MATCH(I845,DB_malas!$A$2:$A$5000,0)),IF(INDEX(DB_materiali!$E$2:$E$5000,MATCH($C845,DB_materiali!$A$2:$A$5000,0))&lt;=INDEX(DB_malas!$D$2:$D$5000,MATCH(I845,DB_malas!$A$2:$A$5000,0)),IF(OR(INDEX(DB_materiali!$B$2:$B$5000,MATCH($C845,DB_materiali!$A$2:$A$5000,0))=INDEX(DB_malas!$B$2:$B$5000,MATCH(I845,DB_malas!$A$2:$A$5000,0)),$H845="ORG"),"✔",tulkojums!$A$38),tulkojums!$A$39),tulkojums!$A$39))</f>
        <v/>
      </c>
      <c r="R845" s="2" t="str">
        <f>IF(ISBLANK(J845),"",IF(INDEX(DB_materiali!$E$2:$E$5000,MATCH($C845,DB_materiali!$A$2:$A$5000,0))&gt;=INDEX(DB_malas!$C$2:$C$5000,MATCH(J845,DB_malas!$A$2:$A$5000,0)),IF(INDEX(DB_materiali!$E$2:$E$5000,MATCH($C845,DB_materiali!$A$2:$A$5000,0))&lt;=INDEX(DB_malas!$D$2:$D$5000,MATCH(J845,DB_malas!$A$2:$A$5000,0)),IF(INDEX(DB_materiali!$B$2:$B$5000,MATCH($C845,DB_materiali!$A$2:$A$5000,0))=INDEX(DB_malas!$B$2:$B$5000,MATCH(J845,DB_malas!$A$2:$A$5000,0)),"✔",tulkojums!$A$38),tulkojums!$A$39),tulkojums!$A$39))</f>
        <v/>
      </c>
      <c r="S845" s="2" t="str">
        <f>IF(ISBLANK(K845),"",IF(INDEX(DB_materiali!$E$2:$E$5000,MATCH($C845,DB_materiali!$A$2:$A$5000,0))&gt;=INDEX(DB_malas!$C$2:$C$5000,MATCH(K845,DB_malas!$A$2:$A$5000,0)),IF(INDEX(DB_materiali!$E$2:$E$5000,MATCH($C845,DB_materiali!$A$2:$A$5000,0))&lt;=INDEX(DB_malas!$D$2:$D$5000,MATCH(K845,DB_malas!$A$2:$A$5000,0)),IF(INDEX(DB_materiali!$B$2:$B$5000,MATCH($C845,DB_materiali!$A$2:$A$5000,0))=INDEX(DB_malas!$B$2:$B$5000,MATCH(K845,DB_malas!$A$2:$A$5000,0)),"✔",tulkojums!$A$38),tulkojums!$A$39),tulkojums!$A$39))</f>
        <v/>
      </c>
      <c r="T845" s="2"/>
      <c r="U845" s="2"/>
      <c r="V845" s="2"/>
      <c r="W845" s="2"/>
      <c r="X845" s="2"/>
      <c r="Y845" s="2"/>
      <c r="Z845" s="2"/>
    </row>
    <row r="846" spans="1:26" ht="15.75" customHeight="1">
      <c r="A846" s="17"/>
      <c r="B846" s="18"/>
      <c r="C846" s="19"/>
      <c r="D846" s="55"/>
      <c r="E846" s="55"/>
      <c r="F846" s="56"/>
      <c r="G846" s="57" t="str">
        <f>IF(ISBLANK(C846),"",
   IFERROR(
      IF(
         INDEX(DB_materiali!C$2:C$5000,
               MATCH(C846, DB_materiali!A$2:A$5000, 0)
         )="FALSE",
         "N",
         "Y"
      ),
   "")
)</f>
        <v/>
      </c>
      <c r="H846" s="20"/>
      <c r="I846" s="20"/>
      <c r="J846" s="20"/>
      <c r="K846" s="20"/>
      <c r="M846" s="2" t="str">
        <f>IF(ISBLANK(C846),"",IF(IFERROR(VLOOKUP(C846,DB_materiali!$A$2:$A$5000,1,FALSE),"Kļūda artikulā")=C846,"✔",tulkojums!A$42))</f>
        <v/>
      </c>
      <c r="N846" s="2" t="str">
        <f>IF(ISBLANK(C846),"",IF(ISNUMBER(F846)=TRUE,"✔",tulkojums!A$43))</f>
        <v/>
      </c>
      <c r="O846" s="2" t="str">
        <f>IF(ISBLANK(C846),"",IF(G846="Y","✔",IF(G846="X","✔",IF(G846="N","✔",tulkojums!A$44))))</f>
        <v/>
      </c>
      <c r="P846" s="2" t="str">
        <f>IF(ISBLANK(H846),"",IF(INDEX(DB_materiali!$E$2:$E$5000,MATCH($C846,DB_materiali!$A$2:$A$5000,0))&gt;=INDEX(DB_malas!$C$2:$C$5000,MATCH(H846,DB_malas!$A$2:$A$5000,0)),IF(INDEX(DB_materiali!$E$2:$E$5000,MATCH($C846,DB_materiali!$A$2:$A$5000,0))&lt;=INDEX(DB_malas!$D$2:$D$5000,MATCH(H846,DB_malas!$A$2:$A$5000,0)),IF(OR(INDEX(DB_materiali!$B$2:$B$5000,MATCH($C846,DB_materiali!$A$2:$A$5000,0))=INDEX(DB_malas!$B$2:$B$5000,MATCH(H846,DB_malas!$A$2:$A$5000,0)),$H846="ORG"),"✔",tulkojums!$A$38),tulkojums!$A$39),tulkojums!$A$39))</f>
        <v/>
      </c>
      <c r="Q846" s="2" t="str">
        <f>IF(ISBLANK(I846),"",IF(INDEX(DB_materiali!$E$2:$E$5000,MATCH($C846,DB_materiali!$A$2:$A$5000,0))&gt;=INDEX(DB_malas!$C$2:$C$5000,MATCH(I846,DB_malas!$A$2:$A$5000,0)),IF(INDEX(DB_materiali!$E$2:$E$5000,MATCH($C846,DB_materiali!$A$2:$A$5000,0))&lt;=INDEX(DB_malas!$D$2:$D$5000,MATCH(I846,DB_malas!$A$2:$A$5000,0)),IF(OR(INDEX(DB_materiali!$B$2:$B$5000,MATCH($C846,DB_materiali!$A$2:$A$5000,0))=INDEX(DB_malas!$B$2:$B$5000,MATCH(I846,DB_malas!$A$2:$A$5000,0)),$H846="ORG"),"✔",tulkojums!$A$38),tulkojums!$A$39),tulkojums!$A$39))</f>
        <v/>
      </c>
      <c r="R846" s="2" t="str">
        <f>IF(ISBLANK(J846),"",IF(INDEX(DB_materiali!$E$2:$E$5000,MATCH($C846,DB_materiali!$A$2:$A$5000,0))&gt;=INDEX(DB_malas!$C$2:$C$5000,MATCH(J846,DB_malas!$A$2:$A$5000,0)),IF(INDEX(DB_materiali!$E$2:$E$5000,MATCH($C846,DB_materiali!$A$2:$A$5000,0))&lt;=INDEX(DB_malas!$D$2:$D$5000,MATCH(J846,DB_malas!$A$2:$A$5000,0)),IF(INDEX(DB_materiali!$B$2:$B$5000,MATCH($C846,DB_materiali!$A$2:$A$5000,0))=INDEX(DB_malas!$B$2:$B$5000,MATCH(J846,DB_malas!$A$2:$A$5000,0)),"✔",tulkojums!$A$38),tulkojums!$A$39),tulkojums!$A$39))</f>
        <v/>
      </c>
      <c r="S846" s="2" t="str">
        <f>IF(ISBLANK(K846),"",IF(INDEX(DB_materiali!$E$2:$E$5000,MATCH($C846,DB_materiali!$A$2:$A$5000,0))&gt;=INDEX(DB_malas!$C$2:$C$5000,MATCH(K846,DB_malas!$A$2:$A$5000,0)),IF(INDEX(DB_materiali!$E$2:$E$5000,MATCH($C846,DB_materiali!$A$2:$A$5000,0))&lt;=INDEX(DB_malas!$D$2:$D$5000,MATCH(K846,DB_malas!$A$2:$A$5000,0)),IF(INDEX(DB_materiali!$B$2:$B$5000,MATCH($C846,DB_materiali!$A$2:$A$5000,0))=INDEX(DB_malas!$B$2:$B$5000,MATCH(K846,DB_malas!$A$2:$A$5000,0)),"✔",tulkojums!$A$38),tulkojums!$A$39),tulkojums!$A$39))</f>
        <v/>
      </c>
      <c r="T846" s="2"/>
      <c r="U846" s="2"/>
      <c r="V846" s="2"/>
      <c r="W846" s="2"/>
      <c r="X846" s="2"/>
      <c r="Y846" s="2"/>
      <c r="Z846" s="2"/>
    </row>
    <row r="847" spans="1:26" ht="15.75" customHeight="1">
      <c r="A847" s="17"/>
      <c r="B847" s="18"/>
      <c r="C847" s="19"/>
      <c r="D847" s="55"/>
      <c r="E847" s="55"/>
      <c r="F847" s="56"/>
      <c r="G847" s="57" t="str">
        <f>IF(ISBLANK(C847),"",
   IFERROR(
      IF(
         INDEX(DB_materiali!C$2:C$5000,
               MATCH(C847, DB_materiali!A$2:A$5000, 0)
         )="FALSE",
         "N",
         "Y"
      ),
   "")
)</f>
        <v/>
      </c>
      <c r="H847" s="20"/>
      <c r="I847" s="20"/>
      <c r="J847" s="20"/>
      <c r="K847" s="20"/>
      <c r="M847" s="2" t="str">
        <f>IF(ISBLANK(C847),"",IF(IFERROR(VLOOKUP(C847,DB_materiali!$A$2:$A$5000,1,FALSE),"Kļūda artikulā")=C847,"✔",tulkojums!A$42))</f>
        <v/>
      </c>
      <c r="N847" s="2" t="str">
        <f>IF(ISBLANK(C847),"",IF(ISNUMBER(F847)=TRUE,"✔",tulkojums!A$43))</f>
        <v/>
      </c>
      <c r="O847" s="2" t="str">
        <f>IF(ISBLANK(C847),"",IF(G847="Y","✔",IF(G847="X","✔",IF(G847="N","✔",tulkojums!A$44))))</f>
        <v/>
      </c>
      <c r="P847" s="2" t="str">
        <f>IF(ISBLANK(H847),"",IF(INDEX(DB_materiali!$E$2:$E$5000,MATCH($C847,DB_materiali!$A$2:$A$5000,0))&gt;=INDEX(DB_malas!$C$2:$C$5000,MATCH(H847,DB_malas!$A$2:$A$5000,0)),IF(INDEX(DB_materiali!$E$2:$E$5000,MATCH($C847,DB_materiali!$A$2:$A$5000,0))&lt;=INDEX(DB_malas!$D$2:$D$5000,MATCH(H847,DB_malas!$A$2:$A$5000,0)),IF(OR(INDEX(DB_materiali!$B$2:$B$5000,MATCH($C847,DB_materiali!$A$2:$A$5000,0))=INDEX(DB_malas!$B$2:$B$5000,MATCH(H847,DB_malas!$A$2:$A$5000,0)),$H847="ORG"),"✔",tulkojums!$A$38),tulkojums!$A$39),tulkojums!$A$39))</f>
        <v/>
      </c>
      <c r="Q847" s="2" t="str">
        <f>IF(ISBLANK(I847),"",IF(INDEX(DB_materiali!$E$2:$E$5000,MATCH($C847,DB_materiali!$A$2:$A$5000,0))&gt;=INDEX(DB_malas!$C$2:$C$5000,MATCH(I847,DB_malas!$A$2:$A$5000,0)),IF(INDEX(DB_materiali!$E$2:$E$5000,MATCH($C847,DB_materiali!$A$2:$A$5000,0))&lt;=INDEX(DB_malas!$D$2:$D$5000,MATCH(I847,DB_malas!$A$2:$A$5000,0)),IF(OR(INDEX(DB_materiali!$B$2:$B$5000,MATCH($C847,DB_materiali!$A$2:$A$5000,0))=INDEX(DB_malas!$B$2:$B$5000,MATCH(I847,DB_malas!$A$2:$A$5000,0)),$H847="ORG"),"✔",tulkojums!$A$38),tulkojums!$A$39),tulkojums!$A$39))</f>
        <v/>
      </c>
      <c r="R847" s="2" t="str">
        <f>IF(ISBLANK(J847),"",IF(INDEX(DB_materiali!$E$2:$E$5000,MATCH($C847,DB_materiali!$A$2:$A$5000,0))&gt;=INDEX(DB_malas!$C$2:$C$5000,MATCH(J847,DB_malas!$A$2:$A$5000,0)),IF(INDEX(DB_materiali!$E$2:$E$5000,MATCH($C847,DB_materiali!$A$2:$A$5000,0))&lt;=INDEX(DB_malas!$D$2:$D$5000,MATCH(J847,DB_malas!$A$2:$A$5000,0)),IF(INDEX(DB_materiali!$B$2:$B$5000,MATCH($C847,DB_materiali!$A$2:$A$5000,0))=INDEX(DB_malas!$B$2:$B$5000,MATCH(J847,DB_malas!$A$2:$A$5000,0)),"✔",tulkojums!$A$38),tulkojums!$A$39),tulkojums!$A$39))</f>
        <v/>
      </c>
      <c r="S847" s="2" t="str">
        <f>IF(ISBLANK(K847),"",IF(INDEX(DB_materiali!$E$2:$E$5000,MATCH($C847,DB_materiali!$A$2:$A$5000,0))&gt;=INDEX(DB_malas!$C$2:$C$5000,MATCH(K847,DB_malas!$A$2:$A$5000,0)),IF(INDEX(DB_materiali!$E$2:$E$5000,MATCH($C847,DB_materiali!$A$2:$A$5000,0))&lt;=INDEX(DB_malas!$D$2:$D$5000,MATCH(K847,DB_malas!$A$2:$A$5000,0)),IF(INDEX(DB_materiali!$B$2:$B$5000,MATCH($C847,DB_materiali!$A$2:$A$5000,0))=INDEX(DB_malas!$B$2:$B$5000,MATCH(K847,DB_malas!$A$2:$A$5000,0)),"✔",tulkojums!$A$38),tulkojums!$A$39),tulkojums!$A$39))</f>
        <v/>
      </c>
      <c r="T847" s="2"/>
      <c r="U847" s="2"/>
      <c r="V847" s="2"/>
      <c r="W847" s="2"/>
      <c r="X847" s="2"/>
      <c r="Y847" s="2"/>
      <c r="Z847" s="2"/>
    </row>
    <row r="848" spans="1:26" ht="15.75" customHeight="1">
      <c r="A848" s="17"/>
      <c r="B848" s="18"/>
      <c r="C848" s="19"/>
      <c r="D848" s="55"/>
      <c r="E848" s="55"/>
      <c r="F848" s="56"/>
      <c r="G848" s="57" t="str">
        <f>IF(ISBLANK(C848),"",
   IFERROR(
      IF(
         INDEX(DB_materiali!C$2:C$5000,
               MATCH(C848, DB_materiali!A$2:A$5000, 0)
         )="FALSE",
         "N",
         "Y"
      ),
   "")
)</f>
        <v/>
      </c>
      <c r="H848" s="20"/>
      <c r="I848" s="20"/>
      <c r="J848" s="20"/>
      <c r="K848" s="20"/>
      <c r="M848" s="2" t="str">
        <f>IF(ISBLANK(C848),"",IF(IFERROR(VLOOKUP(C848,DB_materiali!$A$2:$A$5000,1,FALSE),"Kļūda artikulā")=C848,"✔",tulkojums!A$42))</f>
        <v/>
      </c>
      <c r="N848" s="2" t="str">
        <f>IF(ISBLANK(C848),"",IF(ISNUMBER(F848)=TRUE,"✔",tulkojums!A$43))</f>
        <v/>
      </c>
      <c r="O848" s="2" t="str">
        <f>IF(ISBLANK(C848),"",IF(G848="Y","✔",IF(G848="X","✔",IF(G848="N","✔",tulkojums!A$44))))</f>
        <v/>
      </c>
      <c r="P848" s="2" t="str">
        <f>IF(ISBLANK(H848),"",IF(INDEX(DB_materiali!$E$2:$E$5000,MATCH($C848,DB_materiali!$A$2:$A$5000,0))&gt;=INDEX(DB_malas!$C$2:$C$5000,MATCH(H848,DB_malas!$A$2:$A$5000,0)),IF(INDEX(DB_materiali!$E$2:$E$5000,MATCH($C848,DB_materiali!$A$2:$A$5000,0))&lt;=INDEX(DB_malas!$D$2:$D$5000,MATCH(H848,DB_malas!$A$2:$A$5000,0)),IF(OR(INDEX(DB_materiali!$B$2:$B$5000,MATCH($C848,DB_materiali!$A$2:$A$5000,0))=INDEX(DB_malas!$B$2:$B$5000,MATCH(H848,DB_malas!$A$2:$A$5000,0)),$H848="ORG"),"✔",tulkojums!$A$38),tulkojums!$A$39),tulkojums!$A$39))</f>
        <v/>
      </c>
      <c r="Q848" s="2" t="str">
        <f>IF(ISBLANK(I848),"",IF(INDEX(DB_materiali!$E$2:$E$5000,MATCH($C848,DB_materiali!$A$2:$A$5000,0))&gt;=INDEX(DB_malas!$C$2:$C$5000,MATCH(I848,DB_malas!$A$2:$A$5000,0)),IF(INDEX(DB_materiali!$E$2:$E$5000,MATCH($C848,DB_materiali!$A$2:$A$5000,0))&lt;=INDEX(DB_malas!$D$2:$D$5000,MATCH(I848,DB_malas!$A$2:$A$5000,0)),IF(OR(INDEX(DB_materiali!$B$2:$B$5000,MATCH($C848,DB_materiali!$A$2:$A$5000,0))=INDEX(DB_malas!$B$2:$B$5000,MATCH(I848,DB_malas!$A$2:$A$5000,0)),$H848="ORG"),"✔",tulkojums!$A$38),tulkojums!$A$39),tulkojums!$A$39))</f>
        <v/>
      </c>
      <c r="R848" s="2" t="str">
        <f>IF(ISBLANK(J848),"",IF(INDEX(DB_materiali!$E$2:$E$5000,MATCH($C848,DB_materiali!$A$2:$A$5000,0))&gt;=INDEX(DB_malas!$C$2:$C$5000,MATCH(J848,DB_malas!$A$2:$A$5000,0)),IF(INDEX(DB_materiali!$E$2:$E$5000,MATCH($C848,DB_materiali!$A$2:$A$5000,0))&lt;=INDEX(DB_malas!$D$2:$D$5000,MATCH(J848,DB_malas!$A$2:$A$5000,0)),IF(INDEX(DB_materiali!$B$2:$B$5000,MATCH($C848,DB_materiali!$A$2:$A$5000,0))=INDEX(DB_malas!$B$2:$B$5000,MATCH(J848,DB_malas!$A$2:$A$5000,0)),"✔",tulkojums!$A$38),tulkojums!$A$39),tulkojums!$A$39))</f>
        <v/>
      </c>
      <c r="S848" s="2" t="str">
        <f>IF(ISBLANK(K848),"",IF(INDEX(DB_materiali!$E$2:$E$5000,MATCH($C848,DB_materiali!$A$2:$A$5000,0))&gt;=INDEX(DB_malas!$C$2:$C$5000,MATCH(K848,DB_malas!$A$2:$A$5000,0)),IF(INDEX(DB_materiali!$E$2:$E$5000,MATCH($C848,DB_materiali!$A$2:$A$5000,0))&lt;=INDEX(DB_malas!$D$2:$D$5000,MATCH(K848,DB_malas!$A$2:$A$5000,0)),IF(INDEX(DB_materiali!$B$2:$B$5000,MATCH($C848,DB_materiali!$A$2:$A$5000,0))=INDEX(DB_malas!$B$2:$B$5000,MATCH(K848,DB_malas!$A$2:$A$5000,0)),"✔",tulkojums!$A$38),tulkojums!$A$39),tulkojums!$A$39))</f>
        <v/>
      </c>
      <c r="T848" s="2"/>
      <c r="U848" s="2"/>
      <c r="V848" s="2"/>
      <c r="W848" s="2"/>
      <c r="X848" s="2"/>
      <c r="Y848" s="2"/>
      <c r="Z848" s="2"/>
    </row>
    <row r="849" spans="1:26" ht="15.75" customHeight="1">
      <c r="A849" s="17"/>
      <c r="B849" s="18"/>
      <c r="C849" s="19"/>
      <c r="D849" s="55"/>
      <c r="E849" s="55"/>
      <c r="F849" s="56"/>
      <c r="G849" s="57" t="str">
        <f>IF(ISBLANK(C849),"",
   IFERROR(
      IF(
         INDEX(DB_materiali!C$2:C$5000,
               MATCH(C849, DB_materiali!A$2:A$5000, 0)
         )="FALSE",
         "N",
         "Y"
      ),
   "")
)</f>
        <v/>
      </c>
      <c r="H849" s="20"/>
      <c r="I849" s="20"/>
      <c r="J849" s="20"/>
      <c r="K849" s="20"/>
      <c r="M849" s="2" t="str">
        <f>IF(ISBLANK(C849),"",IF(IFERROR(VLOOKUP(C849,DB_materiali!$A$2:$A$5000,1,FALSE),"Kļūda artikulā")=C849,"✔",tulkojums!A$42))</f>
        <v/>
      </c>
      <c r="N849" s="2" t="str">
        <f>IF(ISBLANK(C849),"",IF(ISNUMBER(F849)=TRUE,"✔",tulkojums!A$43))</f>
        <v/>
      </c>
      <c r="O849" s="2" t="str">
        <f>IF(ISBLANK(C849),"",IF(G849="Y","✔",IF(G849="X","✔",IF(G849="N","✔",tulkojums!A$44))))</f>
        <v/>
      </c>
      <c r="P849" s="2" t="str">
        <f>IF(ISBLANK(H849),"",IF(INDEX(DB_materiali!$E$2:$E$5000,MATCH($C849,DB_materiali!$A$2:$A$5000,0))&gt;=INDEX(DB_malas!$C$2:$C$5000,MATCH(H849,DB_malas!$A$2:$A$5000,0)),IF(INDEX(DB_materiali!$E$2:$E$5000,MATCH($C849,DB_materiali!$A$2:$A$5000,0))&lt;=INDEX(DB_malas!$D$2:$D$5000,MATCH(H849,DB_malas!$A$2:$A$5000,0)),IF(OR(INDEX(DB_materiali!$B$2:$B$5000,MATCH($C849,DB_materiali!$A$2:$A$5000,0))=INDEX(DB_malas!$B$2:$B$5000,MATCH(H849,DB_malas!$A$2:$A$5000,0)),$H849="ORG"),"✔",tulkojums!$A$38),tulkojums!$A$39),tulkojums!$A$39))</f>
        <v/>
      </c>
      <c r="Q849" s="2" t="str">
        <f>IF(ISBLANK(I849),"",IF(INDEX(DB_materiali!$E$2:$E$5000,MATCH($C849,DB_materiali!$A$2:$A$5000,0))&gt;=INDEX(DB_malas!$C$2:$C$5000,MATCH(I849,DB_malas!$A$2:$A$5000,0)),IF(INDEX(DB_materiali!$E$2:$E$5000,MATCH($C849,DB_materiali!$A$2:$A$5000,0))&lt;=INDEX(DB_malas!$D$2:$D$5000,MATCH(I849,DB_malas!$A$2:$A$5000,0)),IF(OR(INDEX(DB_materiali!$B$2:$B$5000,MATCH($C849,DB_materiali!$A$2:$A$5000,0))=INDEX(DB_malas!$B$2:$B$5000,MATCH(I849,DB_malas!$A$2:$A$5000,0)),$H849="ORG"),"✔",tulkojums!$A$38),tulkojums!$A$39),tulkojums!$A$39))</f>
        <v/>
      </c>
      <c r="R849" s="2" t="str">
        <f>IF(ISBLANK(J849),"",IF(INDEX(DB_materiali!$E$2:$E$5000,MATCH($C849,DB_materiali!$A$2:$A$5000,0))&gt;=INDEX(DB_malas!$C$2:$C$5000,MATCH(J849,DB_malas!$A$2:$A$5000,0)),IF(INDEX(DB_materiali!$E$2:$E$5000,MATCH($C849,DB_materiali!$A$2:$A$5000,0))&lt;=INDEX(DB_malas!$D$2:$D$5000,MATCH(J849,DB_malas!$A$2:$A$5000,0)),IF(INDEX(DB_materiali!$B$2:$B$5000,MATCH($C849,DB_materiali!$A$2:$A$5000,0))=INDEX(DB_malas!$B$2:$B$5000,MATCH(J849,DB_malas!$A$2:$A$5000,0)),"✔",tulkojums!$A$38),tulkojums!$A$39),tulkojums!$A$39))</f>
        <v/>
      </c>
      <c r="S849" s="2" t="str">
        <f>IF(ISBLANK(K849),"",IF(INDEX(DB_materiali!$E$2:$E$5000,MATCH($C849,DB_materiali!$A$2:$A$5000,0))&gt;=INDEX(DB_malas!$C$2:$C$5000,MATCH(K849,DB_malas!$A$2:$A$5000,0)),IF(INDEX(DB_materiali!$E$2:$E$5000,MATCH($C849,DB_materiali!$A$2:$A$5000,0))&lt;=INDEX(DB_malas!$D$2:$D$5000,MATCH(K849,DB_malas!$A$2:$A$5000,0)),IF(INDEX(DB_materiali!$B$2:$B$5000,MATCH($C849,DB_materiali!$A$2:$A$5000,0))=INDEX(DB_malas!$B$2:$B$5000,MATCH(K849,DB_malas!$A$2:$A$5000,0)),"✔",tulkojums!$A$38),tulkojums!$A$39),tulkojums!$A$39))</f>
        <v/>
      </c>
      <c r="T849" s="2"/>
      <c r="U849" s="2"/>
      <c r="V849" s="2"/>
      <c r="W849" s="2"/>
      <c r="X849" s="2"/>
      <c r="Y849" s="2"/>
      <c r="Z849" s="2"/>
    </row>
    <row r="850" spans="1:26" ht="15.75" customHeight="1">
      <c r="A850" s="17"/>
      <c r="B850" s="18"/>
      <c r="C850" s="19"/>
      <c r="D850" s="55"/>
      <c r="E850" s="55"/>
      <c r="F850" s="56"/>
      <c r="G850" s="57" t="str">
        <f>IF(ISBLANK(C850),"",
   IFERROR(
      IF(
         INDEX(DB_materiali!C$2:C$5000,
               MATCH(C850, DB_materiali!A$2:A$5000, 0)
         )="FALSE",
         "N",
         "Y"
      ),
   "")
)</f>
        <v/>
      </c>
      <c r="H850" s="20"/>
      <c r="I850" s="20"/>
      <c r="J850" s="20"/>
      <c r="K850" s="20"/>
      <c r="M850" s="2" t="str">
        <f>IF(ISBLANK(C850),"",IF(IFERROR(VLOOKUP(C850,DB_materiali!$A$2:$A$5000,1,FALSE),"Kļūda artikulā")=C850,"✔",tulkojums!A$42))</f>
        <v/>
      </c>
      <c r="N850" s="2" t="str">
        <f>IF(ISBLANK(C850),"",IF(ISNUMBER(F850)=TRUE,"✔",tulkojums!A$43))</f>
        <v/>
      </c>
      <c r="O850" s="2" t="str">
        <f>IF(ISBLANK(C850),"",IF(G850="Y","✔",IF(G850="X","✔",IF(G850="N","✔",tulkojums!A$44))))</f>
        <v/>
      </c>
      <c r="P850" s="2" t="str">
        <f>IF(ISBLANK(H850),"",IF(INDEX(DB_materiali!$E$2:$E$5000,MATCH($C850,DB_materiali!$A$2:$A$5000,0))&gt;=INDEX(DB_malas!$C$2:$C$5000,MATCH(H850,DB_malas!$A$2:$A$5000,0)),IF(INDEX(DB_materiali!$E$2:$E$5000,MATCH($C850,DB_materiali!$A$2:$A$5000,0))&lt;=INDEX(DB_malas!$D$2:$D$5000,MATCH(H850,DB_malas!$A$2:$A$5000,0)),IF(OR(INDEX(DB_materiali!$B$2:$B$5000,MATCH($C850,DB_materiali!$A$2:$A$5000,0))=INDEX(DB_malas!$B$2:$B$5000,MATCH(H850,DB_malas!$A$2:$A$5000,0)),$H850="ORG"),"✔",tulkojums!$A$38),tulkojums!$A$39),tulkojums!$A$39))</f>
        <v/>
      </c>
      <c r="Q850" s="2" t="str">
        <f>IF(ISBLANK(I850),"",IF(INDEX(DB_materiali!$E$2:$E$5000,MATCH($C850,DB_materiali!$A$2:$A$5000,0))&gt;=INDEX(DB_malas!$C$2:$C$5000,MATCH(I850,DB_malas!$A$2:$A$5000,0)),IF(INDEX(DB_materiali!$E$2:$E$5000,MATCH($C850,DB_materiali!$A$2:$A$5000,0))&lt;=INDEX(DB_malas!$D$2:$D$5000,MATCH(I850,DB_malas!$A$2:$A$5000,0)),IF(OR(INDEX(DB_materiali!$B$2:$B$5000,MATCH($C850,DB_materiali!$A$2:$A$5000,0))=INDEX(DB_malas!$B$2:$B$5000,MATCH(I850,DB_malas!$A$2:$A$5000,0)),$H850="ORG"),"✔",tulkojums!$A$38),tulkojums!$A$39),tulkojums!$A$39))</f>
        <v/>
      </c>
      <c r="R850" s="2" t="str">
        <f>IF(ISBLANK(J850),"",IF(INDEX(DB_materiali!$E$2:$E$5000,MATCH($C850,DB_materiali!$A$2:$A$5000,0))&gt;=INDEX(DB_malas!$C$2:$C$5000,MATCH(J850,DB_malas!$A$2:$A$5000,0)),IF(INDEX(DB_materiali!$E$2:$E$5000,MATCH($C850,DB_materiali!$A$2:$A$5000,0))&lt;=INDEX(DB_malas!$D$2:$D$5000,MATCH(J850,DB_malas!$A$2:$A$5000,0)),IF(INDEX(DB_materiali!$B$2:$B$5000,MATCH($C850,DB_materiali!$A$2:$A$5000,0))=INDEX(DB_malas!$B$2:$B$5000,MATCH(J850,DB_malas!$A$2:$A$5000,0)),"✔",tulkojums!$A$38),tulkojums!$A$39),tulkojums!$A$39))</f>
        <v/>
      </c>
      <c r="S850" s="2" t="str">
        <f>IF(ISBLANK(K850),"",IF(INDEX(DB_materiali!$E$2:$E$5000,MATCH($C850,DB_materiali!$A$2:$A$5000,0))&gt;=INDEX(DB_malas!$C$2:$C$5000,MATCH(K850,DB_malas!$A$2:$A$5000,0)),IF(INDEX(DB_materiali!$E$2:$E$5000,MATCH($C850,DB_materiali!$A$2:$A$5000,0))&lt;=INDEX(DB_malas!$D$2:$D$5000,MATCH(K850,DB_malas!$A$2:$A$5000,0)),IF(INDEX(DB_materiali!$B$2:$B$5000,MATCH($C850,DB_materiali!$A$2:$A$5000,0))=INDEX(DB_malas!$B$2:$B$5000,MATCH(K850,DB_malas!$A$2:$A$5000,0)),"✔",tulkojums!$A$38),tulkojums!$A$39),tulkojums!$A$39))</f>
        <v/>
      </c>
      <c r="T850" s="2"/>
      <c r="U850" s="2"/>
      <c r="V850" s="2"/>
      <c r="W850" s="2"/>
      <c r="X850" s="2"/>
      <c r="Y850" s="2"/>
      <c r="Z850" s="2"/>
    </row>
    <row r="851" spans="1:26" ht="15.75" customHeight="1">
      <c r="A851" s="17"/>
      <c r="B851" s="18"/>
      <c r="C851" s="19"/>
      <c r="D851" s="55"/>
      <c r="E851" s="55"/>
      <c r="F851" s="56"/>
      <c r="G851" s="57" t="str">
        <f>IF(ISBLANK(C851),"",
   IFERROR(
      IF(
         INDEX(DB_materiali!C$2:C$5000,
               MATCH(C851, DB_materiali!A$2:A$5000, 0)
         )="FALSE",
         "N",
         "Y"
      ),
   "")
)</f>
        <v/>
      </c>
      <c r="H851" s="20"/>
      <c r="I851" s="20"/>
      <c r="J851" s="20"/>
      <c r="K851" s="20"/>
      <c r="M851" s="2" t="str">
        <f>IF(ISBLANK(C851),"",IF(IFERROR(VLOOKUP(C851,DB_materiali!$A$2:$A$5000,1,FALSE),"Kļūda artikulā")=C851,"✔",tulkojums!A$42))</f>
        <v/>
      </c>
      <c r="N851" s="2" t="str">
        <f>IF(ISBLANK(C851),"",IF(ISNUMBER(F851)=TRUE,"✔",tulkojums!A$43))</f>
        <v/>
      </c>
      <c r="O851" s="2" t="str">
        <f>IF(ISBLANK(C851),"",IF(G851="Y","✔",IF(G851="X","✔",IF(G851="N","✔",tulkojums!A$44))))</f>
        <v/>
      </c>
      <c r="P851" s="2" t="str">
        <f>IF(ISBLANK(H851),"",IF(INDEX(DB_materiali!$E$2:$E$5000,MATCH($C851,DB_materiali!$A$2:$A$5000,0))&gt;=INDEX(DB_malas!$C$2:$C$5000,MATCH(H851,DB_malas!$A$2:$A$5000,0)),IF(INDEX(DB_materiali!$E$2:$E$5000,MATCH($C851,DB_materiali!$A$2:$A$5000,0))&lt;=INDEX(DB_malas!$D$2:$D$5000,MATCH(H851,DB_malas!$A$2:$A$5000,0)),IF(OR(INDEX(DB_materiali!$B$2:$B$5000,MATCH($C851,DB_materiali!$A$2:$A$5000,0))=INDEX(DB_malas!$B$2:$B$5000,MATCH(H851,DB_malas!$A$2:$A$5000,0)),$H851="ORG"),"✔",tulkojums!$A$38),tulkojums!$A$39),tulkojums!$A$39))</f>
        <v/>
      </c>
      <c r="Q851" s="2" t="str">
        <f>IF(ISBLANK(I851),"",IF(INDEX(DB_materiali!$E$2:$E$5000,MATCH($C851,DB_materiali!$A$2:$A$5000,0))&gt;=INDEX(DB_malas!$C$2:$C$5000,MATCH(I851,DB_malas!$A$2:$A$5000,0)),IF(INDEX(DB_materiali!$E$2:$E$5000,MATCH($C851,DB_materiali!$A$2:$A$5000,0))&lt;=INDEX(DB_malas!$D$2:$D$5000,MATCH(I851,DB_malas!$A$2:$A$5000,0)),IF(OR(INDEX(DB_materiali!$B$2:$B$5000,MATCH($C851,DB_materiali!$A$2:$A$5000,0))=INDEX(DB_malas!$B$2:$B$5000,MATCH(I851,DB_malas!$A$2:$A$5000,0)),$H851="ORG"),"✔",tulkojums!$A$38),tulkojums!$A$39),tulkojums!$A$39))</f>
        <v/>
      </c>
      <c r="R851" s="2" t="str">
        <f>IF(ISBLANK(J851),"",IF(INDEX(DB_materiali!$E$2:$E$5000,MATCH($C851,DB_materiali!$A$2:$A$5000,0))&gt;=INDEX(DB_malas!$C$2:$C$5000,MATCH(J851,DB_malas!$A$2:$A$5000,0)),IF(INDEX(DB_materiali!$E$2:$E$5000,MATCH($C851,DB_materiali!$A$2:$A$5000,0))&lt;=INDEX(DB_malas!$D$2:$D$5000,MATCH(J851,DB_malas!$A$2:$A$5000,0)),IF(INDEX(DB_materiali!$B$2:$B$5000,MATCH($C851,DB_materiali!$A$2:$A$5000,0))=INDEX(DB_malas!$B$2:$B$5000,MATCH(J851,DB_malas!$A$2:$A$5000,0)),"✔",tulkojums!$A$38),tulkojums!$A$39),tulkojums!$A$39))</f>
        <v/>
      </c>
      <c r="S851" s="2" t="str">
        <f>IF(ISBLANK(K851),"",IF(INDEX(DB_materiali!$E$2:$E$5000,MATCH($C851,DB_materiali!$A$2:$A$5000,0))&gt;=INDEX(DB_malas!$C$2:$C$5000,MATCH(K851,DB_malas!$A$2:$A$5000,0)),IF(INDEX(DB_materiali!$E$2:$E$5000,MATCH($C851,DB_materiali!$A$2:$A$5000,0))&lt;=INDEX(DB_malas!$D$2:$D$5000,MATCH(K851,DB_malas!$A$2:$A$5000,0)),IF(INDEX(DB_materiali!$B$2:$B$5000,MATCH($C851,DB_materiali!$A$2:$A$5000,0))=INDEX(DB_malas!$B$2:$B$5000,MATCH(K851,DB_malas!$A$2:$A$5000,0)),"✔",tulkojums!$A$38),tulkojums!$A$39),tulkojums!$A$39))</f>
        <v/>
      </c>
      <c r="T851" s="2"/>
      <c r="U851" s="2"/>
      <c r="V851" s="2"/>
      <c r="W851" s="2"/>
      <c r="X851" s="2"/>
      <c r="Y851" s="2"/>
      <c r="Z851" s="2"/>
    </row>
    <row r="852" spans="1:26" ht="15.75" customHeight="1">
      <c r="A852" s="17"/>
      <c r="B852" s="18"/>
      <c r="C852" s="19"/>
      <c r="D852" s="55"/>
      <c r="E852" s="55"/>
      <c r="F852" s="56"/>
      <c r="G852" s="57" t="str">
        <f>IF(ISBLANK(C852),"",
   IFERROR(
      IF(
         INDEX(DB_materiali!C$2:C$5000,
               MATCH(C852, DB_materiali!A$2:A$5000, 0)
         )="FALSE",
         "N",
         "Y"
      ),
   "")
)</f>
        <v/>
      </c>
      <c r="H852" s="20"/>
      <c r="I852" s="20"/>
      <c r="J852" s="20"/>
      <c r="K852" s="20"/>
      <c r="M852" s="2" t="str">
        <f>IF(ISBLANK(C852),"",IF(IFERROR(VLOOKUP(C852,DB_materiali!$A$2:$A$5000,1,FALSE),"Kļūda artikulā")=C852,"✔",tulkojums!A$42))</f>
        <v/>
      </c>
      <c r="N852" s="2" t="str">
        <f>IF(ISBLANK(C852),"",IF(ISNUMBER(F852)=TRUE,"✔",tulkojums!A$43))</f>
        <v/>
      </c>
      <c r="O852" s="2" t="str">
        <f>IF(ISBLANK(C852),"",IF(G852="Y","✔",IF(G852="X","✔",IF(G852="N","✔",tulkojums!A$44))))</f>
        <v/>
      </c>
      <c r="P852" s="2" t="str">
        <f>IF(ISBLANK(H852),"",IF(INDEX(DB_materiali!$E$2:$E$5000,MATCH($C852,DB_materiali!$A$2:$A$5000,0))&gt;=INDEX(DB_malas!$C$2:$C$5000,MATCH(H852,DB_malas!$A$2:$A$5000,0)),IF(INDEX(DB_materiali!$E$2:$E$5000,MATCH($C852,DB_materiali!$A$2:$A$5000,0))&lt;=INDEX(DB_malas!$D$2:$D$5000,MATCH(H852,DB_malas!$A$2:$A$5000,0)),IF(OR(INDEX(DB_materiali!$B$2:$B$5000,MATCH($C852,DB_materiali!$A$2:$A$5000,0))=INDEX(DB_malas!$B$2:$B$5000,MATCH(H852,DB_malas!$A$2:$A$5000,0)),$H852="ORG"),"✔",tulkojums!$A$38),tulkojums!$A$39),tulkojums!$A$39))</f>
        <v/>
      </c>
      <c r="Q852" s="2" t="str">
        <f>IF(ISBLANK(I852),"",IF(INDEX(DB_materiali!$E$2:$E$5000,MATCH($C852,DB_materiali!$A$2:$A$5000,0))&gt;=INDEX(DB_malas!$C$2:$C$5000,MATCH(I852,DB_malas!$A$2:$A$5000,0)),IF(INDEX(DB_materiali!$E$2:$E$5000,MATCH($C852,DB_materiali!$A$2:$A$5000,0))&lt;=INDEX(DB_malas!$D$2:$D$5000,MATCH(I852,DB_malas!$A$2:$A$5000,0)),IF(OR(INDEX(DB_materiali!$B$2:$B$5000,MATCH($C852,DB_materiali!$A$2:$A$5000,0))=INDEX(DB_malas!$B$2:$B$5000,MATCH(I852,DB_malas!$A$2:$A$5000,0)),$H852="ORG"),"✔",tulkojums!$A$38),tulkojums!$A$39),tulkojums!$A$39))</f>
        <v/>
      </c>
      <c r="R852" s="2" t="str">
        <f>IF(ISBLANK(J852),"",IF(INDEX(DB_materiali!$E$2:$E$5000,MATCH($C852,DB_materiali!$A$2:$A$5000,0))&gt;=INDEX(DB_malas!$C$2:$C$5000,MATCH(J852,DB_malas!$A$2:$A$5000,0)),IF(INDEX(DB_materiali!$E$2:$E$5000,MATCH($C852,DB_materiali!$A$2:$A$5000,0))&lt;=INDEX(DB_malas!$D$2:$D$5000,MATCH(J852,DB_malas!$A$2:$A$5000,0)),IF(INDEX(DB_materiali!$B$2:$B$5000,MATCH($C852,DB_materiali!$A$2:$A$5000,0))=INDEX(DB_malas!$B$2:$B$5000,MATCH(J852,DB_malas!$A$2:$A$5000,0)),"✔",tulkojums!$A$38),tulkojums!$A$39),tulkojums!$A$39))</f>
        <v/>
      </c>
      <c r="S852" s="2" t="str">
        <f>IF(ISBLANK(K852),"",IF(INDEX(DB_materiali!$E$2:$E$5000,MATCH($C852,DB_materiali!$A$2:$A$5000,0))&gt;=INDEX(DB_malas!$C$2:$C$5000,MATCH(K852,DB_malas!$A$2:$A$5000,0)),IF(INDEX(DB_materiali!$E$2:$E$5000,MATCH($C852,DB_materiali!$A$2:$A$5000,0))&lt;=INDEX(DB_malas!$D$2:$D$5000,MATCH(K852,DB_malas!$A$2:$A$5000,0)),IF(INDEX(DB_materiali!$B$2:$B$5000,MATCH($C852,DB_materiali!$A$2:$A$5000,0))=INDEX(DB_malas!$B$2:$B$5000,MATCH(K852,DB_malas!$A$2:$A$5000,0)),"✔",tulkojums!$A$38),tulkojums!$A$39),tulkojums!$A$39))</f>
        <v/>
      </c>
      <c r="T852" s="2"/>
      <c r="U852" s="2"/>
      <c r="V852" s="2"/>
      <c r="W852" s="2"/>
      <c r="X852" s="2"/>
      <c r="Y852" s="2"/>
      <c r="Z852" s="2"/>
    </row>
    <row r="853" spans="1:26" ht="15.75" customHeight="1">
      <c r="A853" s="17"/>
      <c r="B853" s="18"/>
      <c r="C853" s="19"/>
      <c r="D853" s="55"/>
      <c r="E853" s="55"/>
      <c r="F853" s="56"/>
      <c r="G853" s="57" t="str">
        <f>IF(ISBLANK(C853),"",
   IFERROR(
      IF(
         INDEX(DB_materiali!C$2:C$5000,
               MATCH(C853, DB_materiali!A$2:A$5000, 0)
         )="FALSE",
         "N",
         "Y"
      ),
   "")
)</f>
        <v/>
      </c>
      <c r="H853" s="20"/>
      <c r="I853" s="20"/>
      <c r="J853" s="20"/>
      <c r="K853" s="20"/>
      <c r="M853" s="2" t="str">
        <f>IF(ISBLANK(C853),"",IF(IFERROR(VLOOKUP(C853,DB_materiali!$A$2:$A$5000,1,FALSE),"Kļūda artikulā")=C853,"✔",tulkojums!A$42))</f>
        <v/>
      </c>
      <c r="N853" s="2" t="str">
        <f>IF(ISBLANK(C853),"",IF(ISNUMBER(F853)=TRUE,"✔",tulkojums!A$43))</f>
        <v/>
      </c>
      <c r="O853" s="2" t="str">
        <f>IF(ISBLANK(C853),"",IF(G853="Y","✔",IF(G853="X","✔",IF(G853="N","✔",tulkojums!A$44))))</f>
        <v/>
      </c>
      <c r="P853" s="2" t="str">
        <f>IF(ISBLANK(H853),"",IF(INDEX(DB_materiali!$E$2:$E$5000,MATCH($C853,DB_materiali!$A$2:$A$5000,0))&gt;=INDEX(DB_malas!$C$2:$C$5000,MATCH(H853,DB_malas!$A$2:$A$5000,0)),IF(INDEX(DB_materiali!$E$2:$E$5000,MATCH($C853,DB_materiali!$A$2:$A$5000,0))&lt;=INDEX(DB_malas!$D$2:$D$5000,MATCH(H853,DB_malas!$A$2:$A$5000,0)),IF(OR(INDEX(DB_materiali!$B$2:$B$5000,MATCH($C853,DB_materiali!$A$2:$A$5000,0))=INDEX(DB_malas!$B$2:$B$5000,MATCH(H853,DB_malas!$A$2:$A$5000,0)),$H853="ORG"),"✔",tulkojums!$A$38),tulkojums!$A$39),tulkojums!$A$39))</f>
        <v/>
      </c>
      <c r="Q853" s="2" t="str">
        <f>IF(ISBLANK(I853),"",IF(INDEX(DB_materiali!$E$2:$E$5000,MATCH($C853,DB_materiali!$A$2:$A$5000,0))&gt;=INDEX(DB_malas!$C$2:$C$5000,MATCH(I853,DB_malas!$A$2:$A$5000,0)),IF(INDEX(DB_materiali!$E$2:$E$5000,MATCH($C853,DB_materiali!$A$2:$A$5000,0))&lt;=INDEX(DB_malas!$D$2:$D$5000,MATCH(I853,DB_malas!$A$2:$A$5000,0)),IF(OR(INDEX(DB_materiali!$B$2:$B$5000,MATCH($C853,DB_materiali!$A$2:$A$5000,0))=INDEX(DB_malas!$B$2:$B$5000,MATCH(I853,DB_malas!$A$2:$A$5000,0)),$H853="ORG"),"✔",tulkojums!$A$38),tulkojums!$A$39),tulkojums!$A$39))</f>
        <v/>
      </c>
      <c r="R853" s="2" t="str">
        <f>IF(ISBLANK(J853),"",IF(INDEX(DB_materiali!$E$2:$E$5000,MATCH($C853,DB_materiali!$A$2:$A$5000,0))&gt;=INDEX(DB_malas!$C$2:$C$5000,MATCH(J853,DB_malas!$A$2:$A$5000,0)),IF(INDEX(DB_materiali!$E$2:$E$5000,MATCH($C853,DB_materiali!$A$2:$A$5000,0))&lt;=INDEX(DB_malas!$D$2:$D$5000,MATCH(J853,DB_malas!$A$2:$A$5000,0)),IF(INDEX(DB_materiali!$B$2:$B$5000,MATCH($C853,DB_materiali!$A$2:$A$5000,0))=INDEX(DB_malas!$B$2:$B$5000,MATCH(J853,DB_malas!$A$2:$A$5000,0)),"✔",tulkojums!$A$38),tulkojums!$A$39),tulkojums!$A$39))</f>
        <v/>
      </c>
      <c r="S853" s="2" t="str">
        <f>IF(ISBLANK(K853),"",IF(INDEX(DB_materiali!$E$2:$E$5000,MATCH($C853,DB_materiali!$A$2:$A$5000,0))&gt;=INDEX(DB_malas!$C$2:$C$5000,MATCH(K853,DB_malas!$A$2:$A$5000,0)),IF(INDEX(DB_materiali!$E$2:$E$5000,MATCH($C853,DB_materiali!$A$2:$A$5000,0))&lt;=INDEX(DB_malas!$D$2:$D$5000,MATCH(K853,DB_malas!$A$2:$A$5000,0)),IF(INDEX(DB_materiali!$B$2:$B$5000,MATCH($C853,DB_materiali!$A$2:$A$5000,0))=INDEX(DB_malas!$B$2:$B$5000,MATCH(K853,DB_malas!$A$2:$A$5000,0)),"✔",tulkojums!$A$38),tulkojums!$A$39),tulkojums!$A$39))</f>
        <v/>
      </c>
      <c r="T853" s="2"/>
      <c r="U853" s="2"/>
      <c r="V853" s="2"/>
      <c r="W853" s="2"/>
      <c r="X853" s="2"/>
      <c r="Y853" s="2"/>
      <c r="Z853" s="2"/>
    </row>
    <row r="854" spans="1:26" ht="15.75" customHeight="1">
      <c r="A854" s="17"/>
      <c r="B854" s="18"/>
      <c r="C854" s="19"/>
      <c r="D854" s="55"/>
      <c r="E854" s="55"/>
      <c r="F854" s="56"/>
      <c r="G854" s="57" t="str">
        <f>IF(ISBLANK(C854),"",
   IFERROR(
      IF(
         INDEX(DB_materiali!C$2:C$5000,
               MATCH(C854, DB_materiali!A$2:A$5000, 0)
         )="FALSE",
         "N",
         "Y"
      ),
   "")
)</f>
        <v/>
      </c>
      <c r="H854" s="20"/>
      <c r="I854" s="20"/>
      <c r="J854" s="20"/>
      <c r="K854" s="20"/>
      <c r="M854" s="2" t="str">
        <f>IF(ISBLANK(C854),"",IF(IFERROR(VLOOKUP(C854,DB_materiali!$A$2:$A$5000,1,FALSE),"Kļūda artikulā")=C854,"✔",tulkojums!A$42))</f>
        <v/>
      </c>
      <c r="N854" s="2" t="str">
        <f>IF(ISBLANK(C854),"",IF(ISNUMBER(F854)=TRUE,"✔",tulkojums!A$43))</f>
        <v/>
      </c>
      <c r="O854" s="2" t="str">
        <f>IF(ISBLANK(C854),"",IF(G854="Y","✔",IF(G854="X","✔",IF(G854="N","✔",tulkojums!A$44))))</f>
        <v/>
      </c>
      <c r="P854" s="2" t="str">
        <f>IF(ISBLANK(H854),"",IF(INDEX(DB_materiali!$E$2:$E$5000,MATCH($C854,DB_materiali!$A$2:$A$5000,0))&gt;=INDEX(DB_malas!$C$2:$C$5000,MATCH(H854,DB_malas!$A$2:$A$5000,0)),IF(INDEX(DB_materiali!$E$2:$E$5000,MATCH($C854,DB_materiali!$A$2:$A$5000,0))&lt;=INDEX(DB_malas!$D$2:$D$5000,MATCH(H854,DB_malas!$A$2:$A$5000,0)),IF(OR(INDEX(DB_materiali!$B$2:$B$5000,MATCH($C854,DB_materiali!$A$2:$A$5000,0))=INDEX(DB_malas!$B$2:$B$5000,MATCH(H854,DB_malas!$A$2:$A$5000,0)),$H854="ORG"),"✔",tulkojums!$A$38),tulkojums!$A$39),tulkojums!$A$39))</f>
        <v/>
      </c>
      <c r="Q854" s="2" t="str">
        <f>IF(ISBLANK(I854),"",IF(INDEX(DB_materiali!$E$2:$E$5000,MATCH($C854,DB_materiali!$A$2:$A$5000,0))&gt;=INDEX(DB_malas!$C$2:$C$5000,MATCH(I854,DB_malas!$A$2:$A$5000,0)),IF(INDEX(DB_materiali!$E$2:$E$5000,MATCH($C854,DB_materiali!$A$2:$A$5000,0))&lt;=INDEX(DB_malas!$D$2:$D$5000,MATCH(I854,DB_malas!$A$2:$A$5000,0)),IF(OR(INDEX(DB_materiali!$B$2:$B$5000,MATCH($C854,DB_materiali!$A$2:$A$5000,0))=INDEX(DB_malas!$B$2:$B$5000,MATCH(I854,DB_malas!$A$2:$A$5000,0)),$H854="ORG"),"✔",tulkojums!$A$38),tulkojums!$A$39),tulkojums!$A$39))</f>
        <v/>
      </c>
      <c r="R854" s="2" t="str">
        <f>IF(ISBLANK(J854),"",IF(INDEX(DB_materiali!$E$2:$E$5000,MATCH($C854,DB_materiali!$A$2:$A$5000,0))&gt;=INDEX(DB_malas!$C$2:$C$5000,MATCH(J854,DB_malas!$A$2:$A$5000,0)),IF(INDEX(DB_materiali!$E$2:$E$5000,MATCH($C854,DB_materiali!$A$2:$A$5000,0))&lt;=INDEX(DB_malas!$D$2:$D$5000,MATCH(J854,DB_malas!$A$2:$A$5000,0)),IF(INDEX(DB_materiali!$B$2:$B$5000,MATCH($C854,DB_materiali!$A$2:$A$5000,0))=INDEX(DB_malas!$B$2:$B$5000,MATCH(J854,DB_malas!$A$2:$A$5000,0)),"✔",tulkojums!$A$38),tulkojums!$A$39),tulkojums!$A$39))</f>
        <v/>
      </c>
      <c r="S854" s="2" t="str">
        <f>IF(ISBLANK(K854),"",IF(INDEX(DB_materiali!$E$2:$E$5000,MATCH($C854,DB_materiali!$A$2:$A$5000,0))&gt;=INDEX(DB_malas!$C$2:$C$5000,MATCH(K854,DB_malas!$A$2:$A$5000,0)),IF(INDEX(DB_materiali!$E$2:$E$5000,MATCH($C854,DB_materiali!$A$2:$A$5000,0))&lt;=INDEX(DB_malas!$D$2:$D$5000,MATCH(K854,DB_malas!$A$2:$A$5000,0)),IF(INDEX(DB_materiali!$B$2:$B$5000,MATCH($C854,DB_materiali!$A$2:$A$5000,0))=INDEX(DB_malas!$B$2:$B$5000,MATCH(K854,DB_malas!$A$2:$A$5000,0)),"✔",tulkojums!$A$38),tulkojums!$A$39),tulkojums!$A$39))</f>
        <v/>
      </c>
      <c r="T854" s="2"/>
      <c r="U854" s="2"/>
      <c r="V854" s="2"/>
      <c r="W854" s="2"/>
      <c r="X854" s="2"/>
      <c r="Y854" s="2"/>
      <c r="Z854" s="2"/>
    </row>
    <row r="855" spans="1:26" ht="15.75" customHeight="1">
      <c r="A855" s="17"/>
      <c r="B855" s="18"/>
      <c r="C855" s="19"/>
      <c r="D855" s="55"/>
      <c r="E855" s="55"/>
      <c r="F855" s="56"/>
      <c r="G855" s="57" t="str">
        <f>IF(ISBLANK(C855),"",
   IFERROR(
      IF(
         INDEX(DB_materiali!C$2:C$5000,
               MATCH(C855, DB_materiali!A$2:A$5000, 0)
         )="FALSE",
         "N",
         "Y"
      ),
   "")
)</f>
        <v/>
      </c>
      <c r="H855" s="20"/>
      <c r="I855" s="20"/>
      <c r="J855" s="20"/>
      <c r="K855" s="20"/>
      <c r="M855" s="2" t="str">
        <f>IF(ISBLANK(C855),"",IF(IFERROR(VLOOKUP(C855,DB_materiali!$A$2:$A$5000,1,FALSE),"Kļūda artikulā")=C855,"✔",tulkojums!A$42))</f>
        <v/>
      </c>
      <c r="N855" s="2" t="str">
        <f>IF(ISBLANK(C855),"",IF(ISNUMBER(F855)=TRUE,"✔",tulkojums!A$43))</f>
        <v/>
      </c>
      <c r="O855" s="2" t="str">
        <f>IF(ISBLANK(C855),"",IF(G855="Y","✔",IF(G855="X","✔",IF(G855="N","✔",tulkojums!A$44))))</f>
        <v/>
      </c>
      <c r="P855" s="2" t="str">
        <f>IF(ISBLANK(H855),"",IF(INDEX(DB_materiali!$E$2:$E$5000,MATCH($C855,DB_materiali!$A$2:$A$5000,0))&gt;=INDEX(DB_malas!$C$2:$C$5000,MATCH(H855,DB_malas!$A$2:$A$5000,0)),IF(INDEX(DB_materiali!$E$2:$E$5000,MATCH($C855,DB_materiali!$A$2:$A$5000,0))&lt;=INDEX(DB_malas!$D$2:$D$5000,MATCH(H855,DB_malas!$A$2:$A$5000,0)),IF(OR(INDEX(DB_materiali!$B$2:$B$5000,MATCH($C855,DB_materiali!$A$2:$A$5000,0))=INDEX(DB_malas!$B$2:$B$5000,MATCH(H855,DB_malas!$A$2:$A$5000,0)),$H855="ORG"),"✔",tulkojums!$A$38),tulkojums!$A$39),tulkojums!$A$39))</f>
        <v/>
      </c>
      <c r="Q855" s="2" t="str">
        <f>IF(ISBLANK(I855),"",IF(INDEX(DB_materiali!$E$2:$E$5000,MATCH($C855,DB_materiali!$A$2:$A$5000,0))&gt;=INDEX(DB_malas!$C$2:$C$5000,MATCH(I855,DB_malas!$A$2:$A$5000,0)),IF(INDEX(DB_materiali!$E$2:$E$5000,MATCH($C855,DB_materiali!$A$2:$A$5000,0))&lt;=INDEX(DB_malas!$D$2:$D$5000,MATCH(I855,DB_malas!$A$2:$A$5000,0)),IF(OR(INDEX(DB_materiali!$B$2:$B$5000,MATCH($C855,DB_materiali!$A$2:$A$5000,0))=INDEX(DB_malas!$B$2:$B$5000,MATCH(I855,DB_malas!$A$2:$A$5000,0)),$H855="ORG"),"✔",tulkojums!$A$38),tulkojums!$A$39),tulkojums!$A$39))</f>
        <v/>
      </c>
      <c r="R855" s="2" t="str">
        <f>IF(ISBLANK(J855),"",IF(INDEX(DB_materiali!$E$2:$E$5000,MATCH($C855,DB_materiali!$A$2:$A$5000,0))&gt;=INDEX(DB_malas!$C$2:$C$5000,MATCH(J855,DB_malas!$A$2:$A$5000,0)),IF(INDEX(DB_materiali!$E$2:$E$5000,MATCH($C855,DB_materiali!$A$2:$A$5000,0))&lt;=INDEX(DB_malas!$D$2:$D$5000,MATCH(J855,DB_malas!$A$2:$A$5000,0)),IF(INDEX(DB_materiali!$B$2:$B$5000,MATCH($C855,DB_materiali!$A$2:$A$5000,0))=INDEX(DB_malas!$B$2:$B$5000,MATCH(J855,DB_malas!$A$2:$A$5000,0)),"✔",tulkojums!$A$38),tulkojums!$A$39),tulkojums!$A$39))</f>
        <v/>
      </c>
      <c r="S855" s="2" t="str">
        <f>IF(ISBLANK(K855),"",IF(INDEX(DB_materiali!$E$2:$E$5000,MATCH($C855,DB_materiali!$A$2:$A$5000,0))&gt;=INDEX(DB_malas!$C$2:$C$5000,MATCH(K855,DB_malas!$A$2:$A$5000,0)),IF(INDEX(DB_materiali!$E$2:$E$5000,MATCH($C855,DB_materiali!$A$2:$A$5000,0))&lt;=INDEX(DB_malas!$D$2:$D$5000,MATCH(K855,DB_malas!$A$2:$A$5000,0)),IF(INDEX(DB_materiali!$B$2:$B$5000,MATCH($C855,DB_materiali!$A$2:$A$5000,0))=INDEX(DB_malas!$B$2:$B$5000,MATCH(K855,DB_malas!$A$2:$A$5000,0)),"✔",tulkojums!$A$38),tulkojums!$A$39),tulkojums!$A$39))</f>
        <v/>
      </c>
      <c r="T855" s="2"/>
      <c r="U855" s="2"/>
      <c r="V855" s="2"/>
      <c r="W855" s="2"/>
      <c r="X855" s="2"/>
      <c r="Y855" s="2"/>
      <c r="Z855" s="2"/>
    </row>
    <row r="856" spans="1:26" ht="15.75" customHeight="1">
      <c r="A856" s="17"/>
      <c r="B856" s="18"/>
      <c r="C856" s="19"/>
      <c r="D856" s="55"/>
      <c r="E856" s="55"/>
      <c r="F856" s="56"/>
      <c r="G856" s="57" t="str">
        <f>IF(ISBLANK(C856),"",
   IFERROR(
      IF(
         INDEX(DB_materiali!C$2:C$5000,
               MATCH(C856, DB_materiali!A$2:A$5000, 0)
         )="FALSE",
         "N",
         "Y"
      ),
   "")
)</f>
        <v/>
      </c>
      <c r="H856" s="20"/>
      <c r="I856" s="20"/>
      <c r="J856" s="20"/>
      <c r="K856" s="20"/>
      <c r="M856" s="2" t="str">
        <f>IF(ISBLANK(C856),"",IF(IFERROR(VLOOKUP(C856,DB_materiali!$A$2:$A$5000,1,FALSE),"Kļūda artikulā")=C856,"✔",tulkojums!A$42))</f>
        <v/>
      </c>
      <c r="N856" s="2" t="str">
        <f>IF(ISBLANK(C856),"",IF(ISNUMBER(F856)=TRUE,"✔",tulkojums!A$43))</f>
        <v/>
      </c>
      <c r="O856" s="2" t="str">
        <f>IF(ISBLANK(C856),"",IF(G856="Y","✔",IF(G856="X","✔",IF(G856="N","✔",tulkojums!A$44))))</f>
        <v/>
      </c>
      <c r="P856" s="2" t="str">
        <f>IF(ISBLANK(H856),"",IF(INDEX(DB_materiali!$E$2:$E$5000,MATCH($C856,DB_materiali!$A$2:$A$5000,0))&gt;=INDEX(DB_malas!$C$2:$C$5000,MATCH(H856,DB_malas!$A$2:$A$5000,0)),IF(INDEX(DB_materiali!$E$2:$E$5000,MATCH($C856,DB_materiali!$A$2:$A$5000,0))&lt;=INDEX(DB_malas!$D$2:$D$5000,MATCH(H856,DB_malas!$A$2:$A$5000,0)),IF(OR(INDEX(DB_materiali!$B$2:$B$5000,MATCH($C856,DB_materiali!$A$2:$A$5000,0))=INDEX(DB_malas!$B$2:$B$5000,MATCH(H856,DB_malas!$A$2:$A$5000,0)),$H856="ORG"),"✔",tulkojums!$A$38),tulkojums!$A$39),tulkojums!$A$39))</f>
        <v/>
      </c>
      <c r="Q856" s="2" t="str">
        <f>IF(ISBLANK(I856),"",IF(INDEX(DB_materiali!$E$2:$E$5000,MATCH($C856,DB_materiali!$A$2:$A$5000,0))&gt;=INDEX(DB_malas!$C$2:$C$5000,MATCH(I856,DB_malas!$A$2:$A$5000,0)),IF(INDEX(DB_materiali!$E$2:$E$5000,MATCH($C856,DB_materiali!$A$2:$A$5000,0))&lt;=INDEX(DB_malas!$D$2:$D$5000,MATCH(I856,DB_malas!$A$2:$A$5000,0)),IF(OR(INDEX(DB_materiali!$B$2:$B$5000,MATCH($C856,DB_materiali!$A$2:$A$5000,0))=INDEX(DB_malas!$B$2:$B$5000,MATCH(I856,DB_malas!$A$2:$A$5000,0)),$H856="ORG"),"✔",tulkojums!$A$38),tulkojums!$A$39),tulkojums!$A$39))</f>
        <v/>
      </c>
      <c r="R856" s="2" t="str">
        <f>IF(ISBLANK(J856),"",IF(INDEX(DB_materiali!$E$2:$E$5000,MATCH($C856,DB_materiali!$A$2:$A$5000,0))&gt;=INDEX(DB_malas!$C$2:$C$5000,MATCH(J856,DB_malas!$A$2:$A$5000,0)),IF(INDEX(DB_materiali!$E$2:$E$5000,MATCH($C856,DB_materiali!$A$2:$A$5000,0))&lt;=INDEX(DB_malas!$D$2:$D$5000,MATCH(J856,DB_malas!$A$2:$A$5000,0)),IF(INDEX(DB_materiali!$B$2:$B$5000,MATCH($C856,DB_materiali!$A$2:$A$5000,0))=INDEX(DB_malas!$B$2:$B$5000,MATCH(J856,DB_malas!$A$2:$A$5000,0)),"✔",tulkojums!$A$38),tulkojums!$A$39),tulkojums!$A$39))</f>
        <v/>
      </c>
      <c r="S856" s="2" t="str">
        <f>IF(ISBLANK(K856),"",IF(INDEX(DB_materiali!$E$2:$E$5000,MATCH($C856,DB_materiali!$A$2:$A$5000,0))&gt;=INDEX(DB_malas!$C$2:$C$5000,MATCH(K856,DB_malas!$A$2:$A$5000,0)),IF(INDEX(DB_materiali!$E$2:$E$5000,MATCH($C856,DB_materiali!$A$2:$A$5000,0))&lt;=INDEX(DB_malas!$D$2:$D$5000,MATCH(K856,DB_malas!$A$2:$A$5000,0)),IF(INDEX(DB_materiali!$B$2:$B$5000,MATCH($C856,DB_materiali!$A$2:$A$5000,0))=INDEX(DB_malas!$B$2:$B$5000,MATCH(K856,DB_malas!$A$2:$A$5000,0)),"✔",tulkojums!$A$38),tulkojums!$A$39),tulkojums!$A$39))</f>
        <v/>
      </c>
      <c r="T856" s="2"/>
      <c r="U856" s="2"/>
      <c r="V856" s="2"/>
      <c r="W856" s="2"/>
      <c r="X856" s="2"/>
      <c r="Y856" s="2"/>
      <c r="Z856" s="2"/>
    </row>
    <row r="857" spans="1:26" ht="15.75" customHeight="1">
      <c r="A857" s="17"/>
      <c r="B857" s="18"/>
      <c r="C857" s="19"/>
      <c r="D857" s="55"/>
      <c r="E857" s="55"/>
      <c r="F857" s="56"/>
      <c r="G857" s="57" t="str">
        <f>IF(ISBLANK(C857),"",
   IFERROR(
      IF(
         INDEX(DB_materiali!C$2:C$5000,
               MATCH(C857, DB_materiali!A$2:A$5000, 0)
         )="FALSE",
         "N",
         "Y"
      ),
   "")
)</f>
        <v/>
      </c>
      <c r="H857" s="20"/>
      <c r="I857" s="20"/>
      <c r="J857" s="20"/>
      <c r="K857" s="20"/>
      <c r="M857" s="2" t="str">
        <f>IF(ISBLANK(C857),"",IF(IFERROR(VLOOKUP(C857,DB_materiali!$A$2:$A$5000,1,FALSE),"Kļūda artikulā")=C857,"✔",tulkojums!A$42))</f>
        <v/>
      </c>
      <c r="N857" s="2" t="str">
        <f>IF(ISBLANK(C857),"",IF(ISNUMBER(F857)=TRUE,"✔",tulkojums!A$43))</f>
        <v/>
      </c>
      <c r="O857" s="2" t="str">
        <f>IF(ISBLANK(C857),"",IF(G857="Y","✔",IF(G857="X","✔",IF(G857="N","✔",tulkojums!A$44))))</f>
        <v/>
      </c>
      <c r="P857" s="2" t="str">
        <f>IF(ISBLANK(H857),"",IF(INDEX(DB_materiali!$E$2:$E$5000,MATCH($C857,DB_materiali!$A$2:$A$5000,0))&gt;=INDEX(DB_malas!$C$2:$C$5000,MATCH(H857,DB_malas!$A$2:$A$5000,0)),IF(INDEX(DB_materiali!$E$2:$E$5000,MATCH($C857,DB_materiali!$A$2:$A$5000,0))&lt;=INDEX(DB_malas!$D$2:$D$5000,MATCH(H857,DB_malas!$A$2:$A$5000,0)),IF(OR(INDEX(DB_materiali!$B$2:$B$5000,MATCH($C857,DB_materiali!$A$2:$A$5000,0))=INDEX(DB_malas!$B$2:$B$5000,MATCH(H857,DB_malas!$A$2:$A$5000,0)),$H857="ORG"),"✔",tulkojums!$A$38),tulkojums!$A$39),tulkojums!$A$39))</f>
        <v/>
      </c>
      <c r="Q857" s="2" t="str">
        <f>IF(ISBLANK(I857),"",IF(INDEX(DB_materiali!$E$2:$E$5000,MATCH($C857,DB_materiali!$A$2:$A$5000,0))&gt;=INDEX(DB_malas!$C$2:$C$5000,MATCH(I857,DB_malas!$A$2:$A$5000,0)),IF(INDEX(DB_materiali!$E$2:$E$5000,MATCH($C857,DB_materiali!$A$2:$A$5000,0))&lt;=INDEX(DB_malas!$D$2:$D$5000,MATCH(I857,DB_malas!$A$2:$A$5000,0)),IF(OR(INDEX(DB_materiali!$B$2:$B$5000,MATCH($C857,DB_materiali!$A$2:$A$5000,0))=INDEX(DB_malas!$B$2:$B$5000,MATCH(I857,DB_malas!$A$2:$A$5000,0)),$H857="ORG"),"✔",tulkojums!$A$38),tulkojums!$A$39),tulkojums!$A$39))</f>
        <v/>
      </c>
      <c r="R857" s="2" t="str">
        <f>IF(ISBLANK(J857),"",IF(INDEX(DB_materiali!$E$2:$E$5000,MATCH($C857,DB_materiali!$A$2:$A$5000,0))&gt;=INDEX(DB_malas!$C$2:$C$5000,MATCH(J857,DB_malas!$A$2:$A$5000,0)),IF(INDEX(DB_materiali!$E$2:$E$5000,MATCH($C857,DB_materiali!$A$2:$A$5000,0))&lt;=INDEX(DB_malas!$D$2:$D$5000,MATCH(J857,DB_malas!$A$2:$A$5000,0)),IF(INDEX(DB_materiali!$B$2:$B$5000,MATCH($C857,DB_materiali!$A$2:$A$5000,0))=INDEX(DB_malas!$B$2:$B$5000,MATCH(J857,DB_malas!$A$2:$A$5000,0)),"✔",tulkojums!$A$38),tulkojums!$A$39),tulkojums!$A$39))</f>
        <v/>
      </c>
      <c r="S857" s="2" t="str">
        <f>IF(ISBLANK(K857),"",IF(INDEX(DB_materiali!$E$2:$E$5000,MATCH($C857,DB_materiali!$A$2:$A$5000,0))&gt;=INDEX(DB_malas!$C$2:$C$5000,MATCH(K857,DB_malas!$A$2:$A$5000,0)),IF(INDEX(DB_materiali!$E$2:$E$5000,MATCH($C857,DB_materiali!$A$2:$A$5000,0))&lt;=INDEX(DB_malas!$D$2:$D$5000,MATCH(K857,DB_malas!$A$2:$A$5000,0)),IF(INDEX(DB_materiali!$B$2:$B$5000,MATCH($C857,DB_materiali!$A$2:$A$5000,0))=INDEX(DB_malas!$B$2:$B$5000,MATCH(K857,DB_malas!$A$2:$A$5000,0)),"✔",tulkojums!$A$38),tulkojums!$A$39),tulkojums!$A$39))</f>
        <v/>
      </c>
      <c r="T857" s="2"/>
      <c r="U857" s="2"/>
      <c r="V857" s="2"/>
      <c r="W857" s="2"/>
      <c r="X857" s="2"/>
      <c r="Y857" s="2"/>
      <c r="Z857" s="2"/>
    </row>
    <row r="858" spans="1:26" ht="15.75" customHeight="1">
      <c r="A858" s="17"/>
      <c r="B858" s="18"/>
      <c r="C858" s="19"/>
      <c r="D858" s="55"/>
      <c r="E858" s="55"/>
      <c r="F858" s="56"/>
      <c r="G858" s="57" t="str">
        <f>IF(ISBLANK(C858),"",
   IFERROR(
      IF(
         INDEX(DB_materiali!C$2:C$5000,
               MATCH(C858, DB_materiali!A$2:A$5000, 0)
         )="FALSE",
         "N",
         "Y"
      ),
   "")
)</f>
        <v/>
      </c>
      <c r="H858" s="20"/>
      <c r="I858" s="20"/>
      <c r="J858" s="20"/>
      <c r="K858" s="20"/>
      <c r="M858" s="2" t="str">
        <f>IF(ISBLANK(C858),"",IF(IFERROR(VLOOKUP(C858,DB_materiali!$A$2:$A$5000,1,FALSE),"Kļūda artikulā")=C858,"✔",tulkojums!A$42))</f>
        <v/>
      </c>
      <c r="N858" s="2" t="str">
        <f>IF(ISBLANK(C858),"",IF(ISNUMBER(F858)=TRUE,"✔",tulkojums!A$43))</f>
        <v/>
      </c>
      <c r="O858" s="2" t="str">
        <f>IF(ISBLANK(C858),"",IF(G858="Y","✔",IF(G858="X","✔",IF(G858="N","✔",tulkojums!A$44))))</f>
        <v/>
      </c>
      <c r="P858" s="2" t="str">
        <f>IF(ISBLANK(H858),"",IF(INDEX(DB_materiali!$E$2:$E$5000,MATCH($C858,DB_materiali!$A$2:$A$5000,0))&gt;=INDEX(DB_malas!$C$2:$C$5000,MATCH(H858,DB_malas!$A$2:$A$5000,0)),IF(INDEX(DB_materiali!$E$2:$E$5000,MATCH($C858,DB_materiali!$A$2:$A$5000,0))&lt;=INDEX(DB_malas!$D$2:$D$5000,MATCH(H858,DB_malas!$A$2:$A$5000,0)),IF(OR(INDEX(DB_materiali!$B$2:$B$5000,MATCH($C858,DB_materiali!$A$2:$A$5000,0))=INDEX(DB_malas!$B$2:$B$5000,MATCH(H858,DB_malas!$A$2:$A$5000,0)),$H858="ORG"),"✔",tulkojums!$A$38),tulkojums!$A$39),tulkojums!$A$39))</f>
        <v/>
      </c>
      <c r="Q858" s="2" t="str">
        <f>IF(ISBLANK(I858),"",IF(INDEX(DB_materiali!$E$2:$E$5000,MATCH($C858,DB_materiali!$A$2:$A$5000,0))&gt;=INDEX(DB_malas!$C$2:$C$5000,MATCH(I858,DB_malas!$A$2:$A$5000,0)),IF(INDEX(DB_materiali!$E$2:$E$5000,MATCH($C858,DB_materiali!$A$2:$A$5000,0))&lt;=INDEX(DB_malas!$D$2:$D$5000,MATCH(I858,DB_malas!$A$2:$A$5000,0)),IF(OR(INDEX(DB_materiali!$B$2:$B$5000,MATCH($C858,DB_materiali!$A$2:$A$5000,0))=INDEX(DB_malas!$B$2:$B$5000,MATCH(I858,DB_malas!$A$2:$A$5000,0)),$H858="ORG"),"✔",tulkojums!$A$38),tulkojums!$A$39),tulkojums!$A$39))</f>
        <v/>
      </c>
      <c r="R858" s="2" t="str">
        <f>IF(ISBLANK(J858),"",IF(INDEX(DB_materiali!$E$2:$E$5000,MATCH($C858,DB_materiali!$A$2:$A$5000,0))&gt;=INDEX(DB_malas!$C$2:$C$5000,MATCH(J858,DB_malas!$A$2:$A$5000,0)),IF(INDEX(DB_materiali!$E$2:$E$5000,MATCH($C858,DB_materiali!$A$2:$A$5000,0))&lt;=INDEX(DB_malas!$D$2:$D$5000,MATCH(J858,DB_malas!$A$2:$A$5000,0)),IF(INDEX(DB_materiali!$B$2:$B$5000,MATCH($C858,DB_materiali!$A$2:$A$5000,0))=INDEX(DB_malas!$B$2:$B$5000,MATCH(J858,DB_malas!$A$2:$A$5000,0)),"✔",tulkojums!$A$38),tulkojums!$A$39),tulkojums!$A$39))</f>
        <v/>
      </c>
      <c r="S858" s="2" t="str">
        <f>IF(ISBLANK(K858),"",IF(INDEX(DB_materiali!$E$2:$E$5000,MATCH($C858,DB_materiali!$A$2:$A$5000,0))&gt;=INDEX(DB_malas!$C$2:$C$5000,MATCH(K858,DB_malas!$A$2:$A$5000,0)),IF(INDEX(DB_materiali!$E$2:$E$5000,MATCH($C858,DB_materiali!$A$2:$A$5000,0))&lt;=INDEX(DB_malas!$D$2:$D$5000,MATCH(K858,DB_malas!$A$2:$A$5000,0)),IF(INDEX(DB_materiali!$B$2:$B$5000,MATCH($C858,DB_materiali!$A$2:$A$5000,0))=INDEX(DB_malas!$B$2:$B$5000,MATCH(K858,DB_malas!$A$2:$A$5000,0)),"✔",tulkojums!$A$38),tulkojums!$A$39),tulkojums!$A$39))</f>
        <v/>
      </c>
      <c r="T858" s="2"/>
      <c r="U858" s="2"/>
      <c r="V858" s="2"/>
      <c r="W858" s="2"/>
      <c r="X858" s="2"/>
      <c r="Y858" s="2"/>
      <c r="Z858" s="2"/>
    </row>
    <row r="859" spans="1:26" ht="15.75" customHeight="1">
      <c r="A859" s="17"/>
      <c r="B859" s="18"/>
      <c r="C859" s="19"/>
      <c r="D859" s="55"/>
      <c r="E859" s="55"/>
      <c r="F859" s="56"/>
      <c r="G859" s="57" t="str">
        <f>IF(ISBLANK(C859),"",
   IFERROR(
      IF(
         INDEX(DB_materiali!C$2:C$5000,
               MATCH(C859, DB_materiali!A$2:A$5000, 0)
         )="FALSE",
         "N",
         "Y"
      ),
   "")
)</f>
        <v/>
      </c>
      <c r="H859" s="20"/>
      <c r="I859" s="20"/>
      <c r="J859" s="20"/>
      <c r="K859" s="20"/>
      <c r="M859" s="2" t="str">
        <f>IF(ISBLANK(C859),"",IF(IFERROR(VLOOKUP(C859,DB_materiali!$A$2:$A$5000,1,FALSE),"Kļūda artikulā")=C859,"✔",tulkojums!A$42))</f>
        <v/>
      </c>
      <c r="N859" s="2" t="str">
        <f>IF(ISBLANK(C859),"",IF(ISNUMBER(F859)=TRUE,"✔",tulkojums!A$43))</f>
        <v/>
      </c>
      <c r="O859" s="2" t="str">
        <f>IF(ISBLANK(C859),"",IF(G859="Y","✔",IF(G859="X","✔",IF(G859="N","✔",tulkojums!A$44))))</f>
        <v/>
      </c>
      <c r="P859" s="2" t="str">
        <f>IF(ISBLANK(H859),"",IF(INDEX(DB_materiali!$E$2:$E$5000,MATCH($C859,DB_materiali!$A$2:$A$5000,0))&gt;=INDEX(DB_malas!$C$2:$C$5000,MATCH(H859,DB_malas!$A$2:$A$5000,0)),IF(INDEX(DB_materiali!$E$2:$E$5000,MATCH($C859,DB_materiali!$A$2:$A$5000,0))&lt;=INDEX(DB_malas!$D$2:$D$5000,MATCH(H859,DB_malas!$A$2:$A$5000,0)),IF(OR(INDEX(DB_materiali!$B$2:$B$5000,MATCH($C859,DB_materiali!$A$2:$A$5000,0))=INDEX(DB_malas!$B$2:$B$5000,MATCH(H859,DB_malas!$A$2:$A$5000,0)),$H859="ORG"),"✔",tulkojums!$A$38),tulkojums!$A$39),tulkojums!$A$39))</f>
        <v/>
      </c>
      <c r="Q859" s="2" t="str">
        <f>IF(ISBLANK(I859),"",IF(INDEX(DB_materiali!$E$2:$E$5000,MATCH($C859,DB_materiali!$A$2:$A$5000,0))&gt;=INDEX(DB_malas!$C$2:$C$5000,MATCH(I859,DB_malas!$A$2:$A$5000,0)),IF(INDEX(DB_materiali!$E$2:$E$5000,MATCH($C859,DB_materiali!$A$2:$A$5000,0))&lt;=INDEX(DB_malas!$D$2:$D$5000,MATCH(I859,DB_malas!$A$2:$A$5000,0)),IF(OR(INDEX(DB_materiali!$B$2:$B$5000,MATCH($C859,DB_materiali!$A$2:$A$5000,0))=INDEX(DB_malas!$B$2:$B$5000,MATCH(I859,DB_malas!$A$2:$A$5000,0)),$H859="ORG"),"✔",tulkojums!$A$38),tulkojums!$A$39),tulkojums!$A$39))</f>
        <v/>
      </c>
      <c r="R859" s="2" t="str">
        <f>IF(ISBLANK(J859),"",IF(INDEX(DB_materiali!$E$2:$E$5000,MATCH($C859,DB_materiali!$A$2:$A$5000,0))&gt;=INDEX(DB_malas!$C$2:$C$5000,MATCH(J859,DB_malas!$A$2:$A$5000,0)),IF(INDEX(DB_materiali!$E$2:$E$5000,MATCH($C859,DB_materiali!$A$2:$A$5000,0))&lt;=INDEX(DB_malas!$D$2:$D$5000,MATCH(J859,DB_malas!$A$2:$A$5000,0)),IF(INDEX(DB_materiali!$B$2:$B$5000,MATCH($C859,DB_materiali!$A$2:$A$5000,0))=INDEX(DB_malas!$B$2:$B$5000,MATCH(J859,DB_malas!$A$2:$A$5000,0)),"✔",tulkojums!$A$38),tulkojums!$A$39),tulkojums!$A$39))</f>
        <v/>
      </c>
      <c r="S859" s="2" t="str">
        <f>IF(ISBLANK(K859),"",IF(INDEX(DB_materiali!$E$2:$E$5000,MATCH($C859,DB_materiali!$A$2:$A$5000,0))&gt;=INDEX(DB_malas!$C$2:$C$5000,MATCH(K859,DB_malas!$A$2:$A$5000,0)),IF(INDEX(DB_materiali!$E$2:$E$5000,MATCH($C859,DB_materiali!$A$2:$A$5000,0))&lt;=INDEX(DB_malas!$D$2:$D$5000,MATCH(K859,DB_malas!$A$2:$A$5000,0)),IF(INDEX(DB_materiali!$B$2:$B$5000,MATCH($C859,DB_materiali!$A$2:$A$5000,0))=INDEX(DB_malas!$B$2:$B$5000,MATCH(K859,DB_malas!$A$2:$A$5000,0)),"✔",tulkojums!$A$38),tulkojums!$A$39),tulkojums!$A$39))</f>
        <v/>
      </c>
      <c r="T859" s="2"/>
      <c r="U859" s="2"/>
      <c r="V859" s="2"/>
      <c r="W859" s="2"/>
      <c r="X859" s="2"/>
      <c r="Y859" s="2"/>
      <c r="Z859" s="2"/>
    </row>
    <row r="860" spans="1:26" ht="15.75" customHeight="1">
      <c r="A860" s="17"/>
      <c r="B860" s="18"/>
      <c r="C860" s="19"/>
      <c r="D860" s="55"/>
      <c r="E860" s="55"/>
      <c r="F860" s="56"/>
      <c r="G860" s="57" t="str">
        <f>IF(ISBLANK(C860),"",
   IFERROR(
      IF(
         INDEX(DB_materiali!C$2:C$5000,
               MATCH(C860, DB_materiali!A$2:A$5000, 0)
         )="FALSE",
         "N",
         "Y"
      ),
   "")
)</f>
        <v/>
      </c>
      <c r="H860" s="20"/>
      <c r="I860" s="20"/>
      <c r="J860" s="20"/>
      <c r="K860" s="20"/>
      <c r="M860" s="2" t="str">
        <f>IF(ISBLANK(C860),"",IF(IFERROR(VLOOKUP(C860,DB_materiali!$A$2:$A$5000,1,FALSE),"Kļūda artikulā")=C860,"✔",tulkojums!A$42))</f>
        <v/>
      </c>
      <c r="N860" s="2" t="str">
        <f>IF(ISBLANK(C860),"",IF(ISNUMBER(F860)=TRUE,"✔",tulkojums!A$43))</f>
        <v/>
      </c>
      <c r="O860" s="2" t="str">
        <f>IF(ISBLANK(C860),"",IF(G860="Y","✔",IF(G860="X","✔",IF(G860="N","✔",tulkojums!A$44))))</f>
        <v/>
      </c>
      <c r="P860" s="2" t="str">
        <f>IF(ISBLANK(H860),"",IF(INDEX(DB_materiali!$E$2:$E$5000,MATCH($C860,DB_materiali!$A$2:$A$5000,0))&gt;=INDEX(DB_malas!$C$2:$C$5000,MATCH(H860,DB_malas!$A$2:$A$5000,0)),IF(INDEX(DB_materiali!$E$2:$E$5000,MATCH($C860,DB_materiali!$A$2:$A$5000,0))&lt;=INDEX(DB_malas!$D$2:$D$5000,MATCH(H860,DB_malas!$A$2:$A$5000,0)),IF(OR(INDEX(DB_materiali!$B$2:$B$5000,MATCH($C860,DB_materiali!$A$2:$A$5000,0))=INDEX(DB_malas!$B$2:$B$5000,MATCH(H860,DB_malas!$A$2:$A$5000,0)),$H860="ORG"),"✔",tulkojums!$A$38),tulkojums!$A$39),tulkojums!$A$39))</f>
        <v/>
      </c>
      <c r="Q860" s="2" t="str">
        <f>IF(ISBLANK(I860),"",IF(INDEX(DB_materiali!$E$2:$E$5000,MATCH($C860,DB_materiali!$A$2:$A$5000,0))&gt;=INDEX(DB_malas!$C$2:$C$5000,MATCH(I860,DB_malas!$A$2:$A$5000,0)),IF(INDEX(DB_materiali!$E$2:$E$5000,MATCH($C860,DB_materiali!$A$2:$A$5000,0))&lt;=INDEX(DB_malas!$D$2:$D$5000,MATCH(I860,DB_malas!$A$2:$A$5000,0)),IF(OR(INDEX(DB_materiali!$B$2:$B$5000,MATCH($C860,DB_materiali!$A$2:$A$5000,0))=INDEX(DB_malas!$B$2:$B$5000,MATCH(I860,DB_malas!$A$2:$A$5000,0)),$H860="ORG"),"✔",tulkojums!$A$38),tulkojums!$A$39),tulkojums!$A$39))</f>
        <v/>
      </c>
      <c r="R860" s="2" t="str">
        <f>IF(ISBLANK(J860),"",IF(INDEX(DB_materiali!$E$2:$E$5000,MATCH($C860,DB_materiali!$A$2:$A$5000,0))&gt;=INDEX(DB_malas!$C$2:$C$5000,MATCH(J860,DB_malas!$A$2:$A$5000,0)),IF(INDEX(DB_materiali!$E$2:$E$5000,MATCH($C860,DB_materiali!$A$2:$A$5000,0))&lt;=INDEX(DB_malas!$D$2:$D$5000,MATCH(J860,DB_malas!$A$2:$A$5000,0)),IF(INDEX(DB_materiali!$B$2:$B$5000,MATCH($C860,DB_materiali!$A$2:$A$5000,0))=INDEX(DB_malas!$B$2:$B$5000,MATCH(J860,DB_malas!$A$2:$A$5000,0)),"✔",tulkojums!$A$38),tulkojums!$A$39),tulkojums!$A$39))</f>
        <v/>
      </c>
      <c r="S860" s="2" t="str">
        <f>IF(ISBLANK(K860),"",IF(INDEX(DB_materiali!$E$2:$E$5000,MATCH($C860,DB_materiali!$A$2:$A$5000,0))&gt;=INDEX(DB_malas!$C$2:$C$5000,MATCH(K860,DB_malas!$A$2:$A$5000,0)),IF(INDEX(DB_materiali!$E$2:$E$5000,MATCH($C860,DB_materiali!$A$2:$A$5000,0))&lt;=INDEX(DB_malas!$D$2:$D$5000,MATCH(K860,DB_malas!$A$2:$A$5000,0)),IF(INDEX(DB_materiali!$B$2:$B$5000,MATCH($C860,DB_materiali!$A$2:$A$5000,0))=INDEX(DB_malas!$B$2:$B$5000,MATCH(K860,DB_malas!$A$2:$A$5000,0)),"✔",tulkojums!$A$38),tulkojums!$A$39),tulkojums!$A$39))</f>
        <v/>
      </c>
      <c r="T860" s="2"/>
      <c r="U860" s="2"/>
      <c r="V860" s="2"/>
      <c r="W860" s="2"/>
      <c r="X860" s="2"/>
      <c r="Y860" s="2"/>
      <c r="Z860" s="2"/>
    </row>
    <row r="861" spans="1:26" ht="15.75" customHeight="1">
      <c r="A861" s="17"/>
      <c r="B861" s="18"/>
      <c r="C861" s="19"/>
      <c r="D861" s="55"/>
      <c r="E861" s="55"/>
      <c r="F861" s="56"/>
      <c r="G861" s="57" t="str">
        <f>IF(ISBLANK(C861),"",
   IFERROR(
      IF(
         INDEX(DB_materiali!C$2:C$5000,
               MATCH(C861, DB_materiali!A$2:A$5000, 0)
         )="FALSE",
         "N",
         "Y"
      ),
   "")
)</f>
        <v/>
      </c>
      <c r="H861" s="20"/>
      <c r="I861" s="20"/>
      <c r="J861" s="20"/>
      <c r="K861" s="20"/>
      <c r="M861" s="2" t="str">
        <f>IF(ISBLANK(C861),"",IF(IFERROR(VLOOKUP(C861,DB_materiali!$A$2:$A$5000,1,FALSE),"Kļūda artikulā")=C861,"✔",tulkojums!A$42))</f>
        <v/>
      </c>
      <c r="N861" s="2" t="str">
        <f>IF(ISBLANK(C861),"",IF(ISNUMBER(F861)=TRUE,"✔",tulkojums!A$43))</f>
        <v/>
      </c>
      <c r="O861" s="2" t="str">
        <f>IF(ISBLANK(C861),"",IF(G861="Y","✔",IF(G861="X","✔",IF(G861="N","✔",tulkojums!A$44))))</f>
        <v/>
      </c>
      <c r="P861" s="2" t="str">
        <f>IF(ISBLANK(H861),"",IF(INDEX(DB_materiali!$E$2:$E$5000,MATCH($C861,DB_materiali!$A$2:$A$5000,0))&gt;=INDEX(DB_malas!$C$2:$C$5000,MATCH(H861,DB_malas!$A$2:$A$5000,0)),IF(INDEX(DB_materiali!$E$2:$E$5000,MATCH($C861,DB_materiali!$A$2:$A$5000,0))&lt;=INDEX(DB_malas!$D$2:$D$5000,MATCH(H861,DB_malas!$A$2:$A$5000,0)),IF(OR(INDEX(DB_materiali!$B$2:$B$5000,MATCH($C861,DB_materiali!$A$2:$A$5000,0))=INDEX(DB_malas!$B$2:$B$5000,MATCH(H861,DB_malas!$A$2:$A$5000,0)),$H861="ORG"),"✔",tulkojums!$A$38),tulkojums!$A$39),tulkojums!$A$39))</f>
        <v/>
      </c>
      <c r="Q861" s="2" t="str">
        <f>IF(ISBLANK(I861),"",IF(INDEX(DB_materiali!$E$2:$E$5000,MATCH($C861,DB_materiali!$A$2:$A$5000,0))&gt;=INDEX(DB_malas!$C$2:$C$5000,MATCH(I861,DB_malas!$A$2:$A$5000,0)),IF(INDEX(DB_materiali!$E$2:$E$5000,MATCH($C861,DB_materiali!$A$2:$A$5000,0))&lt;=INDEX(DB_malas!$D$2:$D$5000,MATCH(I861,DB_malas!$A$2:$A$5000,0)),IF(OR(INDEX(DB_materiali!$B$2:$B$5000,MATCH($C861,DB_materiali!$A$2:$A$5000,0))=INDEX(DB_malas!$B$2:$B$5000,MATCH(I861,DB_malas!$A$2:$A$5000,0)),$H861="ORG"),"✔",tulkojums!$A$38),tulkojums!$A$39),tulkojums!$A$39))</f>
        <v/>
      </c>
      <c r="R861" s="2" t="str">
        <f>IF(ISBLANK(J861),"",IF(INDEX(DB_materiali!$E$2:$E$5000,MATCH($C861,DB_materiali!$A$2:$A$5000,0))&gt;=INDEX(DB_malas!$C$2:$C$5000,MATCH(J861,DB_malas!$A$2:$A$5000,0)),IF(INDEX(DB_materiali!$E$2:$E$5000,MATCH($C861,DB_materiali!$A$2:$A$5000,0))&lt;=INDEX(DB_malas!$D$2:$D$5000,MATCH(J861,DB_malas!$A$2:$A$5000,0)),IF(INDEX(DB_materiali!$B$2:$B$5000,MATCH($C861,DB_materiali!$A$2:$A$5000,0))=INDEX(DB_malas!$B$2:$B$5000,MATCH(J861,DB_malas!$A$2:$A$5000,0)),"✔",tulkojums!$A$38),tulkojums!$A$39),tulkojums!$A$39))</f>
        <v/>
      </c>
      <c r="S861" s="2" t="str">
        <f>IF(ISBLANK(K861),"",IF(INDEX(DB_materiali!$E$2:$E$5000,MATCH($C861,DB_materiali!$A$2:$A$5000,0))&gt;=INDEX(DB_malas!$C$2:$C$5000,MATCH(K861,DB_malas!$A$2:$A$5000,0)),IF(INDEX(DB_materiali!$E$2:$E$5000,MATCH($C861,DB_materiali!$A$2:$A$5000,0))&lt;=INDEX(DB_malas!$D$2:$D$5000,MATCH(K861,DB_malas!$A$2:$A$5000,0)),IF(INDEX(DB_materiali!$B$2:$B$5000,MATCH($C861,DB_materiali!$A$2:$A$5000,0))=INDEX(DB_malas!$B$2:$B$5000,MATCH(K861,DB_malas!$A$2:$A$5000,0)),"✔",tulkojums!$A$38),tulkojums!$A$39),tulkojums!$A$39))</f>
        <v/>
      </c>
      <c r="T861" s="2"/>
      <c r="U861" s="2"/>
      <c r="V861" s="2"/>
      <c r="W861" s="2"/>
      <c r="X861" s="2"/>
      <c r="Y861" s="2"/>
      <c r="Z861" s="2"/>
    </row>
    <row r="862" spans="1:26" ht="15.75" customHeight="1">
      <c r="A862" s="17"/>
      <c r="B862" s="18"/>
      <c r="C862" s="19"/>
      <c r="D862" s="55"/>
      <c r="E862" s="55"/>
      <c r="F862" s="56"/>
      <c r="G862" s="57" t="str">
        <f>IF(ISBLANK(C862),"",
   IFERROR(
      IF(
         INDEX(DB_materiali!C$2:C$5000,
               MATCH(C862, DB_materiali!A$2:A$5000, 0)
         )="FALSE",
         "N",
         "Y"
      ),
   "")
)</f>
        <v/>
      </c>
      <c r="H862" s="20"/>
      <c r="I862" s="20"/>
      <c r="J862" s="20"/>
      <c r="K862" s="20"/>
      <c r="M862" s="2" t="str">
        <f>IF(ISBLANK(C862),"",IF(IFERROR(VLOOKUP(C862,DB_materiali!$A$2:$A$5000,1,FALSE),"Kļūda artikulā")=C862,"✔",tulkojums!A$42))</f>
        <v/>
      </c>
      <c r="N862" s="2" t="str">
        <f>IF(ISBLANK(C862),"",IF(ISNUMBER(F862)=TRUE,"✔",tulkojums!A$43))</f>
        <v/>
      </c>
      <c r="O862" s="2" t="str">
        <f>IF(ISBLANK(C862),"",IF(G862="Y","✔",IF(G862="X","✔",IF(G862="N","✔",tulkojums!A$44))))</f>
        <v/>
      </c>
      <c r="P862" s="2" t="str">
        <f>IF(ISBLANK(H862),"",IF(INDEX(DB_materiali!$E$2:$E$5000,MATCH($C862,DB_materiali!$A$2:$A$5000,0))&gt;=INDEX(DB_malas!$C$2:$C$5000,MATCH(H862,DB_malas!$A$2:$A$5000,0)),IF(INDEX(DB_materiali!$E$2:$E$5000,MATCH($C862,DB_materiali!$A$2:$A$5000,0))&lt;=INDEX(DB_malas!$D$2:$D$5000,MATCH(H862,DB_malas!$A$2:$A$5000,0)),IF(OR(INDEX(DB_materiali!$B$2:$B$5000,MATCH($C862,DB_materiali!$A$2:$A$5000,0))=INDEX(DB_malas!$B$2:$B$5000,MATCH(H862,DB_malas!$A$2:$A$5000,0)),$H862="ORG"),"✔",tulkojums!$A$38),tulkojums!$A$39),tulkojums!$A$39))</f>
        <v/>
      </c>
      <c r="Q862" s="2" t="str">
        <f>IF(ISBLANK(I862),"",IF(INDEX(DB_materiali!$E$2:$E$5000,MATCH($C862,DB_materiali!$A$2:$A$5000,0))&gt;=INDEX(DB_malas!$C$2:$C$5000,MATCH(I862,DB_malas!$A$2:$A$5000,0)),IF(INDEX(DB_materiali!$E$2:$E$5000,MATCH($C862,DB_materiali!$A$2:$A$5000,0))&lt;=INDEX(DB_malas!$D$2:$D$5000,MATCH(I862,DB_malas!$A$2:$A$5000,0)),IF(OR(INDEX(DB_materiali!$B$2:$B$5000,MATCH($C862,DB_materiali!$A$2:$A$5000,0))=INDEX(DB_malas!$B$2:$B$5000,MATCH(I862,DB_malas!$A$2:$A$5000,0)),$H862="ORG"),"✔",tulkojums!$A$38),tulkojums!$A$39),tulkojums!$A$39))</f>
        <v/>
      </c>
      <c r="R862" s="2" t="str">
        <f>IF(ISBLANK(J862),"",IF(INDEX(DB_materiali!$E$2:$E$5000,MATCH($C862,DB_materiali!$A$2:$A$5000,0))&gt;=INDEX(DB_malas!$C$2:$C$5000,MATCH(J862,DB_malas!$A$2:$A$5000,0)),IF(INDEX(DB_materiali!$E$2:$E$5000,MATCH($C862,DB_materiali!$A$2:$A$5000,0))&lt;=INDEX(DB_malas!$D$2:$D$5000,MATCH(J862,DB_malas!$A$2:$A$5000,0)),IF(INDEX(DB_materiali!$B$2:$B$5000,MATCH($C862,DB_materiali!$A$2:$A$5000,0))=INDEX(DB_malas!$B$2:$B$5000,MATCH(J862,DB_malas!$A$2:$A$5000,0)),"✔",tulkojums!$A$38),tulkojums!$A$39),tulkojums!$A$39))</f>
        <v/>
      </c>
      <c r="S862" s="2" t="str">
        <f>IF(ISBLANK(K862),"",IF(INDEX(DB_materiali!$E$2:$E$5000,MATCH($C862,DB_materiali!$A$2:$A$5000,0))&gt;=INDEX(DB_malas!$C$2:$C$5000,MATCH(K862,DB_malas!$A$2:$A$5000,0)),IF(INDEX(DB_materiali!$E$2:$E$5000,MATCH($C862,DB_materiali!$A$2:$A$5000,0))&lt;=INDEX(DB_malas!$D$2:$D$5000,MATCH(K862,DB_malas!$A$2:$A$5000,0)),IF(INDEX(DB_materiali!$B$2:$B$5000,MATCH($C862,DB_materiali!$A$2:$A$5000,0))=INDEX(DB_malas!$B$2:$B$5000,MATCH(K862,DB_malas!$A$2:$A$5000,0)),"✔",tulkojums!$A$38),tulkojums!$A$39),tulkojums!$A$39))</f>
        <v/>
      </c>
      <c r="T862" s="2"/>
      <c r="U862" s="2"/>
      <c r="V862" s="2"/>
      <c r="W862" s="2"/>
      <c r="X862" s="2"/>
      <c r="Y862" s="2"/>
      <c r="Z862" s="2"/>
    </row>
    <row r="863" spans="1:26" ht="15.75" customHeight="1">
      <c r="A863" s="17"/>
      <c r="B863" s="18"/>
      <c r="C863" s="19"/>
      <c r="D863" s="55"/>
      <c r="E863" s="55"/>
      <c r="F863" s="56"/>
      <c r="G863" s="57" t="str">
        <f>IF(ISBLANK(C863),"",
   IFERROR(
      IF(
         INDEX(DB_materiali!C$2:C$5000,
               MATCH(C863, DB_materiali!A$2:A$5000, 0)
         )="FALSE",
         "N",
         "Y"
      ),
   "")
)</f>
        <v/>
      </c>
      <c r="H863" s="20"/>
      <c r="I863" s="20"/>
      <c r="J863" s="20"/>
      <c r="K863" s="20"/>
      <c r="M863" s="2" t="str">
        <f>IF(ISBLANK(C863),"",IF(IFERROR(VLOOKUP(C863,DB_materiali!$A$2:$A$5000,1,FALSE),"Kļūda artikulā")=C863,"✔",tulkojums!A$42))</f>
        <v/>
      </c>
      <c r="N863" s="2" t="str">
        <f>IF(ISBLANK(C863),"",IF(ISNUMBER(F863)=TRUE,"✔",tulkojums!A$43))</f>
        <v/>
      </c>
      <c r="O863" s="2" t="str">
        <f>IF(ISBLANK(C863),"",IF(G863="Y","✔",IF(G863="X","✔",IF(G863="N","✔",tulkojums!A$44))))</f>
        <v/>
      </c>
      <c r="P863" s="2" t="str">
        <f>IF(ISBLANK(H863),"",IF(INDEX(DB_materiali!$E$2:$E$5000,MATCH($C863,DB_materiali!$A$2:$A$5000,0))&gt;=INDEX(DB_malas!$C$2:$C$5000,MATCH(H863,DB_malas!$A$2:$A$5000,0)),IF(INDEX(DB_materiali!$E$2:$E$5000,MATCH($C863,DB_materiali!$A$2:$A$5000,0))&lt;=INDEX(DB_malas!$D$2:$D$5000,MATCH(H863,DB_malas!$A$2:$A$5000,0)),IF(OR(INDEX(DB_materiali!$B$2:$B$5000,MATCH($C863,DB_materiali!$A$2:$A$5000,0))=INDEX(DB_malas!$B$2:$B$5000,MATCH(H863,DB_malas!$A$2:$A$5000,0)),$H863="ORG"),"✔",tulkojums!$A$38),tulkojums!$A$39),tulkojums!$A$39))</f>
        <v/>
      </c>
      <c r="Q863" s="2" t="str">
        <f>IF(ISBLANK(I863),"",IF(INDEX(DB_materiali!$E$2:$E$5000,MATCH($C863,DB_materiali!$A$2:$A$5000,0))&gt;=INDEX(DB_malas!$C$2:$C$5000,MATCH(I863,DB_malas!$A$2:$A$5000,0)),IF(INDEX(DB_materiali!$E$2:$E$5000,MATCH($C863,DB_materiali!$A$2:$A$5000,0))&lt;=INDEX(DB_malas!$D$2:$D$5000,MATCH(I863,DB_malas!$A$2:$A$5000,0)),IF(OR(INDEX(DB_materiali!$B$2:$B$5000,MATCH($C863,DB_materiali!$A$2:$A$5000,0))=INDEX(DB_malas!$B$2:$B$5000,MATCH(I863,DB_malas!$A$2:$A$5000,0)),$H863="ORG"),"✔",tulkojums!$A$38),tulkojums!$A$39),tulkojums!$A$39))</f>
        <v/>
      </c>
      <c r="R863" s="2" t="str">
        <f>IF(ISBLANK(J863),"",IF(INDEX(DB_materiali!$E$2:$E$5000,MATCH($C863,DB_materiali!$A$2:$A$5000,0))&gt;=INDEX(DB_malas!$C$2:$C$5000,MATCH(J863,DB_malas!$A$2:$A$5000,0)),IF(INDEX(DB_materiali!$E$2:$E$5000,MATCH($C863,DB_materiali!$A$2:$A$5000,0))&lt;=INDEX(DB_malas!$D$2:$D$5000,MATCH(J863,DB_malas!$A$2:$A$5000,0)),IF(INDEX(DB_materiali!$B$2:$B$5000,MATCH($C863,DB_materiali!$A$2:$A$5000,0))=INDEX(DB_malas!$B$2:$B$5000,MATCH(J863,DB_malas!$A$2:$A$5000,0)),"✔",tulkojums!$A$38),tulkojums!$A$39),tulkojums!$A$39))</f>
        <v/>
      </c>
      <c r="S863" s="2" t="str">
        <f>IF(ISBLANK(K863),"",IF(INDEX(DB_materiali!$E$2:$E$5000,MATCH($C863,DB_materiali!$A$2:$A$5000,0))&gt;=INDEX(DB_malas!$C$2:$C$5000,MATCH(K863,DB_malas!$A$2:$A$5000,0)),IF(INDEX(DB_materiali!$E$2:$E$5000,MATCH($C863,DB_materiali!$A$2:$A$5000,0))&lt;=INDEX(DB_malas!$D$2:$D$5000,MATCH(K863,DB_malas!$A$2:$A$5000,0)),IF(INDEX(DB_materiali!$B$2:$B$5000,MATCH($C863,DB_materiali!$A$2:$A$5000,0))=INDEX(DB_malas!$B$2:$B$5000,MATCH(K863,DB_malas!$A$2:$A$5000,0)),"✔",tulkojums!$A$38),tulkojums!$A$39),tulkojums!$A$39))</f>
        <v/>
      </c>
      <c r="T863" s="2"/>
      <c r="U863" s="2"/>
      <c r="V863" s="2"/>
      <c r="W863" s="2"/>
      <c r="X863" s="2"/>
      <c r="Y863" s="2"/>
      <c r="Z863" s="2"/>
    </row>
    <row r="864" spans="1:26" ht="15.75" customHeight="1">
      <c r="A864" s="17"/>
      <c r="B864" s="18"/>
      <c r="C864" s="19"/>
      <c r="D864" s="55"/>
      <c r="E864" s="55"/>
      <c r="F864" s="56"/>
      <c r="G864" s="57" t="str">
        <f>IF(ISBLANK(C864),"",
   IFERROR(
      IF(
         INDEX(DB_materiali!C$2:C$5000,
               MATCH(C864, DB_materiali!A$2:A$5000, 0)
         )="FALSE",
         "N",
         "Y"
      ),
   "")
)</f>
        <v/>
      </c>
      <c r="H864" s="20"/>
      <c r="I864" s="20"/>
      <c r="J864" s="20"/>
      <c r="K864" s="20"/>
      <c r="M864" s="2" t="str">
        <f>IF(ISBLANK(C864),"",IF(IFERROR(VLOOKUP(C864,DB_materiali!$A$2:$A$5000,1,FALSE),"Kļūda artikulā")=C864,"✔",tulkojums!A$42))</f>
        <v/>
      </c>
      <c r="N864" s="2" t="str">
        <f>IF(ISBLANK(C864),"",IF(ISNUMBER(F864)=TRUE,"✔",tulkojums!A$43))</f>
        <v/>
      </c>
      <c r="O864" s="2" t="str">
        <f>IF(ISBLANK(C864),"",IF(G864="Y","✔",IF(G864="X","✔",IF(G864="N","✔",tulkojums!A$44))))</f>
        <v/>
      </c>
      <c r="P864" s="2" t="str">
        <f>IF(ISBLANK(H864),"",IF(INDEX(DB_materiali!$E$2:$E$5000,MATCH($C864,DB_materiali!$A$2:$A$5000,0))&gt;=INDEX(DB_malas!$C$2:$C$5000,MATCH(H864,DB_malas!$A$2:$A$5000,0)),IF(INDEX(DB_materiali!$E$2:$E$5000,MATCH($C864,DB_materiali!$A$2:$A$5000,0))&lt;=INDEX(DB_malas!$D$2:$D$5000,MATCH(H864,DB_malas!$A$2:$A$5000,0)),IF(OR(INDEX(DB_materiali!$B$2:$B$5000,MATCH($C864,DB_materiali!$A$2:$A$5000,0))=INDEX(DB_malas!$B$2:$B$5000,MATCH(H864,DB_malas!$A$2:$A$5000,0)),$H864="ORG"),"✔",tulkojums!$A$38),tulkojums!$A$39),tulkojums!$A$39))</f>
        <v/>
      </c>
      <c r="Q864" s="2" t="str">
        <f>IF(ISBLANK(I864),"",IF(INDEX(DB_materiali!$E$2:$E$5000,MATCH($C864,DB_materiali!$A$2:$A$5000,0))&gt;=INDEX(DB_malas!$C$2:$C$5000,MATCH(I864,DB_malas!$A$2:$A$5000,0)),IF(INDEX(DB_materiali!$E$2:$E$5000,MATCH($C864,DB_materiali!$A$2:$A$5000,0))&lt;=INDEX(DB_malas!$D$2:$D$5000,MATCH(I864,DB_malas!$A$2:$A$5000,0)),IF(OR(INDEX(DB_materiali!$B$2:$B$5000,MATCH($C864,DB_materiali!$A$2:$A$5000,0))=INDEX(DB_malas!$B$2:$B$5000,MATCH(I864,DB_malas!$A$2:$A$5000,0)),$H864="ORG"),"✔",tulkojums!$A$38),tulkojums!$A$39),tulkojums!$A$39))</f>
        <v/>
      </c>
      <c r="R864" s="2" t="str">
        <f>IF(ISBLANK(J864),"",IF(INDEX(DB_materiali!$E$2:$E$5000,MATCH($C864,DB_materiali!$A$2:$A$5000,0))&gt;=INDEX(DB_malas!$C$2:$C$5000,MATCH(J864,DB_malas!$A$2:$A$5000,0)),IF(INDEX(DB_materiali!$E$2:$E$5000,MATCH($C864,DB_materiali!$A$2:$A$5000,0))&lt;=INDEX(DB_malas!$D$2:$D$5000,MATCH(J864,DB_malas!$A$2:$A$5000,0)),IF(INDEX(DB_materiali!$B$2:$B$5000,MATCH($C864,DB_materiali!$A$2:$A$5000,0))=INDEX(DB_malas!$B$2:$B$5000,MATCH(J864,DB_malas!$A$2:$A$5000,0)),"✔",tulkojums!$A$38),tulkojums!$A$39),tulkojums!$A$39))</f>
        <v/>
      </c>
      <c r="S864" s="2" t="str">
        <f>IF(ISBLANK(K864),"",IF(INDEX(DB_materiali!$E$2:$E$5000,MATCH($C864,DB_materiali!$A$2:$A$5000,0))&gt;=INDEX(DB_malas!$C$2:$C$5000,MATCH(K864,DB_malas!$A$2:$A$5000,0)),IF(INDEX(DB_materiali!$E$2:$E$5000,MATCH($C864,DB_materiali!$A$2:$A$5000,0))&lt;=INDEX(DB_malas!$D$2:$D$5000,MATCH(K864,DB_malas!$A$2:$A$5000,0)),IF(INDEX(DB_materiali!$B$2:$B$5000,MATCH($C864,DB_materiali!$A$2:$A$5000,0))=INDEX(DB_malas!$B$2:$B$5000,MATCH(K864,DB_malas!$A$2:$A$5000,0)),"✔",tulkojums!$A$38),tulkojums!$A$39),tulkojums!$A$39))</f>
        <v/>
      </c>
      <c r="T864" s="2"/>
      <c r="U864" s="2"/>
      <c r="V864" s="2"/>
      <c r="W864" s="2"/>
      <c r="X864" s="2"/>
      <c r="Y864" s="2"/>
      <c r="Z864" s="2"/>
    </row>
    <row r="865" spans="1:26" ht="15.75" customHeight="1">
      <c r="A865" s="17"/>
      <c r="B865" s="18"/>
      <c r="C865" s="19"/>
      <c r="D865" s="55"/>
      <c r="E865" s="55"/>
      <c r="F865" s="56"/>
      <c r="G865" s="57" t="str">
        <f>IF(ISBLANK(C865),"",
   IFERROR(
      IF(
         INDEX(DB_materiali!C$2:C$5000,
               MATCH(C865, DB_materiali!A$2:A$5000, 0)
         )="FALSE",
         "N",
         "Y"
      ),
   "")
)</f>
        <v/>
      </c>
      <c r="H865" s="20"/>
      <c r="I865" s="20"/>
      <c r="J865" s="20"/>
      <c r="K865" s="20"/>
      <c r="M865" s="2" t="str">
        <f>IF(ISBLANK(C865),"",IF(IFERROR(VLOOKUP(C865,DB_materiali!$A$2:$A$5000,1,FALSE),"Kļūda artikulā")=C865,"✔",tulkojums!A$42))</f>
        <v/>
      </c>
      <c r="N865" s="2" t="str">
        <f>IF(ISBLANK(C865),"",IF(ISNUMBER(F865)=TRUE,"✔",tulkojums!A$43))</f>
        <v/>
      </c>
      <c r="O865" s="2" t="str">
        <f>IF(ISBLANK(C865),"",IF(G865="Y","✔",IF(G865="X","✔",IF(G865="N","✔",tulkojums!A$44))))</f>
        <v/>
      </c>
      <c r="P865" s="2" t="str">
        <f>IF(ISBLANK(H865),"",IF(INDEX(DB_materiali!$E$2:$E$5000,MATCH($C865,DB_materiali!$A$2:$A$5000,0))&gt;=INDEX(DB_malas!$C$2:$C$5000,MATCH(H865,DB_malas!$A$2:$A$5000,0)),IF(INDEX(DB_materiali!$E$2:$E$5000,MATCH($C865,DB_materiali!$A$2:$A$5000,0))&lt;=INDEX(DB_malas!$D$2:$D$5000,MATCH(H865,DB_malas!$A$2:$A$5000,0)),IF(OR(INDEX(DB_materiali!$B$2:$B$5000,MATCH($C865,DB_materiali!$A$2:$A$5000,0))=INDEX(DB_malas!$B$2:$B$5000,MATCH(H865,DB_malas!$A$2:$A$5000,0)),$H865="ORG"),"✔",tulkojums!$A$38),tulkojums!$A$39),tulkojums!$A$39))</f>
        <v/>
      </c>
      <c r="Q865" s="2" t="str">
        <f>IF(ISBLANK(I865),"",IF(INDEX(DB_materiali!$E$2:$E$5000,MATCH($C865,DB_materiali!$A$2:$A$5000,0))&gt;=INDEX(DB_malas!$C$2:$C$5000,MATCH(I865,DB_malas!$A$2:$A$5000,0)),IF(INDEX(DB_materiali!$E$2:$E$5000,MATCH($C865,DB_materiali!$A$2:$A$5000,0))&lt;=INDEX(DB_malas!$D$2:$D$5000,MATCH(I865,DB_malas!$A$2:$A$5000,0)),IF(OR(INDEX(DB_materiali!$B$2:$B$5000,MATCH($C865,DB_materiali!$A$2:$A$5000,0))=INDEX(DB_malas!$B$2:$B$5000,MATCH(I865,DB_malas!$A$2:$A$5000,0)),$H865="ORG"),"✔",tulkojums!$A$38),tulkojums!$A$39),tulkojums!$A$39))</f>
        <v/>
      </c>
      <c r="R865" s="2" t="str">
        <f>IF(ISBLANK(J865),"",IF(INDEX(DB_materiali!$E$2:$E$5000,MATCH($C865,DB_materiali!$A$2:$A$5000,0))&gt;=INDEX(DB_malas!$C$2:$C$5000,MATCH(J865,DB_malas!$A$2:$A$5000,0)),IF(INDEX(DB_materiali!$E$2:$E$5000,MATCH($C865,DB_materiali!$A$2:$A$5000,0))&lt;=INDEX(DB_malas!$D$2:$D$5000,MATCH(J865,DB_malas!$A$2:$A$5000,0)),IF(INDEX(DB_materiali!$B$2:$B$5000,MATCH($C865,DB_materiali!$A$2:$A$5000,0))=INDEX(DB_malas!$B$2:$B$5000,MATCH(J865,DB_malas!$A$2:$A$5000,0)),"✔",tulkojums!$A$38),tulkojums!$A$39),tulkojums!$A$39))</f>
        <v/>
      </c>
      <c r="S865" s="2" t="str">
        <f>IF(ISBLANK(K865),"",IF(INDEX(DB_materiali!$E$2:$E$5000,MATCH($C865,DB_materiali!$A$2:$A$5000,0))&gt;=INDEX(DB_malas!$C$2:$C$5000,MATCH(K865,DB_malas!$A$2:$A$5000,0)),IF(INDEX(DB_materiali!$E$2:$E$5000,MATCH($C865,DB_materiali!$A$2:$A$5000,0))&lt;=INDEX(DB_malas!$D$2:$D$5000,MATCH(K865,DB_malas!$A$2:$A$5000,0)),IF(INDEX(DB_materiali!$B$2:$B$5000,MATCH($C865,DB_materiali!$A$2:$A$5000,0))=INDEX(DB_malas!$B$2:$B$5000,MATCH(K865,DB_malas!$A$2:$A$5000,0)),"✔",tulkojums!$A$38),tulkojums!$A$39),tulkojums!$A$39))</f>
        <v/>
      </c>
      <c r="T865" s="2"/>
      <c r="U865" s="2"/>
      <c r="V865" s="2"/>
      <c r="W865" s="2"/>
      <c r="X865" s="2"/>
      <c r="Y865" s="2"/>
      <c r="Z865" s="2"/>
    </row>
    <row r="866" spans="1:26" ht="15.75" customHeight="1">
      <c r="A866" s="17"/>
      <c r="B866" s="18"/>
      <c r="C866" s="19"/>
      <c r="D866" s="55"/>
      <c r="E866" s="55"/>
      <c r="F866" s="56"/>
      <c r="G866" s="57" t="str">
        <f>IF(ISBLANK(C866),"",
   IFERROR(
      IF(
         INDEX(DB_materiali!C$2:C$5000,
               MATCH(C866, DB_materiali!A$2:A$5000, 0)
         )="FALSE",
         "N",
         "Y"
      ),
   "")
)</f>
        <v/>
      </c>
      <c r="H866" s="20"/>
      <c r="I866" s="20"/>
      <c r="J866" s="20"/>
      <c r="K866" s="20"/>
      <c r="M866" s="2" t="str">
        <f>IF(ISBLANK(C866),"",IF(IFERROR(VLOOKUP(C866,DB_materiali!$A$2:$A$5000,1,FALSE),"Kļūda artikulā")=C866,"✔",tulkojums!A$42))</f>
        <v/>
      </c>
      <c r="N866" s="2" t="str">
        <f>IF(ISBLANK(C866),"",IF(ISNUMBER(F866)=TRUE,"✔",tulkojums!A$43))</f>
        <v/>
      </c>
      <c r="O866" s="2" t="str">
        <f>IF(ISBLANK(C866),"",IF(G866="Y","✔",IF(G866="X","✔",IF(G866="N","✔",tulkojums!A$44))))</f>
        <v/>
      </c>
      <c r="P866" s="2" t="str">
        <f>IF(ISBLANK(H866),"",IF(INDEX(DB_materiali!$E$2:$E$5000,MATCH($C866,DB_materiali!$A$2:$A$5000,0))&gt;=INDEX(DB_malas!$C$2:$C$5000,MATCH(H866,DB_malas!$A$2:$A$5000,0)),IF(INDEX(DB_materiali!$E$2:$E$5000,MATCH($C866,DB_materiali!$A$2:$A$5000,0))&lt;=INDEX(DB_malas!$D$2:$D$5000,MATCH(H866,DB_malas!$A$2:$A$5000,0)),IF(OR(INDEX(DB_materiali!$B$2:$B$5000,MATCH($C866,DB_materiali!$A$2:$A$5000,0))=INDEX(DB_malas!$B$2:$B$5000,MATCH(H866,DB_malas!$A$2:$A$5000,0)),$H866="ORG"),"✔",tulkojums!$A$38),tulkojums!$A$39),tulkojums!$A$39))</f>
        <v/>
      </c>
      <c r="Q866" s="2" t="str">
        <f>IF(ISBLANK(I866),"",IF(INDEX(DB_materiali!$E$2:$E$5000,MATCH($C866,DB_materiali!$A$2:$A$5000,0))&gt;=INDEX(DB_malas!$C$2:$C$5000,MATCH(I866,DB_malas!$A$2:$A$5000,0)),IF(INDEX(DB_materiali!$E$2:$E$5000,MATCH($C866,DB_materiali!$A$2:$A$5000,0))&lt;=INDEX(DB_malas!$D$2:$D$5000,MATCH(I866,DB_malas!$A$2:$A$5000,0)),IF(OR(INDEX(DB_materiali!$B$2:$B$5000,MATCH($C866,DB_materiali!$A$2:$A$5000,0))=INDEX(DB_malas!$B$2:$B$5000,MATCH(I866,DB_malas!$A$2:$A$5000,0)),$H866="ORG"),"✔",tulkojums!$A$38),tulkojums!$A$39),tulkojums!$A$39))</f>
        <v/>
      </c>
      <c r="R866" s="2" t="str">
        <f>IF(ISBLANK(J866),"",IF(INDEX(DB_materiali!$E$2:$E$5000,MATCH($C866,DB_materiali!$A$2:$A$5000,0))&gt;=INDEX(DB_malas!$C$2:$C$5000,MATCH(J866,DB_malas!$A$2:$A$5000,0)),IF(INDEX(DB_materiali!$E$2:$E$5000,MATCH($C866,DB_materiali!$A$2:$A$5000,0))&lt;=INDEX(DB_malas!$D$2:$D$5000,MATCH(J866,DB_malas!$A$2:$A$5000,0)),IF(INDEX(DB_materiali!$B$2:$B$5000,MATCH($C866,DB_materiali!$A$2:$A$5000,0))=INDEX(DB_malas!$B$2:$B$5000,MATCH(J866,DB_malas!$A$2:$A$5000,0)),"✔",tulkojums!$A$38),tulkojums!$A$39),tulkojums!$A$39))</f>
        <v/>
      </c>
      <c r="S866" s="2" t="str">
        <f>IF(ISBLANK(K866),"",IF(INDEX(DB_materiali!$E$2:$E$5000,MATCH($C866,DB_materiali!$A$2:$A$5000,0))&gt;=INDEX(DB_malas!$C$2:$C$5000,MATCH(K866,DB_malas!$A$2:$A$5000,0)),IF(INDEX(DB_materiali!$E$2:$E$5000,MATCH($C866,DB_materiali!$A$2:$A$5000,0))&lt;=INDEX(DB_malas!$D$2:$D$5000,MATCH(K866,DB_malas!$A$2:$A$5000,0)),IF(INDEX(DB_materiali!$B$2:$B$5000,MATCH($C866,DB_materiali!$A$2:$A$5000,0))=INDEX(DB_malas!$B$2:$B$5000,MATCH(K866,DB_malas!$A$2:$A$5000,0)),"✔",tulkojums!$A$38),tulkojums!$A$39),tulkojums!$A$39))</f>
        <v/>
      </c>
      <c r="T866" s="2"/>
      <c r="U866" s="2"/>
      <c r="V866" s="2"/>
      <c r="W866" s="2"/>
      <c r="X866" s="2"/>
      <c r="Y866" s="2"/>
      <c r="Z866" s="2"/>
    </row>
    <row r="867" spans="1:26" ht="15.75" customHeight="1">
      <c r="A867" s="17"/>
      <c r="B867" s="18"/>
      <c r="C867" s="19"/>
      <c r="D867" s="55"/>
      <c r="E867" s="55"/>
      <c r="F867" s="56"/>
      <c r="G867" s="57" t="str">
        <f>IF(ISBLANK(C867),"",
   IFERROR(
      IF(
         INDEX(DB_materiali!C$2:C$5000,
               MATCH(C867, DB_materiali!A$2:A$5000, 0)
         )="FALSE",
         "N",
         "Y"
      ),
   "")
)</f>
        <v/>
      </c>
      <c r="H867" s="20"/>
      <c r="I867" s="20"/>
      <c r="J867" s="20"/>
      <c r="K867" s="20"/>
      <c r="M867" s="2" t="str">
        <f>IF(ISBLANK(C867),"",IF(IFERROR(VLOOKUP(C867,DB_materiali!$A$2:$A$5000,1,FALSE),"Kļūda artikulā")=C867,"✔",tulkojums!A$42))</f>
        <v/>
      </c>
      <c r="N867" s="2" t="str">
        <f>IF(ISBLANK(C867),"",IF(ISNUMBER(F867)=TRUE,"✔",tulkojums!A$43))</f>
        <v/>
      </c>
      <c r="O867" s="2" t="str">
        <f>IF(ISBLANK(C867),"",IF(G867="Y","✔",IF(G867="X","✔",IF(G867="N","✔",tulkojums!A$44))))</f>
        <v/>
      </c>
      <c r="P867" s="2" t="str">
        <f>IF(ISBLANK(H867),"",IF(INDEX(DB_materiali!$E$2:$E$5000,MATCH($C867,DB_materiali!$A$2:$A$5000,0))&gt;=INDEX(DB_malas!$C$2:$C$5000,MATCH(H867,DB_malas!$A$2:$A$5000,0)),IF(INDEX(DB_materiali!$E$2:$E$5000,MATCH($C867,DB_materiali!$A$2:$A$5000,0))&lt;=INDEX(DB_malas!$D$2:$D$5000,MATCH(H867,DB_malas!$A$2:$A$5000,0)),IF(OR(INDEX(DB_materiali!$B$2:$B$5000,MATCH($C867,DB_materiali!$A$2:$A$5000,0))=INDEX(DB_malas!$B$2:$B$5000,MATCH(H867,DB_malas!$A$2:$A$5000,0)),$H867="ORG"),"✔",tulkojums!$A$38),tulkojums!$A$39),tulkojums!$A$39))</f>
        <v/>
      </c>
      <c r="Q867" s="2" t="str">
        <f>IF(ISBLANK(I867),"",IF(INDEX(DB_materiali!$E$2:$E$5000,MATCH($C867,DB_materiali!$A$2:$A$5000,0))&gt;=INDEX(DB_malas!$C$2:$C$5000,MATCH(I867,DB_malas!$A$2:$A$5000,0)),IF(INDEX(DB_materiali!$E$2:$E$5000,MATCH($C867,DB_materiali!$A$2:$A$5000,0))&lt;=INDEX(DB_malas!$D$2:$D$5000,MATCH(I867,DB_malas!$A$2:$A$5000,0)),IF(OR(INDEX(DB_materiali!$B$2:$B$5000,MATCH($C867,DB_materiali!$A$2:$A$5000,0))=INDEX(DB_malas!$B$2:$B$5000,MATCH(I867,DB_malas!$A$2:$A$5000,0)),$H867="ORG"),"✔",tulkojums!$A$38),tulkojums!$A$39),tulkojums!$A$39))</f>
        <v/>
      </c>
      <c r="R867" s="2" t="str">
        <f>IF(ISBLANK(J867),"",IF(INDEX(DB_materiali!$E$2:$E$5000,MATCH($C867,DB_materiali!$A$2:$A$5000,0))&gt;=INDEX(DB_malas!$C$2:$C$5000,MATCH(J867,DB_malas!$A$2:$A$5000,0)),IF(INDEX(DB_materiali!$E$2:$E$5000,MATCH($C867,DB_materiali!$A$2:$A$5000,0))&lt;=INDEX(DB_malas!$D$2:$D$5000,MATCH(J867,DB_malas!$A$2:$A$5000,0)),IF(INDEX(DB_materiali!$B$2:$B$5000,MATCH($C867,DB_materiali!$A$2:$A$5000,0))=INDEX(DB_malas!$B$2:$B$5000,MATCH(J867,DB_malas!$A$2:$A$5000,0)),"✔",tulkojums!$A$38),tulkojums!$A$39),tulkojums!$A$39))</f>
        <v/>
      </c>
      <c r="S867" s="2" t="str">
        <f>IF(ISBLANK(K867),"",IF(INDEX(DB_materiali!$E$2:$E$5000,MATCH($C867,DB_materiali!$A$2:$A$5000,0))&gt;=INDEX(DB_malas!$C$2:$C$5000,MATCH(K867,DB_malas!$A$2:$A$5000,0)),IF(INDEX(DB_materiali!$E$2:$E$5000,MATCH($C867,DB_materiali!$A$2:$A$5000,0))&lt;=INDEX(DB_malas!$D$2:$D$5000,MATCH(K867,DB_malas!$A$2:$A$5000,0)),IF(INDEX(DB_materiali!$B$2:$B$5000,MATCH($C867,DB_materiali!$A$2:$A$5000,0))=INDEX(DB_malas!$B$2:$B$5000,MATCH(K867,DB_malas!$A$2:$A$5000,0)),"✔",tulkojums!$A$38),tulkojums!$A$39),tulkojums!$A$39))</f>
        <v/>
      </c>
      <c r="T867" s="2"/>
      <c r="U867" s="2"/>
      <c r="V867" s="2"/>
      <c r="W867" s="2"/>
      <c r="X867" s="2"/>
      <c r="Y867" s="2"/>
      <c r="Z867" s="2"/>
    </row>
    <row r="868" spans="1:26" ht="15.75" customHeight="1">
      <c r="A868" s="17"/>
      <c r="B868" s="18"/>
      <c r="C868" s="19"/>
      <c r="D868" s="55"/>
      <c r="E868" s="55"/>
      <c r="F868" s="56"/>
      <c r="G868" s="57" t="str">
        <f>IF(ISBLANK(C868),"",
   IFERROR(
      IF(
         INDEX(DB_materiali!C$2:C$5000,
               MATCH(C868, DB_materiali!A$2:A$5000, 0)
         )="FALSE",
         "N",
         "Y"
      ),
   "")
)</f>
        <v/>
      </c>
      <c r="H868" s="20"/>
      <c r="I868" s="20"/>
      <c r="J868" s="20"/>
      <c r="K868" s="20"/>
      <c r="M868" s="2" t="str">
        <f>IF(ISBLANK(C868),"",IF(IFERROR(VLOOKUP(C868,DB_materiali!$A$2:$A$5000,1,FALSE),"Kļūda artikulā")=C868,"✔",tulkojums!A$42))</f>
        <v/>
      </c>
      <c r="N868" s="2" t="str">
        <f>IF(ISBLANK(C868),"",IF(ISNUMBER(F868)=TRUE,"✔",tulkojums!A$43))</f>
        <v/>
      </c>
      <c r="O868" s="2" t="str">
        <f>IF(ISBLANK(C868),"",IF(G868="Y","✔",IF(G868="X","✔",IF(G868="N","✔",tulkojums!A$44))))</f>
        <v/>
      </c>
      <c r="P868" s="2" t="str">
        <f>IF(ISBLANK(H868),"",IF(INDEX(DB_materiali!$E$2:$E$5000,MATCH($C868,DB_materiali!$A$2:$A$5000,0))&gt;=INDEX(DB_malas!$C$2:$C$5000,MATCH(H868,DB_malas!$A$2:$A$5000,0)),IF(INDEX(DB_materiali!$E$2:$E$5000,MATCH($C868,DB_materiali!$A$2:$A$5000,0))&lt;=INDEX(DB_malas!$D$2:$D$5000,MATCH(H868,DB_malas!$A$2:$A$5000,0)),IF(OR(INDEX(DB_materiali!$B$2:$B$5000,MATCH($C868,DB_materiali!$A$2:$A$5000,0))=INDEX(DB_malas!$B$2:$B$5000,MATCH(H868,DB_malas!$A$2:$A$5000,0)),$H868="ORG"),"✔",tulkojums!$A$38),tulkojums!$A$39),tulkojums!$A$39))</f>
        <v/>
      </c>
      <c r="Q868" s="2" t="str">
        <f>IF(ISBLANK(I868),"",IF(INDEX(DB_materiali!$E$2:$E$5000,MATCH($C868,DB_materiali!$A$2:$A$5000,0))&gt;=INDEX(DB_malas!$C$2:$C$5000,MATCH(I868,DB_malas!$A$2:$A$5000,0)),IF(INDEX(DB_materiali!$E$2:$E$5000,MATCH($C868,DB_materiali!$A$2:$A$5000,0))&lt;=INDEX(DB_malas!$D$2:$D$5000,MATCH(I868,DB_malas!$A$2:$A$5000,0)),IF(OR(INDEX(DB_materiali!$B$2:$B$5000,MATCH($C868,DB_materiali!$A$2:$A$5000,0))=INDEX(DB_malas!$B$2:$B$5000,MATCH(I868,DB_malas!$A$2:$A$5000,0)),$H868="ORG"),"✔",tulkojums!$A$38),tulkojums!$A$39),tulkojums!$A$39))</f>
        <v/>
      </c>
      <c r="R868" s="2" t="str">
        <f>IF(ISBLANK(J868),"",IF(INDEX(DB_materiali!$E$2:$E$5000,MATCH($C868,DB_materiali!$A$2:$A$5000,0))&gt;=INDEX(DB_malas!$C$2:$C$5000,MATCH(J868,DB_malas!$A$2:$A$5000,0)),IF(INDEX(DB_materiali!$E$2:$E$5000,MATCH($C868,DB_materiali!$A$2:$A$5000,0))&lt;=INDEX(DB_malas!$D$2:$D$5000,MATCH(J868,DB_malas!$A$2:$A$5000,0)),IF(INDEX(DB_materiali!$B$2:$B$5000,MATCH($C868,DB_materiali!$A$2:$A$5000,0))=INDEX(DB_malas!$B$2:$B$5000,MATCH(J868,DB_malas!$A$2:$A$5000,0)),"✔",tulkojums!$A$38),tulkojums!$A$39),tulkojums!$A$39))</f>
        <v/>
      </c>
      <c r="S868" s="2" t="str">
        <f>IF(ISBLANK(K868),"",IF(INDEX(DB_materiali!$E$2:$E$5000,MATCH($C868,DB_materiali!$A$2:$A$5000,0))&gt;=INDEX(DB_malas!$C$2:$C$5000,MATCH(K868,DB_malas!$A$2:$A$5000,0)),IF(INDEX(DB_materiali!$E$2:$E$5000,MATCH($C868,DB_materiali!$A$2:$A$5000,0))&lt;=INDEX(DB_malas!$D$2:$D$5000,MATCH(K868,DB_malas!$A$2:$A$5000,0)),IF(INDEX(DB_materiali!$B$2:$B$5000,MATCH($C868,DB_materiali!$A$2:$A$5000,0))=INDEX(DB_malas!$B$2:$B$5000,MATCH(K868,DB_malas!$A$2:$A$5000,0)),"✔",tulkojums!$A$38),tulkojums!$A$39),tulkojums!$A$39))</f>
        <v/>
      </c>
      <c r="T868" s="2"/>
      <c r="U868" s="2"/>
      <c r="V868" s="2"/>
      <c r="W868" s="2"/>
      <c r="X868" s="2"/>
      <c r="Y868" s="2"/>
      <c r="Z868" s="2"/>
    </row>
    <row r="869" spans="1:26" ht="15.75" customHeight="1">
      <c r="A869" s="17"/>
      <c r="B869" s="18"/>
      <c r="C869" s="19"/>
      <c r="D869" s="55"/>
      <c r="E869" s="55"/>
      <c r="F869" s="56"/>
      <c r="G869" s="57" t="str">
        <f>IF(ISBLANK(C869),"",
   IFERROR(
      IF(
         INDEX(DB_materiali!C$2:C$5000,
               MATCH(C869, DB_materiali!A$2:A$5000, 0)
         )="FALSE",
         "N",
         "Y"
      ),
   "")
)</f>
        <v/>
      </c>
      <c r="H869" s="20"/>
      <c r="I869" s="20"/>
      <c r="J869" s="20"/>
      <c r="K869" s="20"/>
      <c r="M869" s="2" t="str">
        <f>IF(ISBLANK(C869),"",IF(IFERROR(VLOOKUP(C869,DB_materiali!$A$2:$A$5000,1,FALSE),"Kļūda artikulā")=C869,"✔",tulkojums!A$42))</f>
        <v/>
      </c>
      <c r="N869" s="2" t="str">
        <f>IF(ISBLANK(C869),"",IF(ISNUMBER(F869)=TRUE,"✔",tulkojums!A$43))</f>
        <v/>
      </c>
      <c r="O869" s="2" t="str">
        <f>IF(ISBLANK(C869),"",IF(G869="Y","✔",IF(G869="X","✔",IF(G869="N","✔",tulkojums!A$44))))</f>
        <v/>
      </c>
      <c r="P869" s="2" t="str">
        <f>IF(ISBLANK(H869),"",IF(INDEX(DB_materiali!$E$2:$E$5000,MATCH($C869,DB_materiali!$A$2:$A$5000,0))&gt;=INDEX(DB_malas!$C$2:$C$5000,MATCH(H869,DB_malas!$A$2:$A$5000,0)),IF(INDEX(DB_materiali!$E$2:$E$5000,MATCH($C869,DB_materiali!$A$2:$A$5000,0))&lt;=INDEX(DB_malas!$D$2:$D$5000,MATCH(H869,DB_malas!$A$2:$A$5000,0)),IF(OR(INDEX(DB_materiali!$B$2:$B$5000,MATCH($C869,DB_materiali!$A$2:$A$5000,0))=INDEX(DB_malas!$B$2:$B$5000,MATCH(H869,DB_malas!$A$2:$A$5000,0)),$H869="ORG"),"✔",tulkojums!$A$38),tulkojums!$A$39),tulkojums!$A$39))</f>
        <v/>
      </c>
      <c r="Q869" s="2" t="str">
        <f>IF(ISBLANK(I869),"",IF(INDEX(DB_materiali!$E$2:$E$5000,MATCH($C869,DB_materiali!$A$2:$A$5000,0))&gt;=INDEX(DB_malas!$C$2:$C$5000,MATCH(I869,DB_malas!$A$2:$A$5000,0)),IF(INDEX(DB_materiali!$E$2:$E$5000,MATCH($C869,DB_materiali!$A$2:$A$5000,0))&lt;=INDEX(DB_malas!$D$2:$D$5000,MATCH(I869,DB_malas!$A$2:$A$5000,0)),IF(OR(INDEX(DB_materiali!$B$2:$B$5000,MATCH($C869,DB_materiali!$A$2:$A$5000,0))=INDEX(DB_malas!$B$2:$B$5000,MATCH(I869,DB_malas!$A$2:$A$5000,0)),$H869="ORG"),"✔",tulkojums!$A$38),tulkojums!$A$39),tulkojums!$A$39))</f>
        <v/>
      </c>
      <c r="R869" s="2" t="str">
        <f>IF(ISBLANK(J869),"",IF(INDEX(DB_materiali!$E$2:$E$5000,MATCH($C869,DB_materiali!$A$2:$A$5000,0))&gt;=INDEX(DB_malas!$C$2:$C$5000,MATCH(J869,DB_malas!$A$2:$A$5000,0)),IF(INDEX(DB_materiali!$E$2:$E$5000,MATCH($C869,DB_materiali!$A$2:$A$5000,0))&lt;=INDEX(DB_malas!$D$2:$D$5000,MATCH(J869,DB_malas!$A$2:$A$5000,0)),IF(INDEX(DB_materiali!$B$2:$B$5000,MATCH($C869,DB_materiali!$A$2:$A$5000,0))=INDEX(DB_malas!$B$2:$B$5000,MATCH(J869,DB_malas!$A$2:$A$5000,0)),"✔",tulkojums!$A$38),tulkojums!$A$39),tulkojums!$A$39))</f>
        <v/>
      </c>
      <c r="S869" s="2" t="str">
        <f>IF(ISBLANK(K869),"",IF(INDEX(DB_materiali!$E$2:$E$5000,MATCH($C869,DB_materiali!$A$2:$A$5000,0))&gt;=INDEX(DB_malas!$C$2:$C$5000,MATCH(K869,DB_malas!$A$2:$A$5000,0)),IF(INDEX(DB_materiali!$E$2:$E$5000,MATCH($C869,DB_materiali!$A$2:$A$5000,0))&lt;=INDEX(DB_malas!$D$2:$D$5000,MATCH(K869,DB_malas!$A$2:$A$5000,0)),IF(INDEX(DB_materiali!$B$2:$B$5000,MATCH($C869,DB_materiali!$A$2:$A$5000,0))=INDEX(DB_malas!$B$2:$B$5000,MATCH(K869,DB_malas!$A$2:$A$5000,0)),"✔",tulkojums!$A$38),tulkojums!$A$39),tulkojums!$A$39))</f>
        <v/>
      </c>
      <c r="T869" s="2"/>
      <c r="U869" s="2"/>
      <c r="V869" s="2"/>
      <c r="W869" s="2"/>
      <c r="X869" s="2"/>
      <c r="Y869" s="2"/>
      <c r="Z869" s="2"/>
    </row>
    <row r="870" spans="1:26" ht="15.75" customHeight="1">
      <c r="A870" s="17"/>
      <c r="B870" s="18"/>
      <c r="C870" s="19"/>
      <c r="D870" s="55"/>
      <c r="E870" s="55"/>
      <c r="F870" s="56"/>
      <c r="G870" s="57" t="str">
        <f>IF(ISBLANK(C870),"",
   IFERROR(
      IF(
         INDEX(DB_materiali!C$2:C$5000,
               MATCH(C870, DB_materiali!A$2:A$5000, 0)
         )="FALSE",
         "N",
         "Y"
      ),
   "")
)</f>
        <v/>
      </c>
      <c r="H870" s="20"/>
      <c r="I870" s="20"/>
      <c r="J870" s="20"/>
      <c r="K870" s="20"/>
      <c r="M870" s="2" t="str">
        <f>IF(ISBLANK(C870),"",IF(IFERROR(VLOOKUP(C870,DB_materiali!$A$2:$A$5000,1,FALSE),"Kļūda artikulā")=C870,"✔",tulkojums!A$42))</f>
        <v/>
      </c>
      <c r="N870" s="2" t="str">
        <f>IF(ISBLANK(C870),"",IF(ISNUMBER(F870)=TRUE,"✔",tulkojums!A$43))</f>
        <v/>
      </c>
      <c r="O870" s="2" t="str">
        <f>IF(ISBLANK(C870),"",IF(G870="Y","✔",IF(G870="X","✔",IF(G870="N","✔",tulkojums!A$44))))</f>
        <v/>
      </c>
      <c r="P870" s="2" t="str">
        <f>IF(ISBLANK(H870),"",IF(INDEX(DB_materiali!$E$2:$E$5000,MATCH($C870,DB_materiali!$A$2:$A$5000,0))&gt;=INDEX(DB_malas!$C$2:$C$5000,MATCH(H870,DB_malas!$A$2:$A$5000,0)),IF(INDEX(DB_materiali!$E$2:$E$5000,MATCH($C870,DB_materiali!$A$2:$A$5000,0))&lt;=INDEX(DB_malas!$D$2:$D$5000,MATCH(H870,DB_malas!$A$2:$A$5000,0)),IF(OR(INDEX(DB_materiali!$B$2:$B$5000,MATCH($C870,DB_materiali!$A$2:$A$5000,0))=INDEX(DB_malas!$B$2:$B$5000,MATCH(H870,DB_malas!$A$2:$A$5000,0)),$H870="ORG"),"✔",tulkojums!$A$38),tulkojums!$A$39),tulkojums!$A$39))</f>
        <v/>
      </c>
      <c r="Q870" s="2" t="str">
        <f>IF(ISBLANK(I870),"",IF(INDEX(DB_materiali!$E$2:$E$5000,MATCH($C870,DB_materiali!$A$2:$A$5000,0))&gt;=INDEX(DB_malas!$C$2:$C$5000,MATCH(I870,DB_malas!$A$2:$A$5000,0)),IF(INDEX(DB_materiali!$E$2:$E$5000,MATCH($C870,DB_materiali!$A$2:$A$5000,0))&lt;=INDEX(DB_malas!$D$2:$D$5000,MATCH(I870,DB_malas!$A$2:$A$5000,0)),IF(OR(INDEX(DB_materiali!$B$2:$B$5000,MATCH($C870,DB_materiali!$A$2:$A$5000,0))=INDEX(DB_malas!$B$2:$B$5000,MATCH(I870,DB_malas!$A$2:$A$5000,0)),$H870="ORG"),"✔",tulkojums!$A$38),tulkojums!$A$39),tulkojums!$A$39))</f>
        <v/>
      </c>
      <c r="R870" s="2" t="str">
        <f>IF(ISBLANK(J870),"",IF(INDEX(DB_materiali!$E$2:$E$5000,MATCH($C870,DB_materiali!$A$2:$A$5000,0))&gt;=INDEX(DB_malas!$C$2:$C$5000,MATCH(J870,DB_malas!$A$2:$A$5000,0)),IF(INDEX(DB_materiali!$E$2:$E$5000,MATCH($C870,DB_materiali!$A$2:$A$5000,0))&lt;=INDEX(DB_malas!$D$2:$D$5000,MATCH(J870,DB_malas!$A$2:$A$5000,0)),IF(INDEX(DB_materiali!$B$2:$B$5000,MATCH($C870,DB_materiali!$A$2:$A$5000,0))=INDEX(DB_malas!$B$2:$B$5000,MATCH(J870,DB_malas!$A$2:$A$5000,0)),"✔",tulkojums!$A$38),tulkojums!$A$39),tulkojums!$A$39))</f>
        <v/>
      </c>
      <c r="S870" s="2" t="str">
        <f>IF(ISBLANK(K870),"",IF(INDEX(DB_materiali!$E$2:$E$5000,MATCH($C870,DB_materiali!$A$2:$A$5000,0))&gt;=INDEX(DB_malas!$C$2:$C$5000,MATCH(K870,DB_malas!$A$2:$A$5000,0)),IF(INDEX(DB_materiali!$E$2:$E$5000,MATCH($C870,DB_materiali!$A$2:$A$5000,0))&lt;=INDEX(DB_malas!$D$2:$D$5000,MATCH(K870,DB_malas!$A$2:$A$5000,0)),IF(INDEX(DB_materiali!$B$2:$B$5000,MATCH($C870,DB_materiali!$A$2:$A$5000,0))=INDEX(DB_malas!$B$2:$B$5000,MATCH(K870,DB_malas!$A$2:$A$5000,0)),"✔",tulkojums!$A$38),tulkojums!$A$39),tulkojums!$A$39))</f>
        <v/>
      </c>
      <c r="T870" s="2"/>
      <c r="U870" s="2"/>
      <c r="V870" s="2"/>
      <c r="W870" s="2"/>
      <c r="X870" s="2"/>
      <c r="Y870" s="2"/>
      <c r="Z870" s="2"/>
    </row>
    <row r="871" spans="1:26" ht="15.75" customHeight="1">
      <c r="A871" s="17"/>
      <c r="B871" s="18"/>
      <c r="C871" s="19"/>
      <c r="D871" s="55"/>
      <c r="E871" s="55"/>
      <c r="F871" s="56"/>
      <c r="G871" s="57" t="str">
        <f>IF(ISBLANK(C871),"",
   IFERROR(
      IF(
         INDEX(DB_materiali!C$2:C$5000,
               MATCH(C871, DB_materiali!A$2:A$5000, 0)
         )="FALSE",
         "N",
         "Y"
      ),
   "")
)</f>
        <v/>
      </c>
      <c r="H871" s="20"/>
      <c r="I871" s="20"/>
      <c r="J871" s="20"/>
      <c r="K871" s="20"/>
      <c r="M871" s="2" t="str">
        <f>IF(ISBLANK(C871),"",IF(IFERROR(VLOOKUP(C871,DB_materiali!$A$2:$A$5000,1,FALSE),"Kļūda artikulā")=C871,"✔",tulkojums!A$42))</f>
        <v/>
      </c>
      <c r="N871" s="2" t="str">
        <f>IF(ISBLANK(C871),"",IF(ISNUMBER(F871)=TRUE,"✔",tulkojums!A$43))</f>
        <v/>
      </c>
      <c r="O871" s="2" t="str">
        <f>IF(ISBLANK(C871),"",IF(G871="Y","✔",IF(G871="X","✔",IF(G871="N","✔",tulkojums!A$44))))</f>
        <v/>
      </c>
      <c r="P871" s="2" t="str">
        <f>IF(ISBLANK(H871),"",IF(INDEX(DB_materiali!$E$2:$E$5000,MATCH($C871,DB_materiali!$A$2:$A$5000,0))&gt;=INDEX(DB_malas!$C$2:$C$5000,MATCH(H871,DB_malas!$A$2:$A$5000,0)),IF(INDEX(DB_materiali!$E$2:$E$5000,MATCH($C871,DB_materiali!$A$2:$A$5000,0))&lt;=INDEX(DB_malas!$D$2:$D$5000,MATCH(H871,DB_malas!$A$2:$A$5000,0)),IF(OR(INDEX(DB_materiali!$B$2:$B$5000,MATCH($C871,DB_materiali!$A$2:$A$5000,0))=INDEX(DB_malas!$B$2:$B$5000,MATCH(H871,DB_malas!$A$2:$A$5000,0)),$H871="ORG"),"✔",tulkojums!$A$38),tulkojums!$A$39),tulkojums!$A$39))</f>
        <v/>
      </c>
      <c r="Q871" s="2" t="str">
        <f>IF(ISBLANK(I871),"",IF(INDEX(DB_materiali!$E$2:$E$5000,MATCH($C871,DB_materiali!$A$2:$A$5000,0))&gt;=INDEX(DB_malas!$C$2:$C$5000,MATCH(I871,DB_malas!$A$2:$A$5000,0)),IF(INDEX(DB_materiali!$E$2:$E$5000,MATCH($C871,DB_materiali!$A$2:$A$5000,0))&lt;=INDEX(DB_malas!$D$2:$D$5000,MATCH(I871,DB_malas!$A$2:$A$5000,0)),IF(OR(INDEX(DB_materiali!$B$2:$B$5000,MATCH($C871,DB_materiali!$A$2:$A$5000,0))=INDEX(DB_malas!$B$2:$B$5000,MATCH(I871,DB_malas!$A$2:$A$5000,0)),$H871="ORG"),"✔",tulkojums!$A$38),tulkojums!$A$39),tulkojums!$A$39))</f>
        <v/>
      </c>
      <c r="R871" s="2" t="str">
        <f>IF(ISBLANK(J871),"",IF(INDEX(DB_materiali!$E$2:$E$5000,MATCH($C871,DB_materiali!$A$2:$A$5000,0))&gt;=INDEX(DB_malas!$C$2:$C$5000,MATCH(J871,DB_malas!$A$2:$A$5000,0)),IF(INDEX(DB_materiali!$E$2:$E$5000,MATCH($C871,DB_materiali!$A$2:$A$5000,0))&lt;=INDEX(DB_malas!$D$2:$D$5000,MATCH(J871,DB_malas!$A$2:$A$5000,0)),IF(INDEX(DB_materiali!$B$2:$B$5000,MATCH($C871,DB_materiali!$A$2:$A$5000,0))=INDEX(DB_malas!$B$2:$B$5000,MATCH(J871,DB_malas!$A$2:$A$5000,0)),"✔",tulkojums!$A$38),tulkojums!$A$39),tulkojums!$A$39))</f>
        <v/>
      </c>
      <c r="S871" s="2" t="str">
        <f>IF(ISBLANK(K871),"",IF(INDEX(DB_materiali!$E$2:$E$5000,MATCH($C871,DB_materiali!$A$2:$A$5000,0))&gt;=INDEX(DB_malas!$C$2:$C$5000,MATCH(K871,DB_malas!$A$2:$A$5000,0)),IF(INDEX(DB_materiali!$E$2:$E$5000,MATCH($C871,DB_materiali!$A$2:$A$5000,0))&lt;=INDEX(DB_malas!$D$2:$D$5000,MATCH(K871,DB_malas!$A$2:$A$5000,0)),IF(INDEX(DB_materiali!$B$2:$B$5000,MATCH($C871,DB_materiali!$A$2:$A$5000,0))=INDEX(DB_malas!$B$2:$B$5000,MATCH(K871,DB_malas!$A$2:$A$5000,0)),"✔",tulkojums!$A$38),tulkojums!$A$39),tulkojums!$A$39))</f>
        <v/>
      </c>
      <c r="T871" s="2"/>
      <c r="U871" s="2"/>
      <c r="V871" s="2"/>
      <c r="W871" s="2"/>
      <c r="X871" s="2"/>
      <c r="Y871" s="2"/>
      <c r="Z871" s="2"/>
    </row>
    <row r="872" spans="1:26" ht="15.75" customHeight="1">
      <c r="A872" s="17"/>
      <c r="B872" s="18"/>
      <c r="C872" s="19"/>
      <c r="D872" s="55"/>
      <c r="E872" s="55"/>
      <c r="F872" s="56"/>
      <c r="G872" s="57" t="str">
        <f>IF(ISBLANK(C872),"",
   IFERROR(
      IF(
         INDEX(DB_materiali!C$2:C$5000,
               MATCH(C872, DB_materiali!A$2:A$5000, 0)
         )="FALSE",
         "N",
         "Y"
      ),
   "")
)</f>
        <v/>
      </c>
      <c r="H872" s="20"/>
      <c r="I872" s="20"/>
      <c r="J872" s="20"/>
      <c r="K872" s="20"/>
      <c r="M872" s="2" t="str">
        <f>IF(ISBLANK(C872),"",IF(IFERROR(VLOOKUP(C872,DB_materiali!$A$2:$A$5000,1,FALSE),"Kļūda artikulā")=C872,"✔",tulkojums!A$42))</f>
        <v/>
      </c>
      <c r="N872" s="2" t="str">
        <f>IF(ISBLANK(C872),"",IF(ISNUMBER(F872)=TRUE,"✔",tulkojums!A$43))</f>
        <v/>
      </c>
      <c r="O872" s="2" t="str">
        <f>IF(ISBLANK(C872),"",IF(G872="Y","✔",IF(G872="X","✔",IF(G872="N","✔",tulkojums!A$44))))</f>
        <v/>
      </c>
      <c r="P872" s="2" t="str">
        <f>IF(ISBLANK(H872),"",IF(INDEX(DB_materiali!$E$2:$E$5000,MATCH($C872,DB_materiali!$A$2:$A$5000,0))&gt;=INDEX(DB_malas!$C$2:$C$5000,MATCH(H872,DB_malas!$A$2:$A$5000,0)),IF(INDEX(DB_materiali!$E$2:$E$5000,MATCH($C872,DB_materiali!$A$2:$A$5000,0))&lt;=INDEX(DB_malas!$D$2:$D$5000,MATCH(H872,DB_malas!$A$2:$A$5000,0)),IF(OR(INDEX(DB_materiali!$B$2:$B$5000,MATCH($C872,DB_materiali!$A$2:$A$5000,0))=INDEX(DB_malas!$B$2:$B$5000,MATCH(H872,DB_malas!$A$2:$A$5000,0)),$H872="ORG"),"✔",tulkojums!$A$38),tulkojums!$A$39),tulkojums!$A$39))</f>
        <v/>
      </c>
      <c r="Q872" s="2" t="str">
        <f>IF(ISBLANK(I872),"",IF(INDEX(DB_materiali!$E$2:$E$5000,MATCH($C872,DB_materiali!$A$2:$A$5000,0))&gt;=INDEX(DB_malas!$C$2:$C$5000,MATCH(I872,DB_malas!$A$2:$A$5000,0)),IF(INDEX(DB_materiali!$E$2:$E$5000,MATCH($C872,DB_materiali!$A$2:$A$5000,0))&lt;=INDEX(DB_malas!$D$2:$D$5000,MATCH(I872,DB_malas!$A$2:$A$5000,0)),IF(OR(INDEX(DB_materiali!$B$2:$B$5000,MATCH($C872,DB_materiali!$A$2:$A$5000,0))=INDEX(DB_malas!$B$2:$B$5000,MATCH(I872,DB_malas!$A$2:$A$5000,0)),$H872="ORG"),"✔",tulkojums!$A$38),tulkojums!$A$39),tulkojums!$A$39))</f>
        <v/>
      </c>
      <c r="R872" s="2" t="str">
        <f>IF(ISBLANK(J872),"",IF(INDEX(DB_materiali!$E$2:$E$5000,MATCH($C872,DB_materiali!$A$2:$A$5000,0))&gt;=INDEX(DB_malas!$C$2:$C$5000,MATCH(J872,DB_malas!$A$2:$A$5000,0)),IF(INDEX(DB_materiali!$E$2:$E$5000,MATCH($C872,DB_materiali!$A$2:$A$5000,0))&lt;=INDEX(DB_malas!$D$2:$D$5000,MATCH(J872,DB_malas!$A$2:$A$5000,0)),IF(INDEX(DB_materiali!$B$2:$B$5000,MATCH($C872,DB_materiali!$A$2:$A$5000,0))=INDEX(DB_malas!$B$2:$B$5000,MATCH(J872,DB_malas!$A$2:$A$5000,0)),"✔",tulkojums!$A$38),tulkojums!$A$39),tulkojums!$A$39))</f>
        <v/>
      </c>
      <c r="S872" s="2" t="str">
        <f>IF(ISBLANK(K872),"",IF(INDEX(DB_materiali!$E$2:$E$5000,MATCH($C872,DB_materiali!$A$2:$A$5000,0))&gt;=INDEX(DB_malas!$C$2:$C$5000,MATCH(K872,DB_malas!$A$2:$A$5000,0)),IF(INDEX(DB_materiali!$E$2:$E$5000,MATCH($C872,DB_materiali!$A$2:$A$5000,0))&lt;=INDEX(DB_malas!$D$2:$D$5000,MATCH(K872,DB_malas!$A$2:$A$5000,0)),IF(INDEX(DB_materiali!$B$2:$B$5000,MATCH($C872,DB_materiali!$A$2:$A$5000,0))=INDEX(DB_malas!$B$2:$B$5000,MATCH(K872,DB_malas!$A$2:$A$5000,0)),"✔",tulkojums!$A$38),tulkojums!$A$39),tulkojums!$A$39))</f>
        <v/>
      </c>
      <c r="T872" s="2"/>
      <c r="U872" s="2"/>
      <c r="V872" s="2"/>
      <c r="W872" s="2"/>
      <c r="X872" s="2"/>
      <c r="Y872" s="2"/>
      <c r="Z872" s="2"/>
    </row>
    <row r="873" spans="1:26" ht="15.75" customHeight="1">
      <c r="A873" s="17"/>
      <c r="B873" s="18"/>
      <c r="C873" s="19"/>
      <c r="D873" s="55"/>
      <c r="E873" s="55"/>
      <c r="F873" s="56"/>
      <c r="G873" s="57" t="str">
        <f>IF(ISBLANK(C873),"",
   IFERROR(
      IF(
         INDEX(DB_materiali!C$2:C$5000,
               MATCH(C873, DB_materiali!A$2:A$5000, 0)
         )="FALSE",
         "N",
         "Y"
      ),
   "")
)</f>
        <v/>
      </c>
      <c r="H873" s="20"/>
      <c r="I873" s="20"/>
      <c r="J873" s="20"/>
      <c r="K873" s="20"/>
      <c r="M873" s="2" t="str">
        <f>IF(ISBLANK(C873),"",IF(IFERROR(VLOOKUP(C873,DB_materiali!$A$2:$A$5000,1,FALSE),"Kļūda artikulā")=C873,"✔",tulkojums!A$42))</f>
        <v/>
      </c>
      <c r="N873" s="2" t="str">
        <f>IF(ISBLANK(C873),"",IF(ISNUMBER(F873)=TRUE,"✔",tulkojums!A$43))</f>
        <v/>
      </c>
      <c r="O873" s="2" t="str">
        <f>IF(ISBLANK(C873),"",IF(G873="Y","✔",IF(G873="X","✔",IF(G873="N","✔",tulkojums!A$44))))</f>
        <v/>
      </c>
      <c r="P873" s="2" t="str">
        <f>IF(ISBLANK(H873),"",IF(INDEX(DB_materiali!$E$2:$E$5000,MATCH($C873,DB_materiali!$A$2:$A$5000,0))&gt;=INDEX(DB_malas!$C$2:$C$5000,MATCH(H873,DB_malas!$A$2:$A$5000,0)),IF(INDEX(DB_materiali!$E$2:$E$5000,MATCH($C873,DB_materiali!$A$2:$A$5000,0))&lt;=INDEX(DB_malas!$D$2:$D$5000,MATCH(H873,DB_malas!$A$2:$A$5000,0)),IF(OR(INDEX(DB_materiali!$B$2:$B$5000,MATCH($C873,DB_materiali!$A$2:$A$5000,0))=INDEX(DB_malas!$B$2:$B$5000,MATCH(H873,DB_malas!$A$2:$A$5000,0)),$H873="ORG"),"✔",tulkojums!$A$38),tulkojums!$A$39),tulkojums!$A$39))</f>
        <v/>
      </c>
      <c r="Q873" s="2" t="str">
        <f>IF(ISBLANK(I873),"",IF(INDEX(DB_materiali!$E$2:$E$5000,MATCH($C873,DB_materiali!$A$2:$A$5000,0))&gt;=INDEX(DB_malas!$C$2:$C$5000,MATCH(I873,DB_malas!$A$2:$A$5000,0)),IF(INDEX(DB_materiali!$E$2:$E$5000,MATCH($C873,DB_materiali!$A$2:$A$5000,0))&lt;=INDEX(DB_malas!$D$2:$D$5000,MATCH(I873,DB_malas!$A$2:$A$5000,0)),IF(OR(INDEX(DB_materiali!$B$2:$B$5000,MATCH($C873,DB_materiali!$A$2:$A$5000,0))=INDEX(DB_malas!$B$2:$B$5000,MATCH(I873,DB_malas!$A$2:$A$5000,0)),$H873="ORG"),"✔",tulkojums!$A$38),tulkojums!$A$39),tulkojums!$A$39))</f>
        <v/>
      </c>
      <c r="R873" s="2" t="str">
        <f>IF(ISBLANK(J873),"",IF(INDEX(DB_materiali!$E$2:$E$5000,MATCH($C873,DB_materiali!$A$2:$A$5000,0))&gt;=INDEX(DB_malas!$C$2:$C$5000,MATCH(J873,DB_malas!$A$2:$A$5000,0)),IF(INDEX(DB_materiali!$E$2:$E$5000,MATCH($C873,DB_materiali!$A$2:$A$5000,0))&lt;=INDEX(DB_malas!$D$2:$D$5000,MATCH(J873,DB_malas!$A$2:$A$5000,0)),IF(INDEX(DB_materiali!$B$2:$B$5000,MATCH($C873,DB_materiali!$A$2:$A$5000,0))=INDEX(DB_malas!$B$2:$B$5000,MATCH(J873,DB_malas!$A$2:$A$5000,0)),"✔",tulkojums!$A$38),tulkojums!$A$39),tulkojums!$A$39))</f>
        <v/>
      </c>
      <c r="S873" s="2" t="str">
        <f>IF(ISBLANK(K873),"",IF(INDEX(DB_materiali!$E$2:$E$5000,MATCH($C873,DB_materiali!$A$2:$A$5000,0))&gt;=INDEX(DB_malas!$C$2:$C$5000,MATCH(K873,DB_malas!$A$2:$A$5000,0)),IF(INDEX(DB_materiali!$E$2:$E$5000,MATCH($C873,DB_materiali!$A$2:$A$5000,0))&lt;=INDEX(DB_malas!$D$2:$D$5000,MATCH(K873,DB_malas!$A$2:$A$5000,0)),IF(INDEX(DB_materiali!$B$2:$B$5000,MATCH($C873,DB_materiali!$A$2:$A$5000,0))=INDEX(DB_malas!$B$2:$B$5000,MATCH(K873,DB_malas!$A$2:$A$5000,0)),"✔",tulkojums!$A$38),tulkojums!$A$39),tulkojums!$A$39))</f>
        <v/>
      </c>
      <c r="T873" s="2"/>
      <c r="U873" s="2"/>
      <c r="V873" s="2"/>
      <c r="W873" s="2"/>
      <c r="X873" s="2"/>
      <c r="Y873" s="2"/>
      <c r="Z873" s="2"/>
    </row>
    <row r="874" spans="1:26" ht="15.75" customHeight="1">
      <c r="A874" s="17"/>
      <c r="B874" s="18"/>
      <c r="C874" s="19"/>
      <c r="D874" s="55"/>
      <c r="E874" s="55"/>
      <c r="F874" s="56"/>
      <c r="G874" s="57" t="str">
        <f>IF(ISBLANK(C874),"",
   IFERROR(
      IF(
         INDEX(DB_materiali!C$2:C$5000,
               MATCH(C874, DB_materiali!A$2:A$5000, 0)
         )="FALSE",
         "N",
         "Y"
      ),
   "")
)</f>
        <v/>
      </c>
      <c r="H874" s="20"/>
      <c r="I874" s="20"/>
      <c r="J874" s="20"/>
      <c r="K874" s="20"/>
      <c r="M874" s="2" t="str">
        <f>IF(ISBLANK(C874),"",IF(IFERROR(VLOOKUP(C874,DB_materiali!$A$2:$A$5000,1,FALSE),"Kļūda artikulā")=C874,"✔",tulkojums!A$42))</f>
        <v/>
      </c>
      <c r="N874" s="2" t="str">
        <f>IF(ISBLANK(C874),"",IF(ISNUMBER(F874)=TRUE,"✔",tulkojums!A$43))</f>
        <v/>
      </c>
      <c r="O874" s="2" t="str">
        <f>IF(ISBLANK(C874),"",IF(G874="Y","✔",IF(G874="X","✔",IF(G874="N","✔",tulkojums!A$44))))</f>
        <v/>
      </c>
      <c r="P874" s="2" t="str">
        <f>IF(ISBLANK(H874),"",IF(INDEX(DB_materiali!$E$2:$E$5000,MATCH($C874,DB_materiali!$A$2:$A$5000,0))&gt;=INDEX(DB_malas!$C$2:$C$5000,MATCH(H874,DB_malas!$A$2:$A$5000,0)),IF(INDEX(DB_materiali!$E$2:$E$5000,MATCH($C874,DB_materiali!$A$2:$A$5000,0))&lt;=INDEX(DB_malas!$D$2:$D$5000,MATCH(H874,DB_malas!$A$2:$A$5000,0)),IF(OR(INDEX(DB_materiali!$B$2:$B$5000,MATCH($C874,DB_materiali!$A$2:$A$5000,0))=INDEX(DB_malas!$B$2:$B$5000,MATCH(H874,DB_malas!$A$2:$A$5000,0)),$H874="ORG"),"✔",tulkojums!$A$38),tulkojums!$A$39),tulkojums!$A$39))</f>
        <v/>
      </c>
      <c r="Q874" s="2" t="str">
        <f>IF(ISBLANK(I874),"",IF(INDEX(DB_materiali!$E$2:$E$5000,MATCH($C874,DB_materiali!$A$2:$A$5000,0))&gt;=INDEX(DB_malas!$C$2:$C$5000,MATCH(I874,DB_malas!$A$2:$A$5000,0)),IF(INDEX(DB_materiali!$E$2:$E$5000,MATCH($C874,DB_materiali!$A$2:$A$5000,0))&lt;=INDEX(DB_malas!$D$2:$D$5000,MATCH(I874,DB_malas!$A$2:$A$5000,0)),IF(OR(INDEX(DB_materiali!$B$2:$B$5000,MATCH($C874,DB_materiali!$A$2:$A$5000,0))=INDEX(DB_malas!$B$2:$B$5000,MATCH(I874,DB_malas!$A$2:$A$5000,0)),$H874="ORG"),"✔",tulkojums!$A$38),tulkojums!$A$39),tulkojums!$A$39))</f>
        <v/>
      </c>
      <c r="R874" s="2" t="str">
        <f>IF(ISBLANK(J874),"",IF(INDEX(DB_materiali!$E$2:$E$5000,MATCH($C874,DB_materiali!$A$2:$A$5000,0))&gt;=INDEX(DB_malas!$C$2:$C$5000,MATCH(J874,DB_malas!$A$2:$A$5000,0)),IF(INDEX(DB_materiali!$E$2:$E$5000,MATCH($C874,DB_materiali!$A$2:$A$5000,0))&lt;=INDEX(DB_malas!$D$2:$D$5000,MATCH(J874,DB_malas!$A$2:$A$5000,0)),IF(INDEX(DB_materiali!$B$2:$B$5000,MATCH($C874,DB_materiali!$A$2:$A$5000,0))=INDEX(DB_malas!$B$2:$B$5000,MATCH(J874,DB_malas!$A$2:$A$5000,0)),"✔",tulkojums!$A$38),tulkojums!$A$39),tulkojums!$A$39))</f>
        <v/>
      </c>
      <c r="S874" s="2" t="str">
        <f>IF(ISBLANK(K874),"",IF(INDEX(DB_materiali!$E$2:$E$5000,MATCH($C874,DB_materiali!$A$2:$A$5000,0))&gt;=INDEX(DB_malas!$C$2:$C$5000,MATCH(K874,DB_malas!$A$2:$A$5000,0)),IF(INDEX(DB_materiali!$E$2:$E$5000,MATCH($C874,DB_materiali!$A$2:$A$5000,0))&lt;=INDEX(DB_malas!$D$2:$D$5000,MATCH(K874,DB_malas!$A$2:$A$5000,0)),IF(INDEX(DB_materiali!$B$2:$B$5000,MATCH($C874,DB_materiali!$A$2:$A$5000,0))=INDEX(DB_malas!$B$2:$B$5000,MATCH(K874,DB_malas!$A$2:$A$5000,0)),"✔",tulkojums!$A$38),tulkojums!$A$39),tulkojums!$A$39))</f>
        <v/>
      </c>
      <c r="T874" s="2"/>
      <c r="U874" s="2"/>
      <c r="V874" s="2"/>
      <c r="W874" s="2"/>
      <c r="X874" s="2"/>
      <c r="Y874" s="2"/>
      <c r="Z874" s="2"/>
    </row>
    <row r="875" spans="1:26" ht="15.75" customHeight="1">
      <c r="A875" s="17"/>
      <c r="B875" s="18"/>
      <c r="C875" s="19"/>
      <c r="D875" s="55"/>
      <c r="E875" s="55"/>
      <c r="F875" s="56"/>
      <c r="G875" s="57" t="str">
        <f>IF(ISBLANK(C875),"",
   IFERROR(
      IF(
         INDEX(DB_materiali!C$2:C$5000,
               MATCH(C875, DB_materiali!A$2:A$5000, 0)
         )="FALSE",
         "N",
         "Y"
      ),
   "")
)</f>
        <v/>
      </c>
      <c r="H875" s="20"/>
      <c r="I875" s="20"/>
      <c r="J875" s="20"/>
      <c r="K875" s="20"/>
      <c r="M875" s="2" t="str">
        <f>IF(ISBLANK(C875),"",IF(IFERROR(VLOOKUP(C875,DB_materiali!$A$2:$A$5000,1,FALSE),"Kļūda artikulā")=C875,"✔",tulkojums!A$42))</f>
        <v/>
      </c>
      <c r="N875" s="2" t="str">
        <f>IF(ISBLANK(C875),"",IF(ISNUMBER(F875)=TRUE,"✔",tulkojums!A$43))</f>
        <v/>
      </c>
      <c r="O875" s="2" t="str">
        <f>IF(ISBLANK(C875),"",IF(G875="Y","✔",IF(G875="X","✔",IF(G875="N","✔",tulkojums!A$44))))</f>
        <v/>
      </c>
      <c r="P875" s="2" t="str">
        <f>IF(ISBLANK(H875),"",IF(INDEX(DB_materiali!$E$2:$E$5000,MATCH($C875,DB_materiali!$A$2:$A$5000,0))&gt;=INDEX(DB_malas!$C$2:$C$5000,MATCH(H875,DB_malas!$A$2:$A$5000,0)),IF(INDEX(DB_materiali!$E$2:$E$5000,MATCH($C875,DB_materiali!$A$2:$A$5000,0))&lt;=INDEX(DB_malas!$D$2:$D$5000,MATCH(H875,DB_malas!$A$2:$A$5000,0)),IF(OR(INDEX(DB_materiali!$B$2:$B$5000,MATCH($C875,DB_materiali!$A$2:$A$5000,0))=INDEX(DB_malas!$B$2:$B$5000,MATCH(H875,DB_malas!$A$2:$A$5000,0)),$H875="ORG"),"✔",tulkojums!$A$38),tulkojums!$A$39),tulkojums!$A$39))</f>
        <v/>
      </c>
      <c r="Q875" s="2" t="str">
        <f>IF(ISBLANK(I875),"",IF(INDEX(DB_materiali!$E$2:$E$5000,MATCH($C875,DB_materiali!$A$2:$A$5000,0))&gt;=INDEX(DB_malas!$C$2:$C$5000,MATCH(I875,DB_malas!$A$2:$A$5000,0)),IF(INDEX(DB_materiali!$E$2:$E$5000,MATCH($C875,DB_materiali!$A$2:$A$5000,0))&lt;=INDEX(DB_malas!$D$2:$D$5000,MATCH(I875,DB_malas!$A$2:$A$5000,0)),IF(OR(INDEX(DB_materiali!$B$2:$B$5000,MATCH($C875,DB_materiali!$A$2:$A$5000,0))=INDEX(DB_malas!$B$2:$B$5000,MATCH(I875,DB_malas!$A$2:$A$5000,0)),$H875="ORG"),"✔",tulkojums!$A$38),tulkojums!$A$39),tulkojums!$A$39))</f>
        <v/>
      </c>
      <c r="R875" s="2" t="str">
        <f>IF(ISBLANK(J875),"",IF(INDEX(DB_materiali!$E$2:$E$5000,MATCH($C875,DB_materiali!$A$2:$A$5000,0))&gt;=INDEX(DB_malas!$C$2:$C$5000,MATCH(J875,DB_malas!$A$2:$A$5000,0)),IF(INDEX(DB_materiali!$E$2:$E$5000,MATCH($C875,DB_materiali!$A$2:$A$5000,0))&lt;=INDEX(DB_malas!$D$2:$D$5000,MATCH(J875,DB_malas!$A$2:$A$5000,0)),IF(INDEX(DB_materiali!$B$2:$B$5000,MATCH($C875,DB_materiali!$A$2:$A$5000,0))=INDEX(DB_malas!$B$2:$B$5000,MATCH(J875,DB_malas!$A$2:$A$5000,0)),"✔",tulkojums!$A$38),tulkojums!$A$39),tulkojums!$A$39))</f>
        <v/>
      </c>
      <c r="S875" s="2" t="str">
        <f>IF(ISBLANK(K875),"",IF(INDEX(DB_materiali!$E$2:$E$5000,MATCH($C875,DB_materiali!$A$2:$A$5000,0))&gt;=INDEX(DB_malas!$C$2:$C$5000,MATCH(K875,DB_malas!$A$2:$A$5000,0)),IF(INDEX(DB_materiali!$E$2:$E$5000,MATCH($C875,DB_materiali!$A$2:$A$5000,0))&lt;=INDEX(DB_malas!$D$2:$D$5000,MATCH(K875,DB_malas!$A$2:$A$5000,0)),IF(INDEX(DB_materiali!$B$2:$B$5000,MATCH($C875,DB_materiali!$A$2:$A$5000,0))=INDEX(DB_malas!$B$2:$B$5000,MATCH(K875,DB_malas!$A$2:$A$5000,0)),"✔",tulkojums!$A$38),tulkojums!$A$39),tulkojums!$A$39))</f>
        <v/>
      </c>
      <c r="T875" s="2"/>
      <c r="U875" s="2"/>
      <c r="V875" s="2"/>
      <c r="W875" s="2"/>
      <c r="X875" s="2"/>
      <c r="Y875" s="2"/>
      <c r="Z875" s="2"/>
    </row>
    <row r="876" spans="1:26" ht="15.75" customHeight="1">
      <c r="A876" s="17"/>
      <c r="B876" s="18"/>
      <c r="C876" s="19"/>
      <c r="D876" s="55"/>
      <c r="E876" s="55"/>
      <c r="F876" s="56"/>
      <c r="G876" s="57" t="str">
        <f>IF(ISBLANK(C876),"",
   IFERROR(
      IF(
         INDEX(DB_materiali!C$2:C$5000,
               MATCH(C876, DB_materiali!A$2:A$5000, 0)
         )="FALSE",
         "N",
         "Y"
      ),
   "")
)</f>
        <v/>
      </c>
      <c r="H876" s="20"/>
      <c r="I876" s="20"/>
      <c r="J876" s="20"/>
      <c r="K876" s="20"/>
      <c r="M876" s="2" t="str">
        <f>IF(ISBLANK(C876),"",IF(IFERROR(VLOOKUP(C876,DB_materiali!$A$2:$A$5000,1,FALSE),"Kļūda artikulā")=C876,"✔",tulkojums!A$42))</f>
        <v/>
      </c>
      <c r="N876" s="2" t="str">
        <f>IF(ISBLANK(C876),"",IF(ISNUMBER(F876)=TRUE,"✔",tulkojums!A$43))</f>
        <v/>
      </c>
      <c r="O876" s="2" t="str">
        <f>IF(ISBLANK(C876),"",IF(G876="Y","✔",IF(G876="X","✔",IF(G876="N","✔",tulkojums!A$44))))</f>
        <v/>
      </c>
      <c r="P876" s="2" t="str">
        <f>IF(ISBLANK(H876),"",IF(INDEX(DB_materiali!$E$2:$E$5000,MATCH($C876,DB_materiali!$A$2:$A$5000,0))&gt;=INDEX(DB_malas!$C$2:$C$5000,MATCH(H876,DB_malas!$A$2:$A$5000,0)),IF(INDEX(DB_materiali!$E$2:$E$5000,MATCH($C876,DB_materiali!$A$2:$A$5000,0))&lt;=INDEX(DB_malas!$D$2:$D$5000,MATCH(H876,DB_malas!$A$2:$A$5000,0)),IF(OR(INDEX(DB_materiali!$B$2:$B$5000,MATCH($C876,DB_materiali!$A$2:$A$5000,0))=INDEX(DB_malas!$B$2:$B$5000,MATCH(H876,DB_malas!$A$2:$A$5000,0)),$H876="ORG"),"✔",tulkojums!$A$38),tulkojums!$A$39),tulkojums!$A$39))</f>
        <v/>
      </c>
      <c r="Q876" s="2" t="str">
        <f>IF(ISBLANK(I876),"",IF(INDEX(DB_materiali!$E$2:$E$5000,MATCH($C876,DB_materiali!$A$2:$A$5000,0))&gt;=INDEX(DB_malas!$C$2:$C$5000,MATCH(I876,DB_malas!$A$2:$A$5000,0)),IF(INDEX(DB_materiali!$E$2:$E$5000,MATCH($C876,DB_materiali!$A$2:$A$5000,0))&lt;=INDEX(DB_malas!$D$2:$D$5000,MATCH(I876,DB_malas!$A$2:$A$5000,0)),IF(OR(INDEX(DB_materiali!$B$2:$B$5000,MATCH($C876,DB_materiali!$A$2:$A$5000,0))=INDEX(DB_malas!$B$2:$B$5000,MATCH(I876,DB_malas!$A$2:$A$5000,0)),$H876="ORG"),"✔",tulkojums!$A$38),tulkojums!$A$39),tulkojums!$A$39))</f>
        <v/>
      </c>
      <c r="R876" s="2" t="str">
        <f>IF(ISBLANK(J876),"",IF(INDEX(DB_materiali!$E$2:$E$5000,MATCH($C876,DB_materiali!$A$2:$A$5000,0))&gt;=INDEX(DB_malas!$C$2:$C$5000,MATCH(J876,DB_malas!$A$2:$A$5000,0)),IF(INDEX(DB_materiali!$E$2:$E$5000,MATCH($C876,DB_materiali!$A$2:$A$5000,0))&lt;=INDEX(DB_malas!$D$2:$D$5000,MATCH(J876,DB_malas!$A$2:$A$5000,0)),IF(INDEX(DB_materiali!$B$2:$B$5000,MATCH($C876,DB_materiali!$A$2:$A$5000,0))=INDEX(DB_malas!$B$2:$B$5000,MATCH(J876,DB_malas!$A$2:$A$5000,0)),"✔",tulkojums!$A$38),tulkojums!$A$39),tulkojums!$A$39))</f>
        <v/>
      </c>
      <c r="S876" s="2" t="str">
        <f>IF(ISBLANK(K876),"",IF(INDEX(DB_materiali!$E$2:$E$5000,MATCH($C876,DB_materiali!$A$2:$A$5000,0))&gt;=INDEX(DB_malas!$C$2:$C$5000,MATCH(K876,DB_malas!$A$2:$A$5000,0)),IF(INDEX(DB_materiali!$E$2:$E$5000,MATCH($C876,DB_materiali!$A$2:$A$5000,0))&lt;=INDEX(DB_malas!$D$2:$D$5000,MATCH(K876,DB_malas!$A$2:$A$5000,0)),IF(INDEX(DB_materiali!$B$2:$B$5000,MATCH($C876,DB_materiali!$A$2:$A$5000,0))=INDEX(DB_malas!$B$2:$B$5000,MATCH(K876,DB_malas!$A$2:$A$5000,0)),"✔",tulkojums!$A$38),tulkojums!$A$39),tulkojums!$A$39))</f>
        <v/>
      </c>
      <c r="T876" s="2"/>
      <c r="U876" s="2"/>
      <c r="V876" s="2"/>
      <c r="W876" s="2"/>
      <c r="X876" s="2"/>
      <c r="Y876" s="2"/>
      <c r="Z876" s="2"/>
    </row>
    <row r="877" spans="1:26" ht="15.75" customHeight="1">
      <c r="A877" s="17"/>
      <c r="B877" s="18"/>
      <c r="C877" s="19"/>
      <c r="D877" s="55"/>
      <c r="E877" s="55"/>
      <c r="F877" s="56"/>
      <c r="G877" s="57" t="str">
        <f>IF(ISBLANK(C877),"",
   IFERROR(
      IF(
         INDEX(DB_materiali!C$2:C$5000,
               MATCH(C877, DB_materiali!A$2:A$5000, 0)
         )="FALSE",
         "N",
         "Y"
      ),
   "")
)</f>
        <v/>
      </c>
      <c r="H877" s="20"/>
      <c r="I877" s="20"/>
      <c r="J877" s="20"/>
      <c r="K877" s="20"/>
      <c r="M877" s="2" t="str">
        <f>IF(ISBLANK(C877),"",IF(IFERROR(VLOOKUP(C877,DB_materiali!$A$2:$A$5000,1,FALSE),"Kļūda artikulā")=C877,"✔",tulkojums!A$42))</f>
        <v/>
      </c>
      <c r="N877" s="2" t="str">
        <f>IF(ISBLANK(C877),"",IF(ISNUMBER(F877)=TRUE,"✔",tulkojums!A$43))</f>
        <v/>
      </c>
      <c r="O877" s="2" t="str">
        <f>IF(ISBLANK(C877),"",IF(G877="Y","✔",IF(G877="X","✔",IF(G877="N","✔",tulkojums!A$44))))</f>
        <v/>
      </c>
      <c r="P877" s="2" t="str">
        <f>IF(ISBLANK(H877),"",IF(INDEX(DB_materiali!$E$2:$E$5000,MATCH($C877,DB_materiali!$A$2:$A$5000,0))&gt;=INDEX(DB_malas!$C$2:$C$5000,MATCH(H877,DB_malas!$A$2:$A$5000,0)),IF(INDEX(DB_materiali!$E$2:$E$5000,MATCH($C877,DB_materiali!$A$2:$A$5000,0))&lt;=INDEX(DB_malas!$D$2:$D$5000,MATCH(H877,DB_malas!$A$2:$A$5000,0)),IF(OR(INDEX(DB_materiali!$B$2:$B$5000,MATCH($C877,DB_materiali!$A$2:$A$5000,0))=INDEX(DB_malas!$B$2:$B$5000,MATCH(H877,DB_malas!$A$2:$A$5000,0)),$H877="ORG"),"✔",tulkojums!$A$38),tulkojums!$A$39),tulkojums!$A$39))</f>
        <v/>
      </c>
      <c r="Q877" s="2" t="str">
        <f>IF(ISBLANK(I877),"",IF(INDEX(DB_materiali!$E$2:$E$5000,MATCH($C877,DB_materiali!$A$2:$A$5000,0))&gt;=INDEX(DB_malas!$C$2:$C$5000,MATCH(I877,DB_malas!$A$2:$A$5000,0)),IF(INDEX(DB_materiali!$E$2:$E$5000,MATCH($C877,DB_materiali!$A$2:$A$5000,0))&lt;=INDEX(DB_malas!$D$2:$D$5000,MATCH(I877,DB_malas!$A$2:$A$5000,0)),IF(OR(INDEX(DB_materiali!$B$2:$B$5000,MATCH($C877,DB_materiali!$A$2:$A$5000,0))=INDEX(DB_malas!$B$2:$B$5000,MATCH(I877,DB_malas!$A$2:$A$5000,0)),$H877="ORG"),"✔",tulkojums!$A$38),tulkojums!$A$39),tulkojums!$A$39))</f>
        <v/>
      </c>
      <c r="R877" s="2" t="str">
        <f>IF(ISBLANK(J877),"",IF(INDEX(DB_materiali!$E$2:$E$5000,MATCH($C877,DB_materiali!$A$2:$A$5000,0))&gt;=INDEX(DB_malas!$C$2:$C$5000,MATCH(J877,DB_malas!$A$2:$A$5000,0)),IF(INDEX(DB_materiali!$E$2:$E$5000,MATCH($C877,DB_materiali!$A$2:$A$5000,0))&lt;=INDEX(DB_malas!$D$2:$D$5000,MATCH(J877,DB_malas!$A$2:$A$5000,0)),IF(INDEX(DB_materiali!$B$2:$B$5000,MATCH($C877,DB_materiali!$A$2:$A$5000,0))=INDEX(DB_malas!$B$2:$B$5000,MATCH(J877,DB_malas!$A$2:$A$5000,0)),"✔",tulkojums!$A$38),tulkojums!$A$39),tulkojums!$A$39))</f>
        <v/>
      </c>
      <c r="S877" s="2" t="str">
        <f>IF(ISBLANK(K877),"",IF(INDEX(DB_materiali!$E$2:$E$5000,MATCH($C877,DB_materiali!$A$2:$A$5000,0))&gt;=INDEX(DB_malas!$C$2:$C$5000,MATCH(K877,DB_malas!$A$2:$A$5000,0)),IF(INDEX(DB_materiali!$E$2:$E$5000,MATCH($C877,DB_materiali!$A$2:$A$5000,0))&lt;=INDEX(DB_malas!$D$2:$D$5000,MATCH(K877,DB_malas!$A$2:$A$5000,0)),IF(INDEX(DB_materiali!$B$2:$B$5000,MATCH($C877,DB_materiali!$A$2:$A$5000,0))=INDEX(DB_malas!$B$2:$B$5000,MATCH(K877,DB_malas!$A$2:$A$5000,0)),"✔",tulkojums!$A$38),tulkojums!$A$39),tulkojums!$A$39))</f>
        <v/>
      </c>
      <c r="T877" s="2"/>
      <c r="U877" s="2"/>
      <c r="V877" s="2"/>
      <c r="W877" s="2"/>
      <c r="X877" s="2"/>
      <c r="Y877" s="2"/>
      <c r="Z877" s="2"/>
    </row>
    <row r="878" spans="1:26" ht="15.75" customHeight="1">
      <c r="A878" s="17"/>
      <c r="B878" s="18"/>
      <c r="C878" s="19"/>
      <c r="D878" s="55"/>
      <c r="E878" s="55"/>
      <c r="F878" s="56"/>
      <c r="G878" s="57" t="str">
        <f>IF(ISBLANK(C878),"",
   IFERROR(
      IF(
         INDEX(DB_materiali!C$2:C$5000,
               MATCH(C878, DB_materiali!A$2:A$5000, 0)
         )="FALSE",
         "N",
         "Y"
      ),
   "")
)</f>
        <v/>
      </c>
      <c r="H878" s="20"/>
      <c r="I878" s="20"/>
      <c r="J878" s="20"/>
      <c r="K878" s="20"/>
      <c r="M878" s="2" t="str">
        <f>IF(ISBLANK(C878),"",IF(IFERROR(VLOOKUP(C878,DB_materiali!$A$2:$A$5000,1,FALSE),"Kļūda artikulā")=C878,"✔",tulkojums!A$42))</f>
        <v/>
      </c>
      <c r="N878" s="2" t="str">
        <f>IF(ISBLANK(C878),"",IF(ISNUMBER(F878)=TRUE,"✔",tulkojums!A$43))</f>
        <v/>
      </c>
      <c r="O878" s="2" t="str">
        <f>IF(ISBLANK(C878),"",IF(G878="Y","✔",IF(G878="X","✔",IF(G878="N","✔",tulkojums!A$44))))</f>
        <v/>
      </c>
      <c r="P878" s="2" t="str">
        <f>IF(ISBLANK(H878),"",IF(INDEX(DB_materiali!$E$2:$E$5000,MATCH($C878,DB_materiali!$A$2:$A$5000,0))&gt;=INDEX(DB_malas!$C$2:$C$5000,MATCH(H878,DB_malas!$A$2:$A$5000,0)),IF(INDEX(DB_materiali!$E$2:$E$5000,MATCH($C878,DB_materiali!$A$2:$A$5000,0))&lt;=INDEX(DB_malas!$D$2:$D$5000,MATCH(H878,DB_malas!$A$2:$A$5000,0)),IF(OR(INDEX(DB_materiali!$B$2:$B$5000,MATCH($C878,DB_materiali!$A$2:$A$5000,0))=INDEX(DB_malas!$B$2:$B$5000,MATCH(H878,DB_malas!$A$2:$A$5000,0)),$H878="ORG"),"✔",tulkojums!$A$38),tulkojums!$A$39),tulkojums!$A$39))</f>
        <v/>
      </c>
      <c r="Q878" s="2" t="str">
        <f>IF(ISBLANK(I878),"",IF(INDEX(DB_materiali!$E$2:$E$5000,MATCH($C878,DB_materiali!$A$2:$A$5000,0))&gt;=INDEX(DB_malas!$C$2:$C$5000,MATCH(I878,DB_malas!$A$2:$A$5000,0)),IF(INDEX(DB_materiali!$E$2:$E$5000,MATCH($C878,DB_materiali!$A$2:$A$5000,0))&lt;=INDEX(DB_malas!$D$2:$D$5000,MATCH(I878,DB_malas!$A$2:$A$5000,0)),IF(OR(INDEX(DB_materiali!$B$2:$B$5000,MATCH($C878,DB_materiali!$A$2:$A$5000,0))=INDEX(DB_malas!$B$2:$B$5000,MATCH(I878,DB_malas!$A$2:$A$5000,0)),$H878="ORG"),"✔",tulkojums!$A$38),tulkojums!$A$39),tulkojums!$A$39))</f>
        <v/>
      </c>
      <c r="R878" s="2" t="str">
        <f>IF(ISBLANK(J878),"",IF(INDEX(DB_materiali!$E$2:$E$5000,MATCH($C878,DB_materiali!$A$2:$A$5000,0))&gt;=INDEX(DB_malas!$C$2:$C$5000,MATCH(J878,DB_malas!$A$2:$A$5000,0)),IF(INDEX(DB_materiali!$E$2:$E$5000,MATCH($C878,DB_materiali!$A$2:$A$5000,0))&lt;=INDEX(DB_malas!$D$2:$D$5000,MATCH(J878,DB_malas!$A$2:$A$5000,0)),IF(INDEX(DB_materiali!$B$2:$B$5000,MATCH($C878,DB_materiali!$A$2:$A$5000,0))=INDEX(DB_malas!$B$2:$B$5000,MATCH(J878,DB_malas!$A$2:$A$5000,0)),"✔",tulkojums!$A$38),tulkojums!$A$39),tulkojums!$A$39))</f>
        <v/>
      </c>
      <c r="S878" s="2" t="str">
        <f>IF(ISBLANK(K878),"",IF(INDEX(DB_materiali!$E$2:$E$5000,MATCH($C878,DB_materiali!$A$2:$A$5000,0))&gt;=INDEX(DB_malas!$C$2:$C$5000,MATCH(K878,DB_malas!$A$2:$A$5000,0)),IF(INDEX(DB_materiali!$E$2:$E$5000,MATCH($C878,DB_materiali!$A$2:$A$5000,0))&lt;=INDEX(DB_malas!$D$2:$D$5000,MATCH(K878,DB_malas!$A$2:$A$5000,0)),IF(INDEX(DB_materiali!$B$2:$B$5000,MATCH($C878,DB_materiali!$A$2:$A$5000,0))=INDEX(DB_malas!$B$2:$B$5000,MATCH(K878,DB_malas!$A$2:$A$5000,0)),"✔",tulkojums!$A$38),tulkojums!$A$39),tulkojums!$A$39))</f>
        <v/>
      </c>
      <c r="T878" s="2"/>
      <c r="U878" s="2"/>
      <c r="V878" s="2"/>
      <c r="W878" s="2"/>
      <c r="X878" s="2"/>
      <c r="Y878" s="2"/>
      <c r="Z878" s="2"/>
    </row>
    <row r="879" spans="1:26" ht="15.75" customHeight="1">
      <c r="A879" s="17"/>
      <c r="B879" s="18"/>
      <c r="C879" s="19"/>
      <c r="D879" s="55"/>
      <c r="E879" s="55"/>
      <c r="F879" s="56"/>
      <c r="G879" s="57" t="str">
        <f>IF(ISBLANK(C879),"",
   IFERROR(
      IF(
         INDEX(DB_materiali!C$2:C$5000,
               MATCH(C879, DB_materiali!A$2:A$5000, 0)
         )="FALSE",
         "N",
         "Y"
      ),
   "")
)</f>
        <v/>
      </c>
      <c r="H879" s="20"/>
      <c r="I879" s="20"/>
      <c r="J879" s="20"/>
      <c r="K879" s="20"/>
      <c r="M879" s="2" t="str">
        <f>IF(ISBLANK(C879),"",IF(IFERROR(VLOOKUP(C879,DB_materiali!$A$2:$A$5000,1,FALSE),"Kļūda artikulā")=C879,"✔",tulkojums!A$42))</f>
        <v/>
      </c>
      <c r="N879" s="2" t="str">
        <f>IF(ISBLANK(C879),"",IF(ISNUMBER(F879)=TRUE,"✔",tulkojums!A$43))</f>
        <v/>
      </c>
      <c r="O879" s="2" t="str">
        <f>IF(ISBLANK(C879),"",IF(G879="Y","✔",IF(G879="X","✔",IF(G879="N","✔",tulkojums!A$44))))</f>
        <v/>
      </c>
      <c r="P879" s="2" t="str">
        <f>IF(ISBLANK(H879),"",IF(INDEX(DB_materiali!$E$2:$E$5000,MATCH($C879,DB_materiali!$A$2:$A$5000,0))&gt;=INDEX(DB_malas!$C$2:$C$5000,MATCH(H879,DB_malas!$A$2:$A$5000,0)),IF(INDEX(DB_materiali!$E$2:$E$5000,MATCH($C879,DB_materiali!$A$2:$A$5000,0))&lt;=INDEX(DB_malas!$D$2:$D$5000,MATCH(H879,DB_malas!$A$2:$A$5000,0)),IF(OR(INDEX(DB_materiali!$B$2:$B$5000,MATCH($C879,DB_materiali!$A$2:$A$5000,0))=INDEX(DB_malas!$B$2:$B$5000,MATCH(H879,DB_malas!$A$2:$A$5000,0)),$H879="ORG"),"✔",tulkojums!$A$38),tulkojums!$A$39),tulkojums!$A$39))</f>
        <v/>
      </c>
      <c r="Q879" s="2" t="str">
        <f>IF(ISBLANK(I879),"",IF(INDEX(DB_materiali!$E$2:$E$5000,MATCH($C879,DB_materiali!$A$2:$A$5000,0))&gt;=INDEX(DB_malas!$C$2:$C$5000,MATCH(I879,DB_malas!$A$2:$A$5000,0)),IF(INDEX(DB_materiali!$E$2:$E$5000,MATCH($C879,DB_materiali!$A$2:$A$5000,0))&lt;=INDEX(DB_malas!$D$2:$D$5000,MATCH(I879,DB_malas!$A$2:$A$5000,0)),IF(OR(INDEX(DB_materiali!$B$2:$B$5000,MATCH($C879,DB_materiali!$A$2:$A$5000,0))=INDEX(DB_malas!$B$2:$B$5000,MATCH(I879,DB_malas!$A$2:$A$5000,0)),$H879="ORG"),"✔",tulkojums!$A$38),tulkojums!$A$39),tulkojums!$A$39))</f>
        <v/>
      </c>
      <c r="R879" s="2" t="str">
        <f>IF(ISBLANK(J879),"",IF(INDEX(DB_materiali!$E$2:$E$5000,MATCH($C879,DB_materiali!$A$2:$A$5000,0))&gt;=INDEX(DB_malas!$C$2:$C$5000,MATCH(J879,DB_malas!$A$2:$A$5000,0)),IF(INDEX(DB_materiali!$E$2:$E$5000,MATCH($C879,DB_materiali!$A$2:$A$5000,0))&lt;=INDEX(DB_malas!$D$2:$D$5000,MATCH(J879,DB_malas!$A$2:$A$5000,0)),IF(INDEX(DB_materiali!$B$2:$B$5000,MATCH($C879,DB_materiali!$A$2:$A$5000,0))=INDEX(DB_malas!$B$2:$B$5000,MATCH(J879,DB_malas!$A$2:$A$5000,0)),"✔",tulkojums!$A$38),tulkojums!$A$39),tulkojums!$A$39))</f>
        <v/>
      </c>
      <c r="S879" s="2" t="str">
        <f>IF(ISBLANK(K879),"",IF(INDEX(DB_materiali!$E$2:$E$5000,MATCH($C879,DB_materiali!$A$2:$A$5000,0))&gt;=INDEX(DB_malas!$C$2:$C$5000,MATCH(K879,DB_malas!$A$2:$A$5000,0)),IF(INDEX(DB_materiali!$E$2:$E$5000,MATCH($C879,DB_materiali!$A$2:$A$5000,0))&lt;=INDEX(DB_malas!$D$2:$D$5000,MATCH(K879,DB_malas!$A$2:$A$5000,0)),IF(INDEX(DB_materiali!$B$2:$B$5000,MATCH($C879,DB_materiali!$A$2:$A$5000,0))=INDEX(DB_malas!$B$2:$B$5000,MATCH(K879,DB_malas!$A$2:$A$5000,0)),"✔",tulkojums!$A$38),tulkojums!$A$39),tulkojums!$A$39))</f>
        <v/>
      </c>
      <c r="T879" s="2"/>
      <c r="U879" s="2"/>
      <c r="V879" s="2"/>
      <c r="W879" s="2"/>
      <c r="X879" s="2"/>
      <c r="Y879" s="2"/>
      <c r="Z879" s="2"/>
    </row>
    <row r="880" spans="1:26" ht="15.75" customHeight="1">
      <c r="A880" s="17"/>
      <c r="B880" s="18"/>
      <c r="C880" s="19"/>
      <c r="D880" s="55"/>
      <c r="E880" s="55"/>
      <c r="F880" s="56"/>
      <c r="G880" s="57" t="str">
        <f>IF(ISBLANK(C880),"",
   IFERROR(
      IF(
         INDEX(DB_materiali!C$2:C$5000,
               MATCH(C880, DB_materiali!A$2:A$5000, 0)
         )="FALSE",
         "N",
         "Y"
      ),
   "")
)</f>
        <v/>
      </c>
      <c r="H880" s="20"/>
      <c r="I880" s="20"/>
      <c r="J880" s="20"/>
      <c r="K880" s="20"/>
      <c r="M880" s="2" t="str">
        <f>IF(ISBLANK(C880),"",IF(IFERROR(VLOOKUP(C880,DB_materiali!$A$2:$A$5000,1,FALSE),"Kļūda artikulā")=C880,"✔",tulkojums!A$42))</f>
        <v/>
      </c>
      <c r="N880" s="2" t="str">
        <f>IF(ISBLANK(C880),"",IF(ISNUMBER(F880)=TRUE,"✔",tulkojums!A$43))</f>
        <v/>
      </c>
      <c r="O880" s="2" t="str">
        <f>IF(ISBLANK(C880),"",IF(G880="Y","✔",IF(G880="X","✔",IF(G880="N","✔",tulkojums!A$44))))</f>
        <v/>
      </c>
      <c r="P880" s="2" t="str">
        <f>IF(ISBLANK(H880),"",IF(INDEX(DB_materiali!$E$2:$E$5000,MATCH($C880,DB_materiali!$A$2:$A$5000,0))&gt;=INDEX(DB_malas!$C$2:$C$5000,MATCH(H880,DB_malas!$A$2:$A$5000,0)),IF(INDEX(DB_materiali!$E$2:$E$5000,MATCH($C880,DB_materiali!$A$2:$A$5000,0))&lt;=INDEX(DB_malas!$D$2:$D$5000,MATCH(H880,DB_malas!$A$2:$A$5000,0)),IF(OR(INDEX(DB_materiali!$B$2:$B$5000,MATCH($C880,DB_materiali!$A$2:$A$5000,0))=INDEX(DB_malas!$B$2:$B$5000,MATCH(H880,DB_malas!$A$2:$A$5000,0)),$H880="ORG"),"✔",tulkojums!$A$38),tulkojums!$A$39),tulkojums!$A$39))</f>
        <v/>
      </c>
      <c r="Q880" s="2" t="str">
        <f>IF(ISBLANK(I880),"",IF(INDEX(DB_materiali!$E$2:$E$5000,MATCH($C880,DB_materiali!$A$2:$A$5000,0))&gt;=INDEX(DB_malas!$C$2:$C$5000,MATCH(I880,DB_malas!$A$2:$A$5000,0)),IF(INDEX(DB_materiali!$E$2:$E$5000,MATCH($C880,DB_materiali!$A$2:$A$5000,0))&lt;=INDEX(DB_malas!$D$2:$D$5000,MATCH(I880,DB_malas!$A$2:$A$5000,0)),IF(OR(INDEX(DB_materiali!$B$2:$B$5000,MATCH($C880,DB_materiali!$A$2:$A$5000,0))=INDEX(DB_malas!$B$2:$B$5000,MATCH(I880,DB_malas!$A$2:$A$5000,0)),$H880="ORG"),"✔",tulkojums!$A$38),tulkojums!$A$39),tulkojums!$A$39))</f>
        <v/>
      </c>
      <c r="R880" s="2" t="str">
        <f>IF(ISBLANK(J880),"",IF(INDEX(DB_materiali!$E$2:$E$5000,MATCH($C880,DB_materiali!$A$2:$A$5000,0))&gt;=INDEX(DB_malas!$C$2:$C$5000,MATCH(J880,DB_malas!$A$2:$A$5000,0)),IF(INDEX(DB_materiali!$E$2:$E$5000,MATCH($C880,DB_materiali!$A$2:$A$5000,0))&lt;=INDEX(DB_malas!$D$2:$D$5000,MATCH(J880,DB_malas!$A$2:$A$5000,0)),IF(INDEX(DB_materiali!$B$2:$B$5000,MATCH($C880,DB_materiali!$A$2:$A$5000,0))=INDEX(DB_malas!$B$2:$B$5000,MATCH(J880,DB_malas!$A$2:$A$5000,0)),"✔",tulkojums!$A$38),tulkojums!$A$39),tulkojums!$A$39))</f>
        <v/>
      </c>
      <c r="S880" s="2" t="str">
        <f>IF(ISBLANK(K880),"",IF(INDEX(DB_materiali!$E$2:$E$5000,MATCH($C880,DB_materiali!$A$2:$A$5000,0))&gt;=INDEX(DB_malas!$C$2:$C$5000,MATCH(K880,DB_malas!$A$2:$A$5000,0)),IF(INDEX(DB_materiali!$E$2:$E$5000,MATCH($C880,DB_materiali!$A$2:$A$5000,0))&lt;=INDEX(DB_malas!$D$2:$D$5000,MATCH(K880,DB_malas!$A$2:$A$5000,0)),IF(INDEX(DB_materiali!$B$2:$B$5000,MATCH($C880,DB_materiali!$A$2:$A$5000,0))=INDEX(DB_malas!$B$2:$B$5000,MATCH(K880,DB_malas!$A$2:$A$5000,0)),"✔",tulkojums!$A$38),tulkojums!$A$39),tulkojums!$A$39))</f>
        <v/>
      </c>
      <c r="T880" s="2"/>
      <c r="U880" s="2"/>
      <c r="V880" s="2"/>
      <c r="W880" s="2"/>
      <c r="X880" s="2"/>
      <c r="Y880" s="2"/>
      <c r="Z880" s="2"/>
    </row>
    <row r="881" spans="1:26" ht="15.75" customHeight="1">
      <c r="A881" s="17"/>
      <c r="B881" s="18"/>
      <c r="C881" s="19"/>
      <c r="D881" s="55"/>
      <c r="E881" s="55"/>
      <c r="F881" s="56"/>
      <c r="G881" s="57" t="str">
        <f>IF(ISBLANK(C881),"",
   IFERROR(
      IF(
         INDEX(DB_materiali!C$2:C$5000,
               MATCH(C881, DB_materiali!A$2:A$5000, 0)
         )="FALSE",
         "N",
         "Y"
      ),
   "")
)</f>
        <v/>
      </c>
      <c r="H881" s="20"/>
      <c r="I881" s="20"/>
      <c r="J881" s="20"/>
      <c r="K881" s="20"/>
      <c r="M881" s="2" t="str">
        <f>IF(ISBLANK(C881),"",IF(IFERROR(VLOOKUP(C881,DB_materiali!$A$2:$A$5000,1,FALSE),"Kļūda artikulā")=C881,"✔",tulkojums!A$42))</f>
        <v/>
      </c>
      <c r="N881" s="2" t="str">
        <f>IF(ISBLANK(C881),"",IF(ISNUMBER(F881)=TRUE,"✔",tulkojums!A$43))</f>
        <v/>
      </c>
      <c r="O881" s="2" t="str">
        <f>IF(ISBLANK(C881),"",IF(G881="Y","✔",IF(G881="X","✔",IF(G881="N","✔",tulkojums!A$44))))</f>
        <v/>
      </c>
      <c r="P881" s="2" t="str">
        <f>IF(ISBLANK(H881),"",IF(INDEX(DB_materiali!$E$2:$E$5000,MATCH($C881,DB_materiali!$A$2:$A$5000,0))&gt;=INDEX(DB_malas!$C$2:$C$5000,MATCH(H881,DB_malas!$A$2:$A$5000,0)),IF(INDEX(DB_materiali!$E$2:$E$5000,MATCH($C881,DB_materiali!$A$2:$A$5000,0))&lt;=INDEX(DB_malas!$D$2:$D$5000,MATCH(H881,DB_malas!$A$2:$A$5000,0)),IF(OR(INDEX(DB_materiali!$B$2:$B$5000,MATCH($C881,DB_materiali!$A$2:$A$5000,0))=INDEX(DB_malas!$B$2:$B$5000,MATCH(H881,DB_malas!$A$2:$A$5000,0)),$H881="ORG"),"✔",tulkojums!$A$38),tulkojums!$A$39),tulkojums!$A$39))</f>
        <v/>
      </c>
      <c r="Q881" s="2" t="str">
        <f>IF(ISBLANK(I881),"",IF(INDEX(DB_materiali!$E$2:$E$5000,MATCH($C881,DB_materiali!$A$2:$A$5000,0))&gt;=INDEX(DB_malas!$C$2:$C$5000,MATCH(I881,DB_malas!$A$2:$A$5000,0)),IF(INDEX(DB_materiali!$E$2:$E$5000,MATCH($C881,DB_materiali!$A$2:$A$5000,0))&lt;=INDEX(DB_malas!$D$2:$D$5000,MATCH(I881,DB_malas!$A$2:$A$5000,0)),IF(OR(INDEX(DB_materiali!$B$2:$B$5000,MATCH($C881,DB_materiali!$A$2:$A$5000,0))=INDEX(DB_malas!$B$2:$B$5000,MATCH(I881,DB_malas!$A$2:$A$5000,0)),$H881="ORG"),"✔",tulkojums!$A$38),tulkojums!$A$39),tulkojums!$A$39))</f>
        <v/>
      </c>
      <c r="R881" s="2" t="str">
        <f>IF(ISBLANK(J881),"",IF(INDEX(DB_materiali!$E$2:$E$5000,MATCH($C881,DB_materiali!$A$2:$A$5000,0))&gt;=INDEX(DB_malas!$C$2:$C$5000,MATCH(J881,DB_malas!$A$2:$A$5000,0)),IF(INDEX(DB_materiali!$E$2:$E$5000,MATCH($C881,DB_materiali!$A$2:$A$5000,0))&lt;=INDEX(DB_malas!$D$2:$D$5000,MATCH(J881,DB_malas!$A$2:$A$5000,0)),IF(INDEX(DB_materiali!$B$2:$B$5000,MATCH($C881,DB_materiali!$A$2:$A$5000,0))=INDEX(DB_malas!$B$2:$B$5000,MATCH(J881,DB_malas!$A$2:$A$5000,0)),"✔",tulkojums!$A$38),tulkojums!$A$39),tulkojums!$A$39))</f>
        <v/>
      </c>
      <c r="S881" s="2" t="str">
        <f>IF(ISBLANK(K881),"",IF(INDEX(DB_materiali!$E$2:$E$5000,MATCH($C881,DB_materiali!$A$2:$A$5000,0))&gt;=INDEX(DB_malas!$C$2:$C$5000,MATCH(K881,DB_malas!$A$2:$A$5000,0)),IF(INDEX(DB_materiali!$E$2:$E$5000,MATCH($C881,DB_materiali!$A$2:$A$5000,0))&lt;=INDEX(DB_malas!$D$2:$D$5000,MATCH(K881,DB_malas!$A$2:$A$5000,0)),IF(INDEX(DB_materiali!$B$2:$B$5000,MATCH($C881,DB_materiali!$A$2:$A$5000,0))=INDEX(DB_malas!$B$2:$B$5000,MATCH(K881,DB_malas!$A$2:$A$5000,0)),"✔",tulkojums!$A$38),tulkojums!$A$39),tulkojums!$A$39))</f>
        <v/>
      </c>
      <c r="T881" s="2"/>
      <c r="U881" s="2"/>
      <c r="V881" s="2"/>
      <c r="W881" s="2"/>
      <c r="X881" s="2"/>
      <c r="Y881" s="2"/>
      <c r="Z881" s="2"/>
    </row>
    <row r="882" spans="1:26" ht="15.75" customHeight="1">
      <c r="A882" s="17"/>
      <c r="B882" s="18"/>
      <c r="C882" s="19"/>
      <c r="D882" s="55"/>
      <c r="E882" s="55"/>
      <c r="F882" s="56"/>
      <c r="G882" s="57" t="str">
        <f>IF(ISBLANK(C882),"",
   IFERROR(
      IF(
         INDEX(DB_materiali!C$2:C$5000,
               MATCH(C882, DB_materiali!A$2:A$5000, 0)
         )="FALSE",
         "N",
         "Y"
      ),
   "")
)</f>
        <v/>
      </c>
      <c r="H882" s="20"/>
      <c r="I882" s="20"/>
      <c r="J882" s="20"/>
      <c r="K882" s="20"/>
      <c r="M882" s="2" t="str">
        <f>IF(ISBLANK(C882),"",IF(IFERROR(VLOOKUP(C882,DB_materiali!$A$2:$A$5000,1,FALSE),"Kļūda artikulā")=C882,"✔",tulkojums!A$42))</f>
        <v/>
      </c>
      <c r="N882" s="2" t="str">
        <f>IF(ISBLANK(C882),"",IF(ISNUMBER(F882)=TRUE,"✔",tulkojums!A$43))</f>
        <v/>
      </c>
      <c r="O882" s="2" t="str">
        <f>IF(ISBLANK(C882),"",IF(G882="Y","✔",IF(G882="X","✔",IF(G882="N","✔",tulkojums!A$44))))</f>
        <v/>
      </c>
      <c r="P882" s="2" t="str">
        <f>IF(ISBLANK(H882),"",IF(INDEX(DB_materiali!$E$2:$E$5000,MATCH($C882,DB_materiali!$A$2:$A$5000,0))&gt;=INDEX(DB_malas!$C$2:$C$5000,MATCH(H882,DB_malas!$A$2:$A$5000,0)),IF(INDEX(DB_materiali!$E$2:$E$5000,MATCH($C882,DB_materiali!$A$2:$A$5000,0))&lt;=INDEX(DB_malas!$D$2:$D$5000,MATCH(H882,DB_malas!$A$2:$A$5000,0)),IF(OR(INDEX(DB_materiali!$B$2:$B$5000,MATCH($C882,DB_materiali!$A$2:$A$5000,0))=INDEX(DB_malas!$B$2:$B$5000,MATCH(H882,DB_malas!$A$2:$A$5000,0)),$H882="ORG"),"✔",tulkojums!$A$38),tulkojums!$A$39),tulkojums!$A$39))</f>
        <v/>
      </c>
      <c r="Q882" s="2" t="str">
        <f>IF(ISBLANK(I882),"",IF(INDEX(DB_materiali!$E$2:$E$5000,MATCH($C882,DB_materiali!$A$2:$A$5000,0))&gt;=INDEX(DB_malas!$C$2:$C$5000,MATCH(I882,DB_malas!$A$2:$A$5000,0)),IF(INDEX(DB_materiali!$E$2:$E$5000,MATCH($C882,DB_materiali!$A$2:$A$5000,0))&lt;=INDEX(DB_malas!$D$2:$D$5000,MATCH(I882,DB_malas!$A$2:$A$5000,0)),IF(OR(INDEX(DB_materiali!$B$2:$B$5000,MATCH($C882,DB_materiali!$A$2:$A$5000,0))=INDEX(DB_malas!$B$2:$B$5000,MATCH(I882,DB_malas!$A$2:$A$5000,0)),$H882="ORG"),"✔",tulkojums!$A$38),tulkojums!$A$39),tulkojums!$A$39))</f>
        <v/>
      </c>
      <c r="R882" s="2" t="str">
        <f>IF(ISBLANK(J882),"",IF(INDEX(DB_materiali!$E$2:$E$5000,MATCH($C882,DB_materiali!$A$2:$A$5000,0))&gt;=INDEX(DB_malas!$C$2:$C$5000,MATCH(J882,DB_malas!$A$2:$A$5000,0)),IF(INDEX(DB_materiali!$E$2:$E$5000,MATCH($C882,DB_materiali!$A$2:$A$5000,0))&lt;=INDEX(DB_malas!$D$2:$D$5000,MATCH(J882,DB_malas!$A$2:$A$5000,0)),IF(INDEX(DB_materiali!$B$2:$B$5000,MATCH($C882,DB_materiali!$A$2:$A$5000,0))=INDEX(DB_malas!$B$2:$B$5000,MATCH(J882,DB_malas!$A$2:$A$5000,0)),"✔",tulkojums!$A$38),tulkojums!$A$39),tulkojums!$A$39))</f>
        <v/>
      </c>
      <c r="S882" s="2" t="str">
        <f>IF(ISBLANK(K882),"",IF(INDEX(DB_materiali!$E$2:$E$5000,MATCH($C882,DB_materiali!$A$2:$A$5000,0))&gt;=INDEX(DB_malas!$C$2:$C$5000,MATCH(K882,DB_malas!$A$2:$A$5000,0)),IF(INDEX(DB_materiali!$E$2:$E$5000,MATCH($C882,DB_materiali!$A$2:$A$5000,0))&lt;=INDEX(DB_malas!$D$2:$D$5000,MATCH(K882,DB_malas!$A$2:$A$5000,0)),IF(INDEX(DB_materiali!$B$2:$B$5000,MATCH($C882,DB_materiali!$A$2:$A$5000,0))=INDEX(DB_malas!$B$2:$B$5000,MATCH(K882,DB_malas!$A$2:$A$5000,0)),"✔",tulkojums!$A$38),tulkojums!$A$39),tulkojums!$A$39))</f>
        <v/>
      </c>
      <c r="T882" s="2"/>
      <c r="U882" s="2"/>
      <c r="V882" s="2"/>
      <c r="W882" s="2"/>
      <c r="X882" s="2"/>
      <c r="Y882" s="2"/>
      <c r="Z882" s="2"/>
    </row>
    <row r="883" spans="1:26" ht="15.75" customHeight="1">
      <c r="A883" s="17"/>
      <c r="B883" s="18"/>
      <c r="C883" s="19"/>
      <c r="D883" s="55"/>
      <c r="E883" s="55"/>
      <c r="F883" s="56"/>
      <c r="G883" s="57" t="str">
        <f>IF(ISBLANK(C883),"",
   IFERROR(
      IF(
         INDEX(DB_materiali!C$2:C$5000,
               MATCH(C883, DB_materiali!A$2:A$5000, 0)
         )="FALSE",
         "N",
         "Y"
      ),
   "")
)</f>
        <v/>
      </c>
      <c r="H883" s="20"/>
      <c r="I883" s="20"/>
      <c r="J883" s="20"/>
      <c r="K883" s="20"/>
      <c r="M883" s="2" t="str">
        <f>IF(ISBLANK(C883),"",IF(IFERROR(VLOOKUP(C883,DB_materiali!$A$2:$A$5000,1,FALSE),"Kļūda artikulā")=C883,"✔",tulkojums!A$42))</f>
        <v/>
      </c>
      <c r="N883" s="2" t="str">
        <f>IF(ISBLANK(C883),"",IF(ISNUMBER(F883)=TRUE,"✔",tulkojums!A$43))</f>
        <v/>
      </c>
      <c r="O883" s="2" t="str">
        <f>IF(ISBLANK(C883),"",IF(G883="Y","✔",IF(G883="X","✔",IF(G883="N","✔",tulkojums!A$44))))</f>
        <v/>
      </c>
      <c r="P883" s="2" t="str">
        <f>IF(ISBLANK(H883),"",IF(INDEX(DB_materiali!$E$2:$E$5000,MATCH($C883,DB_materiali!$A$2:$A$5000,0))&gt;=INDEX(DB_malas!$C$2:$C$5000,MATCH(H883,DB_malas!$A$2:$A$5000,0)),IF(INDEX(DB_materiali!$E$2:$E$5000,MATCH($C883,DB_materiali!$A$2:$A$5000,0))&lt;=INDEX(DB_malas!$D$2:$D$5000,MATCH(H883,DB_malas!$A$2:$A$5000,0)),IF(OR(INDEX(DB_materiali!$B$2:$B$5000,MATCH($C883,DB_materiali!$A$2:$A$5000,0))=INDEX(DB_malas!$B$2:$B$5000,MATCH(H883,DB_malas!$A$2:$A$5000,0)),$H883="ORG"),"✔",tulkojums!$A$38),tulkojums!$A$39),tulkojums!$A$39))</f>
        <v/>
      </c>
      <c r="Q883" s="2" t="str">
        <f>IF(ISBLANK(I883),"",IF(INDEX(DB_materiali!$E$2:$E$5000,MATCH($C883,DB_materiali!$A$2:$A$5000,0))&gt;=INDEX(DB_malas!$C$2:$C$5000,MATCH(I883,DB_malas!$A$2:$A$5000,0)),IF(INDEX(DB_materiali!$E$2:$E$5000,MATCH($C883,DB_materiali!$A$2:$A$5000,0))&lt;=INDEX(DB_malas!$D$2:$D$5000,MATCH(I883,DB_malas!$A$2:$A$5000,0)),IF(OR(INDEX(DB_materiali!$B$2:$B$5000,MATCH($C883,DB_materiali!$A$2:$A$5000,0))=INDEX(DB_malas!$B$2:$B$5000,MATCH(I883,DB_malas!$A$2:$A$5000,0)),$H883="ORG"),"✔",tulkojums!$A$38),tulkojums!$A$39),tulkojums!$A$39))</f>
        <v/>
      </c>
      <c r="R883" s="2" t="str">
        <f>IF(ISBLANK(J883),"",IF(INDEX(DB_materiali!$E$2:$E$5000,MATCH($C883,DB_materiali!$A$2:$A$5000,0))&gt;=INDEX(DB_malas!$C$2:$C$5000,MATCH(J883,DB_malas!$A$2:$A$5000,0)),IF(INDEX(DB_materiali!$E$2:$E$5000,MATCH($C883,DB_materiali!$A$2:$A$5000,0))&lt;=INDEX(DB_malas!$D$2:$D$5000,MATCH(J883,DB_malas!$A$2:$A$5000,0)),IF(INDEX(DB_materiali!$B$2:$B$5000,MATCH($C883,DB_materiali!$A$2:$A$5000,0))=INDEX(DB_malas!$B$2:$B$5000,MATCH(J883,DB_malas!$A$2:$A$5000,0)),"✔",tulkojums!$A$38),tulkojums!$A$39),tulkojums!$A$39))</f>
        <v/>
      </c>
      <c r="S883" s="2" t="str">
        <f>IF(ISBLANK(K883),"",IF(INDEX(DB_materiali!$E$2:$E$5000,MATCH($C883,DB_materiali!$A$2:$A$5000,0))&gt;=INDEX(DB_malas!$C$2:$C$5000,MATCH(K883,DB_malas!$A$2:$A$5000,0)),IF(INDEX(DB_materiali!$E$2:$E$5000,MATCH($C883,DB_materiali!$A$2:$A$5000,0))&lt;=INDEX(DB_malas!$D$2:$D$5000,MATCH(K883,DB_malas!$A$2:$A$5000,0)),IF(INDEX(DB_materiali!$B$2:$B$5000,MATCH($C883,DB_materiali!$A$2:$A$5000,0))=INDEX(DB_malas!$B$2:$B$5000,MATCH(K883,DB_malas!$A$2:$A$5000,0)),"✔",tulkojums!$A$38),tulkojums!$A$39),tulkojums!$A$39))</f>
        <v/>
      </c>
      <c r="T883" s="2"/>
      <c r="U883" s="2"/>
      <c r="V883" s="2"/>
      <c r="W883" s="2"/>
      <c r="X883" s="2"/>
      <c r="Y883" s="2"/>
      <c r="Z883" s="2"/>
    </row>
    <row r="884" spans="1:26" ht="15.75" customHeight="1">
      <c r="A884" s="17"/>
      <c r="B884" s="18"/>
      <c r="C884" s="19"/>
      <c r="D884" s="55"/>
      <c r="E884" s="55"/>
      <c r="F884" s="56"/>
      <c r="G884" s="57" t="str">
        <f>IF(ISBLANK(C884),"",
   IFERROR(
      IF(
         INDEX(DB_materiali!C$2:C$5000,
               MATCH(C884, DB_materiali!A$2:A$5000, 0)
         )="FALSE",
         "N",
         "Y"
      ),
   "")
)</f>
        <v/>
      </c>
      <c r="H884" s="20"/>
      <c r="I884" s="20"/>
      <c r="J884" s="20"/>
      <c r="K884" s="20"/>
      <c r="M884" s="2" t="str">
        <f>IF(ISBLANK(C884),"",IF(IFERROR(VLOOKUP(C884,DB_materiali!$A$2:$A$5000,1,FALSE),"Kļūda artikulā")=C884,"✔",tulkojums!A$42))</f>
        <v/>
      </c>
      <c r="N884" s="2" t="str">
        <f>IF(ISBLANK(C884),"",IF(ISNUMBER(F884)=TRUE,"✔",tulkojums!A$43))</f>
        <v/>
      </c>
      <c r="O884" s="2" t="str">
        <f>IF(ISBLANK(C884),"",IF(G884="Y","✔",IF(G884="X","✔",IF(G884="N","✔",tulkojums!A$44))))</f>
        <v/>
      </c>
      <c r="P884" s="2" t="str">
        <f>IF(ISBLANK(H884),"",IF(INDEX(DB_materiali!$E$2:$E$5000,MATCH($C884,DB_materiali!$A$2:$A$5000,0))&gt;=INDEX(DB_malas!$C$2:$C$5000,MATCH(H884,DB_malas!$A$2:$A$5000,0)),IF(INDEX(DB_materiali!$E$2:$E$5000,MATCH($C884,DB_materiali!$A$2:$A$5000,0))&lt;=INDEX(DB_malas!$D$2:$D$5000,MATCH(H884,DB_malas!$A$2:$A$5000,0)),IF(OR(INDEX(DB_materiali!$B$2:$B$5000,MATCH($C884,DB_materiali!$A$2:$A$5000,0))=INDEX(DB_malas!$B$2:$B$5000,MATCH(H884,DB_malas!$A$2:$A$5000,0)),$H884="ORG"),"✔",tulkojums!$A$38),tulkojums!$A$39),tulkojums!$A$39))</f>
        <v/>
      </c>
      <c r="Q884" s="2" t="str">
        <f>IF(ISBLANK(I884),"",IF(INDEX(DB_materiali!$E$2:$E$5000,MATCH($C884,DB_materiali!$A$2:$A$5000,0))&gt;=INDEX(DB_malas!$C$2:$C$5000,MATCH(I884,DB_malas!$A$2:$A$5000,0)),IF(INDEX(DB_materiali!$E$2:$E$5000,MATCH($C884,DB_materiali!$A$2:$A$5000,0))&lt;=INDEX(DB_malas!$D$2:$D$5000,MATCH(I884,DB_malas!$A$2:$A$5000,0)),IF(OR(INDEX(DB_materiali!$B$2:$B$5000,MATCH($C884,DB_materiali!$A$2:$A$5000,0))=INDEX(DB_malas!$B$2:$B$5000,MATCH(I884,DB_malas!$A$2:$A$5000,0)),$H884="ORG"),"✔",tulkojums!$A$38),tulkojums!$A$39),tulkojums!$A$39))</f>
        <v/>
      </c>
      <c r="R884" s="2" t="str">
        <f>IF(ISBLANK(J884),"",IF(INDEX(DB_materiali!$E$2:$E$5000,MATCH($C884,DB_materiali!$A$2:$A$5000,0))&gt;=INDEX(DB_malas!$C$2:$C$5000,MATCH(J884,DB_malas!$A$2:$A$5000,0)),IF(INDEX(DB_materiali!$E$2:$E$5000,MATCH($C884,DB_materiali!$A$2:$A$5000,0))&lt;=INDEX(DB_malas!$D$2:$D$5000,MATCH(J884,DB_malas!$A$2:$A$5000,0)),IF(INDEX(DB_materiali!$B$2:$B$5000,MATCH($C884,DB_materiali!$A$2:$A$5000,0))=INDEX(DB_malas!$B$2:$B$5000,MATCH(J884,DB_malas!$A$2:$A$5000,0)),"✔",tulkojums!$A$38),tulkojums!$A$39),tulkojums!$A$39))</f>
        <v/>
      </c>
      <c r="S884" s="2" t="str">
        <f>IF(ISBLANK(K884),"",IF(INDEX(DB_materiali!$E$2:$E$5000,MATCH($C884,DB_materiali!$A$2:$A$5000,0))&gt;=INDEX(DB_malas!$C$2:$C$5000,MATCH(K884,DB_malas!$A$2:$A$5000,0)),IF(INDEX(DB_materiali!$E$2:$E$5000,MATCH($C884,DB_materiali!$A$2:$A$5000,0))&lt;=INDEX(DB_malas!$D$2:$D$5000,MATCH(K884,DB_malas!$A$2:$A$5000,0)),IF(INDEX(DB_materiali!$B$2:$B$5000,MATCH($C884,DB_materiali!$A$2:$A$5000,0))=INDEX(DB_malas!$B$2:$B$5000,MATCH(K884,DB_malas!$A$2:$A$5000,0)),"✔",tulkojums!$A$38),tulkojums!$A$39),tulkojums!$A$39))</f>
        <v/>
      </c>
      <c r="T884" s="2"/>
      <c r="U884" s="2"/>
      <c r="V884" s="2"/>
      <c r="W884" s="2"/>
      <c r="X884" s="2"/>
      <c r="Y884" s="2"/>
      <c r="Z884" s="2"/>
    </row>
    <row r="885" spans="1:26" ht="15.75" customHeight="1">
      <c r="A885" s="17"/>
      <c r="B885" s="18"/>
      <c r="C885" s="19"/>
      <c r="D885" s="55"/>
      <c r="E885" s="55"/>
      <c r="F885" s="56"/>
      <c r="G885" s="57" t="str">
        <f>IF(ISBLANK(C885),"",
   IFERROR(
      IF(
         INDEX(DB_materiali!C$2:C$5000,
               MATCH(C885, DB_materiali!A$2:A$5000, 0)
         )="FALSE",
         "N",
         "Y"
      ),
   "")
)</f>
        <v/>
      </c>
      <c r="H885" s="20"/>
      <c r="I885" s="20"/>
      <c r="J885" s="20"/>
      <c r="K885" s="20"/>
      <c r="M885" s="2" t="str">
        <f>IF(ISBLANK(C885),"",IF(IFERROR(VLOOKUP(C885,DB_materiali!$A$2:$A$5000,1,FALSE),"Kļūda artikulā")=C885,"✔",tulkojums!A$42))</f>
        <v/>
      </c>
      <c r="N885" s="2" t="str">
        <f>IF(ISBLANK(C885),"",IF(ISNUMBER(F885)=TRUE,"✔",tulkojums!A$43))</f>
        <v/>
      </c>
      <c r="O885" s="2" t="str">
        <f>IF(ISBLANK(C885),"",IF(G885="Y","✔",IF(G885="X","✔",IF(G885="N","✔",tulkojums!A$44))))</f>
        <v/>
      </c>
      <c r="P885" s="2" t="str">
        <f>IF(ISBLANK(H885),"",IF(INDEX(DB_materiali!$E$2:$E$5000,MATCH($C885,DB_materiali!$A$2:$A$5000,0))&gt;=INDEX(DB_malas!$C$2:$C$5000,MATCH(H885,DB_malas!$A$2:$A$5000,0)),IF(INDEX(DB_materiali!$E$2:$E$5000,MATCH($C885,DB_materiali!$A$2:$A$5000,0))&lt;=INDEX(DB_malas!$D$2:$D$5000,MATCH(H885,DB_malas!$A$2:$A$5000,0)),IF(OR(INDEX(DB_materiali!$B$2:$B$5000,MATCH($C885,DB_materiali!$A$2:$A$5000,0))=INDEX(DB_malas!$B$2:$B$5000,MATCH(H885,DB_malas!$A$2:$A$5000,0)),$H885="ORG"),"✔",tulkojums!$A$38),tulkojums!$A$39),tulkojums!$A$39))</f>
        <v/>
      </c>
      <c r="Q885" s="2" t="str">
        <f>IF(ISBLANK(I885),"",IF(INDEX(DB_materiali!$E$2:$E$5000,MATCH($C885,DB_materiali!$A$2:$A$5000,0))&gt;=INDEX(DB_malas!$C$2:$C$5000,MATCH(I885,DB_malas!$A$2:$A$5000,0)),IF(INDEX(DB_materiali!$E$2:$E$5000,MATCH($C885,DB_materiali!$A$2:$A$5000,0))&lt;=INDEX(DB_malas!$D$2:$D$5000,MATCH(I885,DB_malas!$A$2:$A$5000,0)),IF(OR(INDEX(DB_materiali!$B$2:$B$5000,MATCH($C885,DB_materiali!$A$2:$A$5000,0))=INDEX(DB_malas!$B$2:$B$5000,MATCH(I885,DB_malas!$A$2:$A$5000,0)),$H885="ORG"),"✔",tulkojums!$A$38),tulkojums!$A$39),tulkojums!$A$39))</f>
        <v/>
      </c>
      <c r="R885" s="2" t="str">
        <f>IF(ISBLANK(J885),"",IF(INDEX(DB_materiali!$E$2:$E$5000,MATCH($C885,DB_materiali!$A$2:$A$5000,0))&gt;=INDEX(DB_malas!$C$2:$C$5000,MATCH(J885,DB_malas!$A$2:$A$5000,0)),IF(INDEX(DB_materiali!$E$2:$E$5000,MATCH($C885,DB_materiali!$A$2:$A$5000,0))&lt;=INDEX(DB_malas!$D$2:$D$5000,MATCH(J885,DB_malas!$A$2:$A$5000,0)),IF(INDEX(DB_materiali!$B$2:$B$5000,MATCH($C885,DB_materiali!$A$2:$A$5000,0))=INDEX(DB_malas!$B$2:$B$5000,MATCH(J885,DB_malas!$A$2:$A$5000,0)),"✔",tulkojums!$A$38),tulkojums!$A$39),tulkojums!$A$39))</f>
        <v/>
      </c>
      <c r="S885" s="2" t="str">
        <f>IF(ISBLANK(K885),"",IF(INDEX(DB_materiali!$E$2:$E$5000,MATCH($C885,DB_materiali!$A$2:$A$5000,0))&gt;=INDEX(DB_malas!$C$2:$C$5000,MATCH(K885,DB_malas!$A$2:$A$5000,0)),IF(INDEX(DB_materiali!$E$2:$E$5000,MATCH($C885,DB_materiali!$A$2:$A$5000,0))&lt;=INDEX(DB_malas!$D$2:$D$5000,MATCH(K885,DB_malas!$A$2:$A$5000,0)),IF(INDEX(DB_materiali!$B$2:$B$5000,MATCH($C885,DB_materiali!$A$2:$A$5000,0))=INDEX(DB_malas!$B$2:$B$5000,MATCH(K885,DB_malas!$A$2:$A$5000,0)),"✔",tulkojums!$A$38),tulkojums!$A$39),tulkojums!$A$39))</f>
        <v/>
      </c>
      <c r="T885" s="2"/>
      <c r="U885" s="2"/>
      <c r="V885" s="2"/>
      <c r="W885" s="2"/>
      <c r="X885" s="2"/>
      <c r="Y885" s="2"/>
      <c r="Z885" s="2"/>
    </row>
    <row r="886" spans="1:26" ht="15.75" customHeight="1">
      <c r="A886" s="17"/>
      <c r="B886" s="18"/>
      <c r="C886" s="19"/>
      <c r="D886" s="55"/>
      <c r="E886" s="55"/>
      <c r="F886" s="56"/>
      <c r="G886" s="57" t="str">
        <f>IF(ISBLANK(C886),"",
   IFERROR(
      IF(
         INDEX(DB_materiali!C$2:C$5000,
               MATCH(C886, DB_materiali!A$2:A$5000, 0)
         )="FALSE",
         "N",
         "Y"
      ),
   "")
)</f>
        <v/>
      </c>
      <c r="H886" s="20"/>
      <c r="I886" s="20"/>
      <c r="J886" s="20"/>
      <c r="K886" s="20"/>
      <c r="M886" s="2" t="str">
        <f>IF(ISBLANK(C886),"",IF(IFERROR(VLOOKUP(C886,DB_materiali!$A$2:$A$5000,1,FALSE),"Kļūda artikulā")=C886,"✔",tulkojums!A$42))</f>
        <v/>
      </c>
      <c r="N886" s="2" t="str">
        <f>IF(ISBLANK(C886),"",IF(ISNUMBER(F886)=TRUE,"✔",tulkojums!A$43))</f>
        <v/>
      </c>
      <c r="O886" s="2" t="str">
        <f>IF(ISBLANK(C886),"",IF(G886="Y","✔",IF(G886="X","✔",IF(G886="N","✔",tulkojums!A$44))))</f>
        <v/>
      </c>
      <c r="P886" s="2" t="str">
        <f>IF(ISBLANK(H886),"",IF(INDEX(DB_materiali!$E$2:$E$5000,MATCH($C886,DB_materiali!$A$2:$A$5000,0))&gt;=INDEX(DB_malas!$C$2:$C$5000,MATCH(H886,DB_malas!$A$2:$A$5000,0)),IF(INDEX(DB_materiali!$E$2:$E$5000,MATCH($C886,DB_materiali!$A$2:$A$5000,0))&lt;=INDEX(DB_malas!$D$2:$D$5000,MATCH(H886,DB_malas!$A$2:$A$5000,0)),IF(OR(INDEX(DB_materiali!$B$2:$B$5000,MATCH($C886,DB_materiali!$A$2:$A$5000,0))=INDEX(DB_malas!$B$2:$B$5000,MATCH(H886,DB_malas!$A$2:$A$5000,0)),$H886="ORG"),"✔",tulkojums!$A$38),tulkojums!$A$39),tulkojums!$A$39))</f>
        <v/>
      </c>
      <c r="Q886" s="2" t="str">
        <f>IF(ISBLANK(I886),"",IF(INDEX(DB_materiali!$E$2:$E$5000,MATCH($C886,DB_materiali!$A$2:$A$5000,0))&gt;=INDEX(DB_malas!$C$2:$C$5000,MATCH(I886,DB_malas!$A$2:$A$5000,0)),IF(INDEX(DB_materiali!$E$2:$E$5000,MATCH($C886,DB_materiali!$A$2:$A$5000,0))&lt;=INDEX(DB_malas!$D$2:$D$5000,MATCH(I886,DB_malas!$A$2:$A$5000,0)),IF(OR(INDEX(DB_materiali!$B$2:$B$5000,MATCH($C886,DB_materiali!$A$2:$A$5000,0))=INDEX(DB_malas!$B$2:$B$5000,MATCH(I886,DB_malas!$A$2:$A$5000,0)),$H886="ORG"),"✔",tulkojums!$A$38),tulkojums!$A$39),tulkojums!$A$39))</f>
        <v/>
      </c>
      <c r="R886" s="2" t="str">
        <f>IF(ISBLANK(J886),"",IF(INDEX(DB_materiali!$E$2:$E$5000,MATCH($C886,DB_materiali!$A$2:$A$5000,0))&gt;=INDEX(DB_malas!$C$2:$C$5000,MATCH(J886,DB_malas!$A$2:$A$5000,0)),IF(INDEX(DB_materiali!$E$2:$E$5000,MATCH($C886,DB_materiali!$A$2:$A$5000,0))&lt;=INDEX(DB_malas!$D$2:$D$5000,MATCH(J886,DB_malas!$A$2:$A$5000,0)),IF(INDEX(DB_materiali!$B$2:$B$5000,MATCH($C886,DB_materiali!$A$2:$A$5000,0))=INDEX(DB_malas!$B$2:$B$5000,MATCH(J886,DB_malas!$A$2:$A$5000,0)),"✔",tulkojums!$A$38),tulkojums!$A$39),tulkojums!$A$39))</f>
        <v/>
      </c>
      <c r="S886" s="2" t="str">
        <f>IF(ISBLANK(K886),"",IF(INDEX(DB_materiali!$E$2:$E$5000,MATCH($C886,DB_materiali!$A$2:$A$5000,0))&gt;=INDEX(DB_malas!$C$2:$C$5000,MATCH(K886,DB_malas!$A$2:$A$5000,0)),IF(INDEX(DB_materiali!$E$2:$E$5000,MATCH($C886,DB_materiali!$A$2:$A$5000,0))&lt;=INDEX(DB_malas!$D$2:$D$5000,MATCH(K886,DB_malas!$A$2:$A$5000,0)),IF(INDEX(DB_materiali!$B$2:$B$5000,MATCH($C886,DB_materiali!$A$2:$A$5000,0))=INDEX(DB_malas!$B$2:$B$5000,MATCH(K886,DB_malas!$A$2:$A$5000,0)),"✔",tulkojums!$A$38),tulkojums!$A$39),tulkojums!$A$39))</f>
        <v/>
      </c>
      <c r="T886" s="2"/>
      <c r="U886" s="2"/>
      <c r="V886" s="2"/>
      <c r="W886" s="2"/>
      <c r="X886" s="2"/>
      <c r="Y886" s="2"/>
      <c r="Z886" s="2"/>
    </row>
    <row r="887" spans="1:26" ht="15.75" customHeight="1">
      <c r="A887" s="17"/>
      <c r="B887" s="18"/>
      <c r="C887" s="19"/>
      <c r="D887" s="55"/>
      <c r="E887" s="55"/>
      <c r="F887" s="56"/>
      <c r="G887" s="57" t="str">
        <f>IF(ISBLANK(C887),"",
   IFERROR(
      IF(
         INDEX(DB_materiali!C$2:C$5000,
               MATCH(C887, DB_materiali!A$2:A$5000, 0)
         )="FALSE",
         "N",
         "Y"
      ),
   "")
)</f>
        <v/>
      </c>
      <c r="H887" s="20"/>
      <c r="I887" s="20"/>
      <c r="J887" s="20"/>
      <c r="K887" s="20"/>
      <c r="M887" s="2" t="str">
        <f>IF(ISBLANK(C887),"",IF(IFERROR(VLOOKUP(C887,DB_materiali!$A$2:$A$5000,1,FALSE),"Kļūda artikulā")=C887,"✔",tulkojums!A$42))</f>
        <v/>
      </c>
      <c r="N887" s="2" t="str">
        <f>IF(ISBLANK(C887),"",IF(ISNUMBER(F887)=TRUE,"✔",tulkojums!A$43))</f>
        <v/>
      </c>
      <c r="O887" s="2" t="str">
        <f>IF(ISBLANK(C887),"",IF(G887="Y","✔",IF(G887="X","✔",IF(G887="N","✔",tulkojums!A$44))))</f>
        <v/>
      </c>
      <c r="P887" s="2" t="str">
        <f>IF(ISBLANK(H887),"",IF(INDEX(DB_materiali!$E$2:$E$5000,MATCH($C887,DB_materiali!$A$2:$A$5000,0))&gt;=INDEX(DB_malas!$C$2:$C$5000,MATCH(H887,DB_malas!$A$2:$A$5000,0)),IF(INDEX(DB_materiali!$E$2:$E$5000,MATCH($C887,DB_materiali!$A$2:$A$5000,0))&lt;=INDEX(DB_malas!$D$2:$D$5000,MATCH(H887,DB_malas!$A$2:$A$5000,0)),IF(OR(INDEX(DB_materiali!$B$2:$B$5000,MATCH($C887,DB_materiali!$A$2:$A$5000,0))=INDEX(DB_malas!$B$2:$B$5000,MATCH(H887,DB_malas!$A$2:$A$5000,0)),$H887="ORG"),"✔",tulkojums!$A$38),tulkojums!$A$39),tulkojums!$A$39))</f>
        <v/>
      </c>
      <c r="Q887" s="2" t="str">
        <f>IF(ISBLANK(I887),"",IF(INDEX(DB_materiali!$E$2:$E$5000,MATCH($C887,DB_materiali!$A$2:$A$5000,0))&gt;=INDEX(DB_malas!$C$2:$C$5000,MATCH(I887,DB_malas!$A$2:$A$5000,0)),IF(INDEX(DB_materiali!$E$2:$E$5000,MATCH($C887,DB_materiali!$A$2:$A$5000,0))&lt;=INDEX(DB_malas!$D$2:$D$5000,MATCH(I887,DB_malas!$A$2:$A$5000,0)),IF(OR(INDEX(DB_materiali!$B$2:$B$5000,MATCH($C887,DB_materiali!$A$2:$A$5000,0))=INDEX(DB_malas!$B$2:$B$5000,MATCH(I887,DB_malas!$A$2:$A$5000,0)),$H887="ORG"),"✔",tulkojums!$A$38),tulkojums!$A$39),tulkojums!$A$39))</f>
        <v/>
      </c>
      <c r="R887" s="2" t="str">
        <f>IF(ISBLANK(J887),"",IF(INDEX(DB_materiali!$E$2:$E$5000,MATCH($C887,DB_materiali!$A$2:$A$5000,0))&gt;=INDEX(DB_malas!$C$2:$C$5000,MATCH(J887,DB_malas!$A$2:$A$5000,0)),IF(INDEX(DB_materiali!$E$2:$E$5000,MATCH($C887,DB_materiali!$A$2:$A$5000,0))&lt;=INDEX(DB_malas!$D$2:$D$5000,MATCH(J887,DB_malas!$A$2:$A$5000,0)),IF(INDEX(DB_materiali!$B$2:$B$5000,MATCH($C887,DB_materiali!$A$2:$A$5000,0))=INDEX(DB_malas!$B$2:$B$5000,MATCH(J887,DB_malas!$A$2:$A$5000,0)),"✔",tulkojums!$A$38),tulkojums!$A$39),tulkojums!$A$39))</f>
        <v/>
      </c>
      <c r="S887" s="2" t="str">
        <f>IF(ISBLANK(K887),"",IF(INDEX(DB_materiali!$E$2:$E$5000,MATCH($C887,DB_materiali!$A$2:$A$5000,0))&gt;=INDEX(DB_malas!$C$2:$C$5000,MATCH(K887,DB_malas!$A$2:$A$5000,0)),IF(INDEX(DB_materiali!$E$2:$E$5000,MATCH($C887,DB_materiali!$A$2:$A$5000,0))&lt;=INDEX(DB_malas!$D$2:$D$5000,MATCH(K887,DB_malas!$A$2:$A$5000,0)),IF(INDEX(DB_materiali!$B$2:$B$5000,MATCH($C887,DB_materiali!$A$2:$A$5000,0))=INDEX(DB_malas!$B$2:$B$5000,MATCH(K887,DB_malas!$A$2:$A$5000,0)),"✔",tulkojums!$A$38),tulkojums!$A$39),tulkojums!$A$39))</f>
        <v/>
      </c>
      <c r="T887" s="2"/>
      <c r="U887" s="2"/>
      <c r="V887" s="2"/>
      <c r="W887" s="2"/>
      <c r="X887" s="2"/>
      <c r="Y887" s="2"/>
      <c r="Z887" s="2"/>
    </row>
    <row r="888" spans="1:26" ht="15.75" customHeight="1">
      <c r="A888" s="17"/>
      <c r="B888" s="18"/>
      <c r="C888" s="19"/>
      <c r="D888" s="55"/>
      <c r="E888" s="55"/>
      <c r="F888" s="56"/>
      <c r="G888" s="57" t="str">
        <f>IF(ISBLANK(C888),"",
   IFERROR(
      IF(
         INDEX(DB_materiali!C$2:C$5000,
               MATCH(C888, DB_materiali!A$2:A$5000, 0)
         )="FALSE",
         "N",
         "Y"
      ),
   "")
)</f>
        <v/>
      </c>
      <c r="H888" s="20"/>
      <c r="I888" s="20"/>
      <c r="J888" s="20"/>
      <c r="K888" s="20"/>
      <c r="M888" s="2" t="str">
        <f>IF(ISBLANK(C888),"",IF(IFERROR(VLOOKUP(C888,DB_materiali!$A$2:$A$5000,1,FALSE),"Kļūda artikulā")=C888,"✔",tulkojums!A$42))</f>
        <v/>
      </c>
      <c r="N888" s="2" t="str">
        <f>IF(ISBLANK(C888),"",IF(ISNUMBER(F888)=TRUE,"✔",tulkojums!A$43))</f>
        <v/>
      </c>
      <c r="O888" s="2" t="str">
        <f>IF(ISBLANK(C888),"",IF(G888="Y","✔",IF(G888="X","✔",IF(G888="N","✔",tulkojums!A$44))))</f>
        <v/>
      </c>
      <c r="P888" s="2" t="str">
        <f>IF(ISBLANK(H888),"",IF(INDEX(DB_materiali!$E$2:$E$5000,MATCH($C888,DB_materiali!$A$2:$A$5000,0))&gt;=INDEX(DB_malas!$C$2:$C$5000,MATCH(H888,DB_malas!$A$2:$A$5000,0)),IF(INDEX(DB_materiali!$E$2:$E$5000,MATCH($C888,DB_materiali!$A$2:$A$5000,0))&lt;=INDEX(DB_malas!$D$2:$D$5000,MATCH(H888,DB_malas!$A$2:$A$5000,0)),IF(OR(INDEX(DB_materiali!$B$2:$B$5000,MATCH($C888,DB_materiali!$A$2:$A$5000,0))=INDEX(DB_malas!$B$2:$B$5000,MATCH(H888,DB_malas!$A$2:$A$5000,0)),$H888="ORG"),"✔",tulkojums!$A$38),tulkojums!$A$39),tulkojums!$A$39))</f>
        <v/>
      </c>
      <c r="Q888" s="2" t="str">
        <f>IF(ISBLANK(I888),"",IF(INDEX(DB_materiali!$E$2:$E$5000,MATCH($C888,DB_materiali!$A$2:$A$5000,0))&gt;=INDEX(DB_malas!$C$2:$C$5000,MATCH(I888,DB_malas!$A$2:$A$5000,0)),IF(INDEX(DB_materiali!$E$2:$E$5000,MATCH($C888,DB_materiali!$A$2:$A$5000,0))&lt;=INDEX(DB_malas!$D$2:$D$5000,MATCH(I888,DB_malas!$A$2:$A$5000,0)),IF(OR(INDEX(DB_materiali!$B$2:$B$5000,MATCH($C888,DB_materiali!$A$2:$A$5000,0))=INDEX(DB_malas!$B$2:$B$5000,MATCH(I888,DB_malas!$A$2:$A$5000,0)),$H888="ORG"),"✔",tulkojums!$A$38),tulkojums!$A$39),tulkojums!$A$39))</f>
        <v/>
      </c>
      <c r="R888" s="2" t="str">
        <f>IF(ISBLANK(J888),"",IF(INDEX(DB_materiali!$E$2:$E$5000,MATCH($C888,DB_materiali!$A$2:$A$5000,0))&gt;=INDEX(DB_malas!$C$2:$C$5000,MATCH(J888,DB_malas!$A$2:$A$5000,0)),IF(INDEX(DB_materiali!$E$2:$E$5000,MATCH($C888,DB_materiali!$A$2:$A$5000,0))&lt;=INDEX(DB_malas!$D$2:$D$5000,MATCH(J888,DB_malas!$A$2:$A$5000,0)),IF(INDEX(DB_materiali!$B$2:$B$5000,MATCH($C888,DB_materiali!$A$2:$A$5000,0))=INDEX(DB_malas!$B$2:$B$5000,MATCH(J888,DB_malas!$A$2:$A$5000,0)),"✔",tulkojums!$A$38),tulkojums!$A$39),tulkojums!$A$39))</f>
        <v/>
      </c>
      <c r="S888" s="2" t="str">
        <f>IF(ISBLANK(K888),"",IF(INDEX(DB_materiali!$E$2:$E$5000,MATCH($C888,DB_materiali!$A$2:$A$5000,0))&gt;=INDEX(DB_malas!$C$2:$C$5000,MATCH(K888,DB_malas!$A$2:$A$5000,0)),IF(INDEX(DB_materiali!$E$2:$E$5000,MATCH($C888,DB_materiali!$A$2:$A$5000,0))&lt;=INDEX(DB_malas!$D$2:$D$5000,MATCH(K888,DB_malas!$A$2:$A$5000,0)),IF(INDEX(DB_materiali!$B$2:$B$5000,MATCH($C888,DB_materiali!$A$2:$A$5000,0))=INDEX(DB_malas!$B$2:$B$5000,MATCH(K888,DB_malas!$A$2:$A$5000,0)),"✔",tulkojums!$A$38),tulkojums!$A$39),tulkojums!$A$39))</f>
        <v/>
      </c>
      <c r="T888" s="2"/>
      <c r="U888" s="2"/>
      <c r="V888" s="2"/>
      <c r="W888" s="2"/>
      <c r="X888" s="2"/>
      <c r="Y888" s="2"/>
      <c r="Z888" s="2"/>
    </row>
    <row r="889" spans="1:26" ht="15.75" customHeight="1">
      <c r="A889" s="17"/>
      <c r="B889" s="18"/>
      <c r="C889" s="19"/>
      <c r="D889" s="55"/>
      <c r="E889" s="55"/>
      <c r="F889" s="56"/>
      <c r="G889" s="57" t="str">
        <f>IF(ISBLANK(C889),"",
   IFERROR(
      IF(
         INDEX(DB_materiali!C$2:C$5000,
               MATCH(C889, DB_materiali!A$2:A$5000, 0)
         )="FALSE",
         "N",
         "Y"
      ),
   "")
)</f>
        <v/>
      </c>
      <c r="H889" s="20"/>
      <c r="I889" s="20"/>
      <c r="J889" s="20"/>
      <c r="K889" s="20"/>
      <c r="M889" s="2" t="str">
        <f>IF(ISBLANK(C889),"",IF(IFERROR(VLOOKUP(C889,DB_materiali!$A$2:$A$5000,1,FALSE),"Kļūda artikulā")=C889,"✔",tulkojums!A$42))</f>
        <v/>
      </c>
      <c r="N889" s="2" t="str">
        <f>IF(ISBLANK(C889),"",IF(ISNUMBER(F889)=TRUE,"✔",tulkojums!A$43))</f>
        <v/>
      </c>
      <c r="O889" s="2" t="str">
        <f>IF(ISBLANK(C889),"",IF(G889="Y","✔",IF(G889="X","✔",IF(G889="N","✔",tulkojums!A$44))))</f>
        <v/>
      </c>
      <c r="P889" s="2" t="str">
        <f>IF(ISBLANK(H889),"",IF(INDEX(DB_materiali!$E$2:$E$5000,MATCH($C889,DB_materiali!$A$2:$A$5000,0))&gt;=INDEX(DB_malas!$C$2:$C$5000,MATCH(H889,DB_malas!$A$2:$A$5000,0)),IF(INDEX(DB_materiali!$E$2:$E$5000,MATCH($C889,DB_materiali!$A$2:$A$5000,0))&lt;=INDEX(DB_malas!$D$2:$D$5000,MATCH(H889,DB_malas!$A$2:$A$5000,0)),IF(OR(INDEX(DB_materiali!$B$2:$B$5000,MATCH($C889,DB_materiali!$A$2:$A$5000,0))=INDEX(DB_malas!$B$2:$B$5000,MATCH(H889,DB_malas!$A$2:$A$5000,0)),$H889="ORG"),"✔",tulkojums!$A$38),tulkojums!$A$39),tulkojums!$A$39))</f>
        <v/>
      </c>
      <c r="Q889" s="2" t="str">
        <f>IF(ISBLANK(I889),"",IF(INDEX(DB_materiali!$E$2:$E$5000,MATCH($C889,DB_materiali!$A$2:$A$5000,0))&gt;=INDEX(DB_malas!$C$2:$C$5000,MATCH(I889,DB_malas!$A$2:$A$5000,0)),IF(INDEX(DB_materiali!$E$2:$E$5000,MATCH($C889,DB_materiali!$A$2:$A$5000,0))&lt;=INDEX(DB_malas!$D$2:$D$5000,MATCH(I889,DB_malas!$A$2:$A$5000,0)),IF(OR(INDEX(DB_materiali!$B$2:$B$5000,MATCH($C889,DB_materiali!$A$2:$A$5000,0))=INDEX(DB_malas!$B$2:$B$5000,MATCH(I889,DB_malas!$A$2:$A$5000,0)),$H889="ORG"),"✔",tulkojums!$A$38),tulkojums!$A$39),tulkojums!$A$39))</f>
        <v/>
      </c>
      <c r="R889" s="2" t="str">
        <f>IF(ISBLANK(J889),"",IF(INDEX(DB_materiali!$E$2:$E$5000,MATCH($C889,DB_materiali!$A$2:$A$5000,0))&gt;=INDEX(DB_malas!$C$2:$C$5000,MATCH(J889,DB_malas!$A$2:$A$5000,0)),IF(INDEX(DB_materiali!$E$2:$E$5000,MATCH($C889,DB_materiali!$A$2:$A$5000,0))&lt;=INDEX(DB_malas!$D$2:$D$5000,MATCH(J889,DB_malas!$A$2:$A$5000,0)),IF(INDEX(DB_materiali!$B$2:$B$5000,MATCH($C889,DB_materiali!$A$2:$A$5000,0))=INDEX(DB_malas!$B$2:$B$5000,MATCH(J889,DB_malas!$A$2:$A$5000,0)),"✔",tulkojums!$A$38),tulkojums!$A$39),tulkojums!$A$39))</f>
        <v/>
      </c>
      <c r="S889" s="2" t="str">
        <f>IF(ISBLANK(K889),"",IF(INDEX(DB_materiali!$E$2:$E$5000,MATCH($C889,DB_materiali!$A$2:$A$5000,0))&gt;=INDEX(DB_malas!$C$2:$C$5000,MATCH(K889,DB_malas!$A$2:$A$5000,0)),IF(INDEX(DB_materiali!$E$2:$E$5000,MATCH($C889,DB_materiali!$A$2:$A$5000,0))&lt;=INDEX(DB_malas!$D$2:$D$5000,MATCH(K889,DB_malas!$A$2:$A$5000,0)),IF(INDEX(DB_materiali!$B$2:$B$5000,MATCH($C889,DB_materiali!$A$2:$A$5000,0))=INDEX(DB_malas!$B$2:$B$5000,MATCH(K889,DB_malas!$A$2:$A$5000,0)),"✔",tulkojums!$A$38),tulkojums!$A$39),tulkojums!$A$39))</f>
        <v/>
      </c>
      <c r="T889" s="2"/>
      <c r="U889" s="2"/>
      <c r="V889" s="2"/>
      <c r="W889" s="2"/>
      <c r="X889" s="2"/>
      <c r="Y889" s="2"/>
      <c r="Z889" s="2"/>
    </row>
    <row r="890" spans="1:26" ht="15.75" customHeight="1">
      <c r="A890" s="17"/>
      <c r="B890" s="18"/>
      <c r="C890" s="19"/>
      <c r="D890" s="55"/>
      <c r="E890" s="55"/>
      <c r="F890" s="56"/>
      <c r="G890" s="57" t="str">
        <f>IF(ISBLANK(C890),"",
   IFERROR(
      IF(
         INDEX(DB_materiali!C$2:C$5000,
               MATCH(C890, DB_materiali!A$2:A$5000, 0)
         )="FALSE",
         "N",
         "Y"
      ),
   "")
)</f>
        <v/>
      </c>
      <c r="H890" s="20"/>
      <c r="I890" s="20"/>
      <c r="J890" s="20"/>
      <c r="K890" s="20"/>
      <c r="M890" s="2" t="str">
        <f>IF(ISBLANK(C890),"",IF(IFERROR(VLOOKUP(C890,DB_materiali!$A$2:$A$5000,1,FALSE),"Kļūda artikulā")=C890,"✔",tulkojums!A$42))</f>
        <v/>
      </c>
      <c r="N890" s="2" t="str">
        <f>IF(ISBLANK(C890),"",IF(ISNUMBER(F890)=TRUE,"✔",tulkojums!A$43))</f>
        <v/>
      </c>
      <c r="O890" s="2" t="str">
        <f>IF(ISBLANK(C890),"",IF(G890="Y","✔",IF(G890="X","✔",IF(G890="N","✔",tulkojums!A$44))))</f>
        <v/>
      </c>
      <c r="P890" s="2" t="str">
        <f>IF(ISBLANK(H890),"",IF(INDEX(DB_materiali!$E$2:$E$5000,MATCH($C890,DB_materiali!$A$2:$A$5000,0))&gt;=INDEX(DB_malas!$C$2:$C$5000,MATCH(H890,DB_malas!$A$2:$A$5000,0)),IF(INDEX(DB_materiali!$E$2:$E$5000,MATCH($C890,DB_materiali!$A$2:$A$5000,0))&lt;=INDEX(DB_malas!$D$2:$D$5000,MATCH(H890,DB_malas!$A$2:$A$5000,0)),IF(OR(INDEX(DB_materiali!$B$2:$B$5000,MATCH($C890,DB_materiali!$A$2:$A$5000,0))=INDEX(DB_malas!$B$2:$B$5000,MATCH(H890,DB_malas!$A$2:$A$5000,0)),$H890="ORG"),"✔",tulkojums!$A$38),tulkojums!$A$39),tulkojums!$A$39))</f>
        <v/>
      </c>
      <c r="Q890" s="2" t="str">
        <f>IF(ISBLANK(I890),"",IF(INDEX(DB_materiali!$E$2:$E$5000,MATCH($C890,DB_materiali!$A$2:$A$5000,0))&gt;=INDEX(DB_malas!$C$2:$C$5000,MATCH(I890,DB_malas!$A$2:$A$5000,0)),IF(INDEX(DB_materiali!$E$2:$E$5000,MATCH($C890,DB_materiali!$A$2:$A$5000,0))&lt;=INDEX(DB_malas!$D$2:$D$5000,MATCH(I890,DB_malas!$A$2:$A$5000,0)),IF(OR(INDEX(DB_materiali!$B$2:$B$5000,MATCH($C890,DB_materiali!$A$2:$A$5000,0))=INDEX(DB_malas!$B$2:$B$5000,MATCH(I890,DB_malas!$A$2:$A$5000,0)),$H890="ORG"),"✔",tulkojums!$A$38),tulkojums!$A$39),tulkojums!$A$39))</f>
        <v/>
      </c>
      <c r="R890" s="2" t="str">
        <f>IF(ISBLANK(J890),"",IF(INDEX(DB_materiali!$E$2:$E$5000,MATCH($C890,DB_materiali!$A$2:$A$5000,0))&gt;=INDEX(DB_malas!$C$2:$C$5000,MATCH(J890,DB_malas!$A$2:$A$5000,0)),IF(INDEX(DB_materiali!$E$2:$E$5000,MATCH($C890,DB_materiali!$A$2:$A$5000,0))&lt;=INDEX(DB_malas!$D$2:$D$5000,MATCH(J890,DB_malas!$A$2:$A$5000,0)),IF(INDEX(DB_materiali!$B$2:$B$5000,MATCH($C890,DB_materiali!$A$2:$A$5000,0))=INDEX(DB_malas!$B$2:$B$5000,MATCH(J890,DB_malas!$A$2:$A$5000,0)),"✔",tulkojums!$A$38),tulkojums!$A$39),tulkojums!$A$39))</f>
        <v/>
      </c>
      <c r="S890" s="2" t="str">
        <f>IF(ISBLANK(K890),"",IF(INDEX(DB_materiali!$E$2:$E$5000,MATCH($C890,DB_materiali!$A$2:$A$5000,0))&gt;=INDEX(DB_malas!$C$2:$C$5000,MATCH(K890,DB_malas!$A$2:$A$5000,0)),IF(INDEX(DB_materiali!$E$2:$E$5000,MATCH($C890,DB_materiali!$A$2:$A$5000,0))&lt;=INDEX(DB_malas!$D$2:$D$5000,MATCH(K890,DB_malas!$A$2:$A$5000,0)),IF(INDEX(DB_materiali!$B$2:$B$5000,MATCH($C890,DB_materiali!$A$2:$A$5000,0))=INDEX(DB_malas!$B$2:$B$5000,MATCH(K890,DB_malas!$A$2:$A$5000,0)),"✔",tulkojums!$A$38),tulkojums!$A$39),tulkojums!$A$39))</f>
        <v/>
      </c>
      <c r="T890" s="2"/>
      <c r="U890" s="2"/>
      <c r="V890" s="2"/>
      <c r="W890" s="2"/>
      <c r="X890" s="2"/>
      <c r="Y890" s="2"/>
      <c r="Z890" s="2"/>
    </row>
    <row r="891" spans="1:26" ht="15.75" customHeight="1">
      <c r="A891" s="17"/>
      <c r="B891" s="18"/>
      <c r="C891" s="19"/>
      <c r="D891" s="55"/>
      <c r="E891" s="55"/>
      <c r="F891" s="56"/>
      <c r="G891" s="57" t="str">
        <f>IF(ISBLANK(C891),"",
   IFERROR(
      IF(
         INDEX(DB_materiali!C$2:C$5000,
               MATCH(C891, DB_materiali!A$2:A$5000, 0)
         )="FALSE",
         "N",
         "Y"
      ),
   "")
)</f>
        <v/>
      </c>
      <c r="H891" s="20"/>
      <c r="I891" s="20"/>
      <c r="J891" s="20"/>
      <c r="K891" s="20"/>
      <c r="M891" s="2" t="str">
        <f>IF(ISBLANK(C891),"",IF(IFERROR(VLOOKUP(C891,DB_materiali!$A$2:$A$5000,1,FALSE),"Kļūda artikulā")=C891,"✔",tulkojums!A$42))</f>
        <v/>
      </c>
      <c r="N891" s="2" t="str">
        <f>IF(ISBLANK(C891),"",IF(ISNUMBER(F891)=TRUE,"✔",tulkojums!A$43))</f>
        <v/>
      </c>
      <c r="O891" s="2" t="str">
        <f>IF(ISBLANK(C891),"",IF(G891="Y","✔",IF(G891="X","✔",IF(G891="N","✔",tulkojums!A$44))))</f>
        <v/>
      </c>
      <c r="P891" s="2" t="str">
        <f>IF(ISBLANK(H891),"",IF(INDEX(DB_materiali!$E$2:$E$5000,MATCH($C891,DB_materiali!$A$2:$A$5000,0))&gt;=INDEX(DB_malas!$C$2:$C$5000,MATCH(H891,DB_malas!$A$2:$A$5000,0)),IF(INDEX(DB_materiali!$E$2:$E$5000,MATCH($C891,DB_materiali!$A$2:$A$5000,0))&lt;=INDEX(DB_malas!$D$2:$D$5000,MATCH(H891,DB_malas!$A$2:$A$5000,0)),IF(OR(INDEX(DB_materiali!$B$2:$B$5000,MATCH($C891,DB_materiali!$A$2:$A$5000,0))=INDEX(DB_malas!$B$2:$B$5000,MATCH(H891,DB_malas!$A$2:$A$5000,0)),$H891="ORG"),"✔",tulkojums!$A$38),tulkojums!$A$39),tulkojums!$A$39))</f>
        <v/>
      </c>
      <c r="Q891" s="2" t="str">
        <f>IF(ISBLANK(I891),"",IF(INDEX(DB_materiali!$E$2:$E$5000,MATCH($C891,DB_materiali!$A$2:$A$5000,0))&gt;=INDEX(DB_malas!$C$2:$C$5000,MATCH(I891,DB_malas!$A$2:$A$5000,0)),IF(INDEX(DB_materiali!$E$2:$E$5000,MATCH($C891,DB_materiali!$A$2:$A$5000,0))&lt;=INDEX(DB_malas!$D$2:$D$5000,MATCH(I891,DB_malas!$A$2:$A$5000,0)),IF(OR(INDEX(DB_materiali!$B$2:$B$5000,MATCH($C891,DB_materiali!$A$2:$A$5000,0))=INDEX(DB_malas!$B$2:$B$5000,MATCH(I891,DB_malas!$A$2:$A$5000,0)),$H891="ORG"),"✔",tulkojums!$A$38),tulkojums!$A$39),tulkojums!$A$39))</f>
        <v/>
      </c>
      <c r="R891" s="2" t="str">
        <f>IF(ISBLANK(J891),"",IF(INDEX(DB_materiali!$E$2:$E$5000,MATCH($C891,DB_materiali!$A$2:$A$5000,0))&gt;=INDEX(DB_malas!$C$2:$C$5000,MATCH(J891,DB_malas!$A$2:$A$5000,0)),IF(INDEX(DB_materiali!$E$2:$E$5000,MATCH($C891,DB_materiali!$A$2:$A$5000,0))&lt;=INDEX(DB_malas!$D$2:$D$5000,MATCH(J891,DB_malas!$A$2:$A$5000,0)),IF(INDEX(DB_materiali!$B$2:$B$5000,MATCH($C891,DB_materiali!$A$2:$A$5000,0))=INDEX(DB_malas!$B$2:$B$5000,MATCH(J891,DB_malas!$A$2:$A$5000,0)),"✔",tulkojums!$A$38),tulkojums!$A$39),tulkojums!$A$39))</f>
        <v/>
      </c>
      <c r="S891" s="2" t="str">
        <f>IF(ISBLANK(K891),"",IF(INDEX(DB_materiali!$E$2:$E$5000,MATCH($C891,DB_materiali!$A$2:$A$5000,0))&gt;=INDEX(DB_malas!$C$2:$C$5000,MATCH(K891,DB_malas!$A$2:$A$5000,0)),IF(INDEX(DB_materiali!$E$2:$E$5000,MATCH($C891,DB_materiali!$A$2:$A$5000,0))&lt;=INDEX(DB_malas!$D$2:$D$5000,MATCH(K891,DB_malas!$A$2:$A$5000,0)),IF(INDEX(DB_materiali!$B$2:$B$5000,MATCH($C891,DB_materiali!$A$2:$A$5000,0))=INDEX(DB_malas!$B$2:$B$5000,MATCH(K891,DB_malas!$A$2:$A$5000,0)),"✔",tulkojums!$A$38),tulkojums!$A$39),tulkojums!$A$39))</f>
        <v/>
      </c>
      <c r="T891" s="2"/>
      <c r="U891" s="2"/>
      <c r="V891" s="2"/>
      <c r="W891" s="2"/>
      <c r="X891" s="2"/>
      <c r="Y891" s="2"/>
      <c r="Z891" s="2"/>
    </row>
    <row r="892" spans="1:26" ht="15.75" customHeight="1">
      <c r="A892" s="17"/>
      <c r="B892" s="18"/>
      <c r="C892" s="19"/>
      <c r="D892" s="55"/>
      <c r="E892" s="55"/>
      <c r="F892" s="56"/>
      <c r="G892" s="57" t="str">
        <f>IF(ISBLANK(C892),"",
   IFERROR(
      IF(
         INDEX(DB_materiali!C$2:C$5000,
               MATCH(C892, DB_materiali!A$2:A$5000, 0)
         )="FALSE",
         "N",
         "Y"
      ),
   "")
)</f>
        <v/>
      </c>
      <c r="H892" s="20"/>
      <c r="I892" s="20"/>
      <c r="J892" s="20"/>
      <c r="K892" s="20"/>
      <c r="M892" s="2" t="str">
        <f>IF(ISBLANK(C892),"",IF(IFERROR(VLOOKUP(C892,DB_materiali!$A$2:$A$5000,1,FALSE),"Kļūda artikulā")=C892,"✔",tulkojums!A$42))</f>
        <v/>
      </c>
      <c r="N892" s="2" t="str">
        <f>IF(ISBLANK(C892),"",IF(ISNUMBER(F892)=TRUE,"✔",tulkojums!A$43))</f>
        <v/>
      </c>
      <c r="O892" s="2" t="str">
        <f>IF(ISBLANK(C892),"",IF(G892="Y","✔",IF(G892="X","✔",IF(G892="N","✔",tulkojums!A$44))))</f>
        <v/>
      </c>
      <c r="P892" s="2" t="str">
        <f>IF(ISBLANK(H892),"",IF(INDEX(DB_materiali!$E$2:$E$5000,MATCH($C892,DB_materiali!$A$2:$A$5000,0))&gt;=INDEX(DB_malas!$C$2:$C$5000,MATCH(H892,DB_malas!$A$2:$A$5000,0)),IF(INDEX(DB_materiali!$E$2:$E$5000,MATCH($C892,DB_materiali!$A$2:$A$5000,0))&lt;=INDEX(DB_malas!$D$2:$D$5000,MATCH(H892,DB_malas!$A$2:$A$5000,0)),IF(OR(INDEX(DB_materiali!$B$2:$B$5000,MATCH($C892,DB_materiali!$A$2:$A$5000,0))=INDEX(DB_malas!$B$2:$B$5000,MATCH(H892,DB_malas!$A$2:$A$5000,0)),$H892="ORG"),"✔",tulkojums!$A$38),tulkojums!$A$39),tulkojums!$A$39))</f>
        <v/>
      </c>
      <c r="Q892" s="2" t="str">
        <f>IF(ISBLANK(I892),"",IF(INDEX(DB_materiali!$E$2:$E$5000,MATCH($C892,DB_materiali!$A$2:$A$5000,0))&gt;=INDEX(DB_malas!$C$2:$C$5000,MATCH(I892,DB_malas!$A$2:$A$5000,0)),IF(INDEX(DB_materiali!$E$2:$E$5000,MATCH($C892,DB_materiali!$A$2:$A$5000,0))&lt;=INDEX(DB_malas!$D$2:$D$5000,MATCH(I892,DB_malas!$A$2:$A$5000,0)),IF(OR(INDEX(DB_materiali!$B$2:$B$5000,MATCH($C892,DB_materiali!$A$2:$A$5000,0))=INDEX(DB_malas!$B$2:$B$5000,MATCH(I892,DB_malas!$A$2:$A$5000,0)),$H892="ORG"),"✔",tulkojums!$A$38),tulkojums!$A$39),tulkojums!$A$39))</f>
        <v/>
      </c>
      <c r="R892" s="2" t="str">
        <f>IF(ISBLANK(J892),"",IF(INDEX(DB_materiali!$E$2:$E$5000,MATCH($C892,DB_materiali!$A$2:$A$5000,0))&gt;=INDEX(DB_malas!$C$2:$C$5000,MATCH(J892,DB_malas!$A$2:$A$5000,0)),IF(INDEX(DB_materiali!$E$2:$E$5000,MATCH($C892,DB_materiali!$A$2:$A$5000,0))&lt;=INDEX(DB_malas!$D$2:$D$5000,MATCH(J892,DB_malas!$A$2:$A$5000,0)),IF(INDEX(DB_materiali!$B$2:$B$5000,MATCH($C892,DB_materiali!$A$2:$A$5000,0))=INDEX(DB_malas!$B$2:$B$5000,MATCH(J892,DB_malas!$A$2:$A$5000,0)),"✔",tulkojums!$A$38),tulkojums!$A$39),tulkojums!$A$39))</f>
        <v/>
      </c>
      <c r="S892" s="2" t="str">
        <f>IF(ISBLANK(K892),"",IF(INDEX(DB_materiali!$E$2:$E$5000,MATCH($C892,DB_materiali!$A$2:$A$5000,0))&gt;=INDEX(DB_malas!$C$2:$C$5000,MATCH(K892,DB_malas!$A$2:$A$5000,0)),IF(INDEX(DB_materiali!$E$2:$E$5000,MATCH($C892,DB_materiali!$A$2:$A$5000,0))&lt;=INDEX(DB_malas!$D$2:$D$5000,MATCH(K892,DB_malas!$A$2:$A$5000,0)),IF(INDEX(DB_materiali!$B$2:$B$5000,MATCH($C892,DB_materiali!$A$2:$A$5000,0))=INDEX(DB_malas!$B$2:$B$5000,MATCH(K892,DB_malas!$A$2:$A$5000,0)),"✔",tulkojums!$A$38),tulkojums!$A$39),tulkojums!$A$39))</f>
        <v/>
      </c>
      <c r="T892" s="2"/>
      <c r="U892" s="2"/>
      <c r="V892" s="2"/>
      <c r="W892" s="2"/>
      <c r="X892" s="2"/>
      <c r="Y892" s="2"/>
      <c r="Z892" s="2"/>
    </row>
    <row r="893" spans="1:26" ht="15.75" customHeight="1">
      <c r="A893" s="17"/>
      <c r="B893" s="18"/>
      <c r="C893" s="19"/>
      <c r="D893" s="55"/>
      <c r="E893" s="55"/>
      <c r="F893" s="56"/>
      <c r="G893" s="57" t="str">
        <f>IF(ISBLANK(C893),"",
   IFERROR(
      IF(
         INDEX(DB_materiali!C$2:C$5000,
               MATCH(C893, DB_materiali!A$2:A$5000, 0)
         )="FALSE",
         "N",
         "Y"
      ),
   "")
)</f>
        <v/>
      </c>
      <c r="H893" s="20"/>
      <c r="I893" s="20"/>
      <c r="J893" s="20"/>
      <c r="K893" s="20"/>
      <c r="M893" s="2" t="str">
        <f>IF(ISBLANK(C893),"",IF(IFERROR(VLOOKUP(C893,DB_materiali!$A$2:$A$5000,1,FALSE),"Kļūda artikulā")=C893,"✔",tulkojums!A$42))</f>
        <v/>
      </c>
      <c r="N893" s="2" t="str">
        <f>IF(ISBLANK(C893),"",IF(ISNUMBER(F893)=TRUE,"✔",tulkojums!A$43))</f>
        <v/>
      </c>
      <c r="O893" s="2" t="str">
        <f>IF(ISBLANK(C893),"",IF(G893="Y","✔",IF(G893="X","✔",IF(G893="N","✔",tulkojums!A$44))))</f>
        <v/>
      </c>
      <c r="P893" s="2" t="str">
        <f>IF(ISBLANK(H893),"",IF(INDEX(DB_materiali!$E$2:$E$5000,MATCH($C893,DB_materiali!$A$2:$A$5000,0))&gt;=INDEX(DB_malas!$C$2:$C$5000,MATCH(H893,DB_malas!$A$2:$A$5000,0)),IF(INDEX(DB_materiali!$E$2:$E$5000,MATCH($C893,DB_materiali!$A$2:$A$5000,0))&lt;=INDEX(DB_malas!$D$2:$D$5000,MATCH(H893,DB_malas!$A$2:$A$5000,0)),IF(OR(INDEX(DB_materiali!$B$2:$B$5000,MATCH($C893,DB_materiali!$A$2:$A$5000,0))=INDEX(DB_malas!$B$2:$B$5000,MATCH(H893,DB_malas!$A$2:$A$5000,0)),$H893="ORG"),"✔",tulkojums!$A$38),tulkojums!$A$39),tulkojums!$A$39))</f>
        <v/>
      </c>
      <c r="Q893" s="2" t="str">
        <f>IF(ISBLANK(I893),"",IF(INDEX(DB_materiali!$E$2:$E$5000,MATCH($C893,DB_materiali!$A$2:$A$5000,0))&gt;=INDEX(DB_malas!$C$2:$C$5000,MATCH(I893,DB_malas!$A$2:$A$5000,0)),IF(INDEX(DB_materiali!$E$2:$E$5000,MATCH($C893,DB_materiali!$A$2:$A$5000,0))&lt;=INDEX(DB_malas!$D$2:$D$5000,MATCH(I893,DB_malas!$A$2:$A$5000,0)),IF(OR(INDEX(DB_materiali!$B$2:$B$5000,MATCH($C893,DB_materiali!$A$2:$A$5000,0))=INDEX(DB_malas!$B$2:$B$5000,MATCH(I893,DB_malas!$A$2:$A$5000,0)),$H893="ORG"),"✔",tulkojums!$A$38),tulkojums!$A$39),tulkojums!$A$39))</f>
        <v/>
      </c>
      <c r="R893" s="2" t="str">
        <f>IF(ISBLANK(J893),"",IF(INDEX(DB_materiali!$E$2:$E$5000,MATCH($C893,DB_materiali!$A$2:$A$5000,0))&gt;=INDEX(DB_malas!$C$2:$C$5000,MATCH(J893,DB_malas!$A$2:$A$5000,0)),IF(INDEX(DB_materiali!$E$2:$E$5000,MATCH($C893,DB_materiali!$A$2:$A$5000,0))&lt;=INDEX(DB_malas!$D$2:$D$5000,MATCH(J893,DB_malas!$A$2:$A$5000,0)),IF(INDEX(DB_materiali!$B$2:$B$5000,MATCH($C893,DB_materiali!$A$2:$A$5000,0))=INDEX(DB_malas!$B$2:$B$5000,MATCH(J893,DB_malas!$A$2:$A$5000,0)),"✔",tulkojums!$A$38),tulkojums!$A$39),tulkojums!$A$39))</f>
        <v/>
      </c>
      <c r="S893" s="2" t="str">
        <f>IF(ISBLANK(K893),"",IF(INDEX(DB_materiali!$E$2:$E$5000,MATCH($C893,DB_materiali!$A$2:$A$5000,0))&gt;=INDEX(DB_malas!$C$2:$C$5000,MATCH(K893,DB_malas!$A$2:$A$5000,0)),IF(INDEX(DB_materiali!$E$2:$E$5000,MATCH($C893,DB_materiali!$A$2:$A$5000,0))&lt;=INDEX(DB_malas!$D$2:$D$5000,MATCH(K893,DB_malas!$A$2:$A$5000,0)),IF(INDEX(DB_materiali!$B$2:$B$5000,MATCH($C893,DB_materiali!$A$2:$A$5000,0))=INDEX(DB_malas!$B$2:$B$5000,MATCH(K893,DB_malas!$A$2:$A$5000,0)),"✔",tulkojums!$A$38),tulkojums!$A$39),tulkojums!$A$39))</f>
        <v/>
      </c>
      <c r="T893" s="2"/>
      <c r="U893" s="2"/>
      <c r="V893" s="2"/>
      <c r="W893" s="2"/>
      <c r="X893" s="2"/>
      <c r="Y893" s="2"/>
      <c r="Z893" s="2"/>
    </row>
    <row r="894" spans="1:26" ht="15.75" customHeight="1">
      <c r="A894" s="17"/>
      <c r="B894" s="18"/>
      <c r="C894" s="19"/>
      <c r="D894" s="55"/>
      <c r="E894" s="55"/>
      <c r="F894" s="56"/>
      <c r="G894" s="57" t="str">
        <f>IF(ISBLANK(C894),"",
   IFERROR(
      IF(
         INDEX(DB_materiali!C$2:C$5000,
               MATCH(C894, DB_materiali!A$2:A$5000, 0)
         )="FALSE",
         "N",
         "Y"
      ),
   "")
)</f>
        <v/>
      </c>
      <c r="H894" s="20"/>
      <c r="I894" s="20"/>
      <c r="J894" s="20"/>
      <c r="K894" s="20"/>
      <c r="M894" s="2" t="str">
        <f>IF(ISBLANK(C894),"",IF(IFERROR(VLOOKUP(C894,DB_materiali!$A$2:$A$5000,1,FALSE),"Kļūda artikulā")=C894,"✔",tulkojums!A$42))</f>
        <v/>
      </c>
      <c r="N894" s="2" t="str">
        <f>IF(ISBLANK(C894),"",IF(ISNUMBER(F894)=TRUE,"✔",tulkojums!A$43))</f>
        <v/>
      </c>
      <c r="O894" s="2" t="str">
        <f>IF(ISBLANK(C894),"",IF(G894="Y","✔",IF(G894="X","✔",IF(G894="N","✔",tulkojums!A$44))))</f>
        <v/>
      </c>
      <c r="P894" s="2" t="str">
        <f>IF(ISBLANK(H894),"",IF(INDEX(DB_materiali!$E$2:$E$5000,MATCH($C894,DB_materiali!$A$2:$A$5000,0))&gt;=INDEX(DB_malas!$C$2:$C$5000,MATCH(H894,DB_malas!$A$2:$A$5000,0)),IF(INDEX(DB_materiali!$E$2:$E$5000,MATCH($C894,DB_materiali!$A$2:$A$5000,0))&lt;=INDEX(DB_malas!$D$2:$D$5000,MATCH(H894,DB_malas!$A$2:$A$5000,0)),IF(OR(INDEX(DB_materiali!$B$2:$B$5000,MATCH($C894,DB_materiali!$A$2:$A$5000,0))=INDEX(DB_malas!$B$2:$B$5000,MATCH(H894,DB_malas!$A$2:$A$5000,0)),$H894="ORG"),"✔",tulkojums!$A$38),tulkojums!$A$39),tulkojums!$A$39))</f>
        <v/>
      </c>
      <c r="Q894" s="2" t="str">
        <f>IF(ISBLANK(I894),"",IF(INDEX(DB_materiali!$E$2:$E$5000,MATCH($C894,DB_materiali!$A$2:$A$5000,0))&gt;=INDEX(DB_malas!$C$2:$C$5000,MATCH(I894,DB_malas!$A$2:$A$5000,0)),IF(INDEX(DB_materiali!$E$2:$E$5000,MATCH($C894,DB_materiali!$A$2:$A$5000,0))&lt;=INDEX(DB_malas!$D$2:$D$5000,MATCH(I894,DB_malas!$A$2:$A$5000,0)),IF(OR(INDEX(DB_materiali!$B$2:$B$5000,MATCH($C894,DB_materiali!$A$2:$A$5000,0))=INDEX(DB_malas!$B$2:$B$5000,MATCH(I894,DB_malas!$A$2:$A$5000,0)),$H894="ORG"),"✔",tulkojums!$A$38),tulkojums!$A$39),tulkojums!$A$39))</f>
        <v/>
      </c>
      <c r="R894" s="2" t="str">
        <f>IF(ISBLANK(J894),"",IF(INDEX(DB_materiali!$E$2:$E$5000,MATCH($C894,DB_materiali!$A$2:$A$5000,0))&gt;=INDEX(DB_malas!$C$2:$C$5000,MATCH(J894,DB_malas!$A$2:$A$5000,0)),IF(INDEX(DB_materiali!$E$2:$E$5000,MATCH($C894,DB_materiali!$A$2:$A$5000,0))&lt;=INDEX(DB_malas!$D$2:$D$5000,MATCH(J894,DB_malas!$A$2:$A$5000,0)),IF(INDEX(DB_materiali!$B$2:$B$5000,MATCH($C894,DB_materiali!$A$2:$A$5000,0))=INDEX(DB_malas!$B$2:$B$5000,MATCH(J894,DB_malas!$A$2:$A$5000,0)),"✔",tulkojums!$A$38),tulkojums!$A$39),tulkojums!$A$39))</f>
        <v/>
      </c>
      <c r="S894" s="2" t="str">
        <f>IF(ISBLANK(K894),"",IF(INDEX(DB_materiali!$E$2:$E$5000,MATCH($C894,DB_materiali!$A$2:$A$5000,0))&gt;=INDEX(DB_malas!$C$2:$C$5000,MATCH(K894,DB_malas!$A$2:$A$5000,0)),IF(INDEX(DB_materiali!$E$2:$E$5000,MATCH($C894,DB_materiali!$A$2:$A$5000,0))&lt;=INDEX(DB_malas!$D$2:$D$5000,MATCH(K894,DB_malas!$A$2:$A$5000,0)),IF(INDEX(DB_materiali!$B$2:$B$5000,MATCH($C894,DB_materiali!$A$2:$A$5000,0))=INDEX(DB_malas!$B$2:$B$5000,MATCH(K894,DB_malas!$A$2:$A$5000,0)),"✔",tulkojums!$A$38),tulkojums!$A$39),tulkojums!$A$39))</f>
        <v/>
      </c>
      <c r="T894" s="2"/>
      <c r="U894" s="2"/>
      <c r="V894" s="2"/>
      <c r="W894" s="2"/>
      <c r="X894" s="2"/>
      <c r="Y894" s="2"/>
      <c r="Z894" s="2"/>
    </row>
    <row r="895" spans="1:26" ht="15.75" customHeight="1">
      <c r="A895" s="17"/>
      <c r="B895" s="18"/>
      <c r="C895" s="19"/>
      <c r="D895" s="55"/>
      <c r="E895" s="55"/>
      <c r="F895" s="56"/>
      <c r="G895" s="57" t="str">
        <f>IF(ISBLANK(C895),"",
   IFERROR(
      IF(
         INDEX(DB_materiali!C$2:C$5000,
               MATCH(C895, DB_materiali!A$2:A$5000, 0)
         )="FALSE",
         "N",
         "Y"
      ),
   "")
)</f>
        <v/>
      </c>
      <c r="H895" s="20"/>
      <c r="I895" s="20"/>
      <c r="J895" s="20"/>
      <c r="K895" s="20"/>
      <c r="M895" s="2" t="str">
        <f>IF(ISBLANK(C895),"",IF(IFERROR(VLOOKUP(C895,DB_materiali!$A$2:$A$5000,1,FALSE),"Kļūda artikulā")=C895,"✔",tulkojums!A$42))</f>
        <v/>
      </c>
      <c r="N895" s="2" t="str">
        <f>IF(ISBLANK(C895),"",IF(ISNUMBER(F895)=TRUE,"✔",tulkojums!A$43))</f>
        <v/>
      </c>
      <c r="O895" s="2" t="str">
        <f>IF(ISBLANK(C895),"",IF(G895="Y","✔",IF(G895="X","✔",IF(G895="N","✔",tulkojums!A$44))))</f>
        <v/>
      </c>
      <c r="P895" s="2" t="str">
        <f>IF(ISBLANK(H895),"",IF(INDEX(DB_materiali!$E$2:$E$5000,MATCH($C895,DB_materiali!$A$2:$A$5000,0))&gt;=INDEX(DB_malas!$C$2:$C$5000,MATCH(H895,DB_malas!$A$2:$A$5000,0)),IF(INDEX(DB_materiali!$E$2:$E$5000,MATCH($C895,DB_materiali!$A$2:$A$5000,0))&lt;=INDEX(DB_malas!$D$2:$D$5000,MATCH(H895,DB_malas!$A$2:$A$5000,0)),IF(OR(INDEX(DB_materiali!$B$2:$B$5000,MATCH($C895,DB_materiali!$A$2:$A$5000,0))=INDEX(DB_malas!$B$2:$B$5000,MATCH(H895,DB_malas!$A$2:$A$5000,0)),$H895="ORG"),"✔",tulkojums!$A$38),tulkojums!$A$39),tulkojums!$A$39))</f>
        <v/>
      </c>
      <c r="Q895" s="2" t="str">
        <f>IF(ISBLANK(I895),"",IF(INDEX(DB_materiali!$E$2:$E$5000,MATCH($C895,DB_materiali!$A$2:$A$5000,0))&gt;=INDEX(DB_malas!$C$2:$C$5000,MATCH(I895,DB_malas!$A$2:$A$5000,0)),IF(INDEX(DB_materiali!$E$2:$E$5000,MATCH($C895,DB_materiali!$A$2:$A$5000,0))&lt;=INDEX(DB_malas!$D$2:$D$5000,MATCH(I895,DB_malas!$A$2:$A$5000,0)),IF(OR(INDEX(DB_materiali!$B$2:$B$5000,MATCH($C895,DB_materiali!$A$2:$A$5000,0))=INDEX(DB_malas!$B$2:$B$5000,MATCH(I895,DB_malas!$A$2:$A$5000,0)),$H895="ORG"),"✔",tulkojums!$A$38),tulkojums!$A$39),tulkojums!$A$39))</f>
        <v/>
      </c>
      <c r="R895" s="2" t="str">
        <f>IF(ISBLANK(J895),"",IF(INDEX(DB_materiali!$E$2:$E$5000,MATCH($C895,DB_materiali!$A$2:$A$5000,0))&gt;=INDEX(DB_malas!$C$2:$C$5000,MATCH(J895,DB_malas!$A$2:$A$5000,0)),IF(INDEX(DB_materiali!$E$2:$E$5000,MATCH($C895,DB_materiali!$A$2:$A$5000,0))&lt;=INDEX(DB_malas!$D$2:$D$5000,MATCH(J895,DB_malas!$A$2:$A$5000,0)),IF(INDEX(DB_materiali!$B$2:$B$5000,MATCH($C895,DB_materiali!$A$2:$A$5000,0))=INDEX(DB_malas!$B$2:$B$5000,MATCH(J895,DB_malas!$A$2:$A$5000,0)),"✔",tulkojums!$A$38),tulkojums!$A$39),tulkojums!$A$39))</f>
        <v/>
      </c>
      <c r="S895" s="2" t="str">
        <f>IF(ISBLANK(K895),"",IF(INDEX(DB_materiali!$E$2:$E$5000,MATCH($C895,DB_materiali!$A$2:$A$5000,0))&gt;=INDEX(DB_malas!$C$2:$C$5000,MATCH(K895,DB_malas!$A$2:$A$5000,0)),IF(INDEX(DB_materiali!$E$2:$E$5000,MATCH($C895,DB_materiali!$A$2:$A$5000,0))&lt;=INDEX(DB_malas!$D$2:$D$5000,MATCH(K895,DB_malas!$A$2:$A$5000,0)),IF(INDEX(DB_materiali!$B$2:$B$5000,MATCH($C895,DB_materiali!$A$2:$A$5000,0))=INDEX(DB_malas!$B$2:$B$5000,MATCH(K895,DB_malas!$A$2:$A$5000,0)),"✔",tulkojums!$A$38),tulkojums!$A$39),tulkojums!$A$39))</f>
        <v/>
      </c>
      <c r="T895" s="2"/>
      <c r="U895" s="2"/>
      <c r="V895" s="2"/>
      <c r="W895" s="2"/>
      <c r="X895" s="2"/>
      <c r="Y895" s="2"/>
      <c r="Z895" s="2"/>
    </row>
    <row r="896" spans="1:26" ht="15.75" customHeight="1">
      <c r="A896" s="17"/>
      <c r="B896" s="18"/>
      <c r="C896" s="19"/>
      <c r="D896" s="55"/>
      <c r="E896" s="55"/>
      <c r="F896" s="56"/>
      <c r="G896" s="57" t="str">
        <f>IF(ISBLANK(C896),"",
   IFERROR(
      IF(
         INDEX(DB_materiali!C$2:C$5000,
               MATCH(C896, DB_materiali!A$2:A$5000, 0)
         )="FALSE",
         "N",
         "Y"
      ),
   "")
)</f>
        <v/>
      </c>
      <c r="H896" s="20"/>
      <c r="I896" s="20"/>
      <c r="J896" s="20"/>
      <c r="K896" s="20"/>
      <c r="M896" s="2" t="str">
        <f>IF(ISBLANK(C896),"",IF(IFERROR(VLOOKUP(C896,DB_materiali!$A$2:$A$5000,1,FALSE),"Kļūda artikulā")=C896,"✔",tulkojums!A$42))</f>
        <v/>
      </c>
      <c r="N896" s="2" t="str">
        <f>IF(ISBLANK(C896),"",IF(ISNUMBER(F896)=TRUE,"✔",tulkojums!A$43))</f>
        <v/>
      </c>
      <c r="O896" s="2" t="str">
        <f>IF(ISBLANK(C896),"",IF(G896="Y","✔",IF(G896="X","✔",IF(G896="N","✔",tulkojums!A$44))))</f>
        <v/>
      </c>
      <c r="P896" s="2" t="str">
        <f>IF(ISBLANK(H896),"",IF(INDEX(DB_materiali!$E$2:$E$5000,MATCH($C896,DB_materiali!$A$2:$A$5000,0))&gt;=INDEX(DB_malas!$C$2:$C$5000,MATCH(H896,DB_malas!$A$2:$A$5000,0)),IF(INDEX(DB_materiali!$E$2:$E$5000,MATCH($C896,DB_materiali!$A$2:$A$5000,0))&lt;=INDEX(DB_malas!$D$2:$D$5000,MATCH(H896,DB_malas!$A$2:$A$5000,0)),IF(OR(INDEX(DB_materiali!$B$2:$B$5000,MATCH($C896,DB_materiali!$A$2:$A$5000,0))=INDEX(DB_malas!$B$2:$B$5000,MATCH(H896,DB_malas!$A$2:$A$5000,0)),$H896="ORG"),"✔",tulkojums!$A$38),tulkojums!$A$39),tulkojums!$A$39))</f>
        <v/>
      </c>
      <c r="Q896" s="2" t="str">
        <f>IF(ISBLANK(I896),"",IF(INDEX(DB_materiali!$E$2:$E$5000,MATCH($C896,DB_materiali!$A$2:$A$5000,0))&gt;=INDEX(DB_malas!$C$2:$C$5000,MATCH(I896,DB_malas!$A$2:$A$5000,0)),IF(INDEX(DB_materiali!$E$2:$E$5000,MATCH($C896,DB_materiali!$A$2:$A$5000,0))&lt;=INDEX(DB_malas!$D$2:$D$5000,MATCH(I896,DB_malas!$A$2:$A$5000,0)),IF(OR(INDEX(DB_materiali!$B$2:$B$5000,MATCH($C896,DB_materiali!$A$2:$A$5000,0))=INDEX(DB_malas!$B$2:$B$5000,MATCH(I896,DB_malas!$A$2:$A$5000,0)),$H896="ORG"),"✔",tulkojums!$A$38),tulkojums!$A$39),tulkojums!$A$39))</f>
        <v/>
      </c>
      <c r="R896" s="2" t="str">
        <f>IF(ISBLANK(J896),"",IF(INDEX(DB_materiali!$E$2:$E$5000,MATCH($C896,DB_materiali!$A$2:$A$5000,0))&gt;=INDEX(DB_malas!$C$2:$C$5000,MATCH(J896,DB_malas!$A$2:$A$5000,0)),IF(INDEX(DB_materiali!$E$2:$E$5000,MATCH($C896,DB_materiali!$A$2:$A$5000,0))&lt;=INDEX(DB_malas!$D$2:$D$5000,MATCH(J896,DB_malas!$A$2:$A$5000,0)),IF(INDEX(DB_materiali!$B$2:$B$5000,MATCH($C896,DB_materiali!$A$2:$A$5000,0))=INDEX(DB_malas!$B$2:$B$5000,MATCH(J896,DB_malas!$A$2:$A$5000,0)),"✔",tulkojums!$A$38),tulkojums!$A$39),tulkojums!$A$39))</f>
        <v/>
      </c>
      <c r="S896" s="2" t="str">
        <f>IF(ISBLANK(K896),"",IF(INDEX(DB_materiali!$E$2:$E$5000,MATCH($C896,DB_materiali!$A$2:$A$5000,0))&gt;=INDEX(DB_malas!$C$2:$C$5000,MATCH(K896,DB_malas!$A$2:$A$5000,0)),IF(INDEX(DB_materiali!$E$2:$E$5000,MATCH($C896,DB_materiali!$A$2:$A$5000,0))&lt;=INDEX(DB_malas!$D$2:$D$5000,MATCH(K896,DB_malas!$A$2:$A$5000,0)),IF(INDEX(DB_materiali!$B$2:$B$5000,MATCH($C896,DB_materiali!$A$2:$A$5000,0))=INDEX(DB_malas!$B$2:$B$5000,MATCH(K896,DB_malas!$A$2:$A$5000,0)),"✔",tulkojums!$A$38),tulkojums!$A$39),tulkojums!$A$39))</f>
        <v/>
      </c>
      <c r="T896" s="2"/>
      <c r="U896" s="2"/>
      <c r="V896" s="2"/>
      <c r="W896" s="2"/>
      <c r="X896" s="2"/>
      <c r="Y896" s="2"/>
      <c r="Z896" s="2"/>
    </row>
    <row r="897" spans="1:26" ht="15.75" customHeight="1">
      <c r="A897" s="17"/>
      <c r="B897" s="18"/>
      <c r="C897" s="19"/>
      <c r="D897" s="55"/>
      <c r="E897" s="55"/>
      <c r="F897" s="56"/>
      <c r="G897" s="57" t="str">
        <f>IF(ISBLANK(C897),"",
   IFERROR(
      IF(
         INDEX(DB_materiali!C$2:C$5000,
               MATCH(C897, DB_materiali!A$2:A$5000, 0)
         )="FALSE",
         "N",
         "Y"
      ),
   "")
)</f>
        <v/>
      </c>
      <c r="H897" s="20"/>
      <c r="I897" s="20"/>
      <c r="J897" s="20"/>
      <c r="K897" s="20"/>
      <c r="M897" s="2" t="str">
        <f>IF(ISBLANK(C897),"",IF(IFERROR(VLOOKUP(C897,DB_materiali!$A$2:$A$5000,1,FALSE),"Kļūda artikulā")=C897,"✔",tulkojums!A$42))</f>
        <v/>
      </c>
      <c r="N897" s="2" t="str">
        <f>IF(ISBLANK(C897),"",IF(ISNUMBER(F897)=TRUE,"✔",tulkojums!A$43))</f>
        <v/>
      </c>
      <c r="O897" s="2" t="str">
        <f>IF(ISBLANK(C897),"",IF(G897="Y","✔",IF(G897="X","✔",IF(G897="N","✔",tulkojums!A$44))))</f>
        <v/>
      </c>
      <c r="P897" s="2" t="str">
        <f>IF(ISBLANK(H897),"",IF(INDEX(DB_materiali!$E$2:$E$5000,MATCH($C897,DB_materiali!$A$2:$A$5000,0))&gt;=INDEX(DB_malas!$C$2:$C$5000,MATCH(H897,DB_malas!$A$2:$A$5000,0)),IF(INDEX(DB_materiali!$E$2:$E$5000,MATCH($C897,DB_materiali!$A$2:$A$5000,0))&lt;=INDEX(DB_malas!$D$2:$D$5000,MATCH(H897,DB_malas!$A$2:$A$5000,0)),IF(OR(INDEX(DB_materiali!$B$2:$B$5000,MATCH($C897,DB_materiali!$A$2:$A$5000,0))=INDEX(DB_malas!$B$2:$B$5000,MATCH(H897,DB_malas!$A$2:$A$5000,0)),$H897="ORG"),"✔",tulkojums!$A$38),tulkojums!$A$39),tulkojums!$A$39))</f>
        <v/>
      </c>
      <c r="Q897" s="2" t="str">
        <f>IF(ISBLANK(I897),"",IF(INDEX(DB_materiali!$E$2:$E$5000,MATCH($C897,DB_materiali!$A$2:$A$5000,0))&gt;=INDEX(DB_malas!$C$2:$C$5000,MATCH(I897,DB_malas!$A$2:$A$5000,0)),IF(INDEX(DB_materiali!$E$2:$E$5000,MATCH($C897,DB_materiali!$A$2:$A$5000,0))&lt;=INDEX(DB_malas!$D$2:$D$5000,MATCH(I897,DB_malas!$A$2:$A$5000,0)),IF(OR(INDEX(DB_materiali!$B$2:$B$5000,MATCH($C897,DB_materiali!$A$2:$A$5000,0))=INDEX(DB_malas!$B$2:$B$5000,MATCH(I897,DB_malas!$A$2:$A$5000,0)),$H897="ORG"),"✔",tulkojums!$A$38),tulkojums!$A$39),tulkojums!$A$39))</f>
        <v/>
      </c>
      <c r="R897" s="2" t="str">
        <f>IF(ISBLANK(J897),"",IF(INDEX(DB_materiali!$E$2:$E$5000,MATCH($C897,DB_materiali!$A$2:$A$5000,0))&gt;=INDEX(DB_malas!$C$2:$C$5000,MATCH(J897,DB_malas!$A$2:$A$5000,0)),IF(INDEX(DB_materiali!$E$2:$E$5000,MATCH($C897,DB_materiali!$A$2:$A$5000,0))&lt;=INDEX(DB_malas!$D$2:$D$5000,MATCH(J897,DB_malas!$A$2:$A$5000,0)),IF(INDEX(DB_materiali!$B$2:$B$5000,MATCH($C897,DB_materiali!$A$2:$A$5000,0))=INDEX(DB_malas!$B$2:$B$5000,MATCH(J897,DB_malas!$A$2:$A$5000,0)),"✔",tulkojums!$A$38),tulkojums!$A$39),tulkojums!$A$39))</f>
        <v/>
      </c>
      <c r="S897" s="2" t="str">
        <f>IF(ISBLANK(K897),"",IF(INDEX(DB_materiali!$E$2:$E$5000,MATCH($C897,DB_materiali!$A$2:$A$5000,0))&gt;=INDEX(DB_malas!$C$2:$C$5000,MATCH(K897,DB_malas!$A$2:$A$5000,0)),IF(INDEX(DB_materiali!$E$2:$E$5000,MATCH($C897,DB_materiali!$A$2:$A$5000,0))&lt;=INDEX(DB_malas!$D$2:$D$5000,MATCH(K897,DB_malas!$A$2:$A$5000,0)),IF(INDEX(DB_materiali!$B$2:$B$5000,MATCH($C897,DB_materiali!$A$2:$A$5000,0))=INDEX(DB_malas!$B$2:$B$5000,MATCH(K897,DB_malas!$A$2:$A$5000,0)),"✔",tulkojums!$A$38),tulkojums!$A$39),tulkojums!$A$39))</f>
        <v/>
      </c>
      <c r="T897" s="2"/>
      <c r="U897" s="2"/>
      <c r="V897" s="2"/>
      <c r="W897" s="2"/>
      <c r="X897" s="2"/>
      <c r="Y897" s="2"/>
      <c r="Z897" s="2"/>
    </row>
    <row r="898" spans="1:26" ht="15.75" customHeight="1">
      <c r="A898" s="17"/>
      <c r="B898" s="18"/>
      <c r="C898" s="19"/>
      <c r="D898" s="55"/>
      <c r="E898" s="55"/>
      <c r="F898" s="56"/>
      <c r="G898" s="57" t="str">
        <f>IF(ISBLANK(C898),"",
   IFERROR(
      IF(
         INDEX(DB_materiali!C$2:C$5000,
               MATCH(C898, DB_materiali!A$2:A$5000, 0)
         )="FALSE",
         "N",
         "Y"
      ),
   "")
)</f>
        <v/>
      </c>
      <c r="H898" s="20"/>
      <c r="I898" s="20"/>
      <c r="J898" s="20"/>
      <c r="K898" s="20"/>
      <c r="M898" s="2" t="str">
        <f>IF(ISBLANK(C898),"",IF(IFERROR(VLOOKUP(C898,DB_materiali!$A$2:$A$5000,1,FALSE),"Kļūda artikulā")=C898,"✔",tulkojums!A$42))</f>
        <v/>
      </c>
      <c r="N898" s="2" t="str">
        <f>IF(ISBLANK(C898),"",IF(ISNUMBER(F898)=TRUE,"✔",tulkojums!A$43))</f>
        <v/>
      </c>
      <c r="O898" s="2" t="str">
        <f>IF(ISBLANK(C898),"",IF(G898="Y","✔",IF(G898="X","✔",IF(G898="N","✔",tulkojums!A$44))))</f>
        <v/>
      </c>
      <c r="P898" s="2" t="str">
        <f>IF(ISBLANK(H898),"",IF(INDEX(DB_materiali!$E$2:$E$5000,MATCH($C898,DB_materiali!$A$2:$A$5000,0))&gt;=INDEX(DB_malas!$C$2:$C$5000,MATCH(H898,DB_malas!$A$2:$A$5000,0)),IF(INDEX(DB_materiali!$E$2:$E$5000,MATCH($C898,DB_materiali!$A$2:$A$5000,0))&lt;=INDEX(DB_malas!$D$2:$D$5000,MATCH(H898,DB_malas!$A$2:$A$5000,0)),IF(OR(INDEX(DB_materiali!$B$2:$B$5000,MATCH($C898,DB_materiali!$A$2:$A$5000,0))=INDEX(DB_malas!$B$2:$B$5000,MATCH(H898,DB_malas!$A$2:$A$5000,0)),$H898="ORG"),"✔",tulkojums!$A$38),tulkojums!$A$39),tulkojums!$A$39))</f>
        <v/>
      </c>
      <c r="Q898" s="2" t="str">
        <f>IF(ISBLANK(I898),"",IF(INDEX(DB_materiali!$E$2:$E$5000,MATCH($C898,DB_materiali!$A$2:$A$5000,0))&gt;=INDEX(DB_malas!$C$2:$C$5000,MATCH(I898,DB_malas!$A$2:$A$5000,0)),IF(INDEX(DB_materiali!$E$2:$E$5000,MATCH($C898,DB_materiali!$A$2:$A$5000,0))&lt;=INDEX(DB_malas!$D$2:$D$5000,MATCH(I898,DB_malas!$A$2:$A$5000,0)),IF(OR(INDEX(DB_materiali!$B$2:$B$5000,MATCH($C898,DB_materiali!$A$2:$A$5000,0))=INDEX(DB_malas!$B$2:$B$5000,MATCH(I898,DB_malas!$A$2:$A$5000,0)),$H898="ORG"),"✔",tulkojums!$A$38),tulkojums!$A$39),tulkojums!$A$39))</f>
        <v/>
      </c>
      <c r="R898" s="2" t="str">
        <f>IF(ISBLANK(J898),"",IF(INDEX(DB_materiali!$E$2:$E$5000,MATCH($C898,DB_materiali!$A$2:$A$5000,0))&gt;=INDEX(DB_malas!$C$2:$C$5000,MATCH(J898,DB_malas!$A$2:$A$5000,0)),IF(INDEX(DB_materiali!$E$2:$E$5000,MATCH($C898,DB_materiali!$A$2:$A$5000,0))&lt;=INDEX(DB_malas!$D$2:$D$5000,MATCH(J898,DB_malas!$A$2:$A$5000,0)),IF(INDEX(DB_materiali!$B$2:$B$5000,MATCH($C898,DB_materiali!$A$2:$A$5000,0))=INDEX(DB_malas!$B$2:$B$5000,MATCH(J898,DB_malas!$A$2:$A$5000,0)),"✔",tulkojums!$A$38),tulkojums!$A$39),tulkojums!$A$39))</f>
        <v/>
      </c>
      <c r="S898" s="2" t="str">
        <f>IF(ISBLANK(K898),"",IF(INDEX(DB_materiali!$E$2:$E$5000,MATCH($C898,DB_materiali!$A$2:$A$5000,0))&gt;=INDEX(DB_malas!$C$2:$C$5000,MATCH(K898,DB_malas!$A$2:$A$5000,0)),IF(INDEX(DB_materiali!$E$2:$E$5000,MATCH($C898,DB_materiali!$A$2:$A$5000,0))&lt;=INDEX(DB_malas!$D$2:$D$5000,MATCH(K898,DB_malas!$A$2:$A$5000,0)),IF(INDEX(DB_materiali!$B$2:$B$5000,MATCH($C898,DB_materiali!$A$2:$A$5000,0))=INDEX(DB_malas!$B$2:$B$5000,MATCH(K898,DB_malas!$A$2:$A$5000,0)),"✔",tulkojums!$A$38),tulkojums!$A$39),tulkojums!$A$39))</f>
        <v/>
      </c>
      <c r="T898" s="2"/>
      <c r="U898" s="2"/>
      <c r="V898" s="2"/>
      <c r="W898" s="2"/>
      <c r="X898" s="2"/>
      <c r="Y898" s="2"/>
      <c r="Z898" s="2"/>
    </row>
    <row r="899" spans="1:26" ht="15.75" customHeight="1">
      <c r="A899" s="17"/>
      <c r="B899" s="18"/>
      <c r="C899" s="19"/>
      <c r="D899" s="55"/>
      <c r="E899" s="55"/>
      <c r="F899" s="56"/>
      <c r="G899" s="57" t="str">
        <f>IF(ISBLANK(C899),"",
   IFERROR(
      IF(
         INDEX(DB_materiali!C$2:C$5000,
               MATCH(C899, DB_materiali!A$2:A$5000, 0)
         )="FALSE",
         "N",
         "Y"
      ),
   "")
)</f>
        <v/>
      </c>
      <c r="H899" s="20"/>
      <c r="I899" s="20"/>
      <c r="J899" s="20"/>
      <c r="K899" s="20"/>
      <c r="M899" s="2" t="str">
        <f>IF(ISBLANK(C899),"",IF(IFERROR(VLOOKUP(C899,DB_materiali!$A$2:$A$5000,1,FALSE),"Kļūda artikulā")=C899,"✔",tulkojums!A$42))</f>
        <v/>
      </c>
      <c r="N899" s="2" t="str">
        <f>IF(ISBLANK(C899),"",IF(ISNUMBER(F899)=TRUE,"✔",tulkojums!A$43))</f>
        <v/>
      </c>
      <c r="O899" s="2" t="str">
        <f>IF(ISBLANK(C899),"",IF(G899="Y","✔",IF(G899="X","✔",IF(G899="N","✔",tulkojums!A$44))))</f>
        <v/>
      </c>
      <c r="P899" s="2" t="str">
        <f>IF(ISBLANK(H899),"",IF(INDEX(DB_materiali!$E$2:$E$5000,MATCH($C899,DB_materiali!$A$2:$A$5000,0))&gt;=INDEX(DB_malas!$C$2:$C$5000,MATCH(H899,DB_malas!$A$2:$A$5000,0)),IF(INDEX(DB_materiali!$E$2:$E$5000,MATCH($C899,DB_materiali!$A$2:$A$5000,0))&lt;=INDEX(DB_malas!$D$2:$D$5000,MATCH(H899,DB_malas!$A$2:$A$5000,0)),IF(OR(INDEX(DB_materiali!$B$2:$B$5000,MATCH($C899,DB_materiali!$A$2:$A$5000,0))=INDEX(DB_malas!$B$2:$B$5000,MATCH(H899,DB_malas!$A$2:$A$5000,0)),$H899="ORG"),"✔",tulkojums!$A$38),tulkojums!$A$39),tulkojums!$A$39))</f>
        <v/>
      </c>
      <c r="Q899" s="2" t="str">
        <f>IF(ISBLANK(I899),"",IF(INDEX(DB_materiali!$E$2:$E$5000,MATCH($C899,DB_materiali!$A$2:$A$5000,0))&gt;=INDEX(DB_malas!$C$2:$C$5000,MATCH(I899,DB_malas!$A$2:$A$5000,0)),IF(INDEX(DB_materiali!$E$2:$E$5000,MATCH($C899,DB_materiali!$A$2:$A$5000,0))&lt;=INDEX(DB_malas!$D$2:$D$5000,MATCH(I899,DB_malas!$A$2:$A$5000,0)),IF(OR(INDEX(DB_materiali!$B$2:$B$5000,MATCH($C899,DB_materiali!$A$2:$A$5000,0))=INDEX(DB_malas!$B$2:$B$5000,MATCH(I899,DB_malas!$A$2:$A$5000,0)),$H899="ORG"),"✔",tulkojums!$A$38),tulkojums!$A$39),tulkojums!$A$39))</f>
        <v/>
      </c>
      <c r="R899" s="2" t="str">
        <f>IF(ISBLANK(J899),"",IF(INDEX(DB_materiali!$E$2:$E$5000,MATCH($C899,DB_materiali!$A$2:$A$5000,0))&gt;=INDEX(DB_malas!$C$2:$C$5000,MATCH(J899,DB_malas!$A$2:$A$5000,0)),IF(INDEX(DB_materiali!$E$2:$E$5000,MATCH($C899,DB_materiali!$A$2:$A$5000,0))&lt;=INDEX(DB_malas!$D$2:$D$5000,MATCH(J899,DB_malas!$A$2:$A$5000,0)),IF(INDEX(DB_materiali!$B$2:$B$5000,MATCH($C899,DB_materiali!$A$2:$A$5000,0))=INDEX(DB_malas!$B$2:$B$5000,MATCH(J899,DB_malas!$A$2:$A$5000,0)),"✔",tulkojums!$A$38),tulkojums!$A$39),tulkojums!$A$39))</f>
        <v/>
      </c>
      <c r="S899" s="2" t="str">
        <f>IF(ISBLANK(K899),"",IF(INDEX(DB_materiali!$E$2:$E$5000,MATCH($C899,DB_materiali!$A$2:$A$5000,0))&gt;=INDEX(DB_malas!$C$2:$C$5000,MATCH(K899,DB_malas!$A$2:$A$5000,0)),IF(INDEX(DB_materiali!$E$2:$E$5000,MATCH($C899,DB_materiali!$A$2:$A$5000,0))&lt;=INDEX(DB_malas!$D$2:$D$5000,MATCH(K899,DB_malas!$A$2:$A$5000,0)),IF(INDEX(DB_materiali!$B$2:$B$5000,MATCH($C899,DB_materiali!$A$2:$A$5000,0))=INDEX(DB_malas!$B$2:$B$5000,MATCH(K899,DB_malas!$A$2:$A$5000,0)),"✔",tulkojums!$A$38),tulkojums!$A$39),tulkojums!$A$39))</f>
        <v/>
      </c>
      <c r="T899" s="2"/>
      <c r="U899" s="2"/>
      <c r="V899" s="2"/>
      <c r="W899" s="2"/>
      <c r="X899" s="2"/>
      <c r="Y899" s="2"/>
      <c r="Z899" s="2"/>
    </row>
    <row r="900" spans="1:26" ht="15.75" customHeight="1">
      <c r="A900" s="17"/>
      <c r="B900" s="18"/>
      <c r="C900" s="19"/>
      <c r="D900" s="55"/>
      <c r="E900" s="55"/>
      <c r="F900" s="56"/>
      <c r="G900" s="57" t="str">
        <f>IF(ISBLANK(C900),"",
   IFERROR(
      IF(
         INDEX(DB_materiali!C$2:C$5000,
               MATCH(C900, DB_materiali!A$2:A$5000, 0)
         )="FALSE",
         "N",
         "Y"
      ),
   "")
)</f>
        <v/>
      </c>
      <c r="H900" s="20"/>
      <c r="I900" s="20"/>
      <c r="J900" s="20"/>
      <c r="K900" s="20"/>
      <c r="M900" s="2" t="str">
        <f>IF(ISBLANK(C900),"",IF(IFERROR(VLOOKUP(C900,DB_materiali!$A$2:$A$5000,1,FALSE),"Kļūda artikulā")=C900,"✔",tulkojums!A$42))</f>
        <v/>
      </c>
      <c r="N900" s="2" t="str">
        <f>IF(ISBLANK(C900),"",IF(ISNUMBER(F900)=TRUE,"✔",tulkojums!A$43))</f>
        <v/>
      </c>
      <c r="O900" s="2" t="str">
        <f>IF(ISBLANK(C900),"",IF(G900="Y","✔",IF(G900="X","✔",IF(G900="N","✔",tulkojums!A$44))))</f>
        <v/>
      </c>
      <c r="P900" s="2" t="str">
        <f>IF(ISBLANK(H900),"",IF(INDEX(DB_materiali!$E$2:$E$5000,MATCH($C900,DB_materiali!$A$2:$A$5000,0))&gt;=INDEX(DB_malas!$C$2:$C$5000,MATCH(H900,DB_malas!$A$2:$A$5000,0)),IF(INDEX(DB_materiali!$E$2:$E$5000,MATCH($C900,DB_materiali!$A$2:$A$5000,0))&lt;=INDEX(DB_malas!$D$2:$D$5000,MATCH(H900,DB_malas!$A$2:$A$5000,0)),IF(OR(INDEX(DB_materiali!$B$2:$B$5000,MATCH($C900,DB_materiali!$A$2:$A$5000,0))=INDEX(DB_malas!$B$2:$B$5000,MATCH(H900,DB_malas!$A$2:$A$5000,0)),$H900="ORG"),"✔",tulkojums!$A$38),tulkojums!$A$39),tulkojums!$A$39))</f>
        <v/>
      </c>
      <c r="Q900" s="2" t="str">
        <f>IF(ISBLANK(I900),"",IF(INDEX(DB_materiali!$E$2:$E$5000,MATCH($C900,DB_materiali!$A$2:$A$5000,0))&gt;=INDEX(DB_malas!$C$2:$C$5000,MATCH(I900,DB_malas!$A$2:$A$5000,0)),IF(INDEX(DB_materiali!$E$2:$E$5000,MATCH($C900,DB_materiali!$A$2:$A$5000,0))&lt;=INDEX(DB_malas!$D$2:$D$5000,MATCH(I900,DB_malas!$A$2:$A$5000,0)),IF(OR(INDEX(DB_materiali!$B$2:$B$5000,MATCH($C900,DB_materiali!$A$2:$A$5000,0))=INDEX(DB_malas!$B$2:$B$5000,MATCH(I900,DB_malas!$A$2:$A$5000,0)),$H900="ORG"),"✔",tulkojums!$A$38),tulkojums!$A$39),tulkojums!$A$39))</f>
        <v/>
      </c>
      <c r="R900" s="2" t="str">
        <f>IF(ISBLANK(J900),"",IF(INDEX(DB_materiali!$E$2:$E$5000,MATCH($C900,DB_materiali!$A$2:$A$5000,0))&gt;=INDEX(DB_malas!$C$2:$C$5000,MATCH(J900,DB_malas!$A$2:$A$5000,0)),IF(INDEX(DB_materiali!$E$2:$E$5000,MATCH($C900,DB_materiali!$A$2:$A$5000,0))&lt;=INDEX(DB_malas!$D$2:$D$5000,MATCH(J900,DB_malas!$A$2:$A$5000,0)),IF(INDEX(DB_materiali!$B$2:$B$5000,MATCH($C900,DB_materiali!$A$2:$A$5000,0))=INDEX(DB_malas!$B$2:$B$5000,MATCH(J900,DB_malas!$A$2:$A$5000,0)),"✔",tulkojums!$A$38),tulkojums!$A$39),tulkojums!$A$39))</f>
        <v/>
      </c>
      <c r="S900" s="2" t="str">
        <f>IF(ISBLANK(K900),"",IF(INDEX(DB_materiali!$E$2:$E$5000,MATCH($C900,DB_materiali!$A$2:$A$5000,0))&gt;=INDEX(DB_malas!$C$2:$C$5000,MATCH(K900,DB_malas!$A$2:$A$5000,0)),IF(INDEX(DB_materiali!$E$2:$E$5000,MATCH($C900,DB_materiali!$A$2:$A$5000,0))&lt;=INDEX(DB_malas!$D$2:$D$5000,MATCH(K900,DB_malas!$A$2:$A$5000,0)),IF(INDEX(DB_materiali!$B$2:$B$5000,MATCH($C900,DB_materiali!$A$2:$A$5000,0))=INDEX(DB_malas!$B$2:$B$5000,MATCH(K900,DB_malas!$A$2:$A$5000,0)),"✔",tulkojums!$A$38),tulkojums!$A$39),tulkojums!$A$39))</f>
        <v/>
      </c>
      <c r="T900" s="2"/>
      <c r="U900" s="2"/>
      <c r="V900" s="2"/>
      <c r="W900" s="2"/>
      <c r="X900" s="2"/>
      <c r="Y900" s="2"/>
      <c r="Z900" s="2"/>
    </row>
    <row r="901" spans="1:26" ht="15.75" customHeight="1">
      <c r="A901" s="17"/>
      <c r="B901" s="18"/>
      <c r="C901" s="19"/>
      <c r="D901" s="55"/>
      <c r="E901" s="55"/>
      <c r="F901" s="56"/>
      <c r="G901" s="57" t="str">
        <f>IF(ISBLANK(C901),"",
   IFERROR(
      IF(
         INDEX(DB_materiali!C$2:C$5000,
               MATCH(C901, DB_materiali!A$2:A$5000, 0)
         )="FALSE",
         "N",
         "Y"
      ),
   "")
)</f>
        <v/>
      </c>
      <c r="H901" s="20"/>
      <c r="I901" s="20"/>
      <c r="J901" s="20"/>
      <c r="K901" s="20"/>
      <c r="M901" s="2" t="str">
        <f>IF(ISBLANK(C901),"",IF(IFERROR(VLOOKUP(C901,DB_materiali!$A$2:$A$5000,1,FALSE),"Kļūda artikulā")=C901,"✔",tulkojums!A$42))</f>
        <v/>
      </c>
      <c r="N901" s="2" t="str">
        <f>IF(ISBLANK(C901),"",IF(ISNUMBER(F901)=TRUE,"✔",tulkojums!A$43))</f>
        <v/>
      </c>
      <c r="O901" s="2" t="str">
        <f>IF(ISBLANK(C901),"",IF(G901="Y","✔",IF(G901="X","✔",IF(G901="N","✔",tulkojums!A$44))))</f>
        <v/>
      </c>
      <c r="P901" s="2" t="str">
        <f>IF(ISBLANK(H901),"",IF(INDEX(DB_materiali!$E$2:$E$5000,MATCH($C901,DB_materiali!$A$2:$A$5000,0))&gt;=INDEX(DB_malas!$C$2:$C$5000,MATCH(H901,DB_malas!$A$2:$A$5000,0)),IF(INDEX(DB_materiali!$E$2:$E$5000,MATCH($C901,DB_materiali!$A$2:$A$5000,0))&lt;=INDEX(DB_malas!$D$2:$D$5000,MATCH(H901,DB_malas!$A$2:$A$5000,0)),IF(OR(INDEX(DB_materiali!$B$2:$B$5000,MATCH($C901,DB_materiali!$A$2:$A$5000,0))=INDEX(DB_malas!$B$2:$B$5000,MATCH(H901,DB_malas!$A$2:$A$5000,0)),$H901="ORG"),"✔",tulkojums!$A$38),tulkojums!$A$39),tulkojums!$A$39))</f>
        <v/>
      </c>
      <c r="Q901" s="2" t="str">
        <f>IF(ISBLANK(I901),"",IF(INDEX(DB_materiali!$E$2:$E$5000,MATCH($C901,DB_materiali!$A$2:$A$5000,0))&gt;=INDEX(DB_malas!$C$2:$C$5000,MATCH(I901,DB_malas!$A$2:$A$5000,0)),IF(INDEX(DB_materiali!$E$2:$E$5000,MATCH($C901,DB_materiali!$A$2:$A$5000,0))&lt;=INDEX(DB_malas!$D$2:$D$5000,MATCH(I901,DB_malas!$A$2:$A$5000,0)),IF(OR(INDEX(DB_materiali!$B$2:$B$5000,MATCH($C901,DB_materiali!$A$2:$A$5000,0))=INDEX(DB_malas!$B$2:$B$5000,MATCH(I901,DB_malas!$A$2:$A$5000,0)),$H901="ORG"),"✔",tulkojums!$A$38),tulkojums!$A$39),tulkojums!$A$39))</f>
        <v/>
      </c>
      <c r="R901" s="2" t="str">
        <f>IF(ISBLANK(J901),"",IF(INDEX(DB_materiali!$E$2:$E$5000,MATCH($C901,DB_materiali!$A$2:$A$5000,0))&gt;=INDEX(DB_malas!$C$2:$C$5000,MATCH(J901,DB_malas!$A$2:$A$5000,0)),IF(INDEX(DB_materiali!$E$2:$E$5000,MATCH($C901,DB_materiali!$A$2:$A$5000,0))&lt;=INDEX(DB_malas!$D$2:$D$5000,MATCH(J901,DB_malas!$A$2:$A$5000,0)),IF(INDEX(DB_materiali!$B$2:$B$5000,MATCH($C901,DB_materiali!$A$2:$A$5000,0))=INDEX(DB_malas!$B$2:$B$5000,MATCH(J901,DB_malas!$A$2:$A$5000,0)),"✔",tulkojums!$A$38),tulkojums!$A$39),tulkojums!$A$39))</f>
        <v/>
      </c>
      <c r="S901" s="2" t="str">
        <f>IF(ISBLANK(K901),"",IF(INDEX(DB_materiali!$E$2:$E$5000,MATCH($C901,DB_materiali!$A$2:$A$5000,0))&gt;=INDEX(DB_malas!$C$2:$C$5000,MATCH(K901,DB_malas!$A$2:$A$5000,0)),IF(INDEX(DB_materiali!$E$2:$E$5000,MATCH($C901,DB_materiali!$A$2:$A$5000,0))&lt;=INDEX(DB_malas!$D$2:$D$5000,MATCH(K901,DB_malas!$A$2:$A$5000,0)),IF(INDEX(DB_materiali!$B$2:$B$5000,MATCH($C901,DB_materiali!$A$2:$A$5000,0))=INDEX(DB_malas!$B$2:$B$5000,MATCH(K901,DB_malas!$A$2:$A$5000,0)),"✔",tulkojums!$A$38),tulkojums!$A$39),tulkojums!$A$39))</f>
        <v/>
      </c>
      <c r="T901" s="2"/>
      <c r="U901" s="2"/>
      <c r="V901" s="2"/>
      <c r="W901" s="2"/>
      <c r="X901" s="2"/>
      <c r="Y901" s="2"/>
      <c r="Z901" s="2"/>
    </row>
    <row r="902" spans="1:26" ht="15.75" customHeight="1">
      <c r="A902" s="17"/>
      <c r="B902" s="18"/>
      <c r="C902" s="19"/>
      <c r="D902" s="55"/>
      <c r="E902" s="55"/>
      <c r="F902" s="56"/>
      <c r="G902" s="57" t="str">
        <f>IF(ISBLANK(C902),"",
   IFERROR(
      IF(
         INDEX(DB_materiali!C$2:C$5000,
               MATCH(C902, DB_materiali!A$2:A$5000, 0)
         )="FALSE",
         "N",
         "Y"
      ),
   "")
)</f>
        <v/>
      </c>
      <c r="H902" s="20"/>
      <c r="I902" s="20"/>
      <c r="J902" s="20"/>
      <c r="K902" s="20"/>
      <c r="M902" s="2" t="str">
        <f>IF(ISBLANK(C902),"",IF(IFERROR(VLOOKUP(C902,DB_materiali!$A$2:$A$5000,1,FALSE),"Kļūda artikulā")=C902,"✔",tulkojums!A$42))</f>
        <v/>
      </c>
      <c r="N902" s="2" t="str">
        <f>IF(ISBLANK(C902),"",IF(ISNUMBER(F902)=TRUE,"✔",tulkojums!A$43))</f>
        <v/>
      </c>
      <c r="O902" s="2" t="str">
        <f>IF(ISBLANK(C902),"",IF(G902="Y","✔",IF(G902="X","✔",IF(G902="N","✔",tulkojums!A$44))))</f>
        <v/>
      </c>
      <c r="P902" s="2" t="str">
        <f>IF(ISBLANK(H902),"",IF(INDEX(DB_materiali!$E$2:$E$5000,MATCH($C902,DB_materiali!$A$2:$A$5000,0))&gt;=INDEX(DB_malas!$C$2:$C$5000,MATCH(H902,DB_malas!$A$2:$A$5000,0)),IF(INDEX(DB_materiali!$E$2:$E$5000,MATCH($C902,DB_materiali!$A$2:$A$5000,0))&lt;=INDEX(DB_malas!$D$2:$D$5000,MATCH(H902,DB_malas!$A$2:$A$5000,0)),IF(OR(INDEX(DB_materiali!$B$2:$B$5000,MATCH($C902,DB_materiali!$A$2:$A$5000,0))=INDEX(DB_malas!$B$2:$B$5000,MATCH(H902,DB_malas!$A$2:$A$5000,0)),$H902="ORG"),"✔",tulkojums!$A$38),tulkojums!$A$39),tulkojums!$A$39))</f>
        <v/>
      </c>
      <c r="Q902" s="2" t="str">
        <f>IF(ISBLANK(I902),"",IF(INDEX(DB_materiali!$E$2:$E$5000,MATCH($C902,DB_materiali!$A$2:$A$5000,0))&gt;=INDEX(DB_malas!$C$2:$C$5000,MATCH(I902,DB_malas!$A$2:$A$5000,0)),IF(INDEX(DB_materiali!$E$2:$E$5000,MATCH($C902,DB_materiali!$A$2:$A$5000,0))&lt;=INDEX(DB_malas!$D$2:$D$5000,MATCH(I902,DB_malas!$A$2:$A$5000,0)),IF(OR(INDEX(DB_materiali!$B$2:$B$5000,MATCH($C902,DB_materiali!$A$2:$A$5000,0))=INDEX(DB_malas!$B$2:$B$5000,MATCH(I902,DB_malas!$A$2:$A$5000,0)),$H902="ORG"),"✔",tulkojums!$A$38),tulkojums!$A$39),tulkojums!$A$39))</f>
        <v/>
      </c>
      <c r="R902" s="2" t="str">
        <f>IF(ISBLANK(J902),"",IF(INDEX(DB_materiali!$E$2:$E$5000,MATCH($C902,DB_materiali!$A$2:$A$5000,0))&gt;=INDEX(DB_malas!$C$2:$C$5000,MATCH(J902,DB_malas!$A$2:$A$5000,0)),IF(INDEX(DB_materiali!$E$2:$E$5000,MATCH($C902,DB_materiali!$A$2:$A$5000,0))&lt;=INDEX(DB_malas!$D$2:$D$5000,MATCH(J902,DB_malas!$A$2:$A$5000,0)),IF(INDEX(DB_materiali!$B$2:$B$5000,MATCH($C902,DB_materiali!$A$2:$A$5000,0))=INDEX(DB_malas!$B$2:$B$5000,MATCH(J902,DB_malas!$A$2:$A$5000,0)),"✔",tulkojums!$A$38),tulkojums!$A$39),tulkojums!$A$39))</f>
        <v/>
      </c>
      <c r="S902" s="2" t="str">
        <f>IF(ISBLANK(K902),"",IF(INDEX(DB_materiali!$E$2:$E$5000,MATCH($C902,DB_materiali!$A$2:$A$5000,0))&gt;=INDEX(DB_malas!$C$2:$C$5000,MATCH(K902,DB_malas!$A$2:$A$5000,0)),IF(INDEX(DB_materiali!$E$2:$E$5000,MATCH($C902,DB_materiali!$A$2:$A$5000,0))&lt;=INDEX(DB_malas!$D$2:$D$5000,MATCH(K902,DB_malas!$A$2:$A$5000,0)),IF(INDEX(DB_materiali!$B$2:$B$5000,MATCH($C902,DB_materiali!$A$2:$A$5000,0))=INDEX(DB_malas!$B$2:$B$5000,MATCH(K902,DB_malas!$A$2:$A$5000,0)),"✔",tulkojums!$A$38),tulkojums!$A$39),tulkojums!$A$39))</f>
        <v/>
      </c>
      <c r="T902" s="2"/>
      <c r="U902" s="2"/>
      <c r="V902" s="2"/>
      <c r="W902" s="2"/>
      <c r="X902" s="2"/>
      <c r="Y902" s="2"/>
      <c r="Z902" s="2"/>
    </row>
    <row r="903" spans="1:26" ht="15.75" customHeight="1">
      <c r="A903" s="17"/>
      <c r="B903" s="18"/>
      <c r="C903" s="19"/>
      <c r="D903" s="55"/>
      <c r="E903" s="55"/>
      <c r="F903" s="56"/>
      <c r="G903" s="57" t="str">
        <f>IF(ISBLANK(C903),"",
   IFERROR(
      IF(
         INDEX(DB_materiali!C$2:C$5000,
               MATCH(C903, DB_materiali!A$2:A$5000, 0)
         )="FALSE",
         "N",
         "Y"
      ),
   "")
)</f>
        <v/>
      </c>
      <c r="H903" s="20"/>
      <c r="I903" s="20"/>
      <c r="J903" s="20"/>
      <c r="K903" s="20"/>
      <c r="M903" s="2" t="str">
        <f>IF(ISBLANK(C903),"",IF(IFERROR(VLOOKUP(C903,DB_materiali!$A$2:$A$5000,1,FALSE),"Kļūda artikulā")=C903,"✔",tulkojums!A$42))</f>
        <v/>
      </c>
      <c r="N903" s="2" t="str">
        <f>IF(ISBLANK(C903),"",IF(ISNUMBER(F903)=TRUE,"✔",tulkojums!A$43))</f>
        <v/>
      </c>
      <c r="O903" s="2" t="str">
        <f>IF(ISBLANK(C903),"",IF(G903="Y","✔",IF(G903="X","✔",IF(G903="N","✔",tulkojums!A$44))))</f>
        <v/>
      </c>
      <c r="P903" s="2" t="str">
        <f>IF(ISBLANK(H903),"",IF(INDEX(DB_materiali!$E$2:$E$5000,MATCH($C903,DB_materiali!$A$2:$A$5000,0))&gt;=INDEX(DB_malas!$C$2:$C$5000,MATCH(H903,DB_malas!$A$2:$A$5000,0)),IF(INDEX(DB_materiali!$E$2:$E$5000,MATCH($C903,DB_materiali!$A$2:$A$5000,0))&lt;=INDEX(DB_malas!$D$2:$D$5000,MATCH(H903,DB_malas!$A$2:$A$5000,0)),IF(OR(INDEX(DB_materiali!$B$2:$B$5000,MATCH($C903,DB_materiali!$A$2:$A$5000,0))=INDEX(DB_malas!$B$2:$B$5000,MATCH(H903,DB_malas!$A$2:$A$5000,0)),$H903="ORG"),"✔",tulkojums!$A$38),tulkojums!$A$39),tulkojums!$A$39))</f>
        <v/>
      </c>
      <c r="Q903" s="2" t="str">
        <f>IF(ISBLANK(I903),"",IF(INDEX(DB_materiali!$E$2:$E$5000,MATCH($C903,DB_materiali!$A$2:$A$5000,0))&gt;=INDEX(DB_malas!$C$2:$C$5000,MATCH(I903,DB_malas!$A$2:$A$5000,0)),IF(INDEX(DB_materiali!$E$2:$E$5000,MATCH($C903,DB_materiali!$A$2:$A$5000,0))&lt;=INDEX(DB_malas!$D$2:$D$5000,MATCH(I903,DB_malas!$A$2:$A$5000,0)),IF(OR(INDEX(DB_materiali!$B$2:$B$5000,MATCH($C903,DB_materiali!$A$2:$A$5000,0))=INDEX(DB_malas!$B$2:$B$5000,MATCH(I903,DB_malas!$A$2:$A$5000,0)),$H903="ORG"),"✔",tulkojums!$A$38),tulkojums!$A$39),tulkojums!$A$39))</f>
        <v/>
      </c>
      <c r="R903" s="2" t="str">
        <f>IF(ISBLANK(J903),"",IF(INDEX(DB_materiali!$E$2:$E$5000,MATCH($C903,DB_materiali!$A$2:$A$5000,0))&gt;=INDEX(DB_malas!$C$2:$C$5000,MATCH(J903,DB_malas!$A$2:$A$5000,0)),IF(INDEX(DB_materiali!$E$2:$E$5000,MATCH($C903,DB_materiali!$A$2:$A$5000,0))&lt;=INDEX(DB_malas!$D$2:$D$5000,MATCH(J903,DB_malas!$A$2:$A$5000,0)),IF(INDEX(DB_materiali!$B$2:$B$5000,MATCH($C903,DB_materiali!$A$2:$A$5000,0))=INDEX(DB_malas!$B$2:$B$5000,MATCH(J903,DB_malas!$A$2:$A$5000,0)),"✔",tulkojums!$A$38),tulkojums!$A$39),tulkojums!$A$39))</f>
        <v/>
      </c>
      <c r="S903" s="2" t="str">
        <f>IF(ISBLANK(K903),"",IF(INDEX(DB_materiali!$E$2:$E$5000,MATCH($C903,DB_materiali!$A$2:$A$5000,0))&gt;=INDEX(DB_malas!$C$2:$C$5000,MATCH(K903,DB_malas!$A$2:$A$5000,0)),IF(INDEX(DB_materiali!$E$2:$E$5000,MATCH($C903,DB_materiali!$A$2:$A$5000,0))&lt;=INDEX(DB_malas!$D$2:$D$5000,MATCH(K903,DB_malas!$A$2:$A$5000,0)),IF(INDEX(DB_materiali!$B$2:$B$5000,MATCH($C903,DB_materiali!$A$2:$A$5000,0))=INDEX(DB_malas!$B$2:$B$5000,MATCH(K903,DB_malas!$A$2:$A$5000,0)),"✔",tulkojums!$A$38),tulkojums!$A$39),tulkojums!$A$39))</f>
        <v/>
      </c>
      <c r="T903" s="2"/>
      <c r="U903" s="2"/>
      <c r="V903" s="2"/>
      <c r="W903" s="2"/>
      <c r="X903" s="2"/>
      <c r="Y903" s="2"/>
      <c r="Z903" s="2"/>
    </row>
    <row r="904" spans="1:26" ht="15.75" customHeight="1">
      <c r="A904" s="17"/>
      <c r="B904" s="18"/>
      <c r="C904" s="19"/>
      <c r="D904" s="55"/>
      <c r="E904" s="55"/>
      <c r="F904" s="56"/>
      <c r="G904" s="57" t="str">
        <f>IF(ISBLANK(C904),"",
   IFERROR(
      IF(
         INDEX(DB_materiali!C$2:C$5000,
               MATCH(C904, DB_materiali!A$2:A$5000, 0)
         )="FALSE",
         "N",
         "Y"
      ),
   "")
)</f>
        <v/>
      </c>
      <c r="H904" s="20"/>
      <c r="I904" s="20"/>
      <c r="J904" s="20"/>
      <c r="K904" s="20"/>
      <c r="M904" s="2" t="str">
        <f>IF(ISBLANK(C904),"",IF(IFERROR(VLOOKUP(C904,DB_materiali!$A$2:$A$5000,1,FALSE),"Kļūda artikulā")=C904,"✔",tulkojums!A$42))</f>
        <v/>
      </c>
      <c r="N904" s="2" t="str">
        <f>IF(ISBLANK(C904),"",IF(ISNUMBER(F904)=TRUE,"✔",tulkojums!A$43))</f>
        <v/>
      </c>
      <c r="O904" s="2" t="str">
        <f>IF(ISBLANK(C904),"",IF(G904="Y","✔",IF(G904="X","✔",IF(G904="N","✔",tulkojums!A$44))))</f>
        <v/>
      </c>
      <c r="P904" s="2" t="str">
        <f>IF(ISBLANK(H904),"",IF(INDEX(DB_materiali!$E$2:$E$5000,MATCH($C904,DB_materiali!$A$2:$A$5000,0))&gt;=INDEX(DB_malas!$C$2:$C$5000,MATCH(H904,DB_malas!$A$2:$A$5000,0)),IF(INDEX(DB_materiali!$E$2:$E$5000,MATCH($C904,DB_materiali!$A$2:$A$5000,0))&lt;=INDEX(DB_malas!$D$2:$D$5000,MATCH(H904,DB_malas!$A$2:$A$5000,0)),IF(OR(INDEX(DB_materiali!$B$2:$B$5000,MATCH($C904,DB_materiali!$A$2:$A$5000,0))=INDEX(DB_malas!$B$2:$B$5000,MATCH(H904,DB_malas!$A$2:$A$5000,0)),$H904="ORG"),"✔",tulkojums!$A$38),tulkojums!$A$39),tulkojums!$A$39))</f>
        <v/>
      </c>
      <c r="Q904" s="2" t="str">
        <f>IF(ISBLANK(I904),"",IF(INDEX(DB_materiali!$E$2:$E$5000,MATCH($C904,DB_materiali!$A$2:$A$5000,0))&gt;=INDEX(DB_malas!$C$2:$C$5000,MATCH(I904,DB_malas!$A$2:$A$5000,0)),IF(INDEX(DB_materiali!$E$2:$E$5000,MATCH($C904,DB_materiali!$A$2:$A$5000,0))&lt;=INDEX(DB_malas!$D$2:$D$5000,MATCH(I904,DB_malas!$A$2:$A$5000,0)),IF(OR(INDEX(DB_materiali!$B$2:$B$5000,MATCH($C904,DB_materiali!$A$2:$A$5000,0))=INDEX(DB_malas!$B$2:$B$5000,MATCH(I904,DB_malas!$A$2:$A$5000,0)),$H904="ORG"),"✔",tulkojums!$A$38),tulkojums!$A$39),tulkojums!$A$39))</f>
        <v/>
      </c>
      <c r="R904" s="2" t="str">
        <f>IF(ISBLANK(J904),"",IF(INDEX(DB_materiali!$E$2:$E$5000,MATCH($C904,DB_materiali!$A$2:$A$5000,0))&gt;=INDEX(DB_malas!$C$2:$C$5000,MATCH(J904,DB_malas!$A$2:$A$5000,0)),IF(INDEX(DB_materiali!$E$2:$E$5000,MATCH($C904,DB_materiali!$A$2:$A$5000,0))&lt;=INDEX(DB_malas!$D$2:$D$5000,MATCH(J904,DB_malas!$A$2:$A$5000,0)),IF(INDEX(DB_materiali!$B$2:$B$5000,MATCH($C904,DB_materiali!$A$2:$A$5000,0))=INDEX(DB_malas!$B$2:$B$5000,MATCH(J904,DB_malas!$A$2:$A$5000,0)),"✔",tulkojums!$A$38),tulkojums!$A$39),tulkojums!$A$39))</f>
        <v/>
      </c>
      <c r="S904" s="2" t="str">
        <f>IF(ISBLANK(K904),"",IF(INDEX(DB_materiali!$E$2:$E$5000,MATCH($C904,DB_materiali!$A$2:$A$5000,0))&gt;=INDEX(DB_malas!$C$2:$C$5000,MATCH(K904,DB_malas!$A$2:$A$5000,0)),IF(INDEX(DB_materiali!$E$2:$E$5000,MATCH($C904,DB_materiali!$A$2:$A$5000,0))&lt;=INDEX(DB_malas!$D$2:$D$5000,MATCH(K904,DB_malas!$A$2:$A$5000,0)),IF(INDEX(DB_materiali!$B$2:$B$5000,MATCH($C904,DB_materiali!$A$2:$A$5000,0))=INDEX(DB_malas!$B$2:$B$5000,MATCH(K904,DB_malas!$A$2:$A$5000,0)),"✔",tulkojums!$A$38),tulkojums!$A$39),tulkojums!$A$39))</f>
        <v/>
      </c>
      <c r="T904" s="2"/>
      <c r="U904" s="2"/>
      <c r="V904" s="2"/>
      <c r="W904" s="2"/>
      <c r="X904" s="2"/>
      <c r="Y904" s="2"/>
      <c r="Z904" s="2"/>
    </row>
    <row r="905" spans="1:26" ht="15.75" customHeight="1">
      <c r="A905" s="17"/>
      <c r="B905" s="18"/>
      <c r="C905" s="19"/>
      <c r="D905" s="55"/>
      <c r="E905" s="55"/>
      <c r="F905" s="56"/>
      <c r="G905" s="57" t="str">
        <f>IF(ISBLANK(C905),"",
   IFERROR(
      IF(
         INDEX(DB_materiali!C$2:C$5000,
               MATCH(C905, DB_materiali!A$2:A$5000, 0)
         )="FALSE",
         "N",
         "Y"
      ),
   "")
)</f>
        <v/>
      </c>
      <c r="H905" s="20"/>
      <c r="I905" s="20"/>
      <c r="J905" s="20"/>
      <c r="K905" s="20"/>
      <c r="M905" s="2" t="str">
        <f>IF(ISBLANK(C905),"",IF(IFERROR(VLOOKUP(C905,DB_materiali!$A$2:$A$5000,1,FALSE),"Kļūda artikulā")=C905,"✔",tulkojums!A$42))</f>
        <v/>
      </c>
      <c r="N905" s="2" t="str">
        <f>IF(ISBLANK(C905),"",IF(ISNUMBER(F905)=TRUE,"✔",tulkojums!A$43))</f>
        <v/>
      </c>
      <c r="O905" s="2" t="str">
        <f>IF(ISBLANK(C905),"",IF(G905="Y","✔",IF(G905="X","✔",IF(G905="N","✔",tulkojums!A$44))))</f>
        <v/>
      </c>
      <c r="P905" s="2" t="str">
        <f>IF(ISBLANK(H905),"",IF(INDEX(DB_materiali!$E$2:$E$5000,MATCH($C905,DB_materiali!$A$2:$A$5000,0))&gt;=INDEX(DB_malas!$C$2:$C$5000,MATCH(H905,DB_malas!$A$2:$A$5000,0)),IF(INDEX(DB_materiali!$E$2:$E$5000,MATCH($C905,DB_materiali!$A$2:$A$5000,0))&lt;=INDEX(DB_malas!$D$2:$D$5000,MATCH(H905,DB_malas!$A$2:$A$5000,0)),IF(OR(INDEX(DB_materiali!$B$2:$B$5000,MATCH($C905,DB_materiali!$A$2:$A$5000,0))=INDEX(DB_malas!$B$2:$B$5000,MATCH(H905,DB_malas!$A$2:$A$5000,0)),$H905="ORG"),"✔",tulkojums!$A$38),tulkojums!$A$39),tulkojums!$A$39))</f>
        <v/>
      </c>
      <c r="Q905" s="2" t="str">
        <f>IF(ISBLANK(I905),"",IF(INDEX(DB_materiali!$E$2:$E$5000,MATCH($C905,DB_materiali!$A$2:$A$5000,0))&gt;=INDEX(DB_malas!$C$2:$C$5000,MATCH(I905,DB_malas!$A$2:$A$5000,0)),IF(INDEX(DB_materiali!$E$2:$E$5000,MATCH($C905,DB_materiali!$A$2:$A$5000,0))&lt;=INDEX(DB_malas!$D$2:$D$5000,MATCH(I905,DB_malas!$A$2:$A$5000,0)),IF(OR(INDEX(DB_materiali!$B$2:$B$5000,MATCH($C905,DB_materiali!$A$2:$A$5000,0))=INDEX(DB_malas!$B$2:$B$5000,MATCH(I905,DB_malas!$A$2:$A$5000,0)),$H905="ORG"),"✔",tulkojums!$A$38),tulkojums!$A$39),tulkojums!$A$39))</f>
        <v/>
      </c>
      <c r="R905" s="2" t="str">
        <f>IF(ISBLANK(J905),"",IF(INDEX(DB_materiali!$E$2:$E$5000,MATCH($C905,DB_materiali!$A$2:$A$5000,0))&gt;=INDEX(DB_malas!$C$2:$C$5000,MATCH(J905,DB_malas!$A$2:$A$5000,0)),IF(INDEX(DB_materiali!$E$2:$E$5000,MATCH($C905,DB_materiali!$A$2:$A$5000,0))&lt;=INDEX(DB_malas!$D$2:$D$5000,MATCH(J905,DB_malas!$A$2:$A$5000,0)),IF(INDEX(DB_materiali!$B$2:$B$5000,MATCH($C905,DB_materiali!$A$2:$A$5000,0))=INDEX(DB_malas!$B$2:$B$5000,MATCH(J905,DB_malas!$A$2:$A$5000,0)),"✔",tulkojums!$A$38),tulkojums!$A$39),tulkojums!$A$39))</f>
        <v/>
      </c>
      <c r="S905" s="2" t="str">
        <f>IF(ISBLANK(K905),"",IF(INDEX(DB_materiali!$E$2:$E$5000,MATCH($C905,DB_materiali!$A$2:$A$5000,0))&gt;=INDEX(DB_malas!$C$2:$C$5000,MATCH(K905,DB_malas!$A$2:$A$5000,0)),IF(INDEX(DB_materiali!$E$2:$E$5000,MATCH($C905,DB_materiali!$A$2:$A$5000,0))&lt;=INDEX(DB_malas!$D$2:$D$5000,MATCH(K905,DB_malas!$A$2:$A$5000,0)),IF(INDEX(DB_materiali!$B$2:$B$5000,MATCH($C905,DB_materiali!$A$2:$A$5000,0))=INDEX(DB_malas!$B$2:$B$5000,MATCH(K905,DB_malas!$A$2:$A$5000,0)),"✔",tulkojums!$A$38),tulkojums!$A$39),tulkojums!$A$39))</f>
        <v/>
      </c>
      <c r="T905" s="2"/>
      <c r="U905" s="2"/>
      <c r="V905" s="2"/>
      <c r="W905" s="2"/>
      <c r="X905" s="2"/>
      <c r="Y905" s="2"/>
      <c r="Z905" s="2"/>
    </row>
    <row r="906" spans="1:26" ht="15.75" customHeight="1">
      <c r="A906" s="17"/>
      <c r="B906" s="18"/>
      <c r="C906" s="19"/>
      <c r="D906" s="55"/>
      <c r="E906" s="55"/>
      <c r="F906" s="56"/>
      <c r="G906" s="57" t="str">
        <f>IF(ISBLANK(C906),"",
   IFERROR(
      IF(
         INDEX(DB_materiali!C$2:C$5000,
               MATCH(C906, DB_materiali!A$2:A$5000, 0)
         )="FALSE",
         "N",
         "Y"
      ),
   "")
)</f>
        <v/>
      </c>
      <c r="H906" s="20"/>
      <c r="I906" s="20"/>
      <c r="J906" s="20"/>
      <c r="K906" s="20"/>
      <c r="M906" s="2" t="str">
        <f>IF(ISBLANK(C906),"",IF(IFERROR(VLOOKUP(C906,DB_materiali!$A$2:$A$5000,1,FALSE),"Kļūda artikulā")=C906,"✔",tulkojums!A$42))</f>
        <v/>
      </c>
      <c r="N906" s="2" t="str">
        <f>IF(ISBLANK(C906),"",IF(ISNUMBER(F906)=TRUE,"✔",tulkojums!A$43))</f>
        <v/>
      </c>
      <c r="O906" s="2" t="str">
        <f>IF(ISBLANK(C906),"",IF(G906="Y","✔",IF(G906="X","✔",IF(G906="N","✔",tulkojums!A$44))))</f>
        <v/>
      </c>
      <c r="P906" s="2" t="str">
        <f>IF(ISBLANK(H906),"",IF(INDEX(DB_materiali!$E$2:$E$5000,MATCH($C906,DB_materiali!$A$2:$A$5000,0))&gt;=INDEX(DB_malas!$C$2:$C$5000,MATCH(H906,DB_malas!$A$2:$A$5000,0)),IF(INDEX(DB_materiali!$E$2:$E$5000,MATCH($C906,DB_materiali!$A$2:$A$5000,0))&lt;=INDEX(DB_malas!$D$2:$D$5000,MATCH(H906,DB_malas!$A$2:$A$5000,0)),IF(OR(INDEX(DB_materiali!$B$2:$B$5000,MATCH($C906,DB_materiali!$A$2:$A$5000,0))=INDEX(DB_malas!$B$2:$B$5000,MATCH(H906,DB_malas!$A$2:$A$5000,0)),$H906="ORG"),"✔",tulkojums!$A$38),tulkojums!$A$39),tulkojums!$A$39))</f>
        <v/>
      </c>
      <c r="Q906" s="2" t="str">
        <f>IF(ISBLANK(I906),"",IF(INDEX(DB_materiali!$E$2:$E$5000,MATCH($C906,DB_materiali!$A$2:$A$5000,0))&gt;=INDEX(DB_malas!$C$2:$C$5000,MATCH(I906,DB_malas!$A$2:$A$5000,0)),IF(INDEX(DB_materiali!$E$2:$E$5000,MATCH($C906,DB_materiali!$A$2:$A$5000,0))&lt;=INDEX(DB_malas!$D$2:$D$5000,MATCH(I906,DB_malas!$A$2:$A$5000,0)),IF(OR(INDEX(DB_materiali!$B$2:$B$5000,MATCH($C906,DB_materiali!$A$2:$A$5000,0))=INDEX(DB_malas!$B$2:$B$5000,MATCH(I906,DB_malas!$A$2:$A$5000,0)),$H906="ORG"),"✔",tulkojums!$A$38),tulkojums!$A$39),tulkojums!$A$39))</f>
        <v/>
      </c>
      <c r="R906" s="2" t="str">
        <f>IF(ISBLANK(J906),"",IF(INDEX(DB_materiali!$E$2:$E$5000,MATCH($C906,DB_materiali!$A$2:$A$5000,0))&gt;=INDEX(DB_malas!$C$2:$C$5000,MATCH(J906,DB_malas!$A$2:$A$5000,0)),IF(INDEX(DB_materiali!$E$2:$E$5000,MATCH($C906,DB_materiali!$A$2:$A$5000,0))&lt;=INDEX(DB_malas!$D$2:$D$5000,MATCH(J906,DB_malas!$A$2:$A$5000,0)),IF(INDEX(DB_materiali!$B$2:$B$5000,MATCH($C906,DB_materiali!$A$2:$A$5000,0))=INDEX(DB_malas!$B$2:$B$5000,MATCH(J906,DB_malas!$A$2:$A$5000,0)),"✔",tulkojums!$A$38),tulkojums!$A$39),tulkojums!$A$39))</f>
        <v/>
      </c>
      <c r="S906" s="2" t="str">
        <f>IF(ISBLANK(K906),"",IF(INDEX(DB_materiali!$E$2:$E$5000,MATCH($C906,DB_materiali!$A$2:$A$5000,0))&gt;=INDEX(DB_malas!$C$2:$C$5000,MATCH(K906,DB_malas!$A$2:$A$5000,0)),IF(INDEX(DB_materiali!$E$2:$E$5000,MATCH($C906,DB_materiali!$A$2:$A$5000,0))&lt;=INDEX(DB_malas!$D$2:$D$5000,MATCH(K906,DB_malas!$A$2:$A$5000,0)),IF(INDEX(DB_materiali!$B$2:$B$5000,MATCH($C906,DB_materiali!$A$2:$A$5000,0))=INDEX(DB_malas!$B$2:$B$5000,MATCH(K906,DB_malas!$A$2:$A$5000,0)),"✔",tulkojums!$A$38),tulkojums!$A$39),tulkojums!$A$39))</f>
        <v/>
      </c>
      <c r="T906" s="2"/>
      <c r="U906" s="2"/>
      <c r="V906" s="2"/>
      <c r="W906" s="2"/>
      <c r="X906" s="2"/>
      <c r="Y906" s="2"/>
      <c r="Z906" s="2"/>
    </row>
    <row r="907" spans="1:26" ht="15.75" customHeight="1">
      <c r="A907" s="17"/>
      <c r="B907" s="18"/>
      <c r="C907" s="19"/>
      <c r="D907" s="55"/>
      <c r="E907" s="55"/>
      <c r="F907" s="56"/>
      <c r="G907" s="57" t="str">
        <f>IF(ISBLANK(C907),"",
   IFERROR(
      IF(
         INDEX(DB_materiali!C$2:C$5000,
               MATCH(C907, DB_materiali!A$2:A$5000, 0)
         )="FALSE",
         "N",
         "Y"
      ),
   "")
)</f>
        <v/>
      </c>
      <c r="H907" s="20"/>
      <c r="I907" s="20"/>
      <c r="J907" s="20"/>
      <c r="K907" s="20"/>
      <c r="M907" s="2" t="str">
        <f>IF(ISBLANK(C907),"",IF(IFERROR(VLOOKUP(C907,DB_materiali!$A$2:$A$5000,1,FALSE),"Kļūda artikulā")=C907,"✔",tulkojums!A$42))</f>
        <v/>
      </c>
      <c r="N907" s="2" t="str">
        <f>IF(ISBLANK(C907),"",IF(ISNUMBER(F907)=TRUE,"✔",tulkojums!A$43))</f>
        <v/>
      </c>
      <c r="O907" s="2" t="str">
        <f>IF(ISBLANK(C907),"",IF(G907="Y","✔",IF(G907="X","✔",IF(G907="N","✔",tulkojums!A$44))))</f>
        <v/>
      </c>
      <c r="P907" s="2" t="str">
        <f>IF(ISBLANK(H907),"",IF(INDEX(DB_materiali!$E$2:$E$5000,MATCH($C907,DB_materiali!$A$2:$A$5000,0))&gt;=INDEX(DB_malas!$C$2:$C$5000,MATCH(H907,DB_malas!$A$2:$A$5000,0)),IF(INDEX(DB_materiali!$E$2:$E$5000,MATCH($C907,DB_materiali!$A$2:$A$5000,0))&lt;=INDEX(DB_malas!$D$2:$D$5000,MATCH(H907,DB_malas!$A$2:$A$5000,0)),IF(OR(INDEX(DB_materiali!$B$2:$B$5000,MATCH($C907,DB_materiali!$A$2:$A$5000,0))=INDEX(DB_malas!$B$2:$B$5000,MATCH(H907,DB_malas!$A$2:$A$5000,0)),$H907="ORG"),"✔",tulkojums!$A$38),tulkojums!$A$39),tulkojums!$A$39))</f>
        <v/>
      </c>
      <c r="Q907" s="2" t="str">
        <f>IF(ISBLANK(I907),"",IF(INDEX(DB_materiali!$E$2:$E$5000,MATCH($C907,DB_materiali!$A$2:$A$5000,0))&gt;=INDEX(DB_malas!$C$2:$C$5000,MATCH(I907,DB_malas!$A$2:$A$5000,0)),IF(INDEX(DB_materiali!$E$2:$E$5000,MATCH($C907,DB_materiali!$A$2:$A$5000,0))&lt;=INDEX(DB_malas!$D$2:$D$5000,MATCH(I907,DB_malas!$A$2:$A$5000,0)),IF(OR(INDEX(DB_materiali!$B$2:$B$5000,MATCH($C907,DB_materiali!$A$2:$A$5000,0))=INDEX(DB_malas!$B$2:$B$5000,MATCH(I907,DB_malas!$A$2:$A$5000,0)),$H907="ORG"),"✔",tulkojums!$A$38),tulkojums!$A$39),tulkojums!$A$39))</f>
        <v/>
      </c>
      <c r="R907" s="2" t="str">
        <f>IF(ISBLANK(J907),"",IF(INDEX(DB_materiali!$E$2:$E$5000,MATCH($C907,DB_materiali!$A$2:$A$5000,0))&gt;=INDEX(DB_malas!$C$2:$C$5000,MATCH(J907,DB_malas!$A$2:$A$5000,0)),IF(INDEX(DB_materiali!$E$2:$E$5000,MATCH($C907,DB_materiali!$A$2:$A$5000,0))&lt;=INDEX(DB_malas!$D$2:$D$5000,MATCH(J907,DB_malas!$A$2:$A$5000,0)),IF(INDEX(DB_materiali!$B$2:$B$5000,MATCH($C907,DB_materiali!$A$2:$A$5000,0))=INDEX(DB_malas!$B$2:$B$5000,MATCH(J907,DB_malas!$A$2:$A$5000,0)),"✔",tulkojums!$A$38),tulkojums!$A$39),tulkojums!$A$39))</f>
        <v/>
      </c>
      <c r="S907" s="2" t="str">
        <f>IF(ISBLANK(K907),"",IF(INDEX(DB_materiali!$E$2:$E$5000,MATCH($C907,DB_materiali!$A$2:$A$5000,0))&gt;=INDEX(DB_malas!$C$2:$C$5000,MATCH(K907,DB_malas!$A$2:$A$5000,0)),IF(INDEX(DB_materiali!$E$2:$E$5000,MATCH($C907,DB_materiali!$A$2:$A$5000,0))&lt;=INDEX(DB_malas!$D$2:$D$5000,MATCH(K907,DB_malas!$A$2:$A$5000,0)),IF(INDEX(DB_materiali!$B$2:$B$5000,MATCH($C907,DB_materiali!$A$2:$A$5000,0))=INDEX(DB_malas!$B$2:$B$5000,MATCH(K907,DB_malas!$A$2:$A$5000,0)),"✔",tulkojums!$A$38),tulkojums!$A$39),tulkojums!$A$39))</f>
        <v/>
      </c>
      <c r="T907" s="2"/>
      <c r="U907" s="2"/>
      <c r="V907" s="2"/>
      <c r="W907" s="2"/>
      <c r="X907" s="2"/>
      <c r="Y907" s="2"/>
      <c r="Z907" s="2"/>
    </row>
    <row r="908" spans="1:26" ht="15.75" customHeight="1">
      <c r="A908" s="17"/>
      <c r="B908" s="18"/>
      <c r="C908" s="19"/>
      <c r="D908" s="55"/>
      <c r="E908" s="55"/>
      <c r="F908" s="56"/>
      <c r="G908" s="57" t="str">
        <f>IF(ISBLANK(C908),"",
   IFERROR(
      IF(
         INDEX(DB_materiali!C$2:C$5000,
               MATCH(C908, DB_materiali!A$2:A$5000, 0)
         )="FALSE",
         "N",
         "Y"
      ),
   "")
)</f>
        <v/>
      </c>
      <c r="H908" s="20"/>
      <c r="I908" s="20"/>
      <c r="J908" s="20"/>
      <c r="K908" s="20"/>
      <c r="M908" s="2" t="str">
        <f>IF(ISBLANK(C908),"",IF(IFERROR(VLOOKUP(C908,DB_materiali!$A$2:$A$5000,1,FALSE),"Kļūda artikulā")=C908,"✔",tulkojums!A$42))</f>
        <v/>
      </c>
      <c r="N908" s="2" t="str">
        <f>IF(ISBLANK(C908),"",IF(ISNUMBER(F908)=TRUE,"✔",tulkojums!A$43))</f>
        <v/>
      </c>
      <c r="O908" s="2" t="str">
        <f>IF(ISBLANK(C908),"",IF(G908="Y","✔",IF(G908="X","✔",IF(G908="N","✔",tulkojums!A$44))))</f>
        <v/>
      </c>
      <c r="P908" s="2" t="str">
        <f>IF(ISBLANK(H908),"",IF(INDEX(DB_materiali!$E$2:$E$5000,MATCH($C908,DB_materiali!$A$2:$A$5000,0))&gt;=INDEX(DB_malas!$C$2:$C$5000,MATCH(H908,DB_malas!$A$2:$A$5000,0)),IF(INDEX(DB_materiali!$E$2:$E$5000,MATCH($C908,DB_materiali!$A$2:$A$5000,0))&lt;=INDEX(DB_malas!$D$2:$D$5000,MATCH(H908,DB_malas!$A$2:$A$5000,0)),IF(OR(INDEX(DB_materiali!$B$2:$B$5000,MATCH($C908,DB_materiali!$A$2:$A$5000,0))=INDEX(DB_malas!$B$2:$B$5000,MATCH(H908,DB_malas!$A$2:$A$5000,0)),$H908="ORG"),"✔",tulkojums!$A$38),tulkojums!$A$39),tulkojums!$A$39))</f>
        <v/>
      </c>
      <c r="Q908" s="2" t="str">
        <f>IF(ISBLANK(I908),"",IF(INDEX(DB_materiali!$E$2:$E$5000,MATCH($C908,DB_materiali!$A$2:$A$5000,0))&gt;=INDEX(DB_malas!$C$2:$C$5000,MATCH(I908,DB_malas!$A$2:$A$5000,0)),IF(INDEX(DB_materiali!$E$2:$E$5000,MATCH($C908,DB_materiali!$A$2:$A$5000,0))&lt;=INDEX(DB_malas!$D$2:$D$5000,MATCH(I908,DB_malas!$A$2:$A$5000,0)),IF(OR(INDEX(DB_materiali!$B$2:$B$5000,MATCH($C908,DB_materiali!$A$2:$A$5000,0))=INDEX(DB_malas!$B$2:$B$5000,MATCH(I908,DB_malas!$A$2:$A$5000,0)),$H908="ORG"),"✔",tulkojums!$A$38),tulkojums!$A$39),tulkojums!$A$39))</f>
        <v/>
      </c>
      <c r="R908" s="2" t="str">
        <f>IF(ISBLANK(J908),"",IF(INDEX(DB_materiali!$E$2:$E$5000,MATCH($C908,DB_materiali!$A$2:$A$5000,0))&gt;=INDEX(DB_malas!$C$2:$C$5000,MATCH(J908,DB_malas!$A$2:$A$5000,0)),IF(INDEX(DB_materiali!$E$2:$E$5000,MATCH($C908,DB_materiali!$A$2:$A$5000,0))&lt;=INDEX(DB_malas!$D$2:$D$5000,MATCH(J908,DB_malas!$A$2:$A$5000,0)),IF(INDEX(DB_materiali!$B$2:$B$5000,MATCH($C908,DB_materiali!$A$2:$A$5000,0))=INDEX(DB_malas!$B$2:$B$5000,MATCH(J908,DB_malas!$A$2:$A$5000,0)),"✔",tulkojums!$A$38),tulkojums!$A$39),tulkojums!$A$39))</f>
        <v/>
      </c>
      <c r="S908" s="2" t="str">
        <f>IF(ISBLANK(K908),"",IF(INDEX(DB_materiali!$E$2:$E$5000,MATCH($C908,DB_materiali!$A$2:$A$5000,0))&gt;=INDEX(DB_malas!$C$2:$C$5000,MATCH(K908,DB_malas!$A$2:$A$5000,0)),IF(INDEX(DB_materiali!$E$2:$E$5000,MATCH($C908,DB_materiali!$A$2:$A$5000,0))&lt;=INDEX(DB_malas!$D$2:$D$5000,MATCH(K908,DB_malas!$A$2:$A$5000,0)),IF(INDEX(DB_materiali!$B$2:$B$5000,MATCH($C908,DB_materiali!$A$2:$A$5000,0))=INDEX(DB_malas!$B$2:$B$5000,MATCH(K908,DB_malas!$A$2:$A$5000,0)),"✔",tulkojums!$A$38),tulkojums!$A$39),tulkojums!$A$39))</f>
        <v/>
      </c>
      <c r="T908" s="2"/>
      <c r="U908" s="2"/>
      <c r="V908" s="2"/>
      <c r="W908" s="2"/>
      <c r="X908" s="2"/>
      <c r="Y908" s="2"/>
      <c r="Z908" s="2"/>
    </row>
    <row r="909" spans="1:26" ht="15.75" customHeight="1">
      <c r="A909" s="17"/>
      <c r="B909" s="18"/>
      <c r="C909" s="19"/>
      <c r="D909" s="55"/>
      <c r="E909" s="55"/>
      <c r="F909" s="56"/>
      <c r="G909" s="57" t="str">
        <f>IF(ISBLANK(C909),"",
   IFERROR(
      IF(
         INDEX(DB_materiali!C$2:C$5000,
               MATCH(C909, DB_materiali!A$2:A$5000, 0)
         )="FALSE",
         "N",
         "Y"
      ),
   "")
)</f>
        <v/>
      </c>
      <c r="H909" s="20"/>
      <c r="I909" s="20"/>
      <c r="J909" s="20"/>
      <c r="K909" s="20"/>
      <c r="M909" s="2" t="str">
        <f>IF(ISBLANK(C909),"",IF(IFERROR(VLOOKUP(C909,DB_materiali!$A$2:$A$5000,1,FALSE),"Kļūda artikulā")=C909,"✔",tulkojums!A$42))</f>
        <v/>
      </c>
      <c r="N909" s="2" t="str">
        <f>IF(ISBLANK(C909),"",IF(ISNUMBER(F909)=TRUE,"✔",tulkojums!A$43))</f>
        <v/>
      </c>
      <c r="O909" s="2" t="str">
        <f>IF(ISBLANK(C909),"",IF(G909="Y","✔",IF(G909="X","✔",IF(G909="N","✔",tulkojums!A$44))))</f>
        <v/>
      </c>
      <c r="P909" s="2" t="str">
        <f>IF(ISBLANK(H909),"",IF(INDEX(DB_materiali!$E$2:$E$5000,MATCH($C909,DB_materiali!$A$2:$A$5000,0))&gt;=INDEX(DB_malas!$C$2:$C$5000,MATCH(H909,DB_malas!$A$2:$A$5000,0)),IF(INDEX(DB_materiali!$E$2:$E$5000,MATCH($C909,DB_materiali!$A$2:$A$5000,0))&lt;=INDEX(DB_malas!$D$2:$D$5000,MATCH(H909,DB_malas!$A$2:$A$5000,0)),IF(OR(INDEX(DB_materiali!$B$2:$B$5000,MATCH($C909,DB_materiali!$A$2:$A$5000,0))=INDEX(DB_malas!$B$2:$B$5000,MATCH(H909,DB_malas!$A$2:$A$5000,0)),$H909="ORG"),"✔",tulkojums!$A$38),tulkojums!$A$39),tulkojums!$A$39))</f>
        <v/>
      </c>
      <c r="Q909" s="2" t="str">
        <f>IF(ISBLANK(I909),"",IF(INDEX(DB_materiali!$E$2:$E$5000,MATCH($C909,DB_materiali!$A$2:$A$5000,0))&gt;=INDEX(DB_malas!$C$2:$C$5000,MATCH(I909,DB_malas!$A$2:$A$5000,0)),IF(INDEX(DB_materiali!$E$2:$E$5000,MATCH($C909,DB_materiali!$A$2:$A$5000,0))&lt;=INDEX(DB_malas!$D$2:$D$5000,MATCH(I909,DB_malas!$A$2:$A$5000,0)),IF(OR(INDEX(DB_materiali!$B$2:$B$5000,MATCH($C909,DB_materiali!$A$2:$A$5000,0))=INDEX(DB_malas!$B$2:$B$5000,MATCH(I909,DB_malas!$A$2:$A$5000,0)),$H909="ORG"),"✔",tulkojums!$A$38),tulkojums!$A$39),tulkojums!$A$39))</f>
        <v/>
      </c>
      <c r="R909" s="2" t="str">
        <f>IF(ISBLANK(J909),"",IF(INDEX(DB_materiali!$E$2:$E$5000,MATCH($C909,DB_materiali!$A$2:$A$5000,0))&gt;=INDEX(DB_malas!$C$2:$C$5000,MATCH(J909,DB_malas!$A$2:$A$5000,0)),IF(INDEX(DB_materiali!$E$2:$E$5000,MATCH($C909,DB_materiali!$A$2:$A$5000,0))&lt;=INDEX(DB_malas!$D$2:$D$5000,MATCH(J909,DB_malas!$A$2:$A$5000,0)),IF(INDEX(DB_materiali!$B$2:$B$5000,MATCH($C909,DB_materiali!$A$2:$A$5000,0))=INDEX(DB_malas!$B$2:$B$5000,MATCH(J909,DB_malas!$A$2:$A$5000,0)),"✔",tulkojums!$A$38),tulkojums!$A$39),tulkojums!$A$39))</f>
        <v/>
      </c>
      <c r="S909" s="2" t="str">
        <f>IF(ISBLANK(K909),"",IF(INDEX(DB_materiali!$E$2:$E$5000,MATCH($C909,DB_materiali!$A$2:$A$5000,0))&gt;=INDEX(DB_malas!$C$2:$C$5000,MATCH(K909,DB_malas!$A$2:$A$5000,0)),IF(INDEX(DB_materiali!$E$2:$E$5000,MATCH($C909,DB_materiali!$A$2:$A$5000,0))&lt;=INDEX(DB_malas!$D$2:$D$5000,MATCH(K909,DB_malas!$A$2:$A$5000,0)),IF(INDEX(DB_materiali!$B$2:$B$5000,MATCH($C909,DB_materiali!$A$2:$A$5000,0))=INDEX(DB_malas!$B$2:$B$5000,MATCH(K909,DB_malas!$A$2:$A$5000,0)),"✔",tulkojums!$A$38),tulkojums!$A$39),tulkojums!$A$39))</f>
        <v/>
      </c>
      <c r="T909" s="2"/>
      <c r="U909" s="2"/>
      <c r="V909" s="2"/>
      <c r="W909" s="2"/>
      <c r="X909" s="2"/>
      <c r="Y909" s="2"/>
      <c r="Z909" s="2"/>
    </row>
    <row r="910" spans="1:26" ht="15.75" customHeight="1">
      <c r="A910" s="17"/>
      <c r="B910" s="18"/>
      <c r="C910" s="19"/>
      <c r="D910" s="55"/>
      <c r="E910" s="55"/>
      <c r="F910" s="56"/>
      <c r="G910" s="57" t="str">
        <f>IF(ISBLANK(C910),"",
   IFERROR(
      IF(
         INDEX(DB_materiali!C$2:C$5000,
               MATCH(C910, DB_materiali!A$2:A$5000, 0)
         )="FALSE",
         "N",
         "Y"
      ),
   "")
)</f>
        <v/>
      </c>
      <c r="H910" s="20"/>
      <c r="I910" s="20"/>
      <c r="J910" s="20"/>
      <c r="K910" s="20"/>
      <c r="M910" s="2" t="str">
        <f>IF(ISBLANK(C910),"",IF(IFERROR(VLOOKUP(C910,DB_materiali!$A$2:$A$5000,1,FALSE),"Kļūda artikulā")=C910,"✔",tulkojums!A$42))</f>
        <v/>
      </c>
      <c r="N910" s="2" t="str">
        <f>IF(ISBLANK(C910),"",IF(ISNUMBER(F910)=TRUE,"✔",tulkojums!A$43))</f>
        <v/>
      </c>
      <c r="O910" s="2" t="str">
        <f>IF(ISBLANK(C910),"",IF(G910="Y","✔",IF(G910="X","✔",IF(G910="N","✔",tulkojums!A$44))))</f>
        <v/>
      </c>
      <c r="P910" s="2" t="str">
        <f>IF(ISBLANK(H910),"",IF(INDEX(DB_materiali!$E$2:$E$5000,MATCH($C910,DB_materiali!$A$2:$A$5000,0))&gt;=INDEX(DB_malas!$C$2:$C$5000,MATCH(H910,DB_malas!$A$2:$A$5000,0)),IF(INDEX(DB_materiali!$E$2:$E$5000,MATCH($C910,DB_materiali!$A$2:$A$5000,0))&lt;=INDEX(DB_malas!$D$2:$D$5000,MATCH(H910,DB_malas!$A$2:$A$5000,0)),IF(OR(INDEX(DB_materiali!$B$2:$B$5000,MATCH($C910,DB_materiali!$A$2:$A$5000,0))=INDEX(DB_malas!$B$2:$B$5000,MATCH(H910,DB_malas!$A$2:$A$5000,0)),$H910="ORG"),"✔",tulkojums!$A$38),tulkojums!$A$39),tulkojums!$A$39))</f>
        <v/>
      </c>
      <c r="Q910" s="2" t="str">
        <f>IF(ISBLANK(I910),"",IF(INDEX(DB_materiali!$E$2:$E$5000,MATCH($C910,DB_materiali!$A$2:$A$5000,0))&gt;=INDEX(DB_malas!$C$2:$C$5000,MATCH(I910,DB_malas!$A$2:$A$5000,0)),IF(INDEX(DB_materiali!$E$2:$E$5000,MATCH($C910,DB_materiali!$A$2:$A$5000,0))&lt;=INDEX(DB_malas!$D$2:$D$5000,MATCH(I910,DB_malas!$A$2:$A$5000,0)),IF(OR(INDEX(DB_materiali!$B$2:$B$5000,MATCH($C910,DB_materiali!$A$2:$A$5000,0))=INDEX(DB_malas!$B$2:$B$5000,MATCH(I910,DB_malas!$A$2:$A$5000,0)),$H910="ORG"),"✔",tulkojums!$A$38),tulkojums!$A$39),tulkojums!$A$39))</f>
        <v/>
      </c>
      <c r="R910" s="2" t="str">
        <f>IF(ISBLANK(J910),"",IF(INDEX(DB_materiali!$E$2:$E$5000,MATCH($C910,DB_materiali!$A$2:$A$5000,0))&gt;=INDEX(DB_malas!$C$2:$C$5000,MATCH(J910,DB_malas!$A$2:$A$5000,0)),IF(INDEX(DB_materiali!$E$2:$E$5000,MATCH($C910,DB_materiali!$A$2:$A$5000,0))&lt;=INDEX(DB_malas!$D$2:$D$5000,MATCH(J910,DB_malas!$A$2:$A$5000,0)),IF(INDEX(DB_materiali!$B$2:$B$5000,MATCH($C910,DB_materiali!$A$2:$A$5000,0))=INDEX(DB_malas!$B$2:$B$5000,MATCH(J910,DB_malas!$A$2:$A$5000,0)),"✔",tulkojums!$A$38),tulkojums!$A$39),tulkojums!$A$39))</f>
        <v/>
      </c>
      <c r="S910" s="2" t="str">
        <f>IF(ISBLANK(K910),"",IF(INDEX(DB_materiali!$E$2:$E$5000,MATCH($C910,DB_materiali!$A$2:$A$5000,0))&gt;=INDEX(DB_malas!$C$2:$C$5000,MATCH(K910,DB_malas!$A$2:$A$5000,0)),IF(INDEX(DB_materiali!$E$2:$E$5000,MATCH($C910,DB_materiali!$A$2:$A$5000,0))&lt;=INDEX(DB_malas!$D$2:$D$5000,MATCH(K910,DB_malas!$A$2:$A$5000,0)),IF(INDEX(DB_materiali!$B$2:$B$5000,MATCH($C910,DB_materiali!$A$2:$A$5000,0))=INDEX(DB_malas!$B$2:$B$5000,MATCH(K910,DB_malas!$A$2:$A$5000,0)),"✔",tulkojums!$A$38),tulkojums!$A$39),tulkojums!$A$39))</f>
        <v/>
      </c>
      <c r="T910" s="2"/>
      <c r="U910" s="2"/>
      <c r="V910" s="2"/>
      <c r="W910" s="2"/>
      <c r="X910" s="2"/>
      <c r="Y910" s="2"/>
      <c r="Z910" s="2"/>
    </row>
    <row r="911" spans="1:26" ht="15.75" customHeight="1">
      <c r="A911" s="17"/>
      <c r="B911" s="18"/>
      <c r="C911" s="19"/>
      <c r="D911" s="55"/>
      <c r="E911" s="55"/>
      <c r="F911" s="56"/>
      <c r="G911" s="57" t="str">
        <f>IF(ISBLANK(C911),"",
   IFERROR(
      IF(
         INDEX(DB_materiali!C$2:C$5000,
               MATCH(C911, DB_materiali!A$2:A$5000, 0)
         )="FALSE",
         "N",
         "Y"
      ),
   "")
)</f>
        <v/>
      </c>
      <c r="H911" s="20"/>
      <c r="I911" s="20"/>
      <c r="J911" s="20"/>
      <c r="K911" s="20"/>
      <c r="M911" s="2" t="str">
        <f>IF(ISBLANK(C911),"",IF(IFERROR(VLOOKUP(C911,DB_materiali!$A$2:$A$5000,1,FALSE),"Kļūda artikulā")=C911,"✔",tulkojums!A$42))</f>
        <v/>
      </c>
      <c r="N911" s="2" t="str">
        <f>IF(ISBLANK(C911),"",IF(ISNUMBER(F911)=TRUE,"✔",tulkojums!A$43))</f>
        <v/>
      </c>
      <c r="O911" s="2" t="str">
        <f>IF(ISBLANK(C911),"",IF(G911="Y","✔",IF(G911="X","✔",IF(G911="N","✔",tulkojums!A$44))))</f>
        <v/>
      </c>
      <c r="P911" s="2" t="str">
        <f>IF(ISBLANK(H911),"",IF(INDEX(DB_materiali!$E$2:$E$5000,MATCH($C911,DB_materiali!$A$2:$A$5000,0))&gt;=INDEX(DB_malas!$C$2:$C$5000,MATCH(H911,DB_malas!$A$2:$A$5000,0)),IF(INDEX(DB_materiali!$E$2:$E$5000,MATCH($C911,DB_materiali!$A$2:$A$5000,0))&lt;=INDEX(DB_malas!$D$2:$D$5000,MATCH(H911,DB_malas!$A$2:$A$5000,0)),IF(OR(INDEX(DB_materiali!$B$2:$B$5000,MATCH($C911,DB_materiali!$A$2:$A$5000,0))=INDEX(DB_malas!$B$2:$B$5000,MATCH(H911,DB_malas!$A$2:$A$5000,0)),$H911="ORG"),"✔",tulkojums!$A$38),tulkojums!$A$39),tulkojums!$A$39))</f>
        <v/>
      </c>
      <c r="Q911" s="2" t="str">
        <f>IF(ISBLANK(I911),"",IF(INDEX(DB_materiali!$E$2:$E$5000,MATCH($C911,DB_materiali!$A$2:$A$5000,0))&gt;=INDEX(DB_malas!$C$2:$C$5000,MATCH(I911,DB_malas!$A$2:$A$5000,0)),IF(INDEX(DB_materiali!$E$2:$E$5000,MATCH($C911,DB_materiali!$A$2:$A$5000,0))&lt;=INDEX(DB_malas!$D$2:$D$5000,MATCH(I911,DB_malas!$A$2:$A$5000,0)),IF(OR(INDEX(DB_materiali!$B$2:$B$5000,MATCH($C911,DB_materiali!$A$2:$A$5000,0))=INDEX(DB_malas!$B$2:$B$5000,MATCH(I911,DB_malas!$A$2:$A$5000,0)),$H911="ORG"),"✔",tulkojums!$A$38),tulkojums!$A$39),tulkojums!$A$39))</f>
        <v/>
      </c>
      <c r="R911" s="2" t="str">
        <f>IF(ISBLANK(J911),"",IF(INDEX(DB_materiali!$E$2:$E$5000,MATCH($C911,DB_materiali!$A$2:$A$5000,0))&gt;=INDEX(DB_malas!$C$2:$C$5000,MATCH(J911,DB_malas!$A$2:$A$5000,0)),IF(INDEX(DB_materiali!$E$2:$E$5000,MATCH($C911,DB_materiali!$A$2:$A$5000,0))&lt;=INDEX(DB_malas!$D$2:$D$5000,MATCH(J911,DB_malas!$A$2:$A$5000,0)),IF(INDEX(DB_materiali!$B$2:$B$5000,MATCH($C911,DB_materiali!$A$2:$A$5000,0))=INDEX(DB_malas!$B$2:$B$5000,MATCH(J911,DB_malas!$A$2:$A$5000,0)),"✔",tulkojums!$A$38),tulkojums!$A$39),tulkojums!$A$39))</f>
        <v/>
      </c>
      <c r="S911" s="2" t="str">
        <f>IF(ISBLANK(K911),"",IF(INDEX(DB_materiali!$E$2:$E$5000,MATCH($C911,DB_materiali!$A$2:$A$5000,0))&gt;=INDEX(DB_malas!$C$2:$C$5000,MATCH(K911,DB_malas!$A$2:$A$5000,0)),IF(INDEX(DB_materiali!$E$2:$E$5000,MATCH($C911,DB_materiali!$A$2:$A$5000,0))&lt;=INDEX(DB_malas!$D$2:$D$5000,MATCH(K911,DB_malas!$A$2:$A$5000,0)),IF(INDEX(DB_materiali!$B$2:$B$5000,MATCH($C911,DB_materiali!$A$2:$A$5000,0))=INDEX(DB_malas!$B$2:$B$5000,MATCH(K911,DB_malas!$A$2:$A$5000,0)),"✔",tulkojums!$A$38),tulkojums!$A$39),tulkojums!$A$39))</f>
        <v/>
      </c>
      <c r="T911" s="2"/>
      <c r="U911" s="2"/>
      <c r="V911" s="2"/>
      <c r="W911" s="2"/>
      <c r="X911" s="2"/>
      <c r="Y911" s="2"/>
      <c r="Z911" s="2"/>
    </row>
    <row r="912" spans="1:26" ht="15.75" customHeight="1">
      <c r="A912" s="17"/>
      <c r="B912" s="18"/>
      <c r="C912" s="19"/>
      <c r="D912" s="55"/>
      <c r="E912" s="55"/>
      <c r="F912" s="56"/>
      <c r="G912" s="57" t="str">
        <f>IF(ISBLANK(C912),"",
   IFERROR(
      IF(
         INDEX(DB_materiali!C$2:C$5000,
               MATCH(C912, DB_materiali!A$2:A$5000, 0)
         )="FALSE",
         "N",
         "Y"
      ),
   "")
)</f>
        <v/>
      </c>
      <c r="H912" s="20"/>
      <c r="I912" s="20"/>
      <c r="J912" s="20"/>
      <c r="K912" s="20"/>
      <c r="M912" s="2" t="str">
        <f>IF(ISBLANK(C912),"",IF(IFERROR(VLOOKUP(C912,DB_materiali!$A$2:$A$5000,1,FALSE),"Kļūda artikulā")=C912,"✔",tulkojums!A$42))</f>
        <v/>
      </c>
      <c r="N912" s="2" t="str">
        <f>IF(ISBLANK(C912),"",IF(ISNUMBER(F912)=TRUE,"✔",tulkojums!A$43))</f>
        <v/>
      </c>
      <c r="O912" s="2" t="str">
        <f>IF(ISBLANK(C912),"",IF(G912="Y","✔",IF(G912="X","✔",IF(G912="N","✔",tulkojums!A$44))))</f>
        <v/>
      </c>
      <c r="P912" s="2" t="str">
        <f>IF(ISBLANK(H912),"",IF(INDEX(DB_materiali!$E$2:$E$5000,MATCH($C912,DB_materiali!$A$2:$A$5000,0))&gt;=INDEX(DB_malas!$C$2:$C$5000,MATCH(H912,DB_malas!$A$2:$A$5000,0)),IF(INDEX(DB_materiali!$E$2:$E$5000,MATCH($C912,DB_materiali!$A$2:$A$5000,0))&lt;=INDEX(DB_malas!$D$2:$D$5000,MATCH(H912,DB_malas!$A$2:$A$5000,0)),IF(OR(INDEX(DB_materiali!$B$2:$B$5000,MATCH($C912,DB_materiali!$A$2:$A$5000,0))=INDEX(DB_malas!$B$2:$B$5000,MATCH(H912,DB_malas!$A$2:$A$5000,0)),$H912="ORG"),"✔",tulkojums!$A$38),tulkojums!$A$39),tulkojums!$A$39))</f>
        <v/>
      </c>
      <c r="Q912" s="2" t="str">
        <f>IF(ISBLANK(I912),"",IF(INDEX(DB_materiali!$E$2:$E$5000,MATCH($C912,DB_materiali!$A$2:$A$5000,0))&gt;=INDEX(DB_malas!$C$2:$C$5000,MATCH(I912,DB_malas!$A$2:$A$5000,0)),IF(INDEX(DB_materiali!$E$2:$E$5000,MATCH($C912,DB_materiali!$A$2:$A$5000,0))&lt;=INDEX(DB_malas!$D$2:$D$5000,MATCH(I912,DB_malas!$A$2:$A$5000,0)),IF(OR(INDEX(DB_materiali!$B$2:$B$5000,MATCH($C912,DB_materiali!$A$2:$A$5000,0))=INDEX(DB_malas!$B$2:$B$5000,MATCH(I912,DB_malas!$A$2:$A$5000,0)),$H912="ORG"),"✔",tulkojums!$A$38),tulkojums!$A$39),tulkojums!$A$39))</f>
        <v/>
      </c>
      <c r="R912" s="2" t="str">
        <f>IF(ISBLANK(J912),"",IF(INDEX(DB_materiali!$E$2:$E$5000,MATCH($C912,DB_materiali!$A$2:$A$5000,0))&gt;=INDEX(DB_malas!$C$2:$C$5000,MATCH(J912,DB_malas!$A$2:$A$5000,0)),IF(INDEX(DB_materiali!$E$2:$E$5000,MATCH($C912,DB_materiali!$A$2:$A$5000,0))&lt;=INDEX(DB_malas!$D$2:$D$5000,MATCH(J912,DB_malas!$A$2:$A$5000,0)),IF(INDEX(DB_materiali!$B$2:$B$5000,MATCH($C912,DB_materiali!$A$2:$A$5000,0))=INDEX(DB_malas!$B$2:$B$5000,MATCH(J912,DB_malas!$A$2:$A$5000,0)),"✔",tulkojums!$A$38),tulkojums!$A$39),tulkojums!$A$39))</f>
        <v/>
      </c>
      <c r="S912" s="2" t="str">
        <f>IF(ISBLANK(K912),"",IF(INDEX(DB_materiali!$E$2:$E$5000,MATCH($C912,DB_materiali!$A$2:$A$5000,0))&gt;=INDEX(DB_malas!$C$2:$C$5000,MATCH(K912,DB_malas!$A$2:$A$5000,0)),IF(INDEX(DB_materiali!$E$2:$E$5000,MATCH($C912,DB_materiali!$A$2:$A$5000,0))&lt;=INDEX(DB_malas!$D$2:$D$5000,MATCH(K912,DB_malas!$A$2:$A$5000,0)),IF(INDEX(DB_materiali!$B$2:$B$5000,MATCH($C912,DB_materiali!$A$2:$A$5000,0))=INDEX(DB_malas!$B$2:$B$5000,MATCH(K912,DB_malas!$A$2:$A$5000,0)),"✔",tulkojums!$A$38),tulkojums!$A$39),tulkojums!$A$39))</f>
        <v/>
      </c>
      <c r="T912" s="2"/>
      <c r="U912" s="2"/>
      <c r="V912" s="2"/>
      <c r="W912" s="2"/>
      <c r="X912" s="2"/>
      <c r="Y912" s="2"/>
      <c r="Z912" s="2"/>
    </row>
    <row r="913" spans="1:26" ht="15.75" customHeight="1">
      <c r="A913" s="17"/>
      <c r="B913" s="18"/>
      <c r="C913" s="19"/>
      <c r="D913" s="55"/>
      <c r="E913" s="55"/>
      <c r="F913" s="56"/>
      <c r="G913" s="57" t="str">
        <f>IF(ISBLANK(C913),"",
   IFERROR(
      IF(
         INDEX(DB_materiali!C$2:C$5000,
               MATCH(C913, DB_materiali!A$2:A$5000, 0)
         )="FALSE",
         "N",
         "Y"
      ),
   "")
)</f>
        <v/>
      </c>
      <c r="H913" s="20"/>
      <c r="I913" s="20"/>
      <c r="J913" s="20"/>
      <c r="K913" s="20"/>
      <c r="M913" s="2" t="str">
        <f>IF(ISBLANK(C913),"",IF(IFERROR(VLOOKUP(C913,DB_materiali!$A$2:$A$5000,1,FALSE),"Kļūda artikulā")=C913,"✔",tulkojums!A$42))</f>
        <v/>
      </c>
      <c r="N913" s="2" t="str">
        <f>IF(ISBLANK(C913),"",IF(ISNUMBER(F913)=TRUE,"✔",tulkojums!A$43))</f>
        <v/>
      </c>
      <c r="O913" s="2" t="str">
        <f>IF(ISBLANK(C913),"",IF(G913="Y","✔",IF(G913="X","✔",IF(G913="N","✔",tulkojums!A$44))))</f>
        <v/>
      </c>
      <c r="P913" s="2" t="str">
        <f>IF(ISBLANK(H913),"",IF(INDEX(DB_materiali!$E$2:$E$5000,MATCH($C913,DB_materiali!$A$2:$A$5000,0))&gt;=INDEX(DB_malas!$C$2:$C$5000,MATCH(H913,DB_malas!$A$2:$A$5000,0)),IF(INDEX(DB_materiali!$E$2:$E$5000,MATCH($C913,DB_materiali!$A$2:$A$5000,0))&lt;=INDEX(DB_malas!$D$2:$D$5000,MATCH(H913,DB_malas!$A$2:$A$5000,0)),IF(OR(INDEX(DB_materiali!$B$2:$B$5000,MATCH($C913,DB_materiali!$A$2:$A$5000,0))=INDEX(DB_malas!$B$2:$B$5000,MATCH(H913,DB_malas!$A$2:$A$5000,0)),$H913="ORG"),"✔",tulkojums!$A$38),tulkojums!$A$39),tulkojums!$A$39))</f>
        <v/>
      </c>
      <c r="Q913" s="2" t="str">
        <f>IF(ISBLANK(I913),"",IF(INDEX(DB_materiali!$E$2:$E$5000,MATCH($C913,DB_materiali!$A$2:$A$5000,0))&gt;=INDEX(DB_malas!$C$2:$C$5000,MATCH(I913,DB_malas!$A$2:$A$5000,0)),IF(INDEX(DB_materiali!$E$2:$E$5000,MATCH($C913,DB_materiali!$A$2:$A$5000,0))&lt;=INDEX(DB_malas!$D$2:$D$5000,MATCH(I913,DB_malas!$A$2:$A$5000,0)),IF(OR(INDEX(DB_materiali!$B$2:$B$5000,MATCH($C913,DB_materiali!$A$2:$A$5000,0))=INDEX(DB_malas!$B$2:$B$5000,MATCH(I913,DB_malas!$A$2:$A$5000,0)),$H913="ORG"),"✔",tulkojums!$A$38),tulkojums!$A$39),tulkojums!$A$39))</f>
        <v/>
      </c>
      <c r="R913" s="2" t="str">
        <f>IF(ISBLANK(J913),"",IF(INDEX(DB_materiali!$E$2:$E$5000,MATCH($C913,DB_materiali!$A$2:$A$5000,0))&gt;=INDEX(DB_malas!$C$2:$C$5000,MATCH(J913,DB_malas!$A$2:$A$5000,0)),IF(INDEX(DB_materiali!$E$2:$E$5000,MATCH($C913,DB_materiali!$A$2:$A$5000,0))&lt;=INDEX(DB_malas!$D$2:$D$5000,MATCH(J913,DB_malas!$A$2:$A$5000,0)),IF(INDEX(DB_materiali!$B$2:$B$5000,MATCH($C913,DB_materiali!$A$2:$A$5000,0))=INDEX(DB_malas!$B$2:$B$5000,MATCH(J913,DB_malas!$A$2:$A$5000,0)),"✔",tulkojums!$A$38),tulkojums!$A$39),tulkojums!$A$39))</f>
        <v/>
      </c>
      <c r="S913" s="2" t="str">
        <f>IF(ISBLANK(K913),"",IF(INDEX(DB_materiali!$E$2:$E$5000,MATCH($C913,DB_materiali!$A$2:$A$5000,0))&gt;=INDEX(DB_malas!$C$2:$C$5000,MATCH(K913,DB_malas!$A$2:$A$5000,0)),IF(INDEX(DB_materiali!$E$2:$E$5000,MATCH($C913,DB_materiali!$A$2:$A$5000,0))&lt;=INDEX(DB_malas!$D$2:$D$5000,MATCH(K913,DB_malas!$A$2:$A$5000,0)),IF(INDEX(DB_materiali!$B$2:$B$5000,MATCH($C913,DB_materiali!$A$2:$A$5000,0))=INDEX(DB_malas!$B$2:$B$5000,MATCH(K913,DB_malas!$A$2:$A$5000,0)),"✔",tulkojums!$A$38),tulkojums!$A$39),tulkojums!$A$39))</f>
        <v/>
      </c>
      <c r="T913" s="2"/>
      <c r="U913" s="2"/>
      <c r="V913" s="2"/>
      <c r="W913" s="2"/>
      <c r="X913" s="2"/>
      <c r="Y913" s="2"/>
      <c r="Z913" s="2"/>
    </row>
    <row r="914" spans="1:26" ht="15.75" customHeight="1">
      <c r="A914" s="17"/>
      <c r="B914" s="18"/>
      <c r="C914" s="19"/>
      <c r="D914" s="55"/>
      <c r="E914" s="55"/>
      <c r="F914" s="56"/>
      <c r="G914" s="57" t="str">
        <f>IF(ISBLANK(C914),"",
   IFERROR(
      IF(
         INDEX(DB_materiali!C$2:C$5000,
               MATCH(C914, DB_materiali!A$2:A$5000, 0)
         )="FALSE",
         "N",
         "Y"
      ),
   "")
)</f>
        <v/>
      </c>
      <c r="H914" s="20"/>
      <c r="I914" s="20"/>
      <c r="J914" s="20"/>
      <c r="K914" s="20"/>
      <c r="M914" s="2" t="str">
        <f>IF(ISBLANK(C914),"",IF(IFERROR(VLOOKUP(C914,DB_materiali!$A$2:$A$5000,1,FALSE),"Kļūda artikulā")=C914,"✔",tulkojums!A$42))</f>
        <v/>
      </c>
      <c r="N914" s="2" t="str">
        <f>IF(ISBLANK(C914),"",IF(ISNUMBER(F914)=TRUE,"✔",tulkojums!A$43))</f>
        <v/>
      </c>
      <c r="O914" s="2" t="str">
        <f>IF(ISBLANK(C914),"",IF(G914="Y","✔",IF(G914="X","✔",IF(G914="N","✔",tulkojums!A$44))))</f>
        <v/>
      </c>
      <c r="P914" s="2" t="str">
        <f>IF(ISBLANK(H914),"",IF(INDEX(DB_materiali!$E$2:$E$5000,MATCH($C914,DB_materiali!$A$2:$A$5000,0))&gt;=INDEX(DB_malas!$C$2:$C$5000,MATCH(H914,DB_malas!$A$2:$A$5000,0)),IF(INDEX(DB_materiali!$E$2:$E$5000,MATCH($C914,DB_materiali!$A$2:$A$5000,0))&lt;=INDEX(DB_malas!$D$2:$D$5000,MATCH(H914,DB_malas!$A$2:$A$5000,0)),IF(OR(INDEX(DB_materiali!$B$2:$B$5000,MATCH($C914,DB_materiali!$A$2:$A$5000,0))=INDEX(DB_malas!$B$2:$B$5000,MATCH(H914,DB_malas!$A$2:$A$5000,0)),$H914="ORG"),"✔",tulkojums!$A$38),tulkojums!$A$39),tulkojums!$A$39))</f>
        <v/>
      </c>
      <c r="Q914" s="2" t="str">
        <f>IF(ISBLANK(I914),"",IF(INDEX(DB_materiali!$E$2:$E$5000,MATCH($C914,DB_materiali!$A$2:$A$5000,0))&gt;=INDEX(DB_malas!$C$2:$C$5000,MATCH(I914,DB_malas!$A$2:$A$5000,0)),IF(INDEX(DB_materiali!$E$2:$E$5000,MATCH($C914,DB_materiali!$A$2:$A$5000,0))&lt;=INDEX(DB_malas!$D$2:$D$5000,MATCH(I914,DB_malas!$A$2:$A$5000,0)),IF(OR(INDEX(DB_materiali!$B$2:$B$5000,MATCH($C914,DB_materiali!$A$2:$A$5000,0))=INDEX(DB_malas!$B$2:$B$5000,MATCH(I914,DB_malas!$A$2:$A$5000,0)),$H914="ORG"),"✔",tulkojums!$A$38),tulkojums!$A$39),tulkojums!$A$39))</f>
        <v/>
      </c>
      <c r="R914" s="2" t="str">
        <f>IF(ISBLANK(J914),"",IF(INDEX(DB_materiali!$E$2:$E$5000,MATCH($C914,DB_materiali!$A$2:$A$5000,0))&gt;=INDEX(DB_malas!$C$2:$C$5000,MATCH(J914,DB_malas!$A$2:$A$5000,0)),IF(INDEX(DB_materiali!$E$2:$E$5000,MATCH($C914,DB_materiali!$A$2:$A$5000,0))&lt;=INDEX(DB_malas!$D$2:$D$5000,MATCH(J914,DB_malas!$A$2:$A$5000,0)),IF(INDEX(DB_materiali!$B$2:$B$5000,MATCH($C914,DB_materiali!$A$2:$A$5000,0))=INDEX(DB_malas!$B$2:$B$5000,MATCH(J914,DB_malas!$A$2:$A$5000,0)),"✔",tulkojums!$A$38),tulkojums!$A$39),tulkojums!$A$39))</f>
        <v/>
      </c>
      <c r="S914" s="2" t="str">
        <f>IF(ISBLANK(K914),"",IF(INDEX(DB_materiali!$E$2:$E$5000,MATCH($C914,DB_materiali!$A$2:$A$5000,0))&gt;=INDEX(DB_malas!$C$2:$C$5000,MATCH(K914,DB_malas!$A$2:$A$5000,0)),IF(INDEX(DB_materiali!$E$2:$E$5000,MATCH($C914,DB_materiali!$A$2:$A$5000,0))&lt;=INDEX(DB_malas!$D$2:$D$5000,MATCH(K914,DB_malas!$A$2:$A$5000,0)),IF(INDEX(DB_materiali!$B$2:$B$5000,MATCH($C914,DB_materiali!$A$2:$A$5000,0))=INDEX(DB_malas!$B$2:$B$5000,MATCH(K914,DB_malas!$A$2:$A$5000,0)),"✔",tulkojums!$A$38),tulkojums!$A$39),tulkojums!$A$39))</f>
        <v/>
      </c>
      <c r="T914" s="2"/>
      <c r="U914" s="2"/>
      <c r="V914" s="2"/>
      <c r="W914" s="2"/>
      <c r="X914" s="2"/>
      <c r="Y914" s="2"/>
      <c r="Z914" s="2"/>
    </row>
    <row r="915" spans="1:26" ht="15.75" customHeight="1">
      <c r="A915" s="17"/>
      <c r="B915" s="18"/>
      <c r="C915" s="19"/>
      <c r="D915" s="55"/>
      <c r="E915" s="55"/>
      <c r="F915" s="56"/>
      <c r="G915" s="57" t="str">
        <f>IF(ISBLANK(C915),"",
   IFERROR(
      IF(
         INDEX(DB_materiali!C$2:C$5000,
               MATCH(C915, DB_materiali!A$2:A$5000, 0)
         )="FALSE",
         "N",
         "Y"
      ),
   "")
)</f>
        <v/>
      </c>
      <c r="H915" s="20"/>
      <c r="I915" s="20"/>
      <c r="J915" s="20"/>
      <c r="K915" s="20"/>
      <c r="M915" s="2" t="str">
        <f>IF(ISBLANK(C915),"",IF(IFERROR(VLOOKUP(C915,DB_materiali!$A$2:$A$5000,1,FALSE),"Kļūda artikulā")=C915,"✔",tulkojums!A$42))</f>
        <v/>
      </c>
      <c r="N915" s="2" t="str">
        <f>IF(ISBLANK(C915),"",IF(ISNUMBER(F915)=TRUE,"✔",tulkojums!A$43))</f>
        <v/>
      </c>
      <c r="O915" s="2" t="str">
        <f>IF(ISBLANK(C915),"",IF(G915="Y","✔",IF(G915="X","✔",IF(G915="N","✔",tulkojums!A$44))))</f>
        <v/>
      </c>
      <c r="P915" s="2" t="str">
        <f>IF(ISBLANK(H915),"",IF(INDEX(DB_materiali!$E$2:$E$5000,MATCH($C915,DB_materiali!$A$2:$A$5000,0))&gt;=INDEX(DB_malas!$C$2:$C$5000,MATCH(H915,DB_malas!$A$2:$A$5000,0)),IF(INDEX(DB_materiali!$E$2:$E$5000,MATCH($C915,DB_materiali!$A$2:$A$5000,0))&lt;=INDEX(DB_malas!$D$2:$D$5000,MATCH(H915,DB_malas!$A$2:$A$5000,0)),IF(OR(INDEX(DB_materiali!$B$2:$B$5000,MATCH($C915,DB_materiali!$A$2:$A$5000,0))=INDEX(DB_malas!$B$2:$B$5000,MATCH(H915,DB_malas!$A$2:$A$5000,0)),$H915="ORG"),"✔",tulkojums!$A$38),tulkojums!$A$39),tulkojums!$A$39))</f>
        <v/>
      </c>
      <c r="Q915" s="2" t="str">
        <f>IF(ISBLANK(I915),"",IF(INDEX(DB_materiali!$E$2:$E$5000,MATCH($C915,DB_materiali!$A$2:$A$5000,0))&gt;=INDEX(DB_malas!$C$2:$C$5000,MATCH(I915,DB_malas!$A$2:$A$5000,0)),IF(INDEX(DB_materiali!$E$2:$E$5000,MATCH($C915,DB_materiali!$A$2:$A$5000,0))&lt;=INDEX(DB_malas!$D$2:$D$5000,MATCH(I915,DB_malas!$A$2:$A$5000,0)),IF(OR(INDEX(DB_materiali!$B$2:$B$5000,MATCH($C915,DB_materiali!$A$2:$A$5000,0))=INDEX(DB_malas!$B$2:$B$5000,MATCH(I915,DB_malas!$A$2:$A$5000,0)),$H915="ORG"),"✔",tulkojums!$A$38),tulkojums!$A$39),tulkojums!$A$39))</f>
        <v/>
      </c>
      <c r="R915" s="2" t="str">
        <f>IF(ISBLANK(J915),"",IF(INDEX(DB_materiali!$E$2:$E$5000,MATCH($C915,DB_materiali!$A$2:$A$5000,0))&gt;=INDEX(DB_malas!$C$2:$C$5000,MATCH(J915,DB_malas!$A$2:$A$5000,0)),IF(INDEX(DB_materiali!$E$2:$E$5000,MATCH($C915,DB_materiali!$A$2:$A$5000,0))&lt;=INDEX(DB_malas!$D$2:$D$5000,MATCH(J915,DB_malas!$A$2:$A$5000,0)),IF(INDEX(DB_materiali!$B$2:$B$5000,MATCH($C915,DB_materiali!$A$2:$A$5000,0))=INDEX(DB_malas!$B$2:$B$5000,MATCH(J915,DB_malas!$A$2:$A$5000,0)),"✔",tulkojums!$A$38),tulkojums!$A$39),tulkojums!$A$39))</f>
        <v/>
      </c>
      <c r="S915" s="2" t="str">
        <f>IF(ISBLANK(K915),"",IF(INDEX(DB_materiali!$E$2:$E$5000,MATCH($C915,DB_materiali!$A$2:$A$5000,0))&gt;=INDEX(DB_malas!$C$2:$C$5000,MATCH(K915,DB_malas!$A$2:$A$5000,0)),IF(INDEX(DB_materiali!$E$2:$E$5000,MATCH($C915,DB_materiali!$A$2:$A$5000,0))&lt;=INDEX(DB_malas!$D$2:$D$5000,MATCH(K915,DB_malas!$A$2:$A$5000,0)),IF(INDEX(DB_materiali!$B$2:$B$5000,MATCH($C915,DB_materiali!$A$2:$A$5000,0))=INDEX(DB_malas!$B$2:$B$5000,MATCH(K915,DB_malas!$A$2:$A$5000,0)),"✔",tulkojums!$A$38),tulkojums!$A$39),tulkojums!$A$39))</f>
        <v/>
      </c>
      <c r="T915" s="2"/>
      <c r="U915" s="2"/>
      <c r="V915" s="2"/>
      <c r="W915" s="2"/>
      <c r="X915" s="2"/>
      <c r="Y915" s="2"/>
      <c r="Z915" s="2"/>
    </row>
    <row r="916" spans="1:26" ht="15.75" customHeight="1">
      <c r="A916" s="17"/>
      <c r="B916" s="18"/>
      <c r="C916" s="19"/>
      <c r="D916" s="55"/>
      <c r="E916" s="55"/>
      <c r="F916" s="56"/>
      <c r="G916" s="57" t="str">
        <f>IF(ISBLANK(C916),"",
   IFERROR(
      IF(
         INDEX(DB_materiali!C$2:C$5000,
               MATCH(C916, DB_materiali!A$2:A$5000, 0)
         )="FALSE",
         "N",
         "Y"
      ),
   "")
)</f>
        <v/>
      </c>
      <c r="H916" s="20"/>
      <c r="I916" s="20"/>
      <c r="J916" s="20"/>
      <c r="K916" s="20"/>
      <c r="M916" s="2" t="str">
        <f>IF(ISBLANK(C916),"",IF(IFERROR(VLOOKUP(C916,DB_materiali!$A$2:$A$5000,1,FALSE),"Kļūda artikulā")=C916,"✔",tulkojums!A$42))</f>
        <v/>
      </c>
      <c r="N916" s="2" t="str">
        <f>IF(ISBLANK(C916),"",IF(ISNUMBER(F916)=TRUE,"✔",tulkojums!A$43))</f>
        <v/>
      </c>
      <c r="O916" s="2" t="str">
        <f>IF(ISBLANK(C916),"",IF(G916="Y","✔",IF(G916="X","✔",IF(G916="N","✔",tulkojums!A$44))))</f>
        <v/>
      </c>
      <c r="P916" s="2" t="str">
        <f>IF(ISBLANK(H916),"",IF(INDEX(DB_materiali!$E$2:$E$5000,MATCH($C916,DB_materiali!$A$2:$A$5000,0))&gt;=INDEX(DB_malas!$C$2:$C$5000,MATCH(H916,DB_malas!$A$2:$A$5000,0)),IF(INDEX(DB_materiali!$E$2:$E$5000,MATCH($C916,DB_materiali!$A$2:$A$5000,0))&lt;=INDEX(DB_malas!$D$2:$D$5000,MATCH(H916,DB_malas!$A$2:$A$5000,0)),IF(OR(INDEX(DB_materiali!$B$2:$B$5000,MATCH($C916,DB_materiali!$A$2:$A$5000,0))=INDEX(DB_malas!$B$2:$B$5000,MATCH(H916,DB_malas!$A$2:$A$5000,0)),$H916="ORG"),"✔",tulkojums!$A$38),tulkojums!$A$39),tulkojums!$A$39))</f>
        <v/>
      </c>
      <c r="Q916" s="2" t="str">
        <f>IF(ISBLANK(I916),"",IF(INDEX(DB_materiali!$E$2:$E$5000,MATCH($C916,DB_materiali!$A$2:$A$5000,0))&gt;=INDEX(DB_malas!$C$2:$C$5000,MATCH(I916,DB_malas!$A$2:$A$5000,0)),IF(INDEX(DB_materiali!$E$2:$E$5000,MATCH($C916,DB_materiali!$A$2:$A$5000,0))&lt;=INDEX(DB_malas!$D$2:$D$5000,MATCH(I916,DB_malas!$A$2:$A$5000,0)),IF(OR(INDEX(DB_materiali!$B$2:$B$5000,MATCH($C916,DB_materiali!$A$2:$A$5000,0))=INDEX(DB_malas!$B$2:$B$5000,MATCH(I916,DB_malas!$A$2:$A$5000,0)),$H916="ORG"),"✔",tulkojums!$A$38),tulkojums!$A$39),tulkojums!$A$39))</f>
        <v/>
      </c>
      <c r="R916" s="2" t="str">
        <f>IF(ISBLANK(J916),"",IF(INDEX(DB_materiali!$E$2:$E$5000,MATCH($C916,DB_materiali!$A$2:$A$5000,0))&gt;=INDEX(DB_malas!$C$2:$C$5000,MATCH(J916,DB_malas!$A$2:$A$5000,0)),IF(INDEX(DB_materiali!$E$2:$E$5000,MATCH($C916,DB_materiali!$A$2:$A$5000,0))&lt;=INDEX(DB_malas!$D$2:$D$5000,MATCH(J916,DB_malas!$A$2:$A$5000,0)),IF(INDEX(DB_materiali!$B$2:$B$5000,MATCH($C916,DB_materiali!$A$2:$A$5000,0))=INDEX(DB_malas!$B$2:$B$5000,MATCH(J916,DB_malas!$A$2:$A$5000,0)),"✔",tulkojums!$A$38),tulkojums!$A$39),tulkojums!$A$39))</f>
        <v/>
      </c>
      <c r="S916" s="2" t="str">
        <f>IF(ISBLANK(K916),"",IF(INDEX(DB_materiali!$E$2:$E$5000,MATCH($C916,DB_materiali!$A$2:$A$5000,0))&gt;=INDEX(DB_malas!$C$2:$C$5000,MATCH(K916,DB_malas!$A$2:$A$5000,0)),IF(INDEX(DB_materiali!$E$2:$E$5000,MATCH($C916,DB_materiali!$A$2:$A$5000,0))&lt;=INDEX(DB_malas!$D$2:$D$5000,MATCH(K916,DB_malas!$A$2:$A$5000,0)),IF(INDEX(DB_materiali!$B$2:$B$5000,MATCH($C916,DB_materiali!$A$2:$A$5000,0))=INDEX(DB_malas!$B$2:$B$5000,MATCH(K916,DB_malas!$A$2:$A$5000,0)),"✔",tulkojums!$A$38),tulkojums!$A$39),tulkojums!$A$39))</f>
        <v/>
      </c>
      <c r="T916" s="2"/>
      <c r="U916" s="2"/>
      <c r="V916" s="2"/>
      <c r="W916" s="2"/>
      <c r="X916" s="2"/>
      <c r="Y916" s="2"/>
      <c r="Z916" s="2"/>
    </row>
    <row r="917" spans="1:26" ht="15.75" customHeight="1">
      <c r="A917" s="17"/>
      <c r="B917" s="18"/>
      <c r="C917" s="19"/>
      <c r="D917" s="55"/>
      <c r="E917" s="55"/>
      <c r="F917" s="56"/>
      <c r="G917" s="57" t="str">
        <f>IF(ISBLANK(C917),"",
   IFERROR(
      IF(
         INDEX(DB_materiali!C$2:C$5000,
               MATCH(C917, DB_materiali!A$2:A$5000, 0)
         )="FALSE",
         "N",
         "Y"
      ),
   "")
)</f>
        <v/>
      </c>
      <c r="H917" s="20"/>
      <c r="I917" s="20"/>
      <c r="J917" s="20"/>
      <c r="K917" s="20"/>
      <c r="M917" s="2" t="str">
        <f>IF(ISBLANK(C917),"",IF(IFERROR(VLOOKUP(C917,DB_materiali!$A$2:$A$5000,1,FALSE),"Kļūda artikulā")=C917,"✔",tulkojums!A$42))</f>
        <v/>
      </c>
      <c r="N917" s="2" t="str">
        <f>IF(ISBLANK(C917),"",IF(ISNUMBER(F917)=TRUE,"✔",tulkojums!A$43))</f>
        <v/>
      </c>
      <c r="O917" s="2" t="str">
        <f>IF(ISBLANK(C917),"",IF(G917="Y","✔",IF(G917="X","✔",IF(G917="N","✔",tulkojums!A$44))))</f>
        <v/>
      </c>
      <c r="P917" s="2" t="str">
        <f>IF(ISBLANK(H917),"",IF(INDEX(DB_materiali!$E$2:$E$5000,MATCH($C917,DB_materiali!$A$2:$A$5000,0))&gt;=INDEX(DB_malas!$C$2:$C$5000,MATCH(H917,DB_malas!$A$2:$A$5000,0)),IF(INDEX(DB_materiali!$E$2:$E$5000,MATCH($C917,DB_materiali!$A$2:$A$5000,0))&lt;=INDEX(DB_malas!$D$2:$D$5000,MATCH(H917,DB_malas!$A$2:$A$5000,0)),IF(OR(INDEX(DB_materiali!$B$2:$B$5000,MATCH($C917,DB_materiali!$A$2:$A$5000,0))=INDEX(DB_malas!$B$2:$B$5000,MATCH(H917,DB_malas!$A$2:$A$5000,0)),$H917="ORG"),"✔",tulkojums!$A$38),tulkojums!$A$39),tulkojums!$A$39))</f>
        <v/>
      </c>
      <c r="Q917" s="2" t="str">
        <f>IF(ISBLANK(I917),"",IF(INDEX(DB_materiali!$E$2:$E$5000,MATCH($C917,DB_materiali!$A$2:$A$5000,0))&gt;=INDEX(DB_malas!$C$2:$C$5000,MATCH(I917,DB_malas!$A$2:$A$5000,0)),IF(INDEX(DB_materiali!$E$2:$E$5000,MATCH($C917,DB_materiali!$A$2:$A$5000,0))&lt;=INDEX(DB_malas!$D$2:$D$5000,MATCH(I917,DB_malas!$A$2:$A$5000,0)),IF(OR(INDEX(DB_materiali!$B$2:$B$5000,MATCH($C917,DB_materiali!$A$2:$A$5000,0))=INDEX(DB_malas!$B$2:$B$5000,MATCH(I917,DB_malas!$A$2:$A$5000,0)),$H917="ORG"),"✔",tulkojums!$A$38),tulkojums!$A$39),tulkojums!$A$39))</f>
        <v/>
      </c>
      <c r="R917" s="2" t="str">
        <f>IF(ISBLANK(J917),"",IF(INDEX(DB_materiali!$E$2:$E$5000,MATCH($C917,DB_materiali!$A$2:$A$5000,0))&gt;=INDEX(DB_malas!$C$2:$C$5000,MATCH(J917,DB_malas!$A$2:$A$5000,0)),IF(INDEX(DB_materiali!$E$2:$E$5000,MATCH($C917,DB_materiali!$A$2:$A$5000,0))&lt;=INDEX(DB_malas!$D$2:$D$5000,MATCH(J917,DB_malas!$A$2:$A$5000,0)),IF(INDEX(DB_materiali!$B$2:$B$5000,MATCH($C917,DB_materiali!$A$2:$A$5000,0))=INDEX(DB_malas!$B$2:$B$5000,MATCH(J917,DB_malas!$A$2:$A$5000,0)),"✔",tulkojums!$A$38),tulkojums!$A$39),tulkojums!$A$39))</f>
        <v/>
      </c>
      <c r="S917" s="2" t="str">
        <f>IF(ISBLANK(K917),"",IF(INDEX(DB_materiali!$E$2:$E$5000,MATCH($C917,DB_materiali!$A$2:$A$5000,0))&gt;=INDEX(DB_malas!$C$2:$C$5000,MATCH(K917,DB_malas!$A$2:$A$5000,0)),IF(INDEX(DB_materiali!$E$2:$E$5000,MATCH($C917,DB_materiali!$A$2:$A$5000,0))&lt;=INDEX(DB_malas!$D$2:$D$5000,MATCH(K917,DB_malas!$A$2:$A$5000,0)),IF(INDEX(DB_materiali!$B$2:$B$5000,MATCH($C917,DB_materiali!$A$2:$A$5000,0))=INDEX(DB_malas!$B$2:$B$5000,MATCH(K917,DB_malas!$A$2:$A$5000,0)),"✔",tulkojums!$A$38),tulkojums!$A$39),tulkojums!$A$39))</f>
        <v/>
      </c>
      <c r="T917" s="2"/>
      <c r="U917" s="2"/>
      <c r="V917" s="2"/>
      <c r="W917" s="2"/>
      <c r="X917" s="2"/>
      <c r="Y917" s="2"/>
      <c r="Z917" s="2"/>
    </row>
    <row r="918" spans="1:26" ht="15.75" customHeight="1">
      <c r="A918" s="17"/>
      <c r="B918" s="18"/>
      <c r="C918" s="19"/>
      <c r="D918" s="55"/>
      <c r="E918" s="55"/>
      <c r="F918" s="56"/>
      <c r="G918" s="57" t="str">
        <f>IF(ISBLANK(C918),"",
   IFERROR(
      IF(
         INDEX(DB_materiali!C$2:C$5000,
               MATCH(C918, DB_materiali!A$2:A$5000, 0)
         )="FALSE",
         "N",
         "Y"
      ),
   "")
)</f>
        <v/>
      </c>
      <c r="H918" s="20"/>
      <c r="I918" s="20"/>
      <c r="J918" s="20"/>
      <c r="K918" s="20"/>
      <c r="M918" s="2" t="str">
        <f>IF(ISBLANK(C918),"",IF(IFERROR(VLOOKUP(C918,DB_materiali!$A$2:$A$5000,1,FALSE),"Kļūda artikulā")=C918,"✔",tulkojums!A$42))</f>
        <v/>
      </c>
      <c r="N918" s="2" t="str">
        <f>IF(ISBLANK(C918),"",IF(ISNUMBER(F918)=TRUE,"✔",tulkojums!A$43))</f>
        <v/>
      </c>
      <c r="O918" s="2" t="str">
        <f>IF(ISBLANK(C918),"",IF(G918="Y","✔",IF(G918="X","✔",IF(G918="N","✔",tulkojums!A$44))))</f>
        <v/>
      </c>
      <c r="P918" s="2" t="str">
        <f>IF(ISBLANK(H918),"",IF(INDEX(DB_materiali!$E$2:$E$5000,MATCH($C918,DB_materiali!$A$2:$A$5000,0))&gt;=INDEX(DB_malas!$C$2:$C$5000,MATCH(H918,DB_malas!$A$2:$A$5000,0)),IF(INDEX(DB_materiali!$E$2:$E$5000,MATCH($C918,DB_materiali!$A$2:$A$5000,0))&lt;=INDEX(DB_malas!$D$2:$D$5000,MATCH(H918,DB_malas!$A$2:$A$5000,0)),IF(OR(INDEX(DB_materiali!$B$2:$B$5000,MATCH($C918,DB_materiali!$A$2:$A$5000,0))=INDEX(DB_malas!$B$2:$B$5000,MATCH(H918,DB_malas!$A$2:$A$5000,0)),$H918="ORG"),"✔",tulkojums!$A$38),tulkojums!$A$39),tulkojums!$A$39))</f>
        <v/>
      </c>
      <c r="Q918" s="2" t="str">
        <f>IF(ISBLANK(I918),"",IF(INDEX(DB_materiali!$E$2:$E$5000,MATCH($C918,DB_materiali!$A$2:$A$5000,0))&gt;=INDEX(DB_malas!$C$2:$C$5000,MATCH(I918,DB_malas!$A$2:$A$5000,0)),IF(INDEX(DB_materiali!$E$2:$E$5000,MATCH($C918,DB_materiali!$A$2:$A$5000,0))&lt;=INDEX(DB_malas!$D$2:$D$5000,MATCH(I918,DB_malas!$A$2:$A$5000,0)),IF(OR(INDEX(DB_materiali!$B$2:$B$5000,MATCH($C918,DB_materiali!$A$2:$A$5000,0))=INDEX(DB_malas!$B$2:$B$5000,MATCH(I918,DB_malas!$A$2:$A$5000,0)),$H918="ORG"),"✔",tulkojums!$A$38),tulkojums!$A$39),tulkojums!$A$39))</f>
        <v/>
      </c>
      <c r="R918" s="2" t="str">
        <f>IF(ISBLANK(J918),"",IF(INDEX(DB_materiali!$E$2:$E$5000,MATCH($C918,DB_materiali!$A$2:$A$5000,0))&gt;=INDEX(DB_malas!$C$2:$C$5000,MATCH(J918,DB_malas!$A$2:$A$5000,0)),IF(INDEX(DB_materiali!$E$2:$E$5000,MATCH($C918,DB_materiali!$A$2:$A$5000,0))&lt;=INDEX(DB_malas!$D$2:$D$5000,MATCH(J918,DB_malas!$A$2:$A$5000,0)),IF(INDEX(DB_materiali!$B$2:$B$5000,MATCH($C918,DB_materiali!$A$2:$A$5000,0))=INDEX(DB_malas!$B$2:$B$5000,MATCH(J918,DB_malas!$A$2:$A$5000,0)),"✔",tulkojums!$A$38),tulkojums!$A$39),tulkojums!$A$39))</f>
        <v/>
      </c>
      <c r="S918" s="2" t="str">
        <f>IF(ISBLANK(K918),"",IF(INDEX(DB_materiali!$E$2:$E$5000,MATCH($C918,DB_materiali!$A$2:$A$5000,0))&gt;=INDEX(DB_malas!$C$2:$C$5000,MATCH(K918,DB_malas!$A$2:$A$5000,0)),IF(INDEX(DB_materiali!$E$2:$E$5000,MATCH($C918,DB_materiali!$A$2:$A$5000,0))&lt;=INDEX(DB_malas!$D$2:$D$5000,MATCH(K918,DB_malas!$A$2:$A$5000,0)),IF(INDEX(DB_materiali!$B$2:$B$5000,MATCH($C918,DB_materiali!$A$2:$A$5000,0))=INDEX(DB_malas!$B$2:$B$5000,MATCH(K918,DB_malas!$A$2:$A$5000,0)),"✔",tulkojums!$A$38),tulkojums!$A$39),tulkojums!$A$39))</f>
        <v/>
      </c>
      <c r="T918" s="2"/>
      <c r="U918" s="2"/>
      <c r="V918" s="2"/>
      <c r="W918" s="2"/>
      <c r="X918" s="2"/>
      <c r="Y918" s="2"/>
      <c r="Z918" s="2"/>
    </row>
    <row r="919" spans="1:26" ht="15.75" customHeight="1">
      <c r="A919" s="17"/>
      <c r="B919" s="18"/>
      <c r="C919" s="19"/>
      <c r="D919" s="55"/>
      <c r="E919" s="55"/>
      <c r="F919" s="56"/>
      <c r="G919" s="57" t="str">
        <f>IF(ISBLANK(C919),"",
   IFERROR(
      IF(
         INDEX(DB_materiali!C$2:C$5000,
               MATCH(C919, DB_materiali!A$2:A$5000, 0)
         )="FALSE",
         "N",
         "Y"
      ),
   "")
)</f>
        <v/>
      </c>
      <c r="H919" s="20"/>
      <c r="I919" s="20"/>
      <c r="J919" s="20"/>
      <c r="K919" s="20"/>
      <c r="M919" s="2" t="str">
        <f>IF(ISBLANK(C919),"",IF(IFERROR(VLOOKUP(C919,DB_materiali!$A$2:$A$5000,1,FALSE),"Kļūda artikulā")=C919,"✔",tulkojums!A$42))</f>
        <v/>
      </c>
      <c r="N919" s="2" t="str">
        <f>IF(ISBLANK(C919),"",IF(ISNUMBER(F919)=TRUE,"✔",tulkojums!A$43))</f>
        <v/>
      </c>
      <c r="O919" s="2" t="str">
        <f>IF(ISBLANK(C919),"",IF(G919="Y","✔",IF(G919="X","✔",IF(G919="N","✔",tulkojums!A$44))))</f>
        <v/>
      </c>
      <c r="P919" s="2" t="str">
        <f>IF(ISBLANK(H919),"",IF(INDEX(DB_materiali!$E$2:$E$5000,MATCH($C919,DB_materiali!$A$2:$A$5000,0))&gt;=INDEX(DB_malas!$C$2:$C$5000,MATCH(H919,DB_malas!$A$2:$A$5000,0)),IF(INDEX(DB_materiali!$E$2:$E$5000,MATCH($C919,DB_materiali!$A$2:$A$5000,0))&lt;=INDEX(DB_malas!$D$2:$D$5000,MATCH(H919,DB_malas!$A$2:$A$5000,0)),IF(OR(INDEX(DB_materiali!$B$2:$B$5000,MATCH($C919,DB_materiali!$A$2:$A$5000,0))=INDEX(DB_malas!$B$2:$B$5000,MATCH(H919,DB_malas!$A$2:$A$5000,0)),$H919="ORG"),"✔",tulkojums!$A$38),tulkojums!$A$39),tulkojums!$A$39))</f>
        <v/>
      </c>
      <c r="Q919" s="2" t="str">
        <f>IF(ISBLANK(I919),"",IF(INDEX(DB_materiali!$E$2:$E$5000,MATCH($C919,DB_materiali!$A$2:$A$5000,0))&gt;=INDEX(DB_malas!$C$2:$C$5000,MATCH(I919,DB_malas!$A$2:$A$5000,0)),IF(INDEX(DB_materiali!$E$2:$E$5000,MATCH($C919,DB_materiali!$A$2:$A$5000,0))&lt;=INDEX(DB_malas!$D$2:$D$5000,MATCH(I919,DB_malas!$A$2:$A$5000,0)),IF(OR(INDEX(DB_materiali!$B$2:$B$5000,MATCH($C919,DB_materiali!$A$2:$A$5000,0))=INDEX(DB_malas!$B$2:$B$5000,MATCH(I919,DB_malas!$A$2:$A$5000,0)),$H919="ORG"),"✔",tulkojums!$A$38),tulkojums!$A$39),tulkojums!$A$39))</f>
        <v/>
      </c>
      <c r="R919" s="2" t="str">
        <f>IF(ISBLANK(J919),"",IF(INDEX(DB_materiali!$E$2:$E$5000,MATCH($C919,DB_materiali!$A$2:$A$5000,0))&gt;=INDEX(DB_malas!$C$2:$C$5000,MATCH(J919,DB_malas!$A$2:$A$5000,0)),IF(INDEX(DB_materiali!$E$2:$E$5000,MATCH($C919,DB_materiali!$A$2:$A$5000,0))&lt;=INDEX(DB_malas!$D$2:$D$5000,MATCH(J919,DB_malas!$A$2:$A$5000,0)),IF(INDEX(DB_materiali!$B$2:$B$5000,MATCH($C919,DB_materiali!$A$2:$A$5000,0))=INDEX(DB_malas!$B$2:$B$5000,MATCH(J919,DB_malas!$A$2:$A$5000,0)),"✔",tulkojums!$A$38),tulkojums!$A$39),tulkojums!$A$39))</f>
        <v/>
      </c>
      <c r="S919" s="2" t="str">
        <f>IF(ISBLANK(K919),"",IF(INDEX(DB_materiali!$E$2:$E$5000,MATCH($C919,DB_materiali!$A$2:$A$5000,0))&gt;=INDEX(DB_malas!$C$2:$C$5000,MATCH(K919,DB_malas!$A$2:$A$5000,0)),IF(INDEX(DB_materiali!$E$2:$E$5000,MATCH($C919,DB_materiali!$A$2:$A$5000,0))&lt;=INDEX(DB_malas!$D$2:$D$5000,MATCH(K919,DB_malas!$A$2:$A$5000,0)),IF(INDEX(DB_materiali!$B$2:$B$5000,MATCH($C919,DB_materiali!$A$2:$A$5000,0))=INDEX(DB_malas!$B$2:$B$5000,MATCH(K919,DB_malas!$A$2:$A$5000,0)),"✔",tulkojums!$A$38),tulkojums!$A$39),tulkojums!$A$39))</f>
        <v/>
      </c>
      <c r="T919" s="2"/>
      <c r="U919" s="2"/>
      <c r="V919" s="2"/>
      <c r="W919" s="2"/>
      <c r="X919" s="2"/>
      <c r="Y919" s="2"/>
      <c r="Z919" s="2"/>
    </row>
    <row r="920" spans="1:26" ht="15.75" customHeight="1">
      <c r="A920" s="17"/>
      <c r="B920" s="18"/>
      <c r="C920" s="19"/>
      <c r="D920" s="55"/>
      <c r="E920" s="55"/>
      <c r="F920" s="56"/>
      <c r="G920" s="57" t="str">
        <f>IF(ISBLANK(C920),"",
   IFERROR(
      IF(
         INDEX(DB_materiali!C$2:C$5000,
               MATCH(C920, DB_materiali!A$2:A$5000, 0)
         )="FALSE",
         "N",
         "Y"
      ),
   "")
)</f>
        <v/>
      </c>
      <c r="H920" s="20"/>
      <c r="I920" s="20"/>
      <c r="J920" s="20"/>
      <c r="K920" s="20"/>
      <c r="M920" s="2" t="str">
        <f>IF(ISBLANK(C920),"",IF(IFERROR(VLOOKUP(C920,DB_materiali!$A$2:$A$5000,1,FALSE),"Kļūda artikulā")=C920,"✔",tulkojums!A$42))</f>
        <v/>
      </c>
      <c r="N920" s="2" t="str">
        <f>IF(ISBLANK(C920),"",IF(ISNUMBER(F920)=TRUE,"✔",tulkojums!A$43))</f>
        <v/>
      </c>
      <c r="O920" s="2" t="str">
        <f>IF(ISBLANK(C920),"",IF(G920="Y","✔",IF(G920="X","✔",IF(G920="N","✔",tulkojums!A$44))))</f>
        <v/>
      </c>
      <c r="P920" s="2" t="str">
        <f>IF(ISBLANK(H920),"",IF(INDEX(DB_materiali!$E$2:$E$5000,MATCH($C920,DB_materiali!$A$2:$A$5000,0))&gt;=INDEX(DB_malas!$C$2:$C$5000,MATCH(H920,DB_malas!$A$2:$A$5000,0)),IF(INDEX(DB_materiali!$E$2:$E$5000,MATCH($C920,DB_materiali!$A$2:$A$5000,0))&lt;=INDEX(DB_malas!$D$2:$D$5000,MATCH(H920,DB_malas!$A$2:$A$5000,0)),IF(OR(INDEX(DB_materiali!$B$2:$B$5000,MATCH($C920,DB_materiali!$A$2:$A$5000,0))=INDEX(DB_malas!$B$2:$B$5000,MATCH(H920,DB_malas!$A$2:$A$5000,0)),$H920="ORG"),"✔",tulkojums!$A$38),tulkojums!$A$39),tulkojums!$A$39))</f>
        <v/>
      </c>
      <c r="Q920" s="2" t="str">
        <f>IF(ISBLANK(I920),"",IF(INDEX(DB_materiali!$E$2:$E$5000,MATCH($C920,DB_materiali!$A$2:$A$5000,0))&gt;=INDEX(DB_malas!$C$2:$C$5000,MATCH(I920,DB_malas!$A$2:$A$5000,0)),IF(INDEX(DB_materiali!$E$2:$E$5000,MATCH($C920,DB_materiali!$A$2:$A$5000,0))&lt;=INDEX(DB_malas!$D$2:$D$5000,MATCH(I920,DB_malas!$A$2:$A$5000,0)),IF(OR(INDEX(DB_materiali!$B$2:$B$5000,MATCH($C920,DB_materiali!$A$2:$A$5000,0))=INDEX(DB_malas!$B$2:$B$5000,MATCH(I920,DB_malas!$A$2:$A$5000,0)),$H920="ORG"),"✔",tulkojums!$A$38),tulkojums!$A$39),tulkojums!$A$39))</f>
        <v/>
      </c>
      <c r="R920" s="2" t="str">
        <f>IF(ISBLANK(J920),"",IF(INDEX(DB_materiali!$E$2:$E$5000,MATCH($C920,DB_materiali!$A$2:$A$5000,0))&gt;=INDEX(DB_malas!$C$2:$C$5000,MATCH(J920,DB_malas!$A$2:$A$5000,0)),IF(INDEX(DB_materiali!$E$2:$E$5000,MATCH($C920,DB_materiali!$A$2:$A$5000,0))&lt;=INDEX(DB_malas!$D$2:$D$5000,MATCH(J920,DB_malas!$A$2:$A$5000,0)),IF(INDEX(DB_materiali!$B$2:$B$5000,MATCH($C920,DB_materiali!$A$2:$A$5000,0))=INDEX(DB_malas!$B$2:$B$5000,MATCH(J920,DB_malas!$A$2:$A$5000,0)),"✔",tulkojums!$A$38),tulkojums!$A$39),tulkojums!$A$39))</f>
        <v/>
      </c>
      <c r="S920" s="2" t="str">
        <f>IF(ISBLANK(K920),"",IF(INDEX(DB_materiali!$E$2:$E$5000,MATCH($C920,DB_materiali!$A$2:$A$5000,0))&gt;=INDEX(DB_malas!$C$2:$C$5000,MATCH(K920,DB_malas!$A$2:$A$5000,0)),IF(INDEX(DB_materiali!$E$2:$E$5000,MATCH($C920,DB_materiali!$A$2:$A$5000,0))&lt;=INDEX(DB_malas!$D$2:$D$5000,MATCH(K920,DB_malas!$A$2:$A$5000,0)),IF(INDEX(DB_materiali!$B$2:$B$5000,MATCH($C920,DB_materiali!$A$2:$A$5000,0))=INDEX(DB_malas!$B$2:$B$5000,MATCH(K920,DB_malas!$A$2:$A$5000,0)),"✔",tulkojums!$A$38),tulkojums!$A$39),tulkojums!$A$39))</f>
        <v/>
      </c>
      <c r="T920" s="2"/>
      <c r="U920" s="2"/>
      <c r="V920" s="2"/>
      <c r="W920" s="2"/>
      <c r="X920" s="2"/>
      <c r="Y920" s="2"/>
      <c r="Z920" s="2"/>
    </row>
    <row r="921" spans="1:26" ht="15.75" customHeight="1">
      <c r="A921" s="17"/>
      <c r="B921" s="18"/>
      <c r="C921" s="19"/>
      <c r="D921" s="55"/>
      <c r="E921" s="55"/>
      <c r="F921" s="56"/>
      <c r="G921" s="57" t="str">
        <f>IF(ISBLANK(C921),"",
   IFERROR(
      IF(
         INDEX(DB_materiali!C$2:C$5000,
               MATCH(C921, DB_materiali!A$2:A$5000, 0)
         )="FALSE",
         "N",
         "Y"
      ),
   "")
)</f>
        <v/>
      </c>
      <c r="H921" s="20"/>
      <c r="I921" s="20"/>
      <c r="J921" s="20"/>
      <c r="K921" s="20"/>
      <c r="M921" s="2" t="str">
        <f>IF(ISBLANK(C921),"",IF(IFERROR(VLOOKUP(C921,DB_materiali!$A$2:$A$5000,1,FALSE),"Kļūda artikulā")=C921,"✔",tulkojums!A$42))</f>
        <v/>
      </c>
      <c r="N921" s="2" t="str">
        <f>IF(ISBLANK(C921),"",IF(ISNUMBER(F921)=TRUE,"✔",tulkojums!A$43))</f>
        <v/>
      </c>
      <c r="O921" s="2" t="str">
        <f>IF(ISBLANK(C921),"",IF(G921="Y","✔",IF(G921="X","✔",IF(G921="N","✔",tulkojums!A$44))))</f>
        <v/>
      </c>
      <c r="P921" s="2" t="str">
        <f>IF(ISBLANK(H921),"",IF(INDEX(DB_materiali!$E$2:$E$5000,MATCH($C921,DB_materiali!$A$2:$A$5000,0))&gt;=INDEX(DB_malas!$C$2:$C$5000,MATCH(H921,DB_malas!$A$2:$A$5000,0)),IF(INDEX(DB_materiali!$E$2:$E$5000,MATCH($C921,DB_materiali!$A$2:$A$5000,0))&lt;=INDEX(DB_malas!$D$2:$D$5000,MATCH(H921,DB_malas!$A$2:$A$5000,0)),IF(OR(INDEX(DB_materiali!$B$2:$B$5000,MATCH($C921,DB_materiali!$A$2:$A$5000,0))=INDEX(DB_malas!$B$2:$B$5000,MATCH(H921,DB_malas!$A$2:$A$5000,0)),$H921="ORG"),"✔",tulkojums!$A$38),tulkojums!$A$39),tulkojums!$A$39))</f>
        <v/>
      </c>
      <c r="Q921" s="2" t="str">
        <f>IF(ISBLANK(I921),"",IF(INDEX(DB_materiali!$E$2:$E$5000,MATCH($C921,DB_materiali!$A$2:$A$5000,0))&gt;=INDEX(DB_malas!$C$2:$C$5000,MATCH(I921,DB_malas!$A$2:$A$5000,0)),IF(INDEX(DB_materiali!$E$2:$E$5000,MATCH($C921,DB_materiali!$A$2:$A$5000,0))&lt;=INDEX(DB_malas!$D$2:$D$5000,MATCH(I921,DB_malas!$A$2:$A$5000,0)),IF(OR(INDEX(DB_materiali!$B$2:$B$5000,MATCH($C921,DB_materiali!$A$2:$A$5000,0))=INDEX(DB_malas!$B$2:$B$5000,MATCH(I921,DB_malas!$A$2:$A$5000,0)),$H921="ORG"),"✔",tulkojums!$A$38),tulkojums!$A$39),tulkojums!$A$39))</f>
        <v/>
      </c>
      <c r="R921" s="2" t="str">
        <f>IF(ISBLANK(J921),"",IF(INDEX(DB_materiali!$E$2:$E$5000,MATCH($C921,DB_materiali!$A$2:$A$5000,0))&gt;=INDEX(DB_malas!$C$2:$C$5000,MATCH(J921,DB_malas!$A$2:$A$5000,0)),IF(INDEX(DB_materiali!$E$2:$E$5000,MATCH($C921,DB_materiali!$A$2:$A$5000,0))&lt;=INDEX(DB_malas!$D$2:$D$5000,MATCH(J921,DB_malas!$A$2:$A$5000,0)),IF(INDEX(DB_materiali!$B$2:$B$5000,MATCH($C921,DB_materiali!$A$2:$A$5000,0))=INDEX(DB_malas!$B$2:$B$5000,MATCH(J921,DB_malas!$A$2:$A$5000,0)),"✔",tulkojums!$A$38),tulkojums!$A$39),tulkojums!$A$39))</f>
        <v/>
      </c>
      <c r="S921" s="2" t="str">
        <f>IF(ISBLANK(K921),"",IF(INDEX(DB_materiali!$E$2:$E$5000,MATCH($C921,DB_materiali!$A$2:$A$5000,0))&gt;=INDEX(DB_malas!$C$2:$C$5000,MATCH(K921,DB_malas!$A$2:$A$5000,0)),IF(INDEX(DB_materiali!$E$2:$E$5000,MATCH($C921,DB_materiali!$A$2:$A$5000,0))&lt;=INDEX(DB_malas!$D$2:$D$5000,MATCH(K921,DB_malas!$A$2:$A$5000,0)),IF(INDEX(DB_materiali!$B$2:$B$5000,MATCH($C921,DB_materiali!$A$2:$A$5000,0))=INDEX(DB_malas!$B$2:$B$5000,MATCH(K921,DB_malas!$A$2:$A$5000,0)),"✔",tulkojums!$A$38),tulkojums!$A$39),tulkojums!$A$39))</f>
        <v/>
      </c>
      <c r="T921" s="2"/>
      <c r="U921" s="2"/>
      <c r="V921" s="2"/>
      <c r="W921" s="2"/>
      <c r="X921" s="2"/>
      <c r="Y921" s="2"/>
      <c r="Z921" s="2"/>
    </row>
    <row r="922" spans="1:26" ht="15.75" customHeight="1">
      <c r="A922" s="17"/>
      <c r="B922" s="18"/>
      <c r="C922" s="19"/>
      <c r="D922" s="55"/>
      <c r="E922" s="55"/>
      <c r="F922" s="56"/>
      <c r="G922" s="57" t="str">
        <f>IF(ISBLANK(C922),"",
   IFERROR(
      IF(
         INDEX(DB_materiali!C$2:C$5000,
               MATCH(C922, DB_materiali!A$2:A$5000, 0)
         )="FALSE",
         "N",
         "Y"
      ),
   "")
)</f>
        <v/>
      </c>
      <c r="H922" s="20"/>
      <c r="I922" s="20"/>
      <c r="J922" s="20"/>
      <c r="K922" s="20"/>
      <c r="M922" s="2" t="str">
        <f>IF(ISBLANK(C922),"",IF(IFERROR(VLOOKUP(C922,DB_materiali!$A$2:$A$5000,1,FALSE),"Kļūda artikulā")=C922,"✔",tulkojums!A$42))</f>
        <v/>
      </c>
      <c r="N922" s="2" t="str">
        <f>IF(ISBLANK(C922),"",IF(ISNUMBER(F922)=TRUE,"✔",tulkojums!A$43))</f>
        <v/>
      </c>
      <c r="O922" s="2" t="str">
        <f>IF(ISBLANK(C922),"",IF(G922="Y","✔",IF(G922="X","✔",IF(G922="N","✔",tulkojums!A$44))))</f>
        <v/>
      </c>
      <c r="P922" s="2" t="str">
        <f>IF(ISBLANK(H922),"",IF(INDEX(DB_materiali!$E$2:$E$5000,MATCH($C922,DB_materiali!$A$2:$A$5000,0))&gt;=INDEX(DB_malas!$C$2:$C$5000,MATCH(H922,DB_malas!$A$2:$A$5000,0)),IF(INDEX(DB_materiali!$E$2:$E$5000,MATCH($C922,DB_materiali!$A$2:$A$5000,0))&lt;=INDEX(DB_malas!$D$2:$D$5000,MATCH(H922,DB_malas!$A$2:$A$5000,0)),IF(OR(INDEX(DB_materiali!$B$2:$B$5000,MATCH($C922,DB_materiali!$A$2:$A$5000,0))=INDEX(DB_malas!$B$2:$B$5000,MATCH(H922,DB_malas!$A$2:$A$5000,0)),$H922="ORG"),"✔",tulkojums!$A$38),tulkojums!$A$39),tulkojums!$A$39))</f>
        <v/>
      </c>
      <c r="Q922" s="2" t="str">
        <f>IF(ISBLANK(I922),"",IF(INDEX(DB_materiali!$E$2:$E$5000,MATCH($C922,DB_materiali!$A$2:$A$5000,0))&gt;=INDEX(DB_malas!$C$2:$C$5000,MATCH(I922,DB_malas!$A$2:$A$5000,0)),IF(INDEX(DB_materiali!$E$2:$E$5000,MATCH($C922,DB_materiali!$A$2:$A$5000,0))&lt;=INDEX(DB_malas!$D$2:$D$5000,MATCH(I922,DB_malas!$A$2:$A$5000,0)),IF(OR(INDEX(DB_materiali!$B$2:$B$5000,MATCH($C922,DB_materiali!$A$2:$A$5000,0))=INDEX(DB_malas!$B$2:$B$5000,MATCH(I922,DB_malas!$A$2:$A$5000,0)),$H922="ORG"),"✔",tulkojums!$A$38),tulkojums!$A$39),tulkojums!$A$39))</f>
        <v/>
      </c>
      <c r="R922" s="2" t="str">
        <f>IF(ISBLANK(J922),"",IF(INDEX(DB_materiali!$E$2:$E$5000,MATCH($C922,DB_materiali!$A$2:$A$5000,0))&gt;=INDEX(DB_malas!$C$2:$C$5000,MATCH(J922,DB_malas!$A$2:$A$5000,0)),IF(INDEX(DB_materiali!$E$2:$E$5000,MATCH($C922,DB_materiali!$A$2:$A$5000,0))&lt;=INDEX(DB_malas!$D$2:$D$5000,MATCH(J922,DB_malas!$A$2:$A$5000,0)),IF(INDEX(DB_materiali!$B$2:$B$5000,MATCH($C922,DB_materiali!$A$2:$A$5000,0))=INDEX(DB_malas!$B$2:$B$5000,MATCH(J922,DB_malas!$A$2:$A$5000,0)),"✔",tulkojums!$A$38),tulkojums!$A$39),tulkojums!$A$39))</f>
        <v/>
      </c>
      <c r="S922" s="2" t="str">
        <f>IF(ISBLANK(K922),"",IF(INDEX(DB_materiali!$E$2:$E$5000,MATCH($C922,DB_materiali!$A$2:$A$5000,0))&gt;=INDEX(DB_malas!$C$2:$C$5000,MATCH(K922,DB_malas!$A$2:$A$5000,0)),IF(INDEX(DB_materiali!$E$2:$E$5000,MATCH($C922,DB_materiali!$A$2:$A$5000,0))&lt;=INDEX(DB_malas!$D$2:$D$5000,MATCH(K922,DB_malas!$A$2:$A$5000,0)),IF(INDEX(DB_materiali!$B$2:$B$5000,MATCH($C922,DB_materiali!$A$2:$A$5000,0))=INDEX(DB_malas!$B$2:$B$5000,MATCH(K922,DB_malas!$A$2:$A$5000,0)),"✔",tulkojums!$A$38),tulkojums!$A$39),tulkojums!$A$39))</f>
        <v/>
      </c>
      <c r="T922" s="2"/>
      <c r="U922" s="2"/>
      <c r="V922" s="2"/>
      <c r="W922" s="2"/>
      <c r="X922" s="2"/>
      <c r="Y922" s="2"/>
      <c r="Z922" s="2"/>
    </row>
    <row r="923" spans="1:26" ht="15.75" customHeight="1">
      <c r="A923" s="17"/>
      <c r="B923" s="18"/>
      <c r="C923" s="19"/>
      <c r="D923" s="55"/>
      <c r="E923" s="55"/>
      <c r="F923" s="56"/>
      <c r="G923" s="57" t="str">
        <f>IF(ISBLANK(C923),"",
   IFERROR(
      IF(
         INDEX(DB_materiali!C$2:C$5000,
               MATCH(C923, DB_materiali!A$2:A$5000, 0)
         )="FALSE",
         "N",
         "Y"
      ),
   "")
)</f>
        <v/>
      </c>
      <c r="H923" s="20"/>
      <c r="I923" s="20"/>
      <c r="J923" s="20"/>
      <c r="K923" s="20"/>
      <c r="M923" s="2" t="str">
        <f>IF(ISBLANK(C923),"",IF(IFERROR(VLOOKUP(C923,DB_materiali!$A$2:$A$5000,1,FALSE),"Kļūda artikulā")=C923,"✔",tulkojums!A$42))</f>
        <v/>
      </c>
      <c r="N923" s="2" t="str">
        <f>IF(ISBLANK(C923),"",IF(ISNUMBER(F923)=TRUE,"✔",tulkojums!A$43))</f>
        <v/>
      </c>
      <c r="O923" s="2" t="str">
        <f>IF(ISBLANK(C923),"",IF(G923="Y","✔",IF(G923="X","✔",IF(G923="N","✔",tulkojums!A$44))))</f>
        <v/>
      </c>
      <c r="P923" s="2" t="str">
        <f>IF(ISBLANK(H923),"",IF(INDEX(DB_materiali!$E$2:$E$5000,MATCH($C923,DB_materiali!$A$2:$A$5000,0))&gt;=INDEX(DB_malas!$C$2:$C$5000,MATCH(H923,DB_malas!$A$2:$A$5000,0)),IF(INDEX(DB_materiali!$E$2:$E$5000,MATCH($C923,DB_materiali!$A$2:$A$5000,0))&lt;=INDEX(DB_malas!$D$2:$D$5000,MATCH(H923,DB_malas!$A$2:$A$5000,0)),IF(OR(INDEX(DB_materiali!$B$2:$B$5000,MATCH($C923,DB_materiali!$A$2:$A$5000,0))=INDEX(DB_malas!$B$2:$B$5000,MATCH(H923,DB_malas!$A$2:$A$5000,0)),$H923="ORG"),"✔",tulkojums!$A$38),tulkojums!$A$39),tulkojums!$A$39))</f>
        <v/>
      </c>
      <c r="Q923" s="2" t="str">
        <f>IF(ISBLANK(I923),"",IF(INDEX(DB_materiali!$E$2:$E$5000,MATCH($C923,DB_materiali!$A$2:$A$5000,0))&gt;=INDEX(DB_malas!$C$2:$C$5000,MATCH(I923,DB_malas!$A$2:$A$5000,0)),IF(INDEX(DB_materiali!$E$2:$E$5000,MATCH($C923,DB_materiali!$A$2:$A$5000,0))&lt;=INDEX(DB_malas!$D$2:$D$5000,MATCH(I923,DB_malas!$A$2:$A$5000,0)),IF(OR(INDEX(DB_materiali!$B$2:$B$5000,MATCH($C923,DB_materiali!$A$2:$A$5000,0))=INDEX(DB_malas!$B$2:$B$5000,MATCH(I923,DB_malas!$A$2:$A$5000,0)),$H923="ORG"),"✔",tulkojums!$A$38),tulkojums!$A$39),tulkojums!$A$39))</f>
        <v/>
      </c>
      <c r="R923" s="2" t="str">
        <f>IF(ISBLANK(J923),"",IF(INDEX(DB_materiali!$E$2:$E$5000,MATCH($C923,DB_materiali!$A$2:$A$5000,0))&gt;=INDEX(DB_malas!$C$2:$C$5000,MATCH(J923,DB_malas!$A$2:$A$5000,0)),IF(INDEX(DB_materiali!$E$2:$E$5000,MATCH($C923,DB_materiali!$A$2:$A$5000,0))&lt;=INDEX(DB_malas!$D$2:$D$5000,MATCH(J923,DB_malas!$A$2:$A$5000,0)),IF(INDEX(DB_materiali!$B$2:$B$5000,MATCH($C923,DB_materiali!$A$2:$A$5000,0))=INDEX(DB_malas!$B$2:$B$5000,MATCH(J923,DB_malas!$A$2:$A$5000,0)),"✔",tulkojums!$A$38),tulkojums!$A$39),tulkojums!$A$39))</f>
        <v/>
      </c>
      <c r="S923" s="2" t="str">
        <f>IF(ISBLANK(K923),"",IF(INDEX(DB_materiali!$E$2:$E$5000,MATCH($C923,DB_materiali!$A$2:$A$5000,0))&gt;=INDEX(DB_malas!$C$2:$C$5000,MATCH(K923,DB_malas!$A$2:$A$5000,0)),IF(INDEX(DB_materiali!$E$2:$E$5000,MATCH($C923,DB_materiali!$A$2:$A$5000,0))&lt;=INDEX(DB_malas!$D$2:$D$5000,MATCH(K923,DB_malas!$A$2:$A$5000,0)),IF(INDEX(DB_materiali!$B$2:$B$5000,MATCH($C923,DB_materiali!$A$2:$A$5000,0))=INDEX(DB_malas!$B$2:$B$5000,MATCH(K923,DB_malas!$A$2:$A$5000,0)),"✔",tulkojums!$A$38),tulkojums!$A$39),tulkojums!$A$39))</f>
        <v/>
      </c>
      <c r="T923" s="2"/>
      <c r="U923" s="2"/>
      <c r="V923" s="2"/>
      <c r="W923" s="2"/>
      <c r="X923" s="2"/>
      <c r="Y923" s="2"/>
      <c r="Z923" s="2"/>
    </row>
    <row r="924" spans="1:26" ht="15.75" customHeight="1">
      <c r="A924" s="17"/>
      <c r="B924" s="18"/>
      <c r="C924" s="19"/>
      <c r="D924" s="55"/>
      <c r="E924" s="55"/>
      <c r="F924" s="56"/>
      <c r="G924" s="57" t="str">
        <f>IF(ISBLANK(C924),"",
   IFERROR(
      IF(
         INDEX(DB_materiali!C$2:C$5000,
               MATCH(C924, DB_materiali!A$2:A$5000, 0)
         )="FALSE",
         "N",
         "Y"
      ),
   "")
)</f>
        <v/>
      </c>
      <c r="H924" s="20"/>
      <c r="I924" s="20"/>
      <c r="J924" s="20"/>
      <c r="K924" s="20"/>
      <c r="M924" s="2" t="str">
        <f>IF(ISBLANK(C924),"",IF(IFERROR(VLOOKUP(C924,DB_materiali!$A$2:$A$5000,1,FALSE),"Kļūda artikulā")=C924,"✔",tulkojums!A$42))</f>
        <v/>
      </c>
      <c r="N924" s="2" t="str">
        <f>IF(ISBLANK(C924),"",IF(ISNUMBER(F924)=TRUE,"✔",tulkojums!A$43))</f>
        <v/>
      </c>
      <c r="O924" s="2" t="str">
        <f>IF(ISBLANK(C924),"",IF(G924="Y","✔",IF(G924="X","✔",IF(G924="N","✔",tulkojums!A$44))))</f>
        <v/>
      </c>
      <c r="P924" s="2" t="str">
        <f>IF(ISBLANK(H924),"",IF(INDEX(DB_materiali!$E$2:$E$5000,MATCH($C924,DB_materiali!$A$2:$A$5000,0))&gt;=INDEX(DB_malas!$C$2:$C$5000,MATCH(H924,DB_malas!$A$2:$A$5000,0)),IF(INDEX(DB_materiali!$E$2:$E$5000,MATCH($C924,DB_materiali!$A$2:$A$5000,0))&lt;=INDEX(DB_malas!$D$2:$D$5000,MATCH(H924,DB_malas!$A$2:$A$5000,0)),IF(OR(INDEX(DB_materiali!$B$2:$B$5000,MATCH($C924,DB_materiali!$A$2:$A$5000,0))=INDEX(DB_malas!$B$2:$B$5000,MATCH(H924,DB_malas!$A$2:$A$5000,0)),$H924="ORG"),"✔",tulkojums!$A$38),tulkojums!$A$39),tulkojums!$A$39))</f>
        <v/>
      </c>
      <c r="Q924" s="2" t="str">
        <f>IF(ISBLANK(I924),"",IF(INDEX(DB_materiali!$E$2:$E$5000,MATCH($C924,DB_materiali!$A$2:$A$5000,0))&gt;=INDEX(DB_malas!$C$2:$C$5000,MATCH(I924,DB_malas!$A$2:$A$5000,0)),IF(INDEX(DB_materiali!$E$2:$E$5000,MATCH($C924,DB_materiali!$A$2:$A$5000,0))&lt;=INDEX(DB_malas!$D$2:$D$5000,MATCH(I924,DB_malas!$A$2:$A$5000,0)),IF(OR(INDEX(DB_materiali!$B$2:$B$5000,MATCH($C924,DB_materiali!$A$2:$A$5000,0))=INDEX(DB_malas!$B$2:$B$5000,MATCH(I924,DB_malas!$A$2:$A$5000,0)),$H924="ORG"),"✔",tulkojums!$A$38),tulkojums!$A$39),tulkojums!$A$39))</f>
        <v/>
      </c>
      <c r="R924" s="2" t="str">
        <f>IF(ISBLANK(J924),"",IF(INDEX(DB_materiali!$E$2:$E$5000,MATCH($C924,DB_materiali!$A$2:$A$5000,0))&gt;=INDEX(DB_malas!$C$2:$C$5000,MATCH(J924,DB_malas!$A$2:$A$5000,0)),IF(INDEX(DB_materiali!$E$2:$E$5000,MATCH($C924,DB_materiali!$A$2:$A$5000,0))&lt;=INDEX(DB_malas!$D$2:$D$5000,MATCH(J924,DB_malas!$A$2:$A$5000,0)),IF(INDEX(DB_materiali!$B$2:$B$5000,MATCH($C924,DB_materiali!$A$2:$A$5000,0))=INDEX(DB_malas!$B$2:$B$5000,MATCH(J924,DB_malas!$A$2:$A$5000,0)),"✔",tulkojums!$A$38),tulkojums!$A$39),tulkojums!$A$39))</f>
        <v/>
      </c>
      <c r="S924" s="2" t="str">
        <f>IF(ISBLANK(K924),"",IF(INDEX(DB_materiali!$E$2:$E$5000,MATCH($C924,DB_materiali!$A$2:$A$5000,0))&gt;=INDEX(DB_malas!$C$2:$C$5000,MATCH(K924,DB_malas!$A$2:$A$5000,0)),IF(INDEX(DB_materiali!$E$2:$E$5000,MATCH($C924,DB_materiali!$A$2:$A$5000,0))&lt;=INDEX(DB_malas!$D$2:$D$5000,MATCH(K924,DB_malas!$A$2:$A$5000,0)),IF(INDEX(DB_materiali!$B$2:$B$5000,MATCH($C924,DB_materiali!$A$2:$A$5000,0))=INDEX(DB_malas!$B$2:$B$5000,MATCH(K924,DB_malas!$A$2:$A$5000,0)),"✔",tulkojums!$A$38),tulkojums!$A$39),tulkojums!$A$39))</f>
        <v/>
      </c>
      <c r="T924" s="2"/>
      <c r="U924" s="2"/>
      <c r="V924" s="2"/>
      <c r="W924" s="2"/>
      <c r="X924" s="2"/>
      <c r="Y924" s="2"/>
      <c r="Z924" s="2"/>
    </row>
    <row r="925" spans="1:26" ht="15.75" customHeight="1">
      <c r="A925" s="17"/>
      <c r="B925" s="18"/>
      <c r="C925" s="19"/>
      <c r="D925" s="55"/>
      <c r="E925" s="55"/>
      <c r="F925" s="56"/>
      <c r="G925" s="57" t="str">
        <f>IF(ISBLANK(C925),"",
   IFERROR(
      IF(
         INDEX(DB_materiali!C$2:C$5000,
               MATCH(C925, DB_materiali!A$2:A$5000, 0)
         )="FALSE",
         "N",
         "Y"
      ),
   "")
)</f>
        <v/>
      </c>
      <c r="H925" s="20"/>
      <c r="I925" s="20"/>
      <c r="J925" s="20"/>
      <c r="K925" s="20"/>
      <c r="M925" s="2" t="str">
        <f>IF(ISBLANK(C925),"",IF(IFERROR(VLOOKUP(C925,DB_materiali!$A$2:$A$5000,1,FALSE),"Kļūda artikulā")=C925,"✔",tulkojums!A$42))</f>
        <v/>
      </c>
      <c r="N925" s="2" t="str">
        <f>IF(ISBLANK(C925),"",IF(ISNUMBER(F925)=TRUE,"✔",tulkojums!A$43))</f>
        <v/>
      </c>
      <c r="O925" s="2" t="str">
        <f>IF(ISBLANK(C925),"",IF(G925="Y","✔",IF(G925="X","✔",IF(G925="N","✔",tulkojums!A$44))))</f>
        <v/>
      </c>
      <c r="P925" s="2" t="str">
        <f>IF(ISBLANK(H925),"",IF(INDEX(DB_materiali!$E$2:$E$5000,MATCH($C925,DB_materiali!$A$2:$A$5000,0))&gt;=INDEX(DB_malas!$C$2:$C$5000,MATCH(H925,DB_malas!$A$2:$A$5000,0)),IF(INDEX(DB_materiali!$E$2:$E$5000,MATCH($C925,DB_materiali!$A$2:$A$5000,0))&lt;=INDEX(DB_malas!$D$2:$D$5000,MATCH(H925,DB_malas!$A$2:$A$5000,0)),IF(OR(INDEX(DB_materiali!$B$2:$B$5000,MATCH($C925,DB_materiali!$A$2:$A$5000,0))=INDEX(DB_malas!$B$2:$B$5000,MATCH(H925,DB_malas!$A$2:$A$5000,0)),$H925="ORG"),"✔",tulkojums!$A$38),tulkojums!$A$39),tulkojums!$A$39))</f>
        <v/>
      </c>
      <c r="Q925" s="2" t="str">
        <f>IF(ISBLANK(I925),"",IF(INDEX(DB_materiali!$E$2:$E$5000,MATCH($C925,DB_materiali!$A$2:$A$5000,0))&gt;=INDEX(DB_malas!$C$2:$C$5000,MATCH(I925,DB_malas!$A$2:$A$5000,0)),IF(INDEX(DB_materiali!$E$2:$E$5000,MATCH($C925,DB_materiali!$A$2:$A$5000,0))&lt;=INDEX(DB_malas!$D$2:$D$5000,MATCH(I925,DB_malas!$A$2:$A$5000,0)),IF(OR(INDEX(DB_materiali!$B$2:$B$5000,MATCH($C925,DB_materiali!$A$2:$A$5000,0))=INDEX(DB_malas!$B$2:$B$5000,MATCH(I925,DB_malas!$A$2:$A$5000,0)),$H925="ORG"),"✔",tulkojums!$A$38),tulkojums!$A$39),tulkojums!$A$39))</f>
        <v/>
      </c>
      <c r="R925" s="2" t="str">
        <f>IF(ISBLANK(J925),"",IF(INDEX(DB_materiali!$E$2:$E$5000,MATCH($C925,DB_materiali!$A$2:$A$5000,0))&gt;=INDEX(DB_malas!$C$2:$C$5000,MATCH(J925,DB_malas!$A$2:$A$5000,0)),IF(INDEX(DB_materiali!$E$2:$E$5000,MATCH($C925,DB_materiali!$A$2:$A$5000,0))&lt;=INDEX(DB_malas!$D$2:$D$5000,MATCH(J925,DB_malas!$A$2:$A$5000,0)),IF(INDEX(DB_materiali!$B$2:$B$5000,MATCH($C925,DB_materiali!$A$2:$A$5000,0))=INDEX(DB_malas!$B$2:$B$5000,MATCH(J925,DB_malas!$A$2:$A$5000,0)),"✔",tulkojums!$A$38),tulkojums!$A$39),tulkojums!$A$39))</f>
        <v/>
      </c>
      <c r="S925" s="2" t="str">
        <f>IF(ISBLANK(K925),"",IF(INDEX(DB_materiali!$E$2:$E$5000,MATCH($C925,DB_materiali!$A$2:$A$5000,0))&gt;=INDEX(DB_malas!$C$2:$C$5000,MATCH(K925,DB_malas!$A$2:$A$5000,0)),IF(INDEX(DB_materiali!$E$2:$E$5000,MATCH($C925,DB_materiali!$A$2:$A$5000,0))&lt;=INDEX(DB_malas!$D$2:$D$5000,MATCH(K925,DB_malas!$A$2:$A$5000,0)),IF(INDEX(DB_materiali!$B$2:$B$5000,MATCH($C925,DB_materiali!$A$2:$A$5000,0))=INDEX(DB_malas!$B$2:$B$5000,MATCH(K925,DB_malas!$A$2:$A$5000,0)),"✔",tulkojums!$A$38),tulkojums!$A$39),tulkojums!$A$39))</f>
        <v/>
      </c>
      <c r="T925" s="2"/>
      <c r="U925" s="2"/>
      <c r="V925" s="2"/>
      <c r="W925" s="2"/>
      <c r="X925" s="2"/>
      <c r="Y925" s="2"/>
      <c r="Z925" s="2"/>
    </row>
    <row r="926" spans="1:26" ht="15.75" customHeight="1">
      <c r="A926" s="17"/>
      <c r="B926" s="18"/>
      <c r="C926" s="19"/>
      <c r="D926" s="55"/>
      <c r="E926" s="55"/>
      <c r="F926" s="56"/>
      <c r="G926" s="57" t="str">
        <f>IF(ISBLANK(C926),"",
   IFERROR(
      IF(
         INDEX(DB_materiali!C$2:C$5000,
               MATCH(C926, DB_materiali!A$2:A$5000, 0)
         )="FALSE",
         "N",
         "Y"
      ),
   "")
)</f>
        <v/>
      </c>
      <c r="H926" s="20"/>
      <c r="I926" s="20"/>
      <c r="J926" s="20"/>
      <c r="K926" s="20"/>
      <c r="M926" s="2" t="str">
        <f>IF(ISBLANK(C926),"",IF(IFERROR(VLOOKUP(C926,DB_materiali!$A$2:$A$5000,1,FALSE),"Kļūda artikulā")=C926,"✔",tulkojums!A$42))</f>
        <v/>
      </c>
      <c r="N926" s="2" t="str">
        <f>IF(ISBLANK(C926),"",IF(ISNUMBER(F926)=TRUE,"✔",tulkojums!A$43))</f>
        <v/>
      </c>
      <c r="O926" s="2" t="str">
        <f>IF(ISBLANK(C926),"",IF(G926="Y","✔",IF(G926="X","✔",IF(G926="N","✔",tulkojums!A$44))))</f>
        <v/>
      </c>
      <c r="P926" s="2" t="str">
        <f>IF(ISBLANK(H926),"",IF(INDEX(DB_materiali!$E$2:$E$5000,MATCH($C926,DB_materiali!$A$2:$A$5000,0))&gt;=INDEX(DB_malas!$C$2:$C$5000,MATCH(H926,DB_malas!$A$2:$A$5000,0)),IF(INDEX(DB_materiali!$E$2:$E$5000,MATCH($C926,DB_materiali!$A$2:$A$5000,0))&lt;=INDEX(DB_malas!$D$2:$D$5000,MATCH(H926,DB_malas!$A$2:$A$5000,0)),IF(OR(INDEX(DB_materiali!$B$2:$B$5000,MATCH($C926,DB_materiali!$A$2:$A$5000,0))=INDEX(DB_malas!$B$2:$B$5000,MATCH(H926,DB_malas!$A$2:$A$5000,0)),$H926="ORG"),"✔",tulkojums!$A$38),tulkojums!$A$39),tulkojums!$A$39))</f>
        <v/>
      </c>
      <c r="Q926" s="2" t="str">
        <f>IF(ISBLANK(I926),"",IF(INDEX(DB_materiali!$E$2:$E$5000,MATCH($C926,DB_materiali!$A$2:$A$5000,0))&gt;=INDEX(DB_malas!$C$2:$C$5000,MATCH(I926,DB_malas!$A$2:$A$5000,0)),IF(INDEX(DB_materiali!$E$2:$E$5000,MATCH($C926,DB_materiali!$A$2:$A$5000,0))&lt;=INDEX(DB_malas!$D$2:$D$5000,MATCH(I926,DB_malas!$A$2:$A$5000,0)),IF(OR(INDEX(DB_materiali!$B$2:$B$5000,MATCH($C926,DB_materiali!$A$2:$A$5000,0))=INDEX(DB_malas!$B$2:$B$5000,MATCH(I926,DB_malas!$A$2:$A$5000,0)),$H926="ORG"),"✔",tulkojums!$A$38),tulkojums!$A$39),tulkojums!$A$39))</f>
        <v/>
      </c>
      <c r="R926" s="2" t="str">
        <f>IF(ISBLANK(J926),"",IF(INDEX(DB_materiali!$E$2:$E$5000,MATCH($C926,DB_materiali!$A$2:$A$5000,0))&gt;=INDEX(DB_malas!$C$2:$C$5000,MATCH(J926,DB_malas!$A$2:$A$5000,0)),IF(INDEX(DB_materiali!$E$2:$E$5000,MATCH($C926,DB_materiali!$A$2:$A$5000,0))&lt;=INDEX(DB_malas!$D$2:$D$5000,MATCH(J926,DB_malas!$A$2:$A$5000,0)),IF(INDEX(DB_materiali!$B$2:$B$5000,MATCH($C926,DB_materiali!$A$2:$A$5000,0))=INDEX(DB_malas!$B$2:$B$5000,MATCH(J926,DB_malas!$A$2:$A$5000,0)),"✔",tulkojums!$A$38),tulkojums!$A$39),tulkojums!$A$39))</f>
        <v/>
      </c>
      <c r="S926" s="2" t="str">
        <f>IF(ISBLANK(K926),"",IF(INDEX(DB_materiali!$E$2:$E$5000,MATCH($C926,DB_materiali!$A$2:$A$5000,0))&gt;=INDEX(DB_malas!$C$2:$C$5000,MATCH(K926,DB_malas!$A$2:$A$5000,0)),IF(INDEX(DB_materiali!$E$2:$E$5000,MATCH($C926,DB_materiali!$A$2:$A$5000,0))&lt;=INDEX(DB_malas!$D$2:$D$5000,MATCH(K926,DB_malas!$A$2:$A$5000,0)),IF(INDEX(DB_materiali!$B$2:$B$5000,MATCH($C926,DB_materiali!$A$2:$A$5000,0))=INDEX(DB_malas!$B$2:$B$5000,MATCH(K926,DB_malas!$A$2:$A$5000,0)),"✔",tulkojums!$A$38),tulkojums!$A$39),tulkojums!$A$39))</f>
        <v/>
      </c>
      <c r="T926" s="2"/>
      <c r="U926" s="2"/>
      <c r="V926" s="2"/>
      <c r="W926" s="2"/>
      <c r="X926" s="2"/>
      <c r="Y926" s="2"/>
      <c r="Z926" s="2"/>
    </row>
    <row r="927" spans="1:26" ht="15.75" customHeight="1">
      <c r="A927" s="17"/>
      <c r="B927" s="18"/>
      <c r="C927" s="19"/>
      <c r="D927" s="55"/>
      <c r="E927" s="55"/>
      <c r="F927" s="56"/>
      <c r="G927" s="57" t="str">
        <f>IF(ISBLANK(C927),"",
   IFERROR(
      IF(
         INDEX(DB_materiali!C$2:C$5000,
               MATCH(C927, DB_materiali!A$2:A$5000, 0)
         )="FALSE",
         "N",
         "Y"
      ),
   "")
)</f>
        <v/>
      </c>
      <c r="H927" s="20"/>
      <c r="I927" s="20"/>
      <c r="J927" s="20"/>
      <c r="K927" s="20"/>
      <c r="M927" s="2" t="str">
        <f>IF(ISBLANK(C927),"",IF(IFERROR(VLOOKUP(C927,DB_materiali!$A$2:$A$5000,1,FALSE),"Kļūda artikulā")=C927,"✔",tulkojums!A$42))</f>
        <v/>
      </c>
      <c r="N927" s="2" t="str">
        <f>IF(ISBLANK(C927),"",IF(ISNUMBER(F927)=TRUE,"✔",tulkojums!A$43))</f>
        <v/>
      </c>
      <c r="O927" s="2" t="str">
        <f>IF(ISBLANK(C927),"",IF(G927="Y","✔",IF(G927="X","✔",IF(G927="N","✔",tulkojums!A$44))))</f>
        <v/>
      </c>
      <c r="P927" s="2" t="str">
        <f>IF(ISBLANK(H927),"",IF(INDEX(DB_materiali!$E$2:$E$5000,MATCH($C927,DB_materiali!$A$2:$A$5000,0))&gt;=INDEX(DB_malas!$C$2:$C$5000,MATCH(H927,DB_malas!$A$2:$A$5000,0)),IF(INDEX(DB_materiali!$E$2:$E$5000,MATCH($C927,DB_materiali!$A$2:$A$5000,0))&lt;=INDEX(DB_malas!$D$2:$D$5000,MATCH(H927,DB_malas!$A$2:$A$5000,0)),IF(OR(INDEX(DB_materiali!$B$2:$B$5000,MATCH($C927,DB_materiali!$A$2:$A$5000,0))=INDEX(DB_malas!$B$2:$B$5000,MATCH(H927,DB_malas!$A$2:$A$5000,0)),$H927="ORG"),"✔",tulkojums!$A$38),tulkojums!$A$39),tulkojums!$A$39))</f>
        <v/>
      </c>
      <c r="Q927" s="2" t="str">
        <f>IF(ISBLANK(I927),"",IF(INDEX(DB_materiali!$E$2:$E$5000,MATCH($C927,DB_materiali!$A$2:$A$5000,0))&gt;=INDEX(DB_malas!$C$2:$C$5000,MATCH(I927,DB_malas!$A$2:$A$5000,0)),IF(INDEX(DB_materiali!$E$2:$E$5000,MATCH($C927,DB_materiali!$A$2:$A$5000,0))&lt;=INDEX(DB_malas!$D$2:$D$5000,MATCH(I927,DB_malas!$A$2:$A$5000,0)),IF(OR(INDEX(DB_materiali!$B$2:$B$5000,MATCH($C927,DB_materiali!$A$2:$A$5000,0))=INDEX(DB_malas!$B$2:$B$5000,MATCH(I927,DB_malas!$A$2:$A$5000,0)),$H927="ORG"),"✔",tulkojums!$A$38),tulkojums!$A$39),tulkojums!$A$39))</f>
        <v/>
      </c>
      <c r="R927" s="2" t="str">
        <f>IF(ISBLANK(J927),"",IF(INDEX(DB_materiali!$E$2:$E$5000,MATCH($C927,DB_materiali!$A$2:$A$5000,0))&gt;=INDEX(DB_malas!$C$2:$C$5000,MATCH(J927,DB_malas!$A$2:$A$5000,0)),IF(INDEX(DB_materiali!$E$2:$E$5000,MATCH($C927,DB_materiali!$A$2:$A$5000,0))&lt;=INDEX(DB_malas!$D$2:$D$5000,MATCH(J927,DB_malas!$A$2:$A$5000,0)),IF(INDEX(DB_materiali!$B$2:$B$5000,MATCH($C927,DB_materiali!$A$2:$A$5000,0))=INDEX(DB_malas!$B$2:$B$5000,MATCH(J927,DB_malas!$A$2:$A$5000,0)),"✔",tulkojums!$A$38),tulkojums!$A$39),tulkojums!$A$39))</f>
        <v/>
      </c>
      <c r="S927" s="2" t="str">
        <f>IF(ISBLANK(K927),"",IF(INDEX(DB_materiali!$E$2:$E$5000,MATCH($C927,DB_materiali!$A$2:$A$5000,0))&gt;=INDEX(DB_malas!$C$2:$C$5000,MATCH(K927,DB_malas!$A$2:$A$5000,0)),IF(INDEX(DB_materiali!$E$2:$E$5000,MATCH($C927,DB_materiali!$A$2:$A$5000,0))&lt;=INDEX(DB_malas!$D$2:$D$5000,MATCH(K927,DB_malas!$A$2:$A$5000,0)),IF(INDEX(DB_materiali!$B$2:$B$5000,MATCH($C927,DB_materiali!$A$2:$A$5000,0))=INDEX(DB_malas!$B$2:$B$5000,MATCH(K927,DB_malas!$A$2:$A$5000,0)),"✔",tulkojums!$A$38),tulkojums!$A$39),tulkojums!$A$39))</f>
        <v/>
      </c>
      <c r="T927" s="2"/>
      <c r="U927" s="2"/>
      <c r="V927" s="2"/>
      <c r="W927" s="2"/>
      <c r="X927" s="2"/>
      <c r="Y927" s="2"/>
      <c r="Z927" s="2"/>
    </row>
    <row r="928" spans="1:26" ht="15.75" customHeight="1">
      <c r="A928" s="17"/>
      <c r="B928" s="18"/>
      <c r="C928" s="19"/>
      <c r="D928" s="55"/>
      <c r="E928" s="55"/>
      <c r="F928" s="56"/>
      <c r="G928" s="57" t="str">
        <f>IF(ISBLANK(C928),"",
   IFERROR(
      IF(
         INDEX(DB_materiali!C$2:C$5000,
               MATCH(C928, DB_materiali!A$2:A$5000, 0)
         )="FALSE",
         "N",
         "Y"
      ),
   "")
)</f>
        <v/>
      </c>
      <c r="H928" s="20"/>
      <c r="I928" s="20"/>
      <c r="J928" s="20"/>
      <c r="K928" s="20"/>
      <c r="M928" s="2" t="str">
        <f>IF(ISBLANK(C928),"",IF(IFERROR(VLOOKUP(C928,DB_materiali!$A$2:$A$5000,1,FALSE),"Kļūda artikulā")=C928,"✔",tulkojums!A$42))</f>
        <v/>
      </c>
      <c r="N928" s="2" t="str">
        <f>IF(ISBLANK(C928),"",IF(ISNUMBER(F928)=TRUE,"✔",tulkojums!A$43))</f>
        <v/>
      </c>
      <c r="O928" s="2" t="str">
        <f>IF(ISBLANK(C928),"",IF(G928="Y","✔",IF(G928="X","✔",IF(G928="N","✔",tulkojums!A$44))))</f>
        <v/>
      </c>
      <c r="P928" s="2" t="str">
        <f>IF(ISBLANK(H928),"",IF(INDEX(DB_materiali!$E$2:$E$5000,MATCH($C928,DB_materiali!$A$2:$A$5000,0))&gt;=INDEX(DB_malas!$C$2:$C$5000,MATCH(H928,DB_malas!$A$2:$A$5000,0)),IF(INDEX(DB_materiali!$E$2:$E$5000,MATCH($C928,DB_materiali!$A$2:$A$5000,0))&lt;=INDEX(DB_malas!$D$2:$D$5000,MATCH(H928,DB_malas!$A$2:$A$5000,0)),IF(OR(INDEX(DB_materiali!$B$2:$B$5000,MATCH($C928,DB_materiali!$A$2:$A$5000,0))=INDEX(DB_malas!$B$2:$B$5000,MATCH(H928,DB_malas!$A$2:$A$5000,0)),$H928="ORG"),"✔",tulkojums!$A$38),tulkojums!$A$39),tulkojums!$A$39))</f>
        <v/>
      </c>
      <c r="Q928" s="2" t="str">
        <f>IF(ISBLANK(I928),"",IF(INDEX(DB_materiali!$E$2:$E$5000,MATCH($C928,DB_materiali!$A$2:$A$5000,0))&gt;=INDEX(DB_malas!$C$2:$C$5000,MATCH(I928,DB_malas!$A$2:$A$5000,0)),IF(INDEX(DB_materiali!$E$2:$E$5000,MATCH($C928,DB_materiali!$A$2:$A$5000,0))&lt;=INDEX(DB_malas!$D$2:$D$5000,MATCH(I928,DB_malas!$A$2:$A$5000,0)),IF(OR(INDEX(DB_materiali!$B$2:$B$5000,MATCH($C928,DB_materiali!$A$2:$A$5000,0))=INDEX(DB_malas!$B$2:$B$5000,MATCH(I928,DB_malas!$A$2:$A$5000,0)),$H928="ORG"),"✔",tulkojums!$A$38),tulkojums!$A$39),tulkojums!$A$39))</f>
        <v/>
      </c>
      <c r="R928" s="2" t="str">
        <f>IF(ISBLANK(J928),"",IF(INDEX(DB_materiali!$E$2:$E$5000,MATCH($C928,DB_materiali!$A$2:$A$5000,0))&gt;=INDEX(DB_malas!$C$2:$C$5000,MATCH(J928,DB_malas!$A$2:$A$5000,0)),IF(INDEX(DB_materiali!$E$2:$E$5000,MATCH($C928,DB_materiali!$A$2:$A$5000,0))&lt;=INDEX(DB_malas!$D$2:$D$5000,MATCH(J928,DB_malas!$A$2:$A$5000,0)),IF(INDEX(DB_materiali!$B$2:$B$5000,MATCH($C928,DB_materiali!$A$2:$A$5000,0))=INDEX(DB_malas!$B$2:$B$5000,MATCH(J928,DB_malas!$A$2:$A$5000,0)),"✔",tulkojums!$A$38),tulkojums!$A$39),tulkojums!$A$39))</f>
        <v/>
      </c>
      <c r="S928" s="2" t="str">
        <f>IF(ISBLANK(K928),"",IF(INDEX(DB_materiali!$E$2:$E$5000,MATCH($C928,DB_materiali!$A$2:$A$5000,0))&gt;=INDEX(DB_malas!$C$2:$C$5000,MATCH(K928,DB_malas!$A$2:$A$5000,0)),IF(INDEX(DB_materiali!$E$2:$E$5000,MATCH($C928,DB_materiali!$A$2:$A$5000,0))&lt;=INDEX(DB_malas!$D$2:$D$5000,MATCH(K928,DB_malas!$A$2:$A$5000,0)),IF(INDEX(DB_materiali!$B$2:$B$5000,MATCH($C928,DB_materiali!$A$2:$A$5000,0))=INDEX(DB_malas!$B$2:$B$5000,MATCH(K928,DB_malas!$A$2:$A$5000,0)),"✔",tulkojums!$A$38),tulkojums!$A$39),tulkojums!$A$39))</f>
        <v/>
      </c>
      <c r="T928" s="2"/>
      <c r="U928" s="2"/>
      <c r="V928" s="2"/>
      <c r="W928" s="2"/>
      <c r="X928" s="2"/>
      <c r="Y928" s="2"/>
      <c r="Z928" s="2"/>
    </row>
    <row r="929" spans="1:26" ht="15.75" customHeight="1">
      <c r="A929" s="17"/>
      <c r="B929" s="18"/>
      <c r="C929" s="19"/>
      <c r="D929" s="55"/>
      <c r="E929" s="55"/>
      <c r="F929" s="56"/>
      <c r="G929" s="57" t="str">
        <f>IF(ISBLANK(C929),"",
   IFERROR(
      IF(
         INDEX(DB_materiali!C$2:C$5000,
               MATCH(C929, DB_materiali!A$2:A$5000, 0)
         )="FALSE",
         "N",
         "Y"
      ),
   "")
)</f>
        <v/>
      </c>
      <c r="H929" s="20"/>
      <c r="I929" s="20"/>
      <c r="J929" s="20"/>
      <c r="K929" s="20"/>
      <c r="M929" s="2" t="str">
        <f>IF(ISBLANK(C929),"",IF(IFERROR(VLOOKUP(C929,DB_materiali!$A$2:$A$5000,1,FALSE),"Kļūda artikulā")=C929,"✔",tulkojums!A$42))</f>
        <v/>
      </c>
      <c r="N929" s="2" t="str">
        <f>IF(ISBLANK(C929),"",IF(ISNUMBER(F929)=TRUE,"✔",tulkojums!A$43))</f>
        <v/>
      </c>
      <c r="O929" s="2" t="str">
        <f>IF(ISBLANK(C929),"",IF(G929="Y","✔",IF(G929="X","✔",IF(G929="N","✔",tulkojums!A$44))))</f>
        <v/>
      </c>
      <c r="P929" s="2" t="str">
        <f>IF(ISBLANK(H929),"",IF(INDEX(DB_materiali!$E$2:$E$5000,MATCH($C929,DB_materiali!$A$2:$A$5000,0))&gt;=INDEX(DB_malas!$C$2:$C$5000,MATCH(H929,DB_malas!$A$2:$A$5000,0)),IF(INDEX(DB_materiali!$E$2:$E$5000,MATCH($C929,DB_materiali!$A$2:$A$5000,0))&lt;=INDEX(DB_malas!$D$2:$D$5000,MATCH(H929,DB_malas!$A$2:$A$5000,0)),IF(OR(INDEX(DB_materiali!$B$2:$B$5000,MATCH($C929,DB_materiali!$A$2:$A$5000,0))=INDEX(DB_malas!$B$2:$B$5000,MATCH(H929,DB_malas!$A$2:$A$5000,0)),$H929="ORG"),"✔",tulkojums!$A$38),tulkojums!$A$39),tulkojums!$A$39))</f>
        <v/>
      </c>
      <c r="Q929" s="2" t="str">
        <f>IF(ISBLANK(I929),"",IF(INDEX(DB_materiali!$E$2:$E$5000,MATCH($C929,DB_materiali!$A$2:$A$5000,0))&gt;=INDEX(DB_malas!$C$2:$C$5000,MATCH(I929,DB_malas!$A$2:$A$5000,0)),IF(INDEX(DB_materiali!$E$2:$E$5000,MATCH($C929,DB_materiali!$A$2:$A$5000,0))&lt;=INDEX(DB_malas!$D$2:$D$5000,MATCH(I929,DB_malas!$A$2:$A$5000,0)),IF(OR(INDEX(DB_materiali!$B$2:$B$5000,MATCH($C929,DB_materiali!$A$2:$A$5000,0))=INDEX(DB_malas!$B$2:$B$5000,MATCH(I929,DB_malas!$A$2:$A$5000,0)),$H929="ORG"),"✔",tulkojums!$A$38),tulkojums!$A$39),tulkojums!$A$39))</f>
        <v/>
      </c>
      <c r="R929" s="2" t="str">
        <f>IF(ISBLANK(J929),"",IF(INDEX(DB_materiali!$E$2:$E$5000,MATCH($C929,DB_materiali!$A$2:$A$5000,0))&gt;=INDEX(DB_malas!$C$2:$C$5000,MATCH(J929,DB_malas!$A$2:$A$5000,0)),IF(INDEX(DB_materiali!$E$2:$E$5000,MATCH($C929,DB_materiali!$A$2:$A$5000,0))&lt;=INDEX(DB_malas!$D$2:$D$5000,MATCH(J929,DB_malas!$A$2:$A$5000,0)),IF(INDEX(DB_materiali!$B$2:$B$5000,MATCH($C929,DB_materiali!$A$2:$A$5000,0))=INDEX(DB_malas!$B$2:$B$5000,MATCH(J929,DB_malas!$A$2:$A$5000,0)),"✔",tulkojums!$A$38),tulkojums!$A$39),tulkojums!$A$39))</f>
        <v/>
      </c>
      <c r="S929" s="2" t="str">
        <f>IF(ISBLANK(K929),"",IF(INDEX(DB_materiali!$E$2:$E$5000,MATCH($C929,DB_materiali!$A$2:$A$5000,0))&gt;=INDEX(DB_malas!$C$2:$C$5000,MATCH(K929,DB_malas!$A$2:$A$5000,0)),IF(INDEX(DB_materiali!$E$2:$E$5000,MATCH($C929,DB_materiali!$A$2:$A$5000,0))&lt;=INDEX(DB_malas!$D$2:$D$5000,MATCH(K929,DB_malas!$A$2:$A$5000,0)),IF(INDEX(DB_materiali!$B$2:$B$5000,MATCH($C929,DB_materiali!$A$2:$A$5000,0))=INDEX(DB_malas!$B$2:$B$5000,MATCH(K929,DB_malas!$A$2:$A$5000,0)),"✔",tulkojums!$A$38),tulkojums!$A$39),tulkojums!$A$39))</f>
        <v/>
      </c>
      <c r="T929" s="2"/>
      <c r="U929" s="2"/>
      <c r="V929" s="2"/>
      <c r="W929" s="2"/>
      <c r="X929" s="2"/>
      <c r="Y929" s="2"/>
      <c r="Z929" s="2"/>
    </row>
    <row r="930" spans="1:26" ht="15.75" customHeight="1">
      <c r="A930" s="17"/>
      <c r="B930" s="18"/>
      <c r="C930" s="19"/>
      <c r="D930" s="55"/>
      <c r="E930" s="55"/>
      <c r="F930" s="56"/>
      <c r="G930" s="57" t="str">
        <f>IF(ISBLANK(C930),"",
   IFERROR(
      IF(
         INDEX(DB_materiali!C$2:C$5000,
               MATCH(C930, DB_materiali!A$2:A$5000, 0)
         )="FALSE",
         "N",
         "Y"
      ),
   "")
)</f>
        <v/>
      </c>
      <c r="H930" s="20"/>
      <c r="I930" s="20"/>
      <c r="J930" s="20"/>
      <c r="K930" s="20"/>
      <c r="M930" s="2" t="str">
        <f>IF(ISBLANK(C930),"",IF(IFERROR(VLOOKUP(C930,DB_materiali!$A$2:$A$5000,1,FALSE),"Kļūda artikulā")=C930,"✔",tulkojums!A$42))</f>
        <v/>
      </c>
      <c r="N930" s="2" t="str">
        <f>IF(ISBLANK(C930),"",IF(ISNUMBER(F930)=TRUE,"✔",tulkojums!A$43))</f>
        <v/>
      </c>
      <c r="O930" s="2" t="str">
        <f>IF(ISBLANK(C930),"",IF(G930="Y","✔",IF(G930="X","✔",IF(G930="N","✔",tulkojums!A$44))))</f>
        <v/>
      </c>
      <c r="P930" s="2" t="str">
        <f>IF(ISBLANK(H930),"",IF(INDEX(DB_materiali!$E$2:$E$5000,MATCH($C930,DB_materiali!$A$2:$A$5000,0))&gt;=INDEX(DB_malas!$C$2:$C$5000,MATCH(H930,DB_malas!$A$2:$A$5000,0)),IF(INDEX(DB_materiali!$E$2:$E$5000,MATCH($C930,DB_materiali!$A$2:$A$5000,0))&lt;=INDEX(DB_malas!$D$2:$D$5000,MATCH(H930,DB_malas!$A$2:$A$5000,0)),IF(OR(INDEX(DB_materiali!$B$2:$B$5000,MATCH($C930,DB_materiali!$A$2:$A$5000,0))=INDEX(DB_malas!$B$2:$B$5000,MATCH(H930,DB_malas!$A$2:$A$5000,0)),$H930="ORG"),"✔",tulkojums!$A$38),tulkojums!$A$39),tulkojums!$A$39))</f>
        <v/>
      </c>
      <c r="Q930" s="2" t="str">
        <f>IF(ISBLANK(I930),"",IF(INDEX(DB_materiali!$E$2:$E$5000,MATCH($C930,DB_materiali!$A$2:$A$5000,0))&gt;=INDEX(DB_malas!$C$2:$C$5000,MATCH(I930,DB_malas!$A$2:$A$5000,0)),IF(INDEX(DB_materiali!$E$2:$E$5000,MATCH($C930,DB_materiali!$A$2:$A$5000,0))&lt;=INDEX(DB_malas!$D$2:$D$5000,MATCH(I930,DB_malas!$A$2:$A$5000,0)),IF(OR(INDEX(DB_materiali!$B$2:$B$5000,MATCH($C930,DB_materiali!$A$2:$A$5000,0))=INDEX(DB_malas!$B$2:$B$5000,MATCH(I930,DB_malas!$A$2:$A$5000,0)),$H930="ORG"),"✔",tulkojums!$A$38),tulkojums!$A$39),tulkojums!$A$39))</f>
        <v/>
      </c>
      <c r="R930" s="2" t="str">
        <f>IF(ISBLANK(J930),"",IF(INDEX(DB_materiali!$E$2:$E$5000,MATCH($C930,DB_materiali!$A$2:$A$5000,0))&gt;=INDEX(DB_malas!$C$2:$C$5000,MATCH(J930,DB_malas!$A$2:$A$5000,0)),IF(INDEX(DB_materiali!$E$2:$E$5000,MATCH($C930,DB_materiali!$A$2:$A$5000,0))&lt;=INDEX(DB_malas!$D$2:$D$5000,MATCH(J930,DB_malas!$A$2:$A$5000,0)),IF(INDEX(DB_materiali!$B$2:$B$5000,MATCH($C930,DB_materiali!$A$2:$A$5000,0))=INDEX(DB_malas!$B$2:$B$5000,MATCH(J930,DB_malas!$A$2:$A$5000,0)),"✔",tulkojums!$A$38),tulkojums!$A$39),tulkojums!$A$39))</f>
        <v/>
      </c>
      <c r="S930" s="2" t="str">
        <f>IF(ISBLANK(K930),"",IF(INDEX(DB_materiali!$E$2:$E$5000,MATCH($C930,DB_materiali!$A$2:$A$5000,0))&gt;=INDEX(DB_malas!$C$2:$C$5000,MATCH(K930,DB_malas!$A$2:$A$5000,0)),IF(INDEX(DB_materiali!$E$2:$E$5000,MATCH($C930,DB_materiali!$A$2:$A$5000,0))&lt;=INDEX(DB_malas!$D$2:$D$5000,MATCH(K930,DB_malas!$A$2:$A$5000,0)),IF(INDEX(DB_materiali!$B$2:$B$5000,MATCH($C930,DB_materiali!$A$2:$A$5000,0))=INDEX(DB_malas!$B$2:$B$5000,MATCH(K930,DB_malas!$A$2:$A$5000,0)),"✔",tulkojums!$A$38),tulkojums!$A$39),tulkojums!$A$39))</f>
        <v/>
      </c>
      <c r="T930" s="2"/>
      <c r="U930" s="2"/>
      <c r="V930" s="2"/>
      <c r="W930" s="2"/>
      <c r="X930" s="2"/>
      <c r="Y930" s="2"/>
      <c r="Z930" s="2"/>
    </row>
    <row r="931" spans="1:26" ht="15.75" customHeight="1">
      <c r="A931" s="17"/>
      <c r="B931" s="18"/>
      <c r="C931" s="19"/>
      <c r="D931" s="55"/>
      <c r="E931" s="55"/>
      <c r="F931" s="56"/>
      <c r="G931" s="57" t="str">
        <f>IF(ISBLANK(C931),"",
   IFERROR(
      IF(
         INDEX(DB_materiali!C$2:C$5000,
               MATCH(C931, DB_materiali!A$2:A$5000, 0)
         )="FALSE",
         "N",
         "Y"
      ),
   "")
)</f>
        <v/>
      </c>
      <c r="H931" s="20"/>
      <c r="I931" s="20"/>
      <c r="J931" s="20"/>
      <c r="K931" s="20"/>
      <c r="M931" s="2" t="str">
        <f>IF(ISBLANK(C931),"",IF(IFERROR(VLOOKUP(C931,DB_materiali!$A$2:$A$5000,1,FALSE),"Kļūda artikulā")=C931,"✔",tulkojums!A$42))</f>
        <v/>
      </c>
      <c r="N931" s="2" t="str">
        <f>IF(ISBLANK(C931),"",IF(ISNUMBER(F931)=TRUE,"✔",tulkojums!A$43))</f>
        <v/>
      </c>
      <c r="O931" s="2" t="str">
        <f>IF(ISBLANK(C931),"",IF(G931="Y","✔",IF(G931="X","✔",IF(G931="N","✔",tulkojums!A$44))))</f>
        <v/>
      </c>
      <c r="P931" s="2" t="str">
        <f>IF(ISBLANK(H931),"",IF(INDEX(DB_materiali!$E$2:$E$5000,MATCH($C931,DB_materiali!$A$2:$A$5000,0))&gt;=INDEX(DB_malas!$C$2:$C$5000,MATCH(H931,DB_malas!$A$2:$A$5000,0)),IF(INDEX(DB_materiali!$E$2:$E$5000,MATCH($C931,DB_materiali!$A$2:$A$5000,0))&lt;=INDEX(DB_malas!$D$2:$D$5000,MATCH(H931,DB_malas!$A$2:$A$5000,0)),IF(OR(INDEX(DB_materiali!$B$2:$B$5000,MATCH($C931,DB_materiali!$A$2:$A$5000,0))=INDEX(DB_malas!$B$2:$B$5000,MATCH(H931,DB_malas!$A$2:$A$5000,0)),$H931="ORG"),"✔",tulkojums!$A$38),tulkojums!$A$39),tulkojums!$A$39))</f>
        <v/>
      </c>
      <c r="Q931" s="2" t="str">
        <f>IF(ISBLANK(I931),"",IF(INDEX(DB_materiali!$E$2:$E$5000,MATCH($C931,DB_materiali!$A$2:$A$5000,0))&gt;=INDEX(DB_malas!$C$2:$C$5000,MATCH(I931,DB_malas!$A$2:$A$5000,0)),IF(INDEX(DB_materiali!$E$2:$E$5000,MATCH($C931,DB_materiali!$A$2:$A$5000,0))&lt;=INDEX(DB_malas!$D$2:$D$5000,MATCH(I931,DB_malas!$A$2:$A$5000,0)),IF(OR(INDEX(DB_materiali!$B$2:$B$5000,MATCH($C931,DB_materiali!$A$2:$A$5000,0))=INDEX(DB_malas!$B$2:$B$5000,MATCH(I931,DB_malas!$A$2:$A$5000,0)),$H931="ORG"),"✔",tulkojums!$A$38),tulkojums!$A$39),tulkojums!$A$39))</f>
        <v/>
      </c>
      <c r="R931" s="2" t="str">
        <f>IF(ISBLANK(J931),"",IF(INDEX(DB_materiali!$E$2:$E$5000,MATCH($C931,DB_materiali!$A$2:$A$5000,0))&gt;=INDEX(DB_malas!$C$2:$C$5000,MATCH(J931,DB_malas!$A$2:$A$5000,0)),IF(INDEX(DB_materiali!$E$2:$E$5000,MATCH($C931,DB_materiali!$A$2:$A$5000,0))&lt;=INDEX(DB_malas!$D$2:$D$5000,MATCH(J931,DB_malas!$A$2:$A$5000,0)),IF(INDEX(DB_materiali!$B$2:$B$5000,MATCH($C931,DB_materiali!$A$2:$A$5000,0))=INDEX(DB_malas!$B$2:$B$5000,MATCH(J931,DB_malas!$A$2:$A$5000,0)),"✔",tulkojums!$A$38),tulkojums!$A$39),tulkojums!$A$39))</f>
        <v/>
      </c>
      <c r="S931" s="2" t="str">
        <f>IF(ISBLANK(K931),"",IF(INDEX(DB_materiali!$E$2:$E$5000,MATCH($C931,DB_materiali!$A$2:$A$5000,0))&gt;=INDEX(DB_malas!$C$2:$C$5000,MATCH(K931,DB_malas!$A$2:$A$5000,0)),IF(INDEX(DB_materiali!$E$2:$E$5000,MATCH($C931,DB_materiali!$A$2:$A$5000,0))&lt;=INDEX(DB_malas!$D$2:$D$5000,MATCH(K931,DB_malas!$A$2:$A$5000,0)),IF(INDEX(DB_materiali!$B$2:$B$5000,MATCH($C931,DB_materiali!$A$2:$A$5000,0))=INDEX(DB_malas!$B$2:$B$5000,MATCH(K931,DB_malas!$A$2:$A$5000,0)),"✔",tulkojums!$A$38),tulkojums!$A$39),tulkojums!$A$39))</f>
        <v/>
      </c>
      <c r="T931" s="2"/>
      <c r="U931" s="2"/>
      <c r="V931" s="2"/>
      <c r="W931" s="2"/>
      <c r="X931" s="2"/>
      <c r="Y931" s="2"/>
      <c r="Z931" s="2"/>
    </row>
    <row r="932" spans="1:26" ht="15.75" customHeight="1">
      <c r="A932" s="17"/>
      <c r="B932" s="18"/>
      <c r="C932" s="19"/>
      <c r="D932" s="55"/>
      <c r="E932" s="55"/>
      <c r="F932" s="56"/>
      <c r="G932" s="57" t="str">
        <f>IF(ISBLANK(C932),"",
   IFERROR(
      IF(
         INDEX(DB_materiali!C$2:C$5000,
               MATCH(C932, DB_materiali!A$2:A$5000, 0)
         )="FALSE",
         "N",
         "Y"
      ),
   "")
)</f>
        <v/>
      </c>
      <c r="H932" s="20"/>
      <c r="I932" s="20"/>
      <c r="J932" s="20"/>
      <c r="K932" s="20"/>
      <c r="M932" s="2" t="str">
        <f>IF(ISBLANK(C932),"",IF(IFERROR(VLOOKUP(C932,DB_materiali!$A$2:$A$5000,1,FALSE),"Kļūda artikulā")=C932,"✔",tulkojums!A$42))</f>
        <v/>
      </c>
      <c r="N932" s="2" t="str">
        <f>IF(ISBLANK(C932),"",IF(ISNUMBER(F932)=TRUE,"✔",tulkojums!A$43))</f>
        <v/>
      </c>
      <c r="O932" s="2" t="str">
        <f>IF(ISBLANK(C932),"",IF(G932="Y","✔",IF(G932="X","✔",IF(G932="N","✔",tulkojums!A$44))))</f>
        <v/>
      </c>
      <c r="P932" s="2" t="str">
        <f>IF(ISBLANK(H932),"",IF(INDEX(DB_materiali!$E$2:$E$5000,MATCH($C932,DB_materiali!$A$2:$A$5000,0))&gt;=INDEX(DB_malas!$C$2:$C$5000,MATCH(H932,DB_malas!$A$2:$A$5000,0)),IF(INDEX(DB_materiali!$E$2:$E$5000,MATCH($C932,DB_materiali!$A$2:$A$5000,0))&lt;=INDEX(DB_malas!$D$2:$D$5000,MATCH(H932,DB_malas!$A$2:$A$5000,0)),IF(OR(INDEX(DB_materiali!$B$2:$B$5000,MATCH($C932,DB_materiali!$A$2:$A$5000,0))=INDEX(DB_malas!$B$2:$B$5000,MATCH(H932,DB_malas!$A$2:$A$5000,0)),$H932="ORG"),"✔",tulkojums!$A$38),tulkojums!$A$39),tulkojums!$A$39))</f>
        <v/>
      </c>
      <c r="Q932" s="2" t="str">
        <f>IF(ISBLANK(I932),"",IF(INDEX(DB_materiali!$E$2:$E$5000,MATCH($C932,DB_materiali!$A$2:$A$5000,0))&gt;=INDEX(DB_malas!$C$2:$C$5000,MATCH(I932,DB_malas!$A$2:$A$5000,0)),IF(INDEX(DB_materiali!$E$2:$E$5000,MATCH($C932,DB_materiali!$A$2:$A$5000,0))&lt;=INDEX(DB_malas!$D$2:$D$5000,MATCH(I932,DB_malas!$A$2:$A$5000,0)),IF(OR(INDEX(DB_materiali!$B$2:$B$5000,MATCH($C932,DB_materiali!$A$2:$A$5000,0))=INDEX(DB_malas!$B$2:$B$5000,MATCH(I932,DB_malas!$A$2:$A$5000,0)),$H932="ORG"),"✔",tulkojums!$A$38),tulkojums!$A$39),tulkojums!$A$39))</f>
        <v/>
      </c>
      <c r="R932" s="2" t="str">
        <f>IF(ISBLANK(J932),"",IF(INDEX(DB_materiali!$E$2:$E$5000,MATCH($C932,DB_materiali!$A$2:$A$5000,0))&gt;=INDEX(DB_malas!$C$2:$C$5000,MATCH(J932,DB_malas!$A$2:$A$5000,0)),IF(INDEX(DB_materiali!$E$2:$E$5000,MATCH($C932,DB_materiali!$A$2:$A$5000,0))&lt;=INDEX(DB_malas!$D$2:$D$5000,MATCH(J932,DB_malas!$A$2:$A$5000,0)),IF(INDEX(DB_materiali!$B$2:$B$5000,MATCH($C932,DB_materiali!$A$2:$A$5000,0))=INDEX(DB_malas!$B$2:$B$5000,MATCH(J932,DB_malas!$A$2:$A$5000,0)),"✔",tulkojums!$A$38),tulkojums!$A$39),tulkojums!$A$39))</f>
        <v/>
      </c>
      <c r="S932" s="2" t="str">
        <f>IF(ISBLANK(K932),"",IF(INDEX(DB_materiali!$E$2:$E$5000,MATCH($C932,DB_materiali!$A$2:$A$5000,0))&gt;=INDEX(DB_malas!$C$2:$C$5000,MATCH(K932,DB_malas!$A$2:$A$5000,0)),IF(INDEX(DB_materiali!$E$2:$E$5000,MATCH($C932,DB_materiali!$A$2:$A$5000,0))&lt;=INDEX(DB_malas!$D$2:$D$5000,MATCH(K932,DB_malas!$A$2:$A$5000,0)),IF(INDEX(DB_materiali!$B$2:$B$5000,MATCH($C932,DB_materiali!$A$2:$A$5000,0))=INDEX(DB_malas!$B$2:$B$5000,MATCH(K932,DB_malas!$A$2:$A$5000,0)),"✔",tulkojums!$A$38),tulkojums!$A$39),tulkojums!$A$39))</f>
        <v/>
      </c>
      <c r="T932" s="2"/>
      <c r="U932" s="2"/>
      <c r="V932" s="2"/>
      <c r="W932" s="2"/>
      <c r="X932" s="2"/>
      <c r="Y932" s="2"/>
      <c r="Z932" s="2"/>
    </row>
    <row r="933" spans="1:26" ht="15.75" customHeight="1">
      <c r="A933" s="17"/>
      <c r="B933" s="18"/>
      <c r="C933" s="19"/>
      <c r="D933" s="55"/>
      <c r="E933" s="55"/>
      <c r="F933" s="56"/>
      <c r="G933" s="57" t="str">
        <f>IF(ISBLANK(C933),"",
   IFERROR(
      IF(
         INDEX(DB_materiali!C$2:C$5000,
               MATCH(C933, DB_materiali!A$2:A$5000, 0)
         )="FALSE",
         "N",
         "Y"
      ),
   "")
)</f>
        <v/>
      </c>
      <c r="H933" s="20"/>
      <c r="I933" s="20"/>
      <c r="J933" s="20"/>
      <c r="K933" s="20"/>
      <c r="M933" s="2" t="str">
        <f>IF(ISBLANK(C933),"",IF(IFERROR(VLOOKUP(C933,DB_materiali!$A$2:$A$5000,1,FALSE),"Kļūda artikulā")=C933,"✔",tulkojums!A$42))</f>
        <v/>
      </c>
      <c r="N933" s="2" t="str">
        <f>IF(ISBLANK(C933),"",IF(ISNUMBER(F933)=TRUE,"✔",tulkojums!A$43))</f>
        <v/>
      </c>
      <c r="O933" s="2" t="str">
        <f>IF(ISBLANK(C933),"",IF(G933="Y","✔",IF(G933="X","✔",IF(G933="N","✔",tulkojums!A$44))))</f>
        <v/>
      </c>
      <c r="P933" s="2" t="str">
        <f>IF(ISBLANK(H933),"",IF(INDEX(DB_materiali!$E$2:$E$5000,MATCH($C933,DB_materiali!$A$2:$A$5000,0))&gt;=INDEX(DB_malas!$C$2:$C$5000,MATCH(H933,DB_malas!$A$2:$A$5000,0)),IF(INDEX(DB_materiali!$E$2:$E$5000,MATCH($C933,DB_materiali!$A$2:$A$5000,0))&lt;=INDEX(DB_malas!$D$2:$D$5000,MATCH(H933,DB_malas!$A$2:$A$5000,0)),IF(OR(INDEX(DB_materiali!$B$2:$B$5000,MATCH($C933,DB_materiali!$A$2:$A$5000,0))=INDEX(DB_malas!$B$2:$B$5000,MATCH(H933,DB_malas!$A$2:$A$5000,0)),$H933="ORG"),"✔",tulkojums!$A$38),tulkojums!$A$39),tulkojums!$A$39))</f>
        <v/>
      </c>
      <c r="Q933" s="2" t="str">
        <f>IF(ISBLANK(I933),"",IF(INDEX(DB_materiali!$E$2:$E$5000,MATCH($C933,DB_materiali!$A$2:$A$5000,0))&gt;=INDEX(DB_malas!$C$2:$C$5000,MATCH(I933,DB_malas!$A$2:$A$5000,0)),IF(INDEX(DB_materiali!$E$2:$E$5000,MATCH($C933,DB_materiali!$A$2:$A$5000,0))&lt;=INDEX(DB_malas!$D$2:$D$5000,MATCH(I933,DB_malas!$A$2:$A$5000,0)),IF(OR(INDEX(DB_materiali!$B$2:$B$5000,MATCH($C933,DB_materiali!$A$2:$A$5000,0))=INDEX(DB_malas!$B$2:$B$5000,MATCH(I933,DB_malas!$A$2:$A$5000,0)),$H933="ORG"),"✔",tulkojums!$A$38),tulkojums!$A$39),tulkojums!$A$39))</f>
        <v/>
      </c>
      <c r="R933" s="2" t="str">
        <f>IF(ISBLANK(J933),"",IF(INDEX(DB_materiali!$E$2:$E$5000,MATCH($C933,DB_materiali!$A$2:$A$5000,0))&gt;=INDEX(DB_malas!$C$2:$C$5000,MATCH(J933,DB_malas!$A$2:$A$5000,0)),IF(INDEX(DB_materiali!$E$2:$E$5000,MATCH($C933,DB_materiali!$A$2:$A$5000,0))&lt;=INDEX(DB_malas!$D$2:$D$5000,MATCH(J933,DB_malas!$A$2:$A$5000,0)),IF(INDEX(DB_materiali!$B$2:$B$5000,MATCH($C933,DB_materiali!$A$2:$A$5000,0))=INDEX(DB_malas!$B$2:$B$5000,MATCH(J933,DB_malas!$A$2:$A$5000,0)),"✔",tulkojums!$A$38),tulkojums!$A$39),tulkojums!$A$39))</f>
        <v/>
      </c>
      <c r="S933" s="2" t="str">
        <f>IF(ISBLANK(K933),"",IF(INDEX(DB_materiali!$E$2:$E$5000,MATCH($C933,DB_materiali!$A$2:$A$5000,0))&gt;=INDEX(DB_malas!$C$2:$C$5000,MATCH(K933,DB_malas!$A$2:$A$5000,0)),IF(INDEX(DB_materiali!$E$2:$E$5000,MATCH($C933,DB_materiali!$A$2:$A$5000,0))&lt;=INDEX(DB_malas!$D$2:$D$5000,MATCH(K933,DB_malas!$A$2:$A$5000,0)),IF(INDEX(DB_materiali!$B$2:$B$5000,MATCH($C933,DB_materiali!$A$2:$A$5000,0))=INDEX(DB_malas!$B$2:$B$5000,MATCH(K933,DB_malas!$A$2:$A$5000,0)),"✔",tulkojums!$A$38),tulkojums!$A$39),tulkojums!$A$39))</f>
        <v/>
      </c>
      <c r="T933" s="2"/>
      <c r="U933" s="2"/>
      <c r="V933" s="2"/>
      <c r="W933" s="2"/>
      <c r="X933" s="2"/>
      <c r="Y933" s="2"/>
      <c r="Z933" s="2"/>
    </row>
    <row r="934" spans="1:26" ht="15.75" customHeight="1">
      <c r="A934" s="17"/>
      <c r="B934" s="18"/>
      <c r="C934" s="19"/>
      <c r="D934" s="55"/>
      <c r="E934" s="55"/>
      <c r="F934" s="56"/>
      <c r="G934" s="57" t="str">
        <f>IF(ISBLANK(C934),"",
   IFERROR(
      IF(
         INDEX(DB_materiali!C$2:C$5000,
               MATCH(C934, DB_materiali!A$2:A$5000, 0)
         )="FALSE",
         "N",
         "Y"
      ),
   "")
)</f>
        <v/>
      </c>
      <c r="H934" s="20"/>
      <c r="I934" s="20"/>
      <c r="J934" s="20"/>
      <c r="K934" s="20"/>
      <c r="M934" s="2" t="str">
        <f>IF(ISBLANK(C934),"",IF(IFERROR(VLOOKUP(C934,DB_materiali!$A$2:$A$5000,1,FALSE),"Kļūda artikulā")=C934,"✔",tulkojums!A$42))</f>
        <v/>
      </c>
      <c r="N934" s="2" t="str">
        <f>IF(ISBLANK(C934),"",IF(ISNUMBER(F934)=TRUE,"✔",tulkojums!A$43))</f>
        <v/>
      </c>
      <c r="O934" s="2" t="str">
        <f>IF(ISBLANK(C934),"",IF(G934="Y","✔",IF(G934="X","✔",IF(G934="N","✔",tulkojums!A$44))))</f>
        <v/>
      </c>
      <c r="P934" s="2" t="str">
        <f>IF(ISBLANK(H934),"",IF(INDEX(DB_materiali!$E$2:$E$5000,MATCH($C934,DB_materiali!$A$2:$A$5000,0))&gt;=INDEX(DB_malas!$C$2:$C$5000,MATCH(H934,DB_malas!$A$2:$A$5000,0)),IF(INDEX(DB_materiali!$E$2:$E$5000,MATCH($C934,DB_materiali!$A$2:$A$5000,0))&lt;=INDEX(DB_malas!$D$2:$D$5000,MATCH(H934,DB_malas!$A$2:$A$5000,0)),IF(OR(INDEX(DB_materiali!$B$2:$B$5000,MATCH($C934,DB_materiali!$A$2:$A$5000,0))=INDEX(DB_malas!$B$2:$B$5000,MATCH(H934,DB_malas!$A$2:$A$5000,0)),$H934="ORG"),"✔",tulkojums!$A$38),tulkojums!$A$39),tulkojums!$A$39))</f>
        <v/>
      </c>
      <c r="Q934" s="2" t="str">
        <f>IF(ISBLANK(I934),"",IF(INDEX(DB_materiali!$E$2:$E$5000,MATCH($C934,DB_materiali!$A$2:$A$5000,0))&gt;=INDEX(DB_malas!$C$2:$C$5000,MATCH(I934,DB_malas!$A$2:$A$5000,0)),IF(INDEX(DB_materiali!$E$2:$E$5000,MATCH($C934,DB_materiali!$A$2:$A$5000,0))&lt;=INDEX(DB_malas!$D$2:$D$5000,MATCH(I934,DB_malas!$A$2:$A$5000,0)),IF(OR(INDEX(DB_materiali!$B$2:$B$5000,MATCH($C934,DB_materiali!$A$2:$A$5000,0))=INDEX(DB_malas!$B$2:$B$5000,MATCH(I934,DB_malas!$A$2:$A$5000,0)),$H934="ORG"),"✔",tulkojums!$A$38),tulkojums!$A$39),tulkojums!$A$39))</f>
        <v/>
      </c>
      <c r="R934" s="2" t="str">
        <f>IF(ISBLANK(J934),"",IF(INDEX(DB_materiali!$E$2:$E$5000,MATCH($C934,DB_materiali!$A$2:$A$5000,0))&gt;=INDEX(DB_malas!$C$2:$C$5000,MATCH(J934,DB_malas!$A$2:$A$5000,0)),IF(INDEX(DB_materiali!$E$2:$E$5000,MATCH($C934,DB_materiali!$A$2:$A$5000,0))&lt;=INDEX(DB_malas!$D$2:$D$5000,MATCH(J934,DB_malas!$A$2:$A$5000,0)),IF(INDEX(DB_materiali!$B$2:$B$5000,MATCH($C934,DB_materiali!$A$2:$A$5000,0))=INDEX(DB_malas!$B$2:$B$5000,MATCH(J934,DB_malas!$A$2:$A$5000,0)),"✔",tulkojums!$A$38),tulkojums!$A$39),tulkojums!$A$39))</f>
        <v/>
      </c>
      <c r="S934" s="2" t="str">
        <f>IF(ISBLANK(K934),"",IF(INDEX(DB_materiali!$E$2:$E$5000,MATCH($C934,DB_materiali!$A$2:$A$5000,0))&gt;=INDEX(DB_malas!$C$2:$C$5000,MATCH(K934,DB_malas!$A$2:$A$5000,0)),IF(INDEX(DB_materiali!$E$2:$E$5000,MATCH($C934,DB_materiali!$A$2:$A$5000,0))&lt;=INDEX(DB_malas!$D$2:$D$5000,MATCH(K934,DB_malas!$A$2:$A$5000,0)),IF(INDEX(DB_materiali!$B$2:$B$5000,MATCH($C934,DB_materiali!$A$2:$A$5000,0))=INDEX(DB_malas!$B$2:$B$5000,MATCH(K934,DB_malas!$A$2:$A$5000,0)),"✔",tulkojums!$A$38),tulkojums!$A$39),tulkojums!$A$39))</f>
        <v/>
      </c>
      <c r="T934" s="2"/>
      <c r="U934" s="2"/>
      <c r="V934" s="2"/>
      <c r="W934" s="2"/>
      <c r="X934" s="2"/>
      <c r="Y934" s="2"/>
      <c r="Z934" s="2"/>
    </row>
    <row r="935" spans="1:26" ht="15.75" customHeight="1">
      <c r="A935" s="17"/>
      <c r="B935" s="18"/>
      <c r="C935" s="19"/>
      <c r="D935" s="55"/>
      <c r="E935" s="55"/>
      <c r="F935" s="56"/>
      <c r="G935" s="57" t="str">
        <f>IF(ISBLANK(C935),"",
   IFERROR(
      IF(
         INDEX(DB_materiali!C$2:C$5000,
               MATCH(C935, DB_materiali!A$2:A$5000, 0)
         )="FALSE",
         "N",
         "Y"
      ),
   "")
)</f>
        <v/>
      </c>
      <c r="H935" s="20"/>
      <c r="I935" s="20"/>
      <c r="J935" s="20"/>
      <c r="K935" s="20"/>
      <c r="M935" s="2" t="str">
        <f>IF(ISBLANK(C935),"",IF(IFERROR(VLOOKUP(C935,DB_materiali!$A$2:$A$5000,1,FALSE),"Kļūda artikulā")=C935,"✔",tulkojums!A$42))</f>
        <v/>
      </c>
      <c r="N935" s="2" t="str">
        <f>IF(ISBLANK(C935),"",IF(ISNUMBER(F935)=TRUE,"✔",tulkojums!A$43))</f>
        <v/>
      </c>
      <c r="O935" s="2" t="str">
        <f>IF(ISBLANK(C935),"",IF(G935="Y","✔",IF(G935="X","✔",IF(G935="N","✔",tulkojums!A$44))))</f>
        <v/>
      </c>
      <c r="P935" s="2" t="str">
        <f>IF(ISBLANK(H935),"",IF(INDEX(DB_materiali!$E$2:$E$5000,MATCH($C935,DB_materiali!$A$2:$A$5000,0))&gt;=INDEX(DB_malas!$C$2:$C$5000,MATCH(H935,DB_malas!$A$2:$A$5000,0)),IF(INDEX(DB_materiali!$E$2:$E$5000,MATCH($C935,DB_materiali!$A$2:$A$5000,0))&lt;=INDEX(DB_malas!$D$2:$D$5000,MATCH(H935,DB_malas!$A$2:$A$5000,0)),IF(OR(INDEX(DB_materiali!$B$2:$B$5000,MATCH($C935,DB_materiali!$A$2:$A$5000,0))=INDEX(DB_malas!$B$2:$B$5000,MATCH(H935,DB_malas!$A$2:$A$5000,0)),$H935="ORG"),"✔",tulkojums!$A$38),tulkojums!$A$39),tulkojums!$A$39))</f>
        <v/>
      </c>
      <c r="Q935" s="2" t="str">
        <f>IF(ISBLANK(I935),"",IF(INDEX(DB_materiali!$E$2:$E$5000,MATCH($C935,DB_materiali!$A$2:$A$5000,0))&gt;=INDEX(DB_malas!$C$2:$C$5000,MATCH(I935,DB_malas!$A$2:$A$5000,0)),IF(INDEX(DB_materiali!$E$2:$E$5000,MATCH($C935,DB_materiali!$A$2:$A$5000,0))&lt;=INDEX(DB_malas!$D$2:$D$5000,MATCH(I935,DB_malas!$A$2:$A$5000,0)),IF(OR(INDEX(DB_materiali!$B$2:$B$5000,MATCH($C935,DB_materiali!$A$2:$A$5000,0))=INDEX(DB_malas!$B$2:$B$5000,MATCH(I935,DB_malas!$A$2:$A$5000,0)),$H935="ORG"),"✔",tulkojums!$A$38),tulkojums!$A$39),tulkojums!$A$39))</f>
        <v/>
      </c>
      <c r="R935" s="2" t="str">
        <f>IF(ISBLANK(J935),"",IF(INDEX(DB_materiali!$E$2:$E$5000,MATCH($C935,DB_materiali!$A$2:$A$5000,0))&gt;=INDEX(DB_malas!$C$2:$C$5000,MATCH(J935,DB_malas!$A$2:$A$5000,0)),IF(INDEX(DB_materiali!$E$2:$E$5000,MATCH($C935,DB_materiali!$A$2:$A$5000,0))&lt;=INDEX(DB_malas!$D$2:$D$5000,MATCH(J935,DB_malas!$A$2:$A$5000,0)),IF(INDEX(DB_materiali!$B$2:$B$5000,MATCH($C935,DB_materiali!$A$2:$A$5000,0))=INDEX(DB_malas!$B$2:$B$5000,MATCH(J935,DB_malas!$A$2:$A$5000,0)),"✔",tulkojums!$A$38),tulkojums!$A$39),tulkojums!$A$39))</f>
        <v/>
      </c>
      <c r="S935" s="2" t="str">
        <f>IF(ISBLANK(K935),"",IF(INDEX(DB_materiali!$E$2:$E$5000,MATCH($C935,DB_materiali!$A$2:$A$5000,0))&gt;=INDEX(DB_malas!$C$2:$C$5000,MATCH(K935,DB_malas!$A$2:$A$5000,0)),IF(INDEX(DB_materiali!$E$2:$E$5000,MATCH($C935,DB_materiali!$A$2:$A$5000,0))&lt;=INDEX(DB_malas!$D$2:$D$5000,MATCH(K935,DB_malas!$A$2:$A$5000,0)),IF(INDEX(DB_materiali!$B$2:$B$5000,MATCH($C935,DB_materiali!$A$2:$A$5000,0))=INDEX(DB_malas!$B$2:$B$5000,MATCH(K935,DB_malas!$A$2:$A$5000,0)),"✔",tulkojums!$A$38),tulkojums!$A$39),tulkojums!$A$39))</f>
        <v/>
      </c>
      <c r="T935" s="2"/>
      <c r="U935" s="2"/>
      <c r="V935" s="2"/>
      <c r="W935" s="2"/>
      <c r="X935" s="2"/>
      <c r="Y935" s="2"/>
      <c r="Z935" s="2"/>
    </row>
    <row r="936" spans="1:26" ht="15.75" customHeight="1">
      <c r="A936" s="17"/>
      <c r="B936" s="18"/>
      <c r="C936" s="19"/>
      <c r="D936" s="55"/>
      <c r="E936" s="55"/>
      <c r="F936" s="56"/>
      <c r="G936" s="57" t="str">
        <f>IF(ISBLANK(C936),"",
   IFERROR(
      IF(
         INDEX(DB_materiali!C$2:C$5000,
               MATCH(C936, DB_materiali!A$2:A$5000, 0)
         )="FALSE",
         "N",
         "Y"
      ),
   "")
)</f>
        <v/>
      </c>
      <c r="H936" s="20"/>
      <c r="I936" s="20"/>
      <c r="J936" s="20"/>
      <c r="K936" s="20"/>
      <c r="M936" s="2" t="str">
        <f>IF(ISBLANK(C936),"",IF(IFERROR(VLOOKUP(C936,DB_materiali!$A$2:$A$5000,1,FALSE),"Kļūda artikulā")=C936,"✔",tulkojums!A$42))</f>
        <v/>
      </c>
      <c r="N936" s="2" t="str">
        <f>IF(ISBLANK(C936),"",IF(ISNUMBER(F936)=TRUE,"✔",tulkojums!A$43))</f>
        <v/>
      </c>
      <c r="O936" s="2" t="str">
        <f>IF(ISBLANK(C936),"",IF(G936="Y","✔",IF(G936="X","✔",IF(G936="N","✔",tulkojums!A$44))))</f>
        <v/>
      </c>
      <c r="P936" s="2" t="str">
        <f>IF(ISBLANK(H936),"",IF(INDEX(DB_materiali!$E$2:$E$5000,MATCH($C936,DB_materiali!$A$2:$A$5000,0))&gt;=INDEX(DB_malas!$C$2:$C$5000,MATCH(H936,DB_malas!$A$2:$A$5000,0)),IF(INDEX(DB_materiali!$E$2:$E$5000,MATCH($C936,DB_materiali!$A$2:$A$5000,0))&lt;=INDEX(DB_malas!$D$2:$D$5000,MATCH(H936,DB_malas!$A$2:$A$5000,0)),IF(OR(INDEX(DB_materiali!$B$2:$B$5000,MATCH($C936,DB_materiali!$A$2:$A$5000,0))=INDEX(DB_malas!$B$2:$B$5000,MATCH(H936,DB_malas!$A$2:$A$5000,0)),$H936="ORG"),"✔",tulkojums!$A$38),tulkojums!$A$39),tulkojums!$A$39))</f>
        <v/>
      </c>
      <c r="Q936" s="2" t="str">
        <f>IF(ISBLANK(I936),"",IF(INDEX(DB_materiali!$E$2:$E$5000,MATCH($C936,DB_materiali!$A$2:$A$5000,0))&gt;=INDEX(DB_malas!$C$2:$C$5000,MATCH(I936,DB_malas!$A$2:$A$5000,0)),IF(INDEX(DB_materiali!$E$2:$E$5000,MATCH($C936,DB_materiali!$A$2:$A$5000,0))&lt;=INDEX(DB_malas!$D$2:$D$5000,MATCH(I936,DB_malas!$A$2:$A$5000,0)),IF(OR(INDEX(DB_materiali!$B$2:$B$5000,MATCH($C936,DB_materiali!$A$2:$A$5000,0))=INDEX(DB_malas!$B$2:$B$5000,MATCH(I936,DB_malas!$A$2:$A$5000,0)),$H936="ORG"),"✔",tulkojums!$A$38),tulkojums!$A$39),tulkojums!$A$39))</f>
        <v/>
      </c>
      <c r="R936" s="2" t="str">
        <f>IF(ISBLANK(J936),"",IF(INDEX(DB_materiali!$E$2:$E$5000,MATCH($C936,DB_materiali!$A$2:$A$5000,0))&gt;=INDEX(DB_malas!$C$2:$C$5000,MATCH(J936,DB_malas!$A$2:$A$5000,0)),IF(INDEX(DB_materiali!$E$2:$E$5000,MATCH($C936,DB_materiali!$A$2:$A$5000,0))&lt;=INDEX(DB_malas!$D$2:$D$5000,MATCH(J936,DB_malas!$A$2:$A$5000,0)),IF(INDEX(DB_materiali!$B$2:$B$5000,MATCH($C936,DB_materiali!$A$2:$A$5000,0))=INDEX(DB_malas!$B$2:$B$5000,MATCH(J936,DB_malas!$A$2:$A$5000,0)),"✔",tulkojums!$A$38),tulkojums!$A$39),tulkojums!$A$39))</f>
        <v/>
      </c>
      <c r="S936" s="2" t="str">
        <f>IF(ISBLANK(K936),"",IF(INDEX(DB_materiali!$E$2:$E$5000,MATCH($C936,DB_materiali!$A$2:$A$5000,0))&gt;=INDEX(DB_malas!$C$2:$C$5000,MATCH(K936,DB_malas!$A$2:$A$5000,0)),IF(INDEX(DB_materiali!$E$2:$E$5000,MATCH($C936,DB_materiali!$A$2:$A$5000,0))&lt;=INDEX(DB_malas!$D$2:$D$5000,MATCH(K936,DB_malas!$A$2:$A$5000,0)),IF(INDEX(DB_materiali!$B$2:$B$5000,MATCH($C936,DB_materiali!$A$2:$A$5000,0))=INDEX(DB_malas!$B$2:$B$5000,MATCH(K936,DB_malas!$A$2:$A$5000,0)),"✔",tulkojums!$A$38),tulkojums!$A$39),tulkojums!$A$39))</f>
        <v/>
      </c>
      <c r="T936" s="2"/>
      <c r="U936" s="2"/>
      <c r="V936" s="2"/>
      <c r="W936" s="2"/>
      <c r="X936" s="2"/>
      <c r="Y936" s="2"/>
      <c r="Z936" s="2"/>
    </row>
    <row r="937" spans="1:26" ht="15.75" customHeight="1">
      <c r="A937" s="17"/>
      <c r="B937" s="18"/>
      <c r="C937" s="19"/>
      <c r="D937" s="55"/>
      <c r="E937" s="55"/>
      <c r="F937" s="56"/>
      <c r="G937" s="57" t="str">
        <f>IF(ISBLANK(C937),"",
   IFERROR(
      IF(
         INDEX(DB_materiali!C$2:C$5000,
               MATCH(C937, DB_materiali!A$2:A$5000, 0)
         )="FALSE",
         "N",
         "Y"
      ),
   "")
)</f>
        <v/>
      </c>
      <c r="H937" s="20"/>
      <c r="I937" s="20"/>
      <c r="J937" s="20"/>
      <c r="K937" s="20"/>
      <c r="M937" s="2" t="str">
        <f>IF(ISBLANK(C937),"",IF(IFERROR(VLOOKUP(C937,DB_materiali!$A$2:$A$5000,1,FALSE),"Kļūda artikulā")=C937,"✔",tulkojums!A$42))</f>
        <v/>
      </c>
      <c r="N937" s="2" t="str">
        <f>IF(ISBLANK(C937),"",IF(ISNUMBER(F937)=TRUE,"✔",tulkojums!A$43))</f>
        <v/>
      </c>
      <c r="O937" s="2" t="str">
        <f>IF(ISBLANK(C937),"",IF(G937="Y","✔",IF(G937="X","✔",IF(G937="N","✔",tulkojums!A$44))))</f>
        <v/>
      </c>
      <c r="P937" s="2" t="str">
        <f>IF(ISBLANK(H937),"",IF(INDEX(DB_materiali!$E$2:$E$5000,MATCH($C937,DB_materiali!$A$2:$A$5000,0))&gt;=INDEX(DB_malas!$C$2:$C$5000,MATCH(H937,DB_malas!$A$2:$A$5000,0)),IF(INDEX(DB_materiali!$E$2:$E$5000,MATCH($C937,DB_materiali!$A$2:$A$5000,0))&lt;=INDEX(DB_malas!$D$2:$D$5000,MATCH(H937,DB_malas!$A$2:$A$5000,0)),IF(OR(INDEX(DB_materiali!$B$2:$B$5000,MATCH($C937,DB_materiali!$A$2:$A$5000,0))=INDEX(DB_malas!$B$2:$B$5000,MATCH(H937,DB_malas!$A$2:$A$5000,0)),$H937="ORG"),"✔",tulkojums!$A$38),tulkojums!$A$39),tulkojums!$A$39))</f>
        <v/>
      </c>
      <c r="Q937" s="2" t="str">
        <f>IF(ISBLANK(I937),"",IF(INDEX(DB_materiali!$E$2:$E$5000,MATCH($C937,DB_materiali!$A$2:$A$5000,0))&gt;=INDEX(DB_malas!$C$2:$C$5000,MATCH(I937,DB_malas!$A$2:$A$5000,0)),IF(INDEX(DB_materiali!$E$2:$E$5000,MATCH($C937,DB_materiali!$A$2:$A$5000,0))&lt;=INDEX(DB_malas!$D$2:$D$5000,MATCH(I937,DB_malas!$A$2:$A$5000,0)),IF(OR(INDEX(DB_materiali!$B$2:$B$5000,MATCH($C937,DB_materiali!$A$2:$A$5000,0))=INDEX(DB_malas!$B$2:$B$5000,MATCH(I937,DB_malas!$A$2:$A$5000,0)),$H937="ORG"),"✔",tulkojums!$A$38),tulkojums!$A$39),tulkojums!$A$39))</f>
        <v/>
      </c>
      <c r="R937" s="2" t="str">
        <f>IF(ISBLANK(J937),"",IF(INDEX(DB_materiali!$E$2:$E$5000,MATCH($C937,DB_materiali!$A$2:$A$5000,0))&gt;=INDEX(DB_malas!$C$2:$C$5000,MATCH(J937,DB_malas!$A$2:$A$5000,0)),IF(INDEX(DB_materiali!$E$2:$E$5000,MATCH($C937,DB_materiali!$A$2:$A$5000,0))&lt;=INDEX(DB_malas!$D$2:$D$5000,MATCH(J937,DB_malas!$A$2:$A$5000,0)),IF(INDEX(DB_materiali!$B$2:$B$5000,MATCH($C937,DB_materiali!$A$2:$A$5000,0))=INDEX(DB_malas!$B$2:$B$5000,MATCH(J937,DB_malas!$A$2:$A$5000,0)),"✔",tulkojums!$A$38),tulkojums!$A$39),tulkojums!$A$39))</f>
        <v/>
      </c>
      <c r="S937" s="2" t="str">
        <f>IF(ISBLANK(K937),"",IF(INDEX(DB_materiali!$E$2:$E$5000,MATCH($C937,DB_materiali!$A$2:$A$5000,0))&gt;=INDEX(DB_malas!$C$2:$C$5000,MATCH(K937,DB_malas!$A$2:$A$5000,0)),IF(INDEX(DB_materiali!$E$2:$E$5000,MATCH($C937,DB_materiali!$A$2:$A$5000,0))&lt;=INDEX(DB_malas!$D$2:$D$5000,MATCH(K937,DB_malas!$A$2:$A$5000,0)),IF(INDEX(DB_materiali!$B$2:$B$5000,MATCH($C937,DB_materiali!$A$2:$A$5000,0))=INDEX(DB_malas!$B$2:$B$5000,MATCH(K937,DB_malas!$A$2:$A$5000,0)),"✔",tulkojums!$A$38),tulkojums!$A$39),tulkojums!$A$39))</f>
        <v/>
      </c>
      <c r="T937" s="2"/>
      <c r="U937" s="2"/>
      <c r="V937" s="2"/>
      <c r="W937" s="2"/>
      <c r="X937" s="2"/>
      <c r="Y937" s="2"/>
      <c r="Z937" s="2"/>
    </row>
    <row r="938" spans="1:26" ht="15.75" customHeight="1">
      <c r="A938" s="17"/>
      <c r="B938" s="18"/>
      <c r="C938" s="19"/>
      <c r="D938" s="55"/>
      <c r="E938" s="55"/>
      <c r="F938" s="56"/>
      <c r="G938" s="57" t="str">
        <f>IF(ISBLANK(C938),"",
   IFERROR(
      IF(
         INDEX(DB_materiali!C$2:C$5000,
               MATCH(C938, DB_materiali!A$2:A$5000, 0)
         )="FALSE",
         "N",
         "Y"
      ),
   "")
)</f>
        <v/>
      </c>
      <c r="H938" s="20"/>
      <c r="I938" s="20"/>
      <c r="J938" s="20"/>
      <c r="K938" s="20"/>
      <c r="M938" s="2" t="str">
        <f>IF(ISBLANK(C938),"",IF(IFERROR(VLOOKUP(C938,DB_materiali!$A$2:$A$5000,1,FALSE),"Kļūda artikulā")=C938,"✔",tulkojums!A$42))</f>
        <v/>
      </c>
      <c r="N938" s="2" t="str">
        <f>IF(ISBLANK(C938),"",IF(ISNUMBER(F938)=TRUE,"✔",tulkojums!A$43))</f>
        <v/>
      </c>
      <c r="O938" s="2" t="str">
        <f>IF(ISBLANK(C938),"",IF(G938="Y","✔",IF(G938="X","✔",IF(G938="N","✔",tulkojums!A$44))))</f>
        <v/>
      </c>
      <c r="P938" s="2" t="str">
        <f>IF(ISBLANK(H938),"",IF(INDEX(DB_materiali!$E$2:$E$5000,MATCH($C938,DB_materiali!$A$2:$A$5000,0))&gt;=INDEX(DB_malas!$C$2:$C$5000,MATCH(H938,DB_malas!$A$2:$A$5000,0)),IF(INDEX(DB_materiali!$E$2:$E$5000,MATCH($C938,DB_materiali!$A$2:$A$5000,0))&lt;=INDEX(DB_malas!$D$2:$D$5000,MATCH(H938,DB_malas!$A$2:$A$5000,0)),IF(OR(INDEX(DB_materiali!$B$2:$B$5000,MATCH($C938,DB_materiali!$A$2:$A$5000,0))=INDEX(DB_malas!$B$2:$B$5000,MATCH(H938,DB_malas!$A$2:$A$5000,0)),$H938="ORG"),"✔",tulkojums!$A$38),tulkojums!$A$39),tulkojums!$A$39))</f>
        <v/>
      </c>
      <c r="Q938" s="2" t="str">
        <f>IF(ISBLANK(I938),"",IF(INDEX(DB_materiali!$E$2:$E$5000,MATCH($C938,DB_materiali!$A$2:$A$5000,0))&gt;=INDEX(DB_malas!$C$2:$C$5000,MATCH(I938,DB_malas!$A$2:$A$5000,0)),IF(INDEX(DB_materiali!$E$2:$E$5000,MATCH($C938,DB_materiali!$A$2:$A$5000,0))&lt;=INDEX(DB_malas!$D$2:$D$5000,MATCH(I938,DB_malas!$A$2:$A$5000,0)),IF(OR(INDEX(DB_materiali!$B$2:$B$5000,MATCH($C938,DB_materiali!$A$2:$A$5000,0))=INDEX(DB_malas!$B$2:$B$5000,MATCH(I938,DB_malas!$A$2:$A$5000,0)),$H938="ORG"),"✔",tulkojums!$A$38),tulkojums!$A$39),tulkojums!$A$39))</f>
        <v/>
      </c>
      <c r="R938" s="2" t="str">
        <f>IF(ISBLANK(J938),"",IF(INDEX(DB_materiali!$E$2:$E$5000,MATCH($C938,DB_materiali!$A$2:$A$5000,0))&gt;=INDEX(DB_malas!$C$2:$C$5000,MATCH(J938,DB_malas!$A$2:$A$5000,0)),IF(INDEX(DB_materiali!$E$2:$E$5000,MATCH($C938,DB_materiali!$A$2:$A$5000,0))&lt;=INDEX(DB_malas!$D$2:$D$5000,MATCH(J938,DB_malas!$A$2:$A$5000,0)),IF(INDEX(DB_materiali!$B$2:$B$5000,MATCH($C938,DB_materiali!$A$2:$A$5000,0))=INDEX(DB_malas!$B$2:$B$5000,MATCH(J938,DB_malas!$A$2:$A$5000,0)),"✔",tulkojums!$A$38),tulkojums!$A$39),tulkojums!$A$39))</f>
        <v/>
      </c>
      <c r="S938" s="2" t="str">
        <f>IF(ISBLANK(K938),"",IF(INDEX(DB_materiali!$E$2:$E$5000,MATCH($C938,DB_materiali!$A$2:$A$5000,0))&gt;=INDEX(DB_malas!$C$2:$C$5000,MATCH(K938,DB_malas!$A$2:$A$5000,0)),IF(INDEX(DB_materiali!$E$2:$E$5000,MATCH($C938,DB_materiali!$A$2:$A$5000,0))&lt;=INDEX(DB_malas!$D$2:$D$5000,MATCH(K938,DB_malas!$A$2:$A$5000,0)),IF(INDEX(DB_materiali!$B$2:$B$5000,MATCH($C938,DB_materiali!$A$2:$A$5000,0))=INDEX(DB_malas!$B$2:$B$5000,MATCH(K938,DB_malas!$A$2:$A$5000,0)),"✔",tulkojums!$A$38),tulkojums!$A$39),tulkojums!$A$39))</f>
        <v/>
      </c>
      <c r="T938" s="2"/>
      <c r="U938" s="2"/>
      <c r="V938" s="2"/>
      <c r="W938" s="2"/>
      <c r="X938" s="2"/>
      <c r="Y938" s="2"/>
      <c r="Z938" s="2"/>
    </row>
    <row r="939" spans="1:26" ht="15.75" customHeight="1">
      <c r="A939" s="17"/>
      <c r="B939" s="18"/>
      <c r="C939" s="19"/>
      <c r="D939" s="55"/>
      <c r="E939" s="55"/>
      <c r="F939" s="56"/>
      <c r="G939" s="57" t="str">
        <f>IF(ISBLANK(C939),"",
   IFERROR(
      IF(
         INDEX(DB_materiali!C$2:C$5000,
               MATCH(C939, DB_materiali!A$2:A$5000, 0)
         )="FALSE",
         "N",
         "Y"
      ),
   "")
)</f>
        <v/>
      </c>
      <c r="H939" s="20"/>
      <c r="I939" s="20"/>
      <c r="J939" s="20"/>
      <c r="K939" s="20"/>
      <c r="M939" s="2" t="str">
        <f>IF(ISBLANK(C939),"",IF(IFERROR(VLOOKUP(C939,DB_materiali!$A$2:$A$5000,1,FALSE),"Kļūda artikulā")=C939,"✔",tulkojums!A$42))</f>
        <v/>
      </c>
      <c r="N939" s="2" t="str">
        <f>IF(ISBLANK(C939),"",IF(ISNUMBER(F939)=TRUE,"✔",tulkojums!A$43))</f>
        <v/>
      </c>
      <c r="O939" s="2" t="str">
        <f>IF(ISBLANK(C939),"",IF(G939="Y","✔",IF(G939="X","✔",IF(G939="N","✔",tulkojums!A$44))))</f>
        <v/>
      </c>
      <c r="P939" s="2" t="str">
        <f>IF(ISBLANK(H939),"",IF(INDEX(DB_materiali!$E$2:$E$5000,MATCH($C939,DB_materiali!$A$2:$A$5000,0))&gt;=INDEX(DB_malas!$C$2:$C$5000,MATCH(H939,DB_malas!$A$2:$A$5000,0)),IF(INDEX(DB_materiali!$E$2:$E$5000,MATCH($C939,DB_materiali!$A$2:$A$5000,0))&lt;=INDEX(DB_malas!$D$2:$D$5000,MATCH(H939,DB_malas!$A$2:$A$5000,0)),IF(OR(INDEX(DB_materiali!$B$2:$B$5000,MATCH($C939,DB_materiali!$A$2:$A$5000,0))=INDEX(DB_malas!$B$2:$B$5000,MATCH(H939,DB_malas!$A$2:$A$5000,0)),$H939="ORG"),"✔",tulkojums!$A$38),tulkojums!$A$39),tulkojums!$A$39))</f>
        <v/>
      </c>
      <c r="Q939" s="2" t="str">
        <f>IF(ISBLANK(I939),"",IF(INDEX(DB_materiali!$E$2:$E$5000,MATCH($C939,DB_materiali!$A$2:$A$5000,0))&gt;=INDEX(DB_malas!$C$2:$C$5000,MATCH(I939,DB_malas!$A$2:$A$5000,0)),IF(INDEX(DB_materiali!$E$2:$E$5000,MATCH($C939,DB_materiali!$A$2:$A$5000,0))&lt;=INDEX(DB_malas!$D$2:$D$5000,MATCH(I939,DB_malas!$A$2:$A$5000,0)),IF(OR(INDEX(DB_materiali!$B$2:$B$5000,MATCH($C939,DB_materiali!$A$2:$A$5000,0))=INDEX(DB_malas!$B$2:$B$5000,MATCH(I939,DB_malas!$A$2:$A$5000,0)),$H939="ORG"),"✔",tulkojums!$A$38),tulkojums!$A$39),tulkojums!$A$39))</f>
        <v/>
      </c>
      <c r="R939" s="2" t="str">
        <f>IF(ISBLANK(J939),"",IF(INDEX(DB_materiali!$E$2:$E$5000,MATCH($C939,DB_materiali!$A$2:$A$5000,0))&gt;=INDEX(DB_malas!$C$2:$C$5000,MATCH(J939,DB_malas!$A$2:$A$5000,0)),IF(INDEX(DB_materiali!$E$2:$E$5000,MATCH($C939,DB_materiali!$A$2:$A$5000,0))&lt;=INDEX(DB_malas!$D$2:$D$5000,MATCH(J939,DB_malas!$A$2:$A$5000,0)),IF(INDEX(DB_materiali!$B$2:$B$5000,MATCH($C939,DB_materiali!$A$2:$A$5000,0))=INDEX(DB_malas!$B$2:$B$5000,MATCH(J939,DB_malas!$A$2:$A$5000,0)),"✔",tulkojums!$A$38),tulkojums!$A$39),tulkojums!$A$39))</f>
        <v/>
      </c>
      <c r="S939" s="2" t="str">
        <f>IF(ISBLANK(K939),"",IF(INDEX(DB_materiali!$E$2:$E$5000,MATCH($C939,DB_materiali!$A$2:$A$5000,0))&gt;=INDEX(DB_malas!$C$2:$C$5000,MATCH(K939,DB_malas!$A$2:$A$5000,0)),IF(INDEX(DB_materiali!$E$2:$E$5000,MATCH($C939,DB_materiali!$A$2:$A$5000,0))&lt;=INDEX(DB_malas!$D$2:$D$5000,MATCH(K939,DB_malas!$A$2:$A$5000,0)),IF(INDEX(DB_materiali!$B$2:$B$5000,MATCH($C939,DB_materiali!$A$2:$A$5000,0))=INDEX(DB_malas!$B$2:$B$5000,MATCH(K939,DB_malas!$A$2:$A$5000,0)),"✔",tulkojums!$A$38),tulkojums!$A$39),tulkojums!$A$39))</f>
        <v/>
      </c>
      <c r="T939" s="2"/>
      <c r="U939" s="2"/>
      <c r="V939" s="2"/>
      <c r="W939" s="2"/>
      <c r="X939" s="2"/>
      <c r="Y939" s="2"/>
      <c r="Z939" s="2"/>
    </row>
    <row r="940" spans="1:26" ht="15.75" customHeight="1">
      <c r="A940" s="17"/>
      <c r="B940" s="18"/>
      <c r="C940" s="19"/>
      <c r="D940" s="55"/>
      <c r="E940" s="55"/>
      <c r="F940" s="56"/>
      <c r="G940" s="57" t="str">
        <f>IF(ISBLANK(C940),"",
   IFERROR(
      IF(
         INDEX(DB_materiali!C$2:C$5000,
               MATCH(C940, DB_materiali!A$2:A$5000, 0)
         )="FALSE",
         "N",
         "Y"
      ),
   "")
)</f>
        <v/>
      </c>
      <c r="H940" s="20"/>
      <c r="I940" s="20"/>
      <c r="J940" s="20"/>
      <c r="K940" s="20"/>
      <c r="M940" s="2" t="str">
        <f>IF(ISBLANK(C940),"",IF(IFERROR(VLOOKUP(C940,DB_materiali!$A$2:$A$5000,1,FALSE),"Kļūda artikulā")=C940,"✔",tulkojums!A$42))</f>
        <v/>
      </c>
      <c r="N940" s="2" t="str">
        <f>IF(ISBLANK(C940),"",IF(ISNUMBER(F940)=TRUE,"✔",tulkojums!A$43))</f>
        <v/>
      </c>
      <c r="O940" s="2" t="str">
        <f>IF(ISBLANK(C940),"",IF(G940="Y","✔",IF(G940="X","✔",IF(G940="N","✔",tulkojums!A$44))))</f>
        <v/>
      </c>
      <c r="P940" s="2" t="str">
        <f>IF(ISBLANK(H940),"",IF(INDEX(DB_materiali!$E$2:$E$5000,MATCH($C940,DB_materiali!$A$2:$A$5000,0))&gt;=INDEX(DB_malas!$C$2:$C$5000,MATCH(H940,DB_malas!$A$2:$A$5000,0)),IF(INDEX(DB_materiali!$E$2:$E$5000,MATCH($C940,DB_materiali!$A$2:$A$5000,0))&lt;=INDEX(DB_malas!$D$2:$D$5000,MATCH(H940,DB_malas!$A$2:$A$5000,0)),IF(OR(INDEX(DB_materiali!$B$2:$B$5000,MATCH($C940,DB_materiali!$A$2:$A$5000,0))=INDEX(DB_malas!$B$2:$B$5000,MATCH(H940,DB_malas!$A$2:$A$5000,0)),$H940="ORG"),"✔",tulkojums!$A$38),tulkojums!$A$39),tulkojums!$A$39))</f>
        <v/>
      </c>
      <c r="Q940" s="2" t="str">
        <f>IF(ISBLANK(I940),"",IF(INDEX(DB_materiali!$E$2:$E$5000,MATCH($C940,DB_materiali!$A$2:$A$5000,0))&gt;=INDEX(DB_malas!$C$2:$C$5000,MATCH(I940,DB_malas!$A$2:$A$5000,0)),IF(INDEX(DB_materiali!$E$2:$E$5000,MATCH($C940,DB_materiali!$A$2:$A$5000,0))&lt;=INDEX(DB_malas!$D$2:$D$5000,MATCH(I940,DB_malas!$A$2:$A$5000,0)),IF(OR(INDEX(DB_materiali!$B$2:$B$5000,MATCH($C940,DB_materiali!$A$2:$A$5000,0))=INDEX(DB_malas!$B$2:$B$5000,MATCH(I940,DB_malas!$A$2:$A$5000,0)),$H940="ORG"),"✔",tulkojums!$A$38),tulkojums!$A$39),tulkojums!$A$39))</f>
        <v/>
      </c>
      <c r="R940" s="2" t="str">
        <f>IF(ISBLANK(J940),"",IF(INDEX(DB_materiali!$E$2:$E$5000,MATCH($C940,DB_materiali!$A$2:$A$5000,0))&gt;=INDEX(DB_malas!$C$2:$C$5000,MATCH(J940,DB_malas!$A$2:$A$5000,0)),IF(INDEX(DB_materiali!$E$2:$E$5000,MATCH($C940,DB_materiali!$A$2:$A$5000,0))&lt;=INDEX(DB_malas!$D$2:$D$5000,MATCH(J940,DB_malas!$A$2:$A$5000,0)),IF(INDEX(DB_materiali!$B$2:$B$5000,MATCH($C940,DB_materiali!$A$2:$A$5000,0))=INDEX(DB_malas!$B$2:$B$5000,MATCH(J940,DB_malas!$A$2:$A$5000,0)),"✔",tulkojums!$A$38),tulkojums!$A$39),tulkojums!$A$39))</f>
        <v/>
      </c>
      <c r="S940" s="2" t="str">
        <f>IF(ISBLANK(K940),"",IF(INDEX(DB_materiali!$E$2:$E$5000,MATCH($C940,DB_materiali!$A$2:$A$5000,0))&gt;=INDEX(DB_malas!$C$2:$C$5000,MATCH(K940,DB_malas!$A$2:$A$5000,0)),IF(INDEX(DB_materiali!$E$2:$E$5000,MATCH($C940,DB_materiali!$A$2:$A$5000,0))&lt;=INDEX(DB_malas!$D$2:$D$5000,MATCH(K940,DB_malas!$A$2:$A$5000,0)),IF(INDEX(DB_materiali!$B$2:$B$5000,MATCH($C940,DB_materiali!$A$2:$A$5000,0))=INDEX(DB_malas!$B$2:$B$5000,MATCH(K940,DB_malas!$A$2:$A$5000,0)),"✔",tulkojums!$A$38),tulkojums!$A$39),tulkojums!$A$39))</f>
        <v/>
      </c>
      <c r="T940" s="2"/>
      <c r="U940" s="2"/>
      <c r="V940" s="2"/>
      <c r="W940" s="2"/>
      <c r="X940" s="2"/>
      <c r="Y940" s="2"/>
      <c r="Z940" s="2"/>
    </row>
    <row r="941" spans="1:26" ht="15.75" customHeight="1">
      <c r="A941" s="17"/>
      <c r="B941" s="18"/>
      <c r="C941" s="19"/>
      <c r="D941" s="55"/>
      <c r="E941" s="55"/>
      <c r="F941" s="56"/>
      <c r="G941" s="57" t="str">
        <f>IF(ISBLANK(C941),"",
   IFERROR(
      IF(
         INDEX(DB_materiali!C$2:C$5000,
               MATCH(C941, DB_materiali!A$2:A$5000, 0)
         )="FALSE",
         "N",
         "Y"
      ),
   "")
)</f>
        <v/>
      </c>
      <c r="H941" s="20"/>
      <c r="I941" s="20"/>
      <c r="J941" s="20"/>
      <c r="K941" s="20"/>
      <c r="M941" s="2" t="str">
        <f>IF(ISBLANK(C941),"",IF(IFERROR(VLOOKUP(C941,DB_materiali!$A$2:$A$5000,1,FALSE),"Kļūda artikulā")=C941,"✔",tulkojums!A$42))</f>
        <v/>
      </c>
      <c r="N941" s="2" t="str">
        <f>IF(ISBLANK(C941),"",IF(ISNUMBER(F941)=TRUE,"✔",tulkojums!A$43))</f>
        <v/>
      </c>
      <c r="O941" s="2" t="str">
        <f>IF(ISBLANK(C941),"",IF(G941="Y","✔",IF(G941="X","✔",IF(G941="N","✔",tulkojums!A$44))))</f>
        <v/>
      </c>
      <c r="P941" s="2" t="str">
        <f>IF(ISBLANK(H941),"",IF(INDEX(DB_materiali!$E$2:$E$5000,MATCH($C941,DB_materiali!$A$2:$A$5000,0))&gt;=INDEX(DB_malas!$C$2:$C$5000,MATCH(H941,DB_malas!$A$2:$A$5000,0)),IF(INDEX(DB_materiali!$E$2:$E$5000,MATCH($C941,DB_materiali!$A$2:$A$5000,0))&lt;=INDEX(DB_malas!$D$2:$D$5000,MATCH(H941,DB_malas!$A$2:$A$5000,0)),IF(OR(INDEX(DB_materiali!$B$2:$B$5000,MATCH($C941,DB_materiali!$A$2:$A$5000,0))=INDEX(DB_malas!$B$2:$B$5000,MATCH(H941,DB_malas!$A$2:$A$5000,0)),$H941="ORG"),"✔",tulkojums!$A$38),tulkojums!$A$39),tulkojums!$A$39))</f>
        <v/>
      </c>
      <c r="Q941" s="2" t="str">
        <f>IF(ISBLANK(I941),"",IF(INDEX(DB_materiali!$E$2:$E$5000,MATCH($C941,DB_materiali!$A$2:$A$5000,0))&gt;=INDEX(DB_malas!$C$2:$C$5000,MATCH(I941,DB_malas!$A$2:$A$5000,0)),IF(INDEX(DB_materiali!$E$2:$E$5000,MATCH($C941,DB_materiali!$A$2:$A$5000,0))&lt;=INDEX(DB_malas!$D$2:$D$5000,MATCH(I941,DB_malas!$A$2:$A$5000,0)),IF(OR(INDEX(DB_materiali!$B$2:$B$5000,MATCH($C941,DB_materiali!$A$2:$A$5000,0))=INDEX(DB_malas!$B$2:$B$5000,MATCH(I941,DB_malas!$A$2:$A$5000,0)),$H941="ORG"),"✔",tulkojums!$A$38),tulkojums!$A$39),tulkojums!$A$39))</f>
        <v/>
      </c>
      <c r="R941" s="2" t="str">
        <f>IF(ISBLANK(J941),"",IF(INDEX(DB_materiali!$E$2:$E$5000,MATCH($C941,DB_materiali!$A$2:$A$5000,0))&gt;=INDEX(DB_malas!$C$2:$C$5000,MATCH(J941,DB_malas!$A$2:$A$5000,0)),IF(INDEX(DB_materiali!$E$2:$E$5000,MATCH($C941,DB_materiali!$A$2:$A$5000,0))&lt;=INDEX(DB_malas!$D$2:$D$5000,MATCH(J941,DB_malas!$A$2:$A$5000,0)),IF(INDEX(DB_materiali!$B$2:$B$5000,MATCH($C941,DB_materiali!$A$2:$A$5000,0))=INDEX(DB_malas!$B$2:$B$5000,MATCH(J941,DB_malas!$A$2:$A$5000,0)),"✔",tulkojums!$A$38),tulkojums!$A$39),tulkojums!$A$39))</f>
        <v/>
      </c>
      <c r="S941" s="2" t="str">
        <f>IF(ISBLANK(K941),"",IF(INDEX(DB_materiali!$E$2:$E$5000,MATCH($C941,DB_materiali!$A$2:$A$5000,0))&gt;=INDEX(DB_malas!$C$2:$C$5000,MATCH(K941,DB_malas!$A$2:$A$5000,0)),IF(INDEX(DB_materiali!$E$2:$E$5000,MATCH($C941,DB_materiali!$A$2:$A$5000,0))&lt;=INDEX(DB_malas!$D$2:$D$5000,MATCH(K941,DB_malas!$A$2:$A$5000,0)),IF(INDEX(DB_materiali!$B$2:$B$5000,MATCH($C941,DB_materiali!$A$2:$A$5000,0))=INDEX(DB_malas!$B$2:$B$5000,MATCH(K941,DB_malas!$A$2:$A$5000,0)),"✔",tulkojums!$A$38),tulkojums!$A$39),tulkojums!$A$39))</f>
        <v/>
      </c>
      <c r="T941" s="2"/>
      <c r="U941" s="2"/>
      <c r="V941" s="2"/>
      <c r="W941" s="2"/>
      <c r="X941" s="2"/>
      <c r="Y941" s="2"/>
      <c r="Z941" s="2"/>
    </row>
    <row r="942" spans="1:26" ht="15.75" customHeight="1">
      <c r="A942" s="17"/>
      <c r="B942" s="18"/>
      <c r="C942" s="19"/>
      <c r="D942" s="55"/>
      <c r="E942" s="55"/>
      <c r="F942" s="56"/>
      <c r="G942" s="57" t="str">
        <f>IF(ISBLANK(C942),"",
   IFERROR(
      IF(
         INDEX(DB_materiali!C$2:C$5000,
               MATCH(C942, DB_materiali!A$2:A$5000, 0)
         )="FALSE",
         "N",
         "Y"
      ),
   "")
)</f>
        <v/>
      </c>
      <c r="H942" s="20"/>
      <c r="I942" s="20"/>
      <c r="J942" s="20"/>
      <c r="K942" s="20"/>
      <c r="M942" s="2" t="str">
        <f>IF(ISBLANK(C942),"",IF(IFERROR(VLOOKUP(C942,DB_materiali!$A$2:$A$5000,1,FALSE),"Kļūda artikulā")=C942,"✔",tulkojums!A$42))</f>
        <v/>
      </c>
      <c r="N942" s="2" t="str">
        <f>IF(ISBLANK(C942),"",IF(ISNUMBER(F942)=TRUE,"✔",tulkojums!A$43))</f>
        <v/>
      </c>
      <c r="O942" s="2" t="str">
        <f>IF(ISBLANK(C942),"",IF(G942="Y","✔",IF(G942="X","✔",IF(G942="N","✔",tulkojums!A$44))))</f>
        <v/>
      </c>
      <c r="P942" s="2" t="str">
        <f>IF(ISBLANK(H942),"",IF(INDEX(DB_materiali!$E$2:$E$5000,MATCH($C942,DB_materiali!$A$2:$A$5000,0))&gt;=INDEX(DB_malas!$C$2:$C$5000,MATCH(H942,DB_malas!$A$2:$A$5000,0)),IF(INDEX(DB_materiali!$E$2:$E$5000,MATCH($C942,DB_materiali!$A$2:$A$5000,0))&lt;=INDEX(DB_malas!$D$2:$D$5000,MATCH(H942,DB_malas!$A$2:$A$5000,0)),IF(OR(INDEX(DB_materiali!$B$2:$B$5000,MATCH($C942,DB_materiali!$A$2:$A$5000,0))=INDEX(DB_malas!$B$2:$B$5000,MATCH(H942,DB_malas!$A$2:$A$5000,0)),$H942="ORG"),"✔",tulkojums!$A$38),tulkojums!$A$39),tulkojums!$A$39))</f>
        <v/>
      </c>
      <c r="Q942" s="2" t="str">
        <f>IF(ISBLANK(I942),"",IF(INDEX(DB_materiali!$E$2:$E$5000,MATCH($C942,DB_materiali!$A$2:$A$5000,0))&gt;=INDEX(DB_malas!$C$2:$C$5000,MATCH(I942,DB_malas!$A$2:$A$5000,0)),IF(INDEX(DB_materiali!$E$2:$E$5000,MATCH($C942,DB_materiali!$A$2:$A$5000,0))&lt;=INDEX(DB_malas!$D$2:$D$5000,MATCH(I942,DB_malas!$A$2:$A$5000,0)),IF(OR(INDEX(DB_materiali!$B$2:$B$5000,MATCH($C942,DB_materiali!$A$2:$A$5000,0))=INDEX(DB_malas!$B$2:$B$5000,MATCH(I942,DB_malas!$A$2:$A$5000,0)),$H942="ORG"),"✔",tulkojums!$A$38),tulkojums!$A$39),tulkojums!$A$39))</f>
        <v/>
      </c>
      <c r="R942" s="2" t="str">
        <f>IF(ISBLANK(J942),"",IF(INDEX(DB_materiali!$E$2:$E$5000,MATCH($C942,DB_materiali!$A$2:$A$5000,0))&gt;=INDEX(DB_malas!$C$2:$C$5000,MATCH(J942,DB_malas!$A$2:$A$5000,0)),IF(INDEX(DB_materiali!$E$2:$E$5000,MATCH($C942,DB_materiali!$A$2:$A$5000,0))&lt;=INDEX(DB_malas!$D$2:$D$5000,MATCH(J942,DB_malas!$A$2:$A$5000,0)),IF(INDEX(DB_materiali!$B$2:$B$5000,MATCH($C942,DB_materiali!$A$2:$A$5000,0))=INDEX(DB_malas!$B$2:$B$5000,MATCH(J942,DB_malas!$A$2:$A$5000,0)),"✔",tulkojums!$A$38),tulkojums!$A$39),tulkojums!$A$39))</f>
        <v/>
      </c>
      <c r="S942" s="2" t="str">
        <f>IF(ISBLANK(K942),"",IF(INDEX(DB_materiali!$E$2:$E$5000,MATCH($C942,DB_materiali!$A$2:$A$5000,0))&gt;=INDEX(DB_malas!$C$2:$C$5000,MATCH(K942,DB_malas!$A$2:$A$5000,0)),IF(INDEX(DB_materiali!$E$2:$E$5000,MATCH($C942,DB_materiali!$A$2:$A$5000,0))&lt;=INDEX(DB_malas!$D$2:$D$5000,MATCH(K942,DB_malas!$A$2:$A$5000,0)),IF(INDEX(DB_materiali!$B$2:$B$5000,MATCH($C942,DB_materiali!$A$2:$A$5000,0))=INDEX(DB_malas!$B$2:$B$5000,MATCH(K942,DB_malas!$A$2:$A$5000,0)),"✔",tulkojums!$A$38),tulkojums!$A$39),tulkojums!$A$39))</f>
        <v/>
      </c>
      <c r="T942" s="2"/>
      <c r="U942" s="2"/>
      <c r="V942" s="2"/>
      <c r="W942" s="2"/>
      <c r="X942" s="2"/>
      <c r="Y942" s="2"/>
      <c r="Z942" s="2"/>
    </row>
    <row r="943" spans="1:26" ht="15.75" customHeight="1">
      <c r="A943" s="17"/>
      <c r="B943" s="18"/>
      <c r="C943" s="19"/>
      <c r="D943" s="55"/>
      <c r="E943" s="55"/>
      <c r="F943" s="56"/>
      <c r="G943" s="57" t="str">
        <f>IF(ISBLANK(C943),"",
   IFERROR(
      IF(
         INDEX(DB_materiali!C$2:C$5000,
               MATCH(C943, DB_materiali!A$2:A$5000, 0)
         )="FALSE",
         "N",
         "Y"
      ),
   "")
)</f>
        <v/>
      </c>
      <c r="H943" s="20"/>
      <c r="I943" s="20"/>
      <c r="J943" s="20"/>
      <c r="K943" s="20"/>
      <c r="M943" s="2" t="str">
        <f>IF(ISBLANK(C943),"",IF(IFERROR(VLOOKUP(C943,DB_materiali!$A$2:$A$5000,1,FALSE),"Kļūda artikulā")=C943,"✔",tulkojums!A$42))</f>
        <v/>
      </c>
      <c r="N943" s="2" t="str">
        <f>IF(ISBLANK(C943),"",IF(ISNUMBER(F943)=TRUE,"✔",tulkojums!A$43))</f>
        <v/>
      </c>
      <c r="O943" s="2" t="str">
        <f>IF(ISBLANK(C943),"",IF(G943="Y","✔",IF(G943="X","✔",IF(G943="N","✔",tulkojums!A$44))))</f>
        <v/>
      </c>
      <c r="P943" s="2" t="str">
        <f>IF(ISBLANK(H943),"",IF(INDEX(DB_materiali!$E$2:$E$5000,MATCH($C943,DB_materiali!$A$2:$A$5000,0))&gt;=INDEX(DB_malas!$C$2:$C$5000,MATCH(H943,DB_malas!$A$2:$A$5000,0)),IF(INDEX(DB_materiali!$E$2:$E$5000,MATCH($C943,DB_materiali!$A$2:$A$5000,0))&lt;=INDEX(DB_malas!$D$2:$D$5000,MATCH(H943,DB_malas!$A$2:$A$5000,0)),IF(OR(INDEX(DB_materiali!$B$2:$B$5000,MATCH($C943,DB_materiali!$A$2:$A$5000,0))=INDEX(DB_malas!$B$2:$B$5000,MATCH(H943,DB_malas!$A$2:$A$5000,0)),$H943="ORG"),"✔",tulkojums!$A$38),tulkojums!$A$39),tulkojums!$A$39))</f>
        <v/>
      </c>
      <c r="Q943" s="2" t="str">
        <f>IF(ISBLANK(I943),"",IF(INDEX(DB_materiali!$E$2:$E$5000,MATCH($C943,DB_materiali!$A$2:$A$5000,0))&gt;=INDEX(DB_malas!$C$2:$C$5000,MATCH(I943,DB_malas!$A$2:$A$5000,0)),IF(INDEX(DB_materiali!$E$2:$E$5000,MATCH($C943,DB_materiali!$A$2:$A$5000,0))&lt;=INDEX(DB_malas!$D$2:$D$5000,MATCH(I943,DB_malas!$A$2:$A$5000,0)),IF(OR(INDEX(DB_materiali!$B$2:$B$5000,MATCH($C943,DB_materiali!$A$2:$A$5000,0))=INDEX(DB_malas!$B$2:$B$5000,MATCH(I943,DB_malas!$A$2:$A$5000,0)),$H943="ORG"),"✔",tulkojums!$A$38),tulkojums!$A$39),tulkojums!$A$39))</f>
        <v/>
      </c>
      <c r="R943" s="2" t="str">
        <f>IF(ISBLANK(J943),"",IF(INDEX(DB_materiali!$E$2:$E$5000,MATCH($C943,DB_materiali!$A$2:$A$5000,0))&gt;=INDEX(DB_malas!$C$2:$C$5000,MATCH(J943,DB_malas!$A$2:$A$5000,0)),IF(INDEX(DB_materiali!$E$2:$E$5000,MATCH($C943,DB_materiali!$A$2:$A$5000,0))&lt;=INDEX(DB_malas!$D$2:$D$5000,MATCH(J943,DB_malas!$A$2:$A$5000,0)),IF(INDEX(DB_materiali!$B$2:$B$5000,MATCH($C943,DB_materiali!$A$2:$A$5000,0))=INDEX(DB_malas!$B$2:$B$5000,MATCH(J943,DB_malas!$A$2:$A$5000,0)),"✔",tulkojums!$A$38),tulkojums!$A$39),tulkojums!$A$39))</f>
        <v/>
      </c>
      <c r="S943" s="2" t="str">
        <f>IF(ISBLANK(K943),"",IF(INDEX(DB_materiali!$E$2:$E$5000,MATCH($C943,DB_materiali!$A$2:$A$5000,0))&gt;=INDEX(DB_malas!$C$2:$C$5000,MATCH(K943,DB_malas!$A$2:$A$5000,0)),IF(INDEX(DB_materiali!$E$2:$E$5000,MATCH($C943,DB_materiali!$A$2:$A$5000,0))&lt;=INDEX(DB_malas!$D$2:$D$5000,MATCH(K943,DB_malas!$A$2:$A$5000,0)),IF(INDEX(DB_materiali!$B$2:$B$5000,MATCH($C943,DB_materiali!$A$2:$A$5000,0))=INDEX(DB_malas!$B$2:$B$5000,MATCH(K943,DB_malas!$A$2:$A$5000,0)),"✔",tulkojums!$A$38),tulkojums!$A$39),tulkojums!$A$39))</f>
        <v/>
      </c>
      <c r="T943" s="2"/>
      <c r="U943" s="2"/>
      <c r="V943" s="2"/>
      <c r="W943" s="2"/>
      <c r="X943" s="2"/>
      <c r="Y943" s="2"/>
      <c r="Z943" s="2"/>
    </row>
    <row r="944" spans="1:26" ht="15.75" customHeight="1">
      <c r="A944" s="17"/>
      <c r="B944" s="18"/>
      <c r="C944" s="19"/>
      <c r="D944" s="55"/>
      <c r="E944" s="55"/>
      <c r="F944" s="56"/>
      <c r="G944" s="57" t="str">
        <f>IF(ISBLANK(C944),"",
   IFERROR(
      IF(
         INDEX(DB_materiali!C$2:C$5000,
               MATCH(C944, DB_materiali!A$2:A$5000, 0)
         )="FALSE",
         "N",
         "Y"
      ),
   "")
)</f>
        <v/>
      </c>
      <c r="H944" s="20"/>
      <c r="I944" s="20"/>
      <c r="J944" s="20"/>
      <c r="K944" s="20"/>
      <c r="M944" s="2" t="str">
        <f>IF(ISBLANK(C944),"",IF(IFERROR(VLOOKUP(C944,DB_materiali!$A$2:$A$5000,1,FALSE),"Kļūda artikulā")=C944,"✔",tulkojums!A$42))</f>
        <v/>
      </c>
      <c r="N944" s="2" t="str">
        <f>IF(ISBLANK(C944),"",IF(ISNUMBER(F944)=TRUE,"✔",tulkojums!A$43))</f>
        <v/>
      </c>
      <c r="O944" s="2" t="str">
        <f>IF(ISBLANK(C944),"",IF(G944="Y","✔",IF(G944="X","✔",IF(G944="N","✔",tulkojums!A$44))))</f>
        <v/>
      </c>
      <c r="P944" s="2" t="str">
        <f>IF(ISBLANK(H944),"",IF(INDEX(DB_materiali!$E$2:$E$5000,MATCH($C944,DB_materiali!$A$2:$A$5000,0))&gt;=INDEX(DB_malas!$C$2:$C$5000,MATCH(H944,DB_malas!$A$2:$A$5000,0)),IF(INDEX(DB_materiali!$E$2:$E$5000,MATCH($C944,DB_materiali!$A$2:$A$5000,0))&lt;=INDEX(DB_malas!$D$2:$D$5000,MATCH(H944,DB_malas!$A$2:$A$5000,0)),IF(OR(INDEX(DB_materiali!$B$2:$B$5000,MATCH($C944,DB_materiali!$A$2:$A$5000,0))=INDEX(DB_malas!$B$2:$B$5000,MATCH(H944,DB_malas!$A$2:$A$5000,0)),$H944="ORG"),"✔",tulkojums!$A$38),tulkojums!$A$39),tulkojums!$A$39))</f>
        <v/>
      </c>
      <c r="Q944" s="2" t="str">
        <f>IF(ISBLANK(I944),"",IF(INDEX(DB_materiali!$E$2:$E$5000,MATCH($C944,DB_materiali!$A$2:$A$5000,0))&gt;=INDEX(DB_malas!$C$2:$C$5000,MATCH(I944,DB_malas!$A$2:$A$5000,0)),IF(INDEX(DB_materiali!$E$2:$E$5000,MATCH($C944,DB_materiali!$A$2:$A$5000,0))&lt;=INDEX(DB_malas!$D$2:$D$5000,MATCH(I944,DB_malas!$A$2:$A$5000,0)),IF(OR(INDEX(DB_materiali!$B$2:$B$5000,MATCH($C944,DB_materiali!$A$2:$A$5000,0))=INDEX(DB_malas!$B$2:$B$5000,MATCH(I944,DB_malas!$A$2:$A$5000,0)),$H944="ORG"),"✔",tulkojums!$A$38),tulkojums!$A$39),tulkojums!$A$39))</f>
        <v/>
      </c>
      <c r="R944" s="2" t="str">
        <f>IF(ISBLANK(J944),"",IF(INDEX(DB_materiali!$E$2:$E$5000,MATCH($C944,DB_materiali!$A$2:$A$5000,0))&gt;=INDEX(DB_malas!$C$2:$C$5000,MATCH(J944,DB_malas!$A$2:$A$5000,0)),IF(INDEX(DB_materiali!$E$2:$E$5000,MATCH($C944,DB_materiali!$A$2:$A$5000,0))&lt;=INDEX(DB_malas!$D$2:$D$5000,MATCH(J944,DB_malas!$A$2:$A$5000,0)),IF(INDEX(DB_materiali!$B$2:$B$5000,MATCH($C944,DB_materiali!$A$2:$A$5000,0))=INDEX(DB_malas!$B$2:$B$5000,MATCH(J944,DB_malas!$A$2:$A$5000,0)),"✔",tulkojums!$A$38),tulkojums!$A$39),tulkojums!$A$39))</f>
        <v/>
      </c>
      <c r="S944" s="2" t="str">
        <f>IF(ISBLANK(K944),"",IF(INDEX(DB_materiali!$E$2:$E$5000,MATCH($C944,DB_materiali!$A$2:$A$5000,0))&gt;=INDEX(DB_malas!$C$2:$C$5000,MATCH(K944,DB_malas!$A$2:$A$5000,0)),IF(INDEX(DB_materiali!$E$2:$E$5000,MATCH($C944,DB_materiali!$A$2:$A$5000,0))&lt;=INDEX(DB_malas!$D$2:$D$5000,MATCH(K944,DB_malas!$A$2:$A$5000,0)),IF(INDEX(DB_materiali!$B$2:$B$5000,MATCH($C944,DB_materiali!$A$2:$A$5000,0))=INDEX(DB_malas!$B$2:$B$5000,MATCH(K944,DB_malas!$A$2:$A$5000,0)),"✔",tulkojums!$A$38),tulkojums!$A$39),tulkojums!$A$39))</f>
        <v/>
      </c>
      <c r="T944" s="2"/>
      <c r="U944" s="2"/>
      <c r="V944" s="2"/>
      <c r="W944" s="2"/>
      <c r="X944" s="2"/>
      <c r="Y944" s="2"/>
      <c r="Z944" s="2"/>
    </row>
    <row r="945" spans="1:26" ht="15.75" customHeight="1">
      <c r="A945" s="17"/>
      <c r="B945" s="18"/>
      <c r="C945" s="19"/>
      <c r="D945" s="55"/>
      <c r="E945" s="55"/>
      <c r="F945" s="56"/>
      <c r="G945" s="57" t="str">
        <f>IF(ISBLANK(C945),"",
   IFERROR(
      IF(
         INDEX(DB_materiali!C$2:C$5000,
               MATCH(C945, DB_materiali!A$2:A$5000, 0)
         )="FALSE",
         "N",
         "Y"
      ),
   "")
)</f>
        <v/>
      </c>
      <c r="H945" s="20"/>
      <c r="I945" s="20"/>
      <c r="J945" s="20"/>
      <c r="K945" s="20"/>
      <c r="M945" s="2" t="str">
        <f>IF(ISBLANK(C945),"",IF(IFERROR(VLOOKUP(C945,DB_materiali!$A$2:$A$5000,1,FALSE),"Kļūda artikulā")=C945,"✔",tulkojums!A$42))</f>
        <v/>
      </c>
      <c r="N945" s="2" t="str">
        <f>IF(ISBLANK(C945),"",IF(ISNUMBER(F945)=TRUE,"✔",tulkojums!A$43))</f>
        <v/>
      </c>
      <c r="O945" s="2" t="str">
        <f>IF(ISBLANK(C945),"",IF(G945="Y","✔",IF(G945="X","✔",IF(G945="N","✔",tulkojums!A$44))))</f>
        <v/>
      </c>
      <c r="P945" s="2" t="str">
        <f>IF(ISBLANK(H945),"",IF(INDEX(DB_materiali!$E$2:$E$5000,MATCH($C945,DB_materiali!$A$2:$A$5000,0))&gt;=INDEX(DB_malas!$C$2:$C$5000,MATCH(H945,DB_malas!$A$2:$A$5000,0)),IF(INDEX(DB_materiali!$E$2:$E$5000,MATCH($C945,DB_materiali!$A$2:$A$5000,0))&lt;=INDEX(DB_malas!$D$2:$D$5000,MATCH(H945,DB_malas!$A$2:$A$5000,0)),IF(OR(INDEX(DB_materiali!$B$2:$B$5000,MATCH($C945,DB_materiali!$A$2:$A$5000,0))=INDEX(DB_malas!$B$2:$B$5000,MATCH(H945,DB_malas!$A$2:$A$5000,0)),$H945="ORG"),"✔",tulkojums!$A$38),tulkojums!$A$39),tulkojums!$A$39))</f>
        <v/>
      </c>
      <c r="Q945" s="2" t="str">
        <f>IF(ISBLANK(I945),"",IF(INDEX(DB_materiali!$E$2:$E$5000,MATCH($C945,DB_materiali!$A$2:$A$5000,0))&gt;=INDEX(DB_malas!$C$2:$C$5000,MATCH(I945,DB_malas!$A$2:$A$5000,0)),IF(INDEX(DB_materiali!$E$2:$E$5000,MATCH($C945,DB_materiali!$A$2:$A$5000,0))&lt;=INDEX(DB_malas!$D$2:$D$5000,MATCH(I945,DB_malas!$A$2:$A$5000,0)),IF(OR(INDEX(DB_materiali!$B$2:$B$5000,MATCH($C945,DB_materiali!$A$2:$A$5000,0))=INDEX(DB_malas!$B$2:$B$5000,MATCH(I945,DB_malas!$A$2:$A$5000,0)),$H945="ORG"),"✔",tulkojums!$A$38),tulkojums!$A$39),tulkojums!$A$39))</f>
        <v/>
      </c>
      <c r="R945" s="2" t="str">
        <f>IF(ISBLANK(J945),"",IF(INDEX(DB_materiali!$E$2:$E$5000,MATCH($C945,DB_materiali!$A$2:$A$5000,0))&gt;=INDEX(DB_malas!$C$2:$C$5000,MATCH(J945,DB_malas!$A$2:$A$5000,0)),IF(INDEX(DB_materiali!$E$2:$E$5000,MATCH($C945,DB_materiali!$A$2:$A$5000,0))&lt;=INDEX(DB_malas!$D$2:$D$5000,MATCH(J945,DB_malas!$A$2:$A$5000,0)),IF(INDEX(DB_materiali!$B$2:$B$5000,MATCH($C945,DB_materiali!$A$2:$A$5000,0))=INDEX(DB_malas!$B$2:$B$5000,MATCH(J945,DB_malas!$A$2:$A$5000,0)),"✔",tulkojums!$A$38),tulkojums!$A$39),tulkojums!$A$39))</f>
        <v/>
      </c>
      <c r="S945" s="2" t="str">
        <f>IF(ISBLANK(K945),"",IF(INDEX(DB_materiali!$E$2:$E$5000,MATCH($C945,DB_materiali!$A$2:$A$5000,0))&gt;=INDEX(DB_malas!$C$2:$C$5000,MATCH(K945,DB_malas!$A$2:$A$5000,0)),IF(INDEX(DB_materiali!$E$2:$E$5000,MATCH($C945,DB_materiali!$A$2:$A$5000,0))&lt;=INDEX(DB_malas!$D$2:$D$5000,MATCH(K945,DB_malas!$A$2:$A$5000,0)),IF(INDEX(DB_materiali!$B$2:$B$5000,MATCH($C945,DB_materiali!$A$2:$A$5000,0))=INDEX(DB_malas!$B$2:$B$5000,MATCH(K945,DB_malas!$A$2:$A$5000,0)),"✔",tulkojums!$A$38),tulkojums!$A$39),tulkojums!$A$39))</f>
        <v/>
      </c>
      <c r="T945" s="2"/>
      <c r="U945" s="2"/>
      <c r="V945" s="2"/>
      <c r="W945" s="2"/>
      <c r="X945" s="2"/>
      <c r="Y945" s="2"/>
      <c r="Z945" s="2"/>
    </row>
    <row r="946" spans="1:26" ht="15.75" customHeight="1">
      <c r="A946" s="17"/>
      <c r="B946" s="18"/>
      <c r="C946" s="19"/>
      <c r="D946" s="55"/>
      <c r="E946" s="55"/>
      <c r="F946" s="56"/>
      <c r="G946" s="57" t="str">
        <f>IF(ISBLANK(C946),"",
   IFERROR(
      IF(
         INDEX(DB_materiali!C$2:C$5000,
               MATCH(C946, DB_materiali!A$2:A$5000, 0)
         )="FALSE",
         "N",
         "Y"
      ),
   "")
)</f>
        <v/>
      </c>
      <c r="H946" s="20"/>
      <c r="I946" s="20"/>
      <c r="J946" s="20"/>
      <c r="K946" s="20"/>
      <c r="M946" s="2" t="str">
        <f>IF(ISBLANK(C946),"",IF(IFERROR(VLOOKUP(C946,DB_materiali!$A$2:$A$5000,1,FALSE),"Kļūda artikulā")=C946,"✔",tulkojums!A$42))</f>
        <v/>
      </c>
      <c r="N946" s="2" t="str">
        <f>IF(ISBLANK(C946),"",IF(ISNUMBER(F946)=TRUE,"✔",tulkojums!A$43))</f>
        <v/>
      </c>
      <c r="O946" s="2" t="str">
        <f>IF(ISBLANK(C946),"",IF(G946="Y","✔",IF(G946="X","✔",IF(G946="N","✔",tulkojums!A$44))))</f>
        <v/>
      </c>
      <c r="P946" s="2" t="str">
        <f>IF(ISBLANK(H946),"",IF(INDEX(DB_materiali!$E$2:$E$5000,MATCH($C946,DB_materiali!$A$2:$A$5000,0))&gt;=INDEX(DB_malas!$C$2:$C$5000,MATCH(H946,DB_malas!$A$2:$A$5000,0)),IF(INDEX(DB_materiali!$E$2:$E$5000,MATCH($C946,DB_materiali!$A$2:$A$5000,0))&lt;=INDEX(DB_malas!$D$2:$D$5000,MATCH(H946,DB_malas!$A$2:$A$5000,0)),IF(OR(INDEX(DB_materiali!$B$2:$B$5000,MATCH($C946,DB_materiali!$A$2:$A$5000,0))=INDEX(DB_malas!$B$2:$B$5000,MATCH(H946,DB_malas!$A$2:$A$5000,0)),$H946="ORG"),"✔",tulkojums!$A$38),tulkojums!$A$39),tulkojums!$A$39))</f>
        <v/>
      </c>
      <c r="Q946" s="2" t="str">
        <f>IF(ISBLANK(I946),"",IF(INDEX(DB_materiali!$E$2:$E$5000,MATCH($C946,DB_materiali!$A$2:$A$5000,0))&gt;=INDEX(DB_malas!$C$2:$C$5000,MATCH(I946,DB_malas!$A$2:$A$5000,0)),IF(INDEX(DB_materiali!$E$2:$E$5000,MATCH($C946,DB_materiali!$A$2:$A$5000,0))&lt;=INDEX(DB_malas!$D$2:$D$5000,MATCH(I946,DB_malas!$A$2:$A$5000,0)),IF(OR(INDEX(DB_materiali!$B$2:$B$5000,MATCH($C946,DB_materiali!$A$2:$A$5000,0))=INDEX(DB_malas!$B$2:$B$5000,MATCH(I946,DB_malas!$A$2:$A$5000,0)),$H946="ORG"),"✔",tulkojums!$A$38),tulkojums!$A$39),tulkojums!$A$39))</f>
        <v/>
      </c>
      <c r="R946" s="2" t="str">
        <f>IF(ISBLANK(J946),"",IF(INDEX(DB_materiali!$E$2:$E$5000,MATCH($C946,DB_materiali!$A$2:$A$5000,0))&gt;=INDEX(DB_malas!$C$2:$C$5000,MATCH(J946,DB_malas!$A$2:$A$5000,0)),IF(INDEX(DB_materiali!$E$2:$E$5000,MATCH($C946,DB_materiali!$A$2:$A$5000,0))&lt;=INDEX(DB_malas!$D$2:$D$5000,MATCH(J946,DB_malas!$A$2:$A$5000,0)),IF(INDEX(DB_materiali!$B$2:$B$5000,MATCH($C946,DB_materiali!$A$2:$A$5000,0))=INDEX(DB_malas!$B$2:$B$5000,MATCH(J946,DB_malas!$A$2:$A$5000,0)),"✔",tulkojums!$A$38),tulkojums!$A$39),tulkojums!$A$39))</f>
        <v/>
      </c>
      <c r="S946" s="2" t="str">
        <f>IF(ISBLANK(K946),"",IF(INDEX(DB_materiali!$E$2:$E$5000,MATCH($C946,DB_materiali!$A$2:$A$5000,0))&gt;=INDEX(DB_malas!$C$2:$C$5000,MATCH(K946,DB_malas!$A$2:$A$5000,0)),IF(INDEX(DB_materiali!$E$2:$E$5000,MATCH($C946,DB_materiali!$A$2:$A$5000,0))&lt;=INDEX(DB_malas!$D$2:$D$5000,MATCH(K946,DB_malas!$A$2:$A$5000,0)),IF(INDEX(DB_materiali!$B$2:$B$5000,MATCH($C946,DB_materiali!$A$2:$A$5000,0))=INDEX(DB_malas!$B$2:$B$5000,MATCH(K946,DB_malas!$A$2:$A$5000,0)),"✔",tulkojums!$A$38),tulkojums!$A$39),tulkojums!$A$39))</f>
        <v/>
      </c>
      <c r="T946" s="2"/>
      <c r="U946" s="2"/>
      <c r="V946" s="2"/>
      <c r="W946" s="2"/>
      <c r="X946" s="2"/>
      <c r="Y946" s="2"/>
      <c r="Z946" s="2"/>
    </row>
    <row r="947" spans="1:26" ht="15.75" customHeight="1">
      <c r="A947" s="17"/>
      <c r="B947" s="18"/>
      <c r="C947" s="19"/>
      <c r="D947" s="55"/>
      <c r="E947" s="55"/>
      <c r="F947" s="56"/>
      <c r="G947" s="57" t="str">
        <f>IF(ISBLANK(C947),"",
   IFERROR(
      IF(
         INDEX(DB_materiali!C$2:C$5000,
               MATCH(C947, DB_materiali!A$2:A$5000, 0)
         )="FALSE",
         "N",
         "Y"
      ),
   "")
)</f>
        <v/>
      </c>
      <c r="H947" s="20"/>
      <c r="I947" s="20"/>
      <c r="J947" s="20"/>
      <c r="K947" s="20"/>
      <c r="M947" s="2" t="str">
        <f>IF(ISBLANK(C947),"",IF(IFERROR(VLOOKUP(C947,DB_materiali!$A$2:$A$5000,1,FALSE),"Kļūda artikulā")=C947,"✔",tulkojums!A$42))</f>
        <v/>
      </c>
      <c r="N947" s="2" t="str">
        <f>IF(ISBLANK(C947),"",IF(ISNUMBER(F947)=TRUE,"✔",tulkojums!A$43))</f>
        <v/>
      </c>
      <c r="O947" s="2" t="str">
        <f>IF(ISBLANK(C947),"",IF(G947="Y","✔",IF(G947="X","✔",IF(G947="N","✔",tulkojums!A$44))))</f>
        <v/>
      </c>
      <c r="P947" s="2" t="str">
        <f>IF(ISBLANK(H947),"",IF(INDEX(DB_materiali!$E$2:$E$5000,MATCH($C947,DB_materiali!$A$2:$A$5000,0))&gt;=INDEX(DB_malas!$C$2:$C$5000,MATCH(H947,DB_malas!$A$2:$A$5000,0)),IF(INDEX(DB_materiali!$E$2:$E$5000,MATCH($C947,DB_materiali!$A$2:$A$5000,0))&lt;=INDEX(DB_malas!$D$2:$D$5000,MATCH(H947,DB_malas!$A$2:$A$5000,0)),IF(OR(INDEX(DB_materiali!$B$2:$B$5000,MATCH($C947,DB_materiali!$A$2:$A$5000,0))=INDEX(DB_malas!$B$2:$B$5000,MATCH(H947,DB_malas!$A$2:$A$5000,0)),$H947="ORG"),"✔",tulkojums!$A$38),tulkojums!$A$39),tulkojums!$A$39))</f>
        <v/>
      </c>
      <c r="Q947" s="2" t="str">
        <f>IF(ISBLANK(I947),"",IF(INDEX(DB_materiali!$E$2:$E$5000,MATCH($C947,DB_materiali!$A$2:$A$5000,0))&gt;=INDEX(DB_malas!$C$2:$C$5000,MATCH(I947,DB_malas!$A$2:$A$5000,0)),IF(INDEX(DB_materiali!$E$2:$E$5000,MATCH($C947,DB_materiali!$A$2:$A$5000,0))&lt;=INDEX(DB_malas!$D$2:$D$5000,MATCH(I947,DB_malas!$A$2:$A$5000,0)),IF(OR(INDEX(DB_materiali!$B$2:$B$5000,MATCH($C947,DB_materiali!$A$2:$A$5000,0))=INDEX(DB_malas!$B$2:$B$5000,MATCH(I947,DB_malas!$A$2:$A$5000,0)),$H947="ORG"),"✔",tulkojums!$A$38),tulkojums!$A$39),tulkojums!$A$39))</f>
        <v/>
      </c>
      <c r="R947" s="2" t="str">
        <f>IF(ISBLANK(J947),"",IF(INDEX(DB_materiali!$E$2:$E$5000,MATCH($C947,DB_materiali!$A$2:$A$5000,0))&gt;=INDEX(DB_malas!$C$2:$C$5000,MATCH(J947,DB_malas!$A$2:$A$5000,0)),IF(INDEX(DB_materiali!$E$2:$E$5000,MATCH($C947,DB_materiali!$A$2:$A$5000,0))&lt;=INDEX(DB_malas!$D$2:$D$5000,MATCH(J947,DB_malas!$A$2:$A$5000,0)),IF(INDEX(DB_materiali!$B$2:$B$5000,MATCH($C947,DB_materiali!$A$2:$A$5000,0))=INDEX(DB_malas!$B$2:$B$5000,MATCH(J947,DB_malas!$A$2:$A$5000,0)),"✔",tulkojums!$A$38),tulkojums!$A$39),tulkojums!$A$39))</f>
        <v/>
      </c>
      <c r="S947" s="2" t="str">
        <f>IF(ISBLANK(K947),"",IF(INDEX(DB_materiali!$E$2:$E$5000,MATCH($C947,DB_materiali!$A$2:$A$5000,0))&gt;=INDEX(DB_malas!$C$2:$C$5000,MATCH(K947,DB_malas!$A$2:$A$5000,0)),IF(INDEX(DB_materiali!$E$2:$E$5000,MATCH($C947,DB_materiali!$A$2:$A$5000,0))&lt;=INDEX(DB_malas!$D$2:$D$5000,MATCH(K947,DB_malas!$A$2:$A$5000,0)),IF(INDEX(DB_materiali!$B$2:$B$5000,MATCH($C947,DB_materiali!$A$2:$A$5000,0))=INDEX(DB_malas!$B$2:$B$5000,MATCH(K947,DB_malas!$A$2:$A$5000,0)),"✔",tulkojums!$A$38),tulkojums!$A$39),tulkojums!$A$39))</f>
        <v/>
      </c>
      <c r="T947" s="2"/>
      <c r="U947" s="2"/>
      <c r="V947" s="2"/>
      <c r="W947" s="2"/>
      <c r="X947" s="2"/>
      <c r="Y947" s="2"/>
      <c r="Z947" s="2"/>
    </row>
    <row r="948" spans="1:26" ht="15.75" customHeight="1">
      <c r="A948" s="17"/>
      <c r="B948" s="18"/>
      <c r="C948" s="19"/>
      <c r="D948" s="55"/>
      <c r="E948" s="55"/>
      <c r="F948" s="56"/>
      <c r="G948" s="57" t="str">
        <f>IF(ISBLANK(C948),"",
   IFERROR(
      IF(
         INDEX(DB_materiali!C$2:C$5000,
               MATCH(C948, DB_materiali!A$2:A$5000, 0)
         )="FALSE",
         "N",
         "Y"
      ),
   "")
)</f>
        <v/>
      </c>
      <c r="H948" s="20"/>
      <c r="I948" s="20"/>
      <c r="J948" s="20"/>
      <c r="K948" s="20"/>
      <c r="M948" s="2" t="str">
        <f>IF(ISBLANK(C948),"",IF(IFERROR(VLOOKUP(C948,DB_materiali!$A$2:$A$5000,1,FALSE),"Kļūda artikulā")=C948,"✔",tulkojums!A$42))</f>
        <v/>
      </c>
      <c r="N948" s="2" t="str">
        <f>IF(ISBLANK(C948),"",IF(ISNUMBER(F948)=TRUE,"✔",tulkojums!A$43))</f>
        <v/>
      </c>
      <c r="O948" s="2" t="str">
        <f>IF(ISBLANK(C948),"",IF(G948="Y","✔",IF(G948="X","✔",IF(G948="N","✔",tulkojums!A$44))))</f>
        <v/>
      </c>
      <c r="P948" s="2" t="str">
        <f>IF(ISBLANK(H948),"",IF(INDEX(DB_materiali!$E$2:$E$5000,MATCH($C948,DB_materiali!$A$2:$A$5000,0))&gt;=INDEX(DB_malas!$C$2:$C$5000,MATCH(H948,DB_malas!$A$2:$A$5000,0)),IF(INDEX(DB_materiali!$E$2:$E$5000,MATCH($C948,DB_materiali!$A$2:$A$5000,0))&lt;=INDEX(DB_malas!$D$2:$D$5000,MATCH(H948,DB_malas!$A$2:$A$5000,0)),IF(OR(INDEX(DB_materiali!$B$2:$B$5000,MATCH($C948,DB_materiali!$A$2:$A$5000,0))=INDEX(DB_malas!$B$2:$B$5000,MATCH(H948,DB_malas!$A$2:$A$5000,0)),$H948="ORG"),"✔",tulkojums!$A$38),tulkojums!$A$39),tulkojums!$A$39))</f>
        <v/>
      </c>
      <c r="Q948" s="2" t="str">
        <f>IF(ISBLANK(I948),"",IF(INDEX(DB_materiali!$E$2:$E$5000,MATCH($C948,DB_materiali!$A$2:$A$5000,0))&gt;=INDEX(DB_malas!$C$2:$C$5000,MATCH(I948,DB_malas!$A$2:$A$5000,0)),IF(INDEX(DB_materiali!$E$2:$E$5000,MATCH($C948,DB_materiali!$A$2:$A$5000,0))&lt;=INDEX(DB_malas!$D$2:$D$5000,MATCH(I948,DB_malas!$A$2:$A$5000,0)),IF(OR(INDEX(DB_materiali!$B$2:$B$5000,MATCH($C948,DB_materiali!$A$2:$A$5000,0))=INDEX(DB_malas!$B$2:$B$5000,MATCH(I948,DB_malas!$A$2:$A$5000,0)),$H948="ORG"),"✔",tulkojums!$A$38),tulkojums!$A$39),tulkojums!$A$39))</f>
        <v/>
      </c>
      <c r="R948" s="2" t="str">
        <f>IF(ISBLANK(J948),"",IF(INDEX(DB_materiali!$E$2:$E$5000,MATCH($C948,DB_materiali!$A$2:$A$5000,0))&gt;=INDEX(DB_malas!$C$2:$C$5000,MATCH(J948,DB_malas!$A$2:$A$5000,0)),IF(INDEX(DB_materiali!$E$2:$E$5000,MATCH($C948,DB_materiali!$A$2:$A$5000,0))&lt;=INDEX(DB_malas!$D$2:$D$5000,MATCH(J948,DB_malas!$A$2:$A$5000,0)),IF(INDEX(DB_materiali!$B$2:$B$5000,MATCH($C948,DB_materiali!$A$2:$A$5000,0))=INDEX(DB_malas!$B$2:$B$5000,MATCH(J948,DB_malas!$A$2:$A$5000,0)),"✔",tulkojums!$A$38),tulkojums!$A$39),tulkojums!$A$39))</f>
        <v/>
      </c>
      <c r="S948" s="2" t="str">
        <f>IF(ISBLANK(K948),"",IF(INDEX(DB_materiali!$E$2:$E$5000,MATCH($C948,DB_materiali!$A$2:$A$5000,0))&gt;=INDEX(DB_malas!$C$2:$C$5000,MATCH(K948,DB_malas!$A$2:$A$5000,0)),IF(INDEX(DB_materiali!$E$2:$E$5000,MATCH($C948,DB_materiali!$A$2:$A$5000,0))&lt;=INDEX(DB_malas!$D$2:$D$5000,MATCH(K948,DB_malas!$A$2:$A$5000,0)),IF(INDEX(DB_materiali!$B$2:$B$5000,MATCH($C948,DB_materiali!$A$2:$A$5000,0))=INDEX(DB_malas!$B$2:$B$5000,MATCH(K948,DB_malas!$A$2:$A$5000,0)),"✔",tulkojums!$A$38),tulkojums!$A$39),tulkojums!$A$39))</f>
        <v/>
      </c>
      <c r="T948" s="2"/>
      <c r="U948" s="2"/>
      <c r="V948" s="2"/>
      <c r="W948" s="2"/>
      <c r="X948" s="2"/>
      <c r="Y948" s="2"/>
      <c r="Z948" s="2"/>
    </row>
    <row r="949" spans="1:26" ht="15.75" customHeight="1">
      <c r="A949" s="17"/>
      <c r="B949" s="18"/>
      <c r="C949" s="19"/>
      <c r="D949" s="55"/>
      <c r="E949" s="55"/>
      <c r="F949" s="56"/>
      <c r="G949" s="57" t="str">
        <f>IF(ISBLANK(C949),"",
   IFERROR(
      IF(
         INDEX(DB_materiali!C$2:C$5000,
               MATCH(C949, DB_materiali!A$2:A$5000, 0)
         )="FALSE",
         "N",
         "Y"
      ),
   "")
)</f>
        <v/>
      </c>
      <c r="H949" s="20"/>
      <c r="I949" s="20"/>
      <c r="J949" s="20"/>
      <c r="K949" s="20"/>
      <c r="M949" s="2" t="str">
        <f>IF(ISBLANK(C949),"",IF(IFERROR(VLOOKUP(C949,DB_materiali!$A$2:$A$5000,1,FALSE),"Kļūda artikulā")=C949,"✔",tulkojums!A$42))</f>
        <v/>
      </c>
      <c r="N949" s="2" t="str">
        <f>IF(ISBLANK(C949),"",IF(ISNUMBER(F949)=TRUE,"✔",tulkojums!A$43))</f>
        <v/>
      </c>
      <c r="O949" s="2" t="str">
        <f>IF(ISBLANK(C949),"",IF(G949="Y","✔",IF(G949="X","✔",IF(G949="N","✔",tulkojums!A$44))))</f>
        <v/>
      </c>
      <c r="P949" s="2" t="str">
        <f>IF(ISBLANK(H949),"",IF(INDEX(DB_materiali!$E$2:$E$5000,MATCH($C949,DB_materiali!$A$2:$A$5000,0))&gt;=INDEX(DB_malas!$C$2:$C$5000,MATCH(H949,DB_malas!$A$2:$A$5000,0)),IF(INDEX(DB_materiali!$E$2:$E$5000,MATCH($C949,DB_materiali!$A$2:$A$5000,0))&lt;=INDEX(DB_malas!$D$2:$D$5000,MATCH(H949,DB_malas!$A$2:$A$5000,0)),IF(OR(INDEX(DB_materiali!$B$2:$B$5000,MATCH($C949,DB_materiali!$A$2:$A$5000,0))=INDEX(DB_malas!$B$2:$B$5000,MATCH(H949,DB_malas!$A$2:$A$5000,0)),$H949="ORG"),"✔",tulkojums!$A$38),tulkojums!$A$39),tulkojums!$A$39))</f>
        <v/>
      </c>
      <c r="Q949" s="2" t="str">
        <f>IF(ISBLANK(I949),"",IF(INDEX(DB_materiali!$E$2:$E$5000,MATCH($C949,DB_materiali!$A$2:$A$5000,0))&gt;=INDEX(DB_malas!$C$2:$C$5000,MATCH(I949,DB_malas!$A$2:$A$5000,0)),IF(INDEX(DB_materiali!$E$2:$E$5000,MATCH($C949,DB_materiali!$A$2:$A$5000,0))&lt;=INDEX(DB_malas!$D$2:$D$5000,MATCH(I949,DB_malas!$A$2:$A$5000,0)),IF(OR(INDEX(DB_materiali!$B$2:$B$5000,MATCH($C949,DB_materiali!$A$2:$A$5000,0))=INDEX(DB_malas!$B$2:$B$5000,MATCH(I949,DB_malas!$A$2:$A$5000,0)),$H949="ORG"),"✔",tulkojums!$A$38),tulkojums!$A$39),tulkojums!$A$39))</f>
        <v/>
      </c>
      <c r="R949" s="2" t="str">
        <f>IF(ISBLANK(J949),"",IF(INDEX(DB_materiali!$E$2:$E$5000,MATCH($C949,DB_materiali!$A$2:$A$5000,0))&gt;=INDEX(DB_malas!$C$2:$C$5000,MATCH(J949,DB_malas!$A$2:$A$5000,0)),IF(INDEX(DB_materiali!$E$2:$E$5000,MATCH($C949,DB_materiali!$A$2:$A$5000,0))&lt;=INDEX(DB_malas!$D$2:$D$5000,MATCH(J949,DB_malas!$A$2:$A$5000,0)),IF(INDEX(DB_materiali!$B$2:$B$5000,MATCH($C949,DB_materiali!$A$2:$A$5000,0))=INDEX(DB_malas!$B$2:$B$5000,MATCH(J949,DB_malas!$A$2:$A$5000,0)),"✔",tulkojums!$A$38),tulkojums!$A$39),tulkojums!$A$39))</f>
        <v/>
      </c>
      <c r="S949" s="2" t="str">
        <f>IF(ISBLANK(K949),"",IF(INDEX(DB_materiali!$E$2:$E$5000,MATCH($C949,DB_materiali!$A$2:$A$5000,0))&gt;=INDEX(DB_malas!$C$2:$C$5000,MATCH(K949,DB_malas!$A$2:$A$5000,0)),IF(INDEX(DB_materiali!$E$2:$E$5000,MATCH($C949,DB_materiali!$A$2:$A$5000,0))&lt;=INDEX(DB_malas!$D$2:$D$5000,MATCH(K949,DB_malas!$A$2:$A$5000,0)),IF(INDEX(DB_materiali!$B$2:$B$5000,MATCH($C949,DB_materiali!$A$2:$A$5000,0))=INDEX(DB_malas!$B$2:$B$5000,MATCH(K949,DB_malas!$A$2:$A$5000,0)),"✔",tulkojums!$A$38),tulkojums!$A$39),tulkojums!$A$39))</f>
        <v/>
      </c>
      <c r="T949" s="2"/>
      <c r="U949" s="2"/>
      <c r="V949" s="2"/>
      <c r="W949" s="2"/>
      <c r="X949" s="2"/>
      <c r="Y949" s="2"/>
      <c r="Z949" s="2"/>
    </row>
    <row r="950" spans="1:26" ht="15.75" customHeight="1">
      <c r="A950" s="17"/>
      <c r="B950" s="18"/>
      <c r="C950" s="19"/>
      <c r="D950" s="55"/>
      <c r="E950" s="55"/>
      <c r="F950" s="56"/>
      <c r="G950" s="57" t="str">
        <f>IF(ISBLANK(C950),"",
   IFERROR(
      IF(
         INDEX(DB_materiali!C$2:C$5000,
               MATCH(C950, DB_materiali!A$2:A$5000, 0)
         )="FALSE",
         "N",
         "Y"
      ),
   "")
)</f>
        <v/>
      </c>
      <c r="H950" s="20"/>
      <c r="I950" s="20"/>
      <c r="J950" s="20"/>
      <c r="K950" s="20"/>
      <c r="M950" s="2" t="str">
        <f>IF(ISBLANK(C950),"",IF(IFERROR(VLOOKUP(C950,DB_materiali!$A$2:$A$5000,1,FALSE),"Kļūda artikulā")=C950,"✔",tulkojums!A$42))</f>
        <v/>
      </c>
      <c r="N950" s="2" t="str">
        <f>IF(ISBLANK(C950),"",IF(ISNUMBER(F950)=TRUE,"✔",tulkojums!A$43))</f>
        <v/>
      </c>
      <c r="O950" s="2" t="str">
        <f>IF(ISBLANK(C950),"",IF(G950="Y","✔",IF(G950="X","✔",IF(G950="N","✔",tulkojums!A$44))))</f>
        <v/>
      </c>
      <c r="P950" s="2" t="str">
        <f>IF(ISBLANK(H950),"",IF(INDEX(DB_materiali!$E$2:$E$5000,MATCH($C950,DB_materiali!$A$2:$A$5000,0))&gt;=INDEX(DB_malas!$C$2:$C$5000,MATCH(H950,DB_malas!$A$2:$A$5000,0)),IF(INDEX(DB_materiali!$E$2:$E$5000,MATCH($C950,DB_materiali!$A$2:$A$5000,0))&lt;=INDEX(DB_malas!$D$2:$D$5000,MATCH(H950,DB_malas!$A$2:$A$5000,0)),IF(OR(INDEX(DB_materiali!$B$2:$B$5000,MATCH($C950,DB_materiali!$A$2:$A$5000,0))=INDEX(DB_malas!$B$2:$B$5000,MATCH(H950,DB_malas!$A$2:$A$5000,0)),$H950="ORG"),"✔",tulkojums!$A$38),tulkojums!$A$39),tulkojums!$A$39))</f>
        <v/>
      </c>
      <c r="Q950" s="2" t="str">
        <f>IF(ISBLANK(I950),"",IF(INDEX(DB_materiali!$E$2:$E$5000,MATCH($C950,DB_materiali!$A$2:$A$5000,0))&gt;=INDEX(DB_malas!$C$2:$C$5000,MATCH(I950,DB_malas!$A$2:$A$5000,0)),IF(INDEX(DB_materiali!$E$2:$E$5000,MATCH($C950,DB_materiali!$A$2:$A$5000,0))&lt;=INDEX(DB_malas!$D$2:$D$5000,MATCH(I950,DB_malas!$A$2:$A$5000,0)),IF(OR(INDEX(DB_materiali!$B$2:$B$5000,MATCH($C950,DB_materiali!$A$2:$A$5000,0))=INDEX(DB_malas!$B$2:$B$5000,MATCH(I950,DB_malas!$A$2:$A$5000,0)),$H950="ORG"),"✔",tulkojums!$A$38),tulkojums!$A$39),tulkojums!$A$39))</f>
        <v/>
      </c>
      <c r="R950" s="2" t="str">
        <f>IF(ISBLANK(J950),"",IF(INDEX(DB_materiali!$E$2:$E$5000,MATCH($C950,DB_materiali!$A$2:$A$5000,0))&gt;=INDEX(DB_malas!$C$2:$C$5000,MATCH(J950,DB_malas!$A$2:$A$5000,0)),IF(INDEX(DB_materiali!$E$2:$E$5000,MATCH($C950,DB_materiali!$A$2:$A$5000,0))&lt;=INDEX(DB_malas!$D$2:$D$5000,MATCH(J950,DB_malas!$A$2:$A$5000,0)),IF(INDEX(DB_materiali!$B$2:$B$5000,MATCH($C950,DB_materiali!$A$2:$A$5000,0))=INDEX(DB_malas!$B$2:$B$5000,MATCH(J950,DB_malas!$A$2:$A$5000,0)),"✔",tulkojums!$A$38),tulkojums!$A$39),tulkojums!$A$39))</f>
        <v/>
      </c>
      <c r="S950" s="2" t="str">
        <f>IF(ISBLANK(K950),"",IF(INDEX(DB_materiali!$E$2:$E$5000,MATCH($C950,DB_materiali!$A$2:$A$5000,0))&gt;=INDEX(DB_malas!$C$2:$C$5000,MATCH(K950,DB_malas!$A$2:$A$5000,0)),IF(INDEX(DB_materiali!$E$2:$E$5000,MATCH($C950,DB_materiali!$A$2:$A$5000,0))&lt;=INDEX(DB_malas!$D$2:$D$5000,MATCH(K950,DB_malas!$A$2:$A$5000,0)),IF(INDEX(DB_materiali!$B$2:$B$5000,MATCH($C950,DB_materiali!$A$2:$A$5000,0))=INDEX(DB_malas!$B$2:$B$5000,MATCH(K950,DB_malas!$A$2:$A$5000,0)),"✔",tulkojums!$A$38),tulkojums!$A$39),tulkojums!$A$39))</f>
        <v/>
      </c>
      <c r="T950" s="2"/>
      <c r="U950" s="2"/>
      <c r="V950" s="2"/>
      <c r="W950" s="2"/>
      <c r="X950" s="2"/>
      <c r="Y950" s="2"/>
      <c r="Z950" s="2"/>
    </row>
    <row r="951" spans="1:26" ht="15.75" customHeight="1">
      <c r="A951" s="17"/>
      <c r="B951" s="18"/>
      <c r="C951" s="19"/>
      <c r="D951" s="55"/>
      <c r="E951" s="55"/>
      <c r="F951" s="56"/>
      <c r="G951" s="57" t="str">
        <f>IF(ISBLANK(C951),"",
   IFERROR(
      IF(
         INDEX(DB_materiali!C$2:C$5000,
               MATCH(C951, DB_materiali!A$2:A$5000, 0)
         )="FALSE",
         "N",
         "Y"
      ),
   "")
)</f>
        <v/>
      </c>
      <c r="H951" s="20"/>
      <c r="I951" s="20"/>
      <c r="J951" s="20"/>
      <c r="K951" s="20"/>
      <c r="M951" s="2" t="str">
        <f>IF(ISBLANK(C951),"",IF(IFERROR(VLOOKUP(C951,DB_materiali!$A$2:$A$5000,1,FALSE),"Kļūda artikulā")=C951,"✔",tulkojums!A$42))</f>
        <v/>
      </c>
      <c r="N951" s="2" t="str">
        <f>IF(ISBLANK(C951),"",IF(ISNUMBER(F951)=TRUE,"✔",tulkojums!A$43))</f>
        <v/>
      </c>
      <c r="O951" s="2" t="str">
        <f>IF(ISBLANK(C951),"",IF(G951="Y","✔",IF(G951="X","✔",IF(G951="N","✔",tulkojums!A$44))))</f>
        <v/>
      </c>
      <c r="P951" s="2" t="str">
        <f>IF(ISBLANK(H951),"",IF(INDEX(DB_materiali!$E$2:$E$5000,MATCH($C951,DB_materiali!$A$2:$A$5000,0))&gt;=INDEX(DB_malas!$C$2:$C$5000,MATCH(H951,DB_malas!$A$2:$A$5000,0)),IF(INDEX(DB_materiali!$E$2:$E$5000,MATCH($C951,DB_materiali!$A$2:$A$5000,0))&lt;=INDEX(DB_malas!$D$2:$D$5000,MATCH(H951,DB_malas!$A$2:$A$5000,0)),IF(OR(INDEX(DB_materiali!$B$2:$B$5000,MATCH($C951,DB_materiali!$A$2:$A$5000,0))=INDEX(DB_malas!$B$2:$B$5000,MATCH(H951,DB_malas!$A$2:$A$5000,0)),$H951="ORG"),"✔",tulkojums!$A$38),tulkojums!$A$39),tulkojums!$A$39))</f>
        <v/>
      </c>
      <c r="Q951" s="2" t="str">
        <f>IF(ISBLANK(I951),"",IF(INDEX(DB_materiali!$E$2:$E$5000,MATCH($C951,DB_materiali!$A$2:$A$5000,0))&gt;=INDEX(DB_malas!$C$2:$C$5000,MATCH(I951,DB_malas!$A$2:$A$5000,0)),IF(INDEX(DB_materiali!$E$2:$E$5000,MATCH($C951,DB_materiali!$A$2:$A$5000,0))&lt;=INDEX(DB_malas!$D$2:$D$5000,MATCH(I951,DB_malas!$A$2:$A$5000,0)),IF(OR(INDEX(DB_materiali!$B$2:$B$5000,MATCH($C951,DB_materiali!$A$2:$A$5000,0))=INDEX(DB_malas!$B$2:$B$5000,MATCH(I951,DB_malas!$A$2:$A$5000,0)),$H951="ORG"),"✔",tulkojums!$A$38),tulkojums!$A$39),tulkojums!$A$39))</f>
        <v/>
      </c>
      <c r="R951" s="2" t="str">
        <f>IF(ISBLANK(J951),"",IF(INDEX(DB_materiali!$E$2:$E$5000,MATCH($C951,DB_materiali!$A$2:$A$5000,0))&gt;=INDEX(DB_malas!$C$2:$C$5000,MATCH(J951,DB_malas!$A$2:$A$5000,0)),IF(INDEX(DB_materiali!$E$2:$E$5000,MATCH($C951,DB_materiali!$A$2:$A$5000,0))&lt;=INDEX(DB_malas!$D$2:$D$5000,MATCH(J951,DB_malas!$A$2:$A$5000,0)),IF(INDEX(DB_materiali!$B$2:$B$5000,MATCH($C951,DB_materiali!$A$2:$A$5000,0))=INDEX(DB_malas!$B$2:$B$5000,MATCH(J951,DB_malas!$A$2:$A$5000,0)),"✔",tulkojums!$A$38),tulkojums!$A$39),tulkojums!$A$39))</f>
        <v/>
      </c>
      <c r="S951" s="2" t="str">
        <f>IF(ISBLANK(K951),"",IF(INDEX(DB_materiali!$E$2:$E$5000,MATCH($C951,DB_materiali!$A$2:$A$5000,0))&gt;=INDEX(DB_malas!$C$2:$C$5000,MATCH(K951,DB_malas!$A$2:$A$5000,0)),IF(INDEX(DB_materiali!$E$2:$E$5000,MATCH($C951,DB_materiali!$A$2:$A$5000,0))&lt;=INDEX(DB_malas!$D$2:$D$5000,MATCH(K951,DB_malas!$A$2:$A$5000,0)),IF(INDEX(DB_materiali!$B$2:$B$5000,MATCH($C951,DB_materiali!$A$2:$A$5000,0))=INDEX(DB_malas!$B$2:$B$5000,MATCH(K951,DB_malas!$A$2:$A$5000,0)),"✔",tulkojums!$A$38),tulkojums!$A$39),tulkojums!$A$39))</f>
        <v/>
      </c>
      <c r="T951" s="2"/>
      <c r="U951" s="2"/>
      <c r="V951" s="2"/>
      <c r="W951" s="2"/>
      <c r="X951" s="2"/>
      <c r="Y951" s="2"/>
      <c r="Z951" s="2"/>
    </row>
    <row r="952" spans="1:26" ht="15.75" customHeight="1">
      <c r="A952" s="17"/>
      <c r="B952" s="18"/>
      <c r="C952" s="19"/>
      <c r="D952" s="55"/>
      <c r="E952" s="55"/>
      <c r="F952" s="56"/>
      <c r="G952" s="57" t="str">
        <f>IF(ISBLANK(C952),"",
   IFERROR(
      IF(
         INDEX(DB_materiali!C$2:C$5000,
               MATCH(C952, DB_materiali!A$2:A$5000, 0)
         )="FALSE",
         "N",
         "Y"
      ),
   "")
)</f>
        <v/>
      </c>
      <c r="H952" s="20"/>
      <c r="I952" s="20"/>
      <c r="J952" s="20"/>
      <c r="K952" s="20"/>
      <c r="M952" s="2" t="str">
        <f>IF(ISBLANK(C952),"",IF(IFERROR(VLOOKUP(C952,DB_materiali!$A$2:$A$5000,1,FALSE),"Kļūda artikulā")=C952,"✔",tulkojums!A$42))</f>
        <v/>
      </c>
      <c r="N952" s="2" t="str">
        <f>IF(ISBLANK(C952),"",IF(ISNUMBER(F952)=TRUE,"✔",tulkojums!A$43))</f>
        <v/>
      </c>
      <c r="O952" s="2" t="str">
        <f>IF(ISBLANK(C952),"",IF(G952="Y","✔",IF(G952="X","✔",IF(G952="N","✔",tulkojums!A$44))))</f>
        <v/>
      </c>
      <c r="P952" s="2" t="str">
        <f>IF(ISBLANK(H952),"",IF(INDEX(DB_materiali!$E$2:$E$5000,MATCH($C952,DB_materiali!$A$2:$A$5000,0))&gt;=INDEX(DB_malas!$C$2:$C$5000,MATCH(H952,DB_malas!$A$2:$A$5000,0)),IF(INDEX(DB_materiali!$E$2:$E$5000,MATCH($C952,DB_materiali!$A$2:$A$5000,0))&lt;=INDEX(DB_malas!$D$2:$D$5000,MATCH(H952,DB_malas!$A$2:$A$5000,0)),IF(OR(INDEX(DB_materiali!$B$2:$B$5000,MATCH($C952,DB_materiali!$A$2:$A$5000,0))=INDEX(DB_malas!$B$2:$B$5000,MATCH(H952,DB_malas!$A$2:$A$5000,0)),$H952="ORG"),"✔",tulkojums!$A$38),tulkojums!$A$39),tulkojums!$A$39))</f>
        <v/>
      </c>
      <c r="Q952" s="2" t="str">
        <f>IF(ISBLANK(I952),"",IF(INDEX(DB_materiali!$E$2:$E$5000,MATCH($C952,DB_materiali!$A$2:$A$5000,0))&gt;=INDEX(DB_malas!$C$2:$C$5000,MATCH(I952,DB_malas!$A$2:$A$5000,0)),IF(INDEX(DB_materiali!$E$2:$E$5000,MATCH($C952,DB_materiali!$A$2:$A$5000,0))&lt;=INDEX(DB_malas!$D$2:$D$5000,MATCH(I952,DB_malas!$A$2:$A$5000,0)),IF(OR(INDEX(DB_materiali!$B$2:$B$5000,MATCH($C952,DB_materiali!$A$2:$A$5000,0))=INDEX(DB_malas!$B$2:$B$5000,MATCH(I952,DB_malas!$A$2:$A$5000,0)),$H952="ORG"),"✔",tulkojums!$A$38),tulkojums!$A$39),tulkojums!$A$39))</f>
        <v/>
      </c>
      <c r="R952" s="2" t="str">
        <f>IF(ISBLANK(J952),"",IF(INDEX(DB_materiali!$E$2:$E$5000,MATCH($C952,DB_materiali!$A$2:$A$5000,0))&gt;=INDEX(DB_malas!$C$2:$C$5000,MATCH(J952,DB_malas!$A$2:$A$5000,0)),IF(INDEX(DB_materiali!$E$2:$E$5000,MATCH($C952,DB_materiali!$A$2:$A$5000,0))&lt;=INDEX(DB_malas!$D$2:$D$5000,MATCH(J952,DB_malas!$A$2:$A$5000,0)),IF(INDEX(DB_materiali!$B$2:$B$5000,MATCH($C952,DB_materiali!$A$2:$A$5000,0))=INDEX(DB_malas!$B$2:$B$5000,MATCH(J952,DB_malas!$A$2:$A$5000,0)),"✔",tulkojums!$A$38),tulkojums!$A$39),tulkojums!$A$39))</f>
        <v/>
      </c>
      <c r="S952" s="2" t="str">
        <f>IF(ISBLANK(K952),"",IF(INDEX(DB_materiali!$E$2:$E$5000,MATCH($C952,DB_materiali!$A$2:$A$5000,0))&gt;=INDEX(DB_malas!$C$2:$C$5000,MATCH(K952,DB_malas!$A$2:$A$5000,0)),IF(INDEX(DB_materiali!$E$2:$E$5000,MATCH($C952,DB_materiali!$A$2:$A$5000,0))&lt;=INDEX(DB_malas!$D$2:$D$5000,MATCH(K952,DB_malas!$A$2:$A$5000,0)),IF(INDEX(DB_materiali!$B$2:$B$5000,MATCH($C952,DB_materiali!$A$2:$A$5000,0))=INDEX(DB_malas!$B$2:$B$5000,MATCH(K952,DB_malas!$A$2:$A$5000,0)),"✔",tulkojums!$A$38),tulkojums!$A$39),tulkojums!$A$39))</f>
        <v/>
      </c>
      <c r="T952" s="2"/>
      <c r="U952" s="2"/>
      <c r="V952" s="2"/>
      <c r="W952" s="2"/>
      <c r="X952" s="2"/>
      <c r="Y952" s="2"/>
      <c r="Z952" s="2"/>
    </row>
    <row r="953" spans="1:26" ht="15.75" customHeight="1">
      <c r="A953" s="17"/>
      <c r="B953" s="18"/>
      <c r="C953" s="19"/>
      <c r="D953" s="55"/>
      <c r="E953" s="55"/>
      <c r="F953" s="56"/>
      <c r="G953" s="57" t="str">
        <f>IF(ISBLANK(C953),"",
   IFERROR(
      IF(
         INDEX(DB_materiali!C$2:C$5000,
               MATCH(C953, DB_materiali!A$2:A$5000, 0)
         )="FALSE",
         "N",
         "Y"
      ),
   "")
)</f>
        <v/>
      </c>
      <c r="H953" s="20"/>
      <c r="I953" s="20"/>
      <c r="J953" s="20"/>
      <c r="K953" s="20"/>
      <c r="M953" s="2" t="str">
        <f>IF(ISBLANK(C953),"",IF(IFERROR(VLOOKUP(C953,DB_materiali!$A$2:$A$5000,1,FALSE),"Kļūda artikulā")=C953,"✔",tulkojums!A$42))</f>
        <v/>
      </c>
      <c r="N953" s="2" t="str">
        <f>IF(ISBLANK(C953),"",IF(ISNUMBER(F953)=TRUE,"✔",tulkojums!A$43))</f>
        <v/>
      </c>
      <c r="O953" s="2" t="str">
        <f>IF(ISBLANK(C953),"",IF(G953="Y","✔",IF(G953="X","✔",IF(G953="N","✔",tulkojums!A$44))))</f>
        <v/>
      </c>
      <c r="P953" s="2" t="str">
        <f>IF(ISBLANK(H953),"",IF(INDEX(DB_materiali!$E$2:$E$5000,MATCH($C953,DB_materiali!$A$2:$A$5000,0))&gt;=INDEX(DB_malas!$C$2:$C$5000,MATCH(H953,DB_malas!$A$2:$A$5000,0)),IF(INDEX(DB_materiali!$E$2:$E$5000,MATCH($C953,DB_materiali!$A$2:$A$5000,0))&lt;=INDEX(DB_malas!$D$2:$D$5000,MATCH(H953,DB_malas!$A$2:$A$5000,0)),IF(OR(INDEX(DB_materiali!$B$2:$B$5000,MATCH($C953,DB_materiali!$A$2:$A$5000,0))=INDEX(DB_malas!$B$2:$B$5000,MATCH(H953,DB_malas!$A$2:$A$5000,0)),$H953="ORG"),"✔",tulkojums!$A$38),tulkojums!$A$39),tulkojums!$A$39))</f>
        <v/>
      </c>
      <c r="Q953" s="2" t="str">
        <f>IF(ISBLANK(I953),"",IF(INDEX(DB_materiali!$E$2:$E$5000,MATCH($C953,DB_materiali!$A$2:$A$5000,0))&gt;=INDEX(DB_malas!$C$2:$C$5000,MATCH(I953,DB_malas!$A$2:$A$5000,0)),IF(INDEX(DB_materiali!$E$2:$E$5000,MATCH($C953,DB_materiali!$A$2:$A$5000,0))&lt;=INDEX(DB_malas!$D$2:$D$5000,MATCH(I953,DB_malas!$A$2:$A$5000,0)),IF(OR(INDEX(DB_materiali!$B$2:$B$5000,MATCH($C953,DB_materiali!$A$2:$A$5000,0))=INDEX(DB_malas!$B$2:$B$5000,MATCH(I953,DB_malas!$A$2:$A$5000,0)),$H953="ORG"),"✔",tulkojums!$A$38),tulkojums!$A$39),tulkojums!$A$39))</f>
        <v/>
      </c>
      <c r="R953" s="2" t="str">
        <f>IF(ISBLANK(J953),"",IF(INDEX(DB_materiali!$E$2:$E$5000,MATCH($C953,DB_materiali!$A$2:$A$5000,0))&gt;=INDEX(DB_malas!$C$2:$C$5000,MATCH(J953,DB_malas!$A$2:$A$5000,0)),IF(INDEX(DB_materiali!$E$2:$E$5000,MATCH($C953,DB_materiali!$A$2:$A$5000,0))&lt;=INDEX(DB_malas!$D$2:$D$5000,MATCH(J953,DB_malas!$A$2:$A$5000,0)),IF(INDEX(DB_materiali!$B$2:$B$5000,MATCH($C953,DB_materiali!$A$2:$A$5000,0))=INDEX(DB_malas!$B$2:$B$5000,MATCH(J953,DB_malas!$A$2:$A$5000,0)),"✔",tulkojums!$A$38),tulkojums!$A$39),tulkojums!$A$39))</f>
        <v/>
      </c>
      <c r="S953" s="2" t="str">
        <f>IF(ISBLANK(K953),"",IF(INDEX(DB_materiali!$E$2:$E$5000,MATCH($C953,DB_materiali!$A$2:$A$5000,0))&gt;=INDEX(DB_malas!$C$2:$C$5000,MATCH(K953,DB_malas!$A$2:$A$5000,0)),IF(INDEX(DB_materiali!$E$2:$E$5000,MATCH($C953,DB_materiali!$A$2:$A$5000,0))&lt;=INDEX(DB_malas!$D$2:$D$5000,MATCH(K953,DB_malas!$A$2:$A$5000,0)),IF(INDEX(DB_materiali!$B$2:$B$5000,MATCH($C953,DB_materiali!$A$2:$A$5000,0))=INDEX(DB_malas!$B$2:$B$5000,MATCH(K953,DB_malas!$A$2:$A$5000,0)),"✔",tulkojums!$A$38),tulkojums!$A$39),tulkojums!$A$39))</f>
        <v/>
      </c>
      <c r="T953" s="2"/>
      <c r="U953" s="2"/>
      <c r="V953" s="2"/>
      <c r="W953" s="2"/>
      <c r="X953" s="2"/>
      <c r="Y953" s="2"/>
      <c r="Z953" s="2"/>
    </row>
    <row r="954" spans="1:26" ht="15.75" customHeight="1">
      <c r="A954" s="17"/>
      <c r="B954" s="18"/>
      <c r="C954" s="19"/>
      <c r="D954" s="55"/>
      <c r="E954" s="55"/>
      <c r="F954" s="56"/>
      <c r="G954" s="57" t="str">
        <f>IF(ISBLANK(C954),"",
   IFERROR(
      IF(
         INDEX(DB_materiali!C$2:C$5000,
               MATCH(C954, DB_materiali!A$2:A$5000, 0)
         )="FALSE",
         "N",
         "Y"
      ),
   "")
)</f>
        <v/>
      </c>
      <c r="H954" s="20"/>
      <c r="I954" s="20"/>
      <c r="J954" s="20"/>
      <c r="K954" s="20"/>
      <c r="M954" s="2" t="str">
        <f>IF(ISBLANK(C954),"",IF(IFERROR(VLOOKUP(C954,DB_materiali!$A$2:$A$5000,1,FALSE),"Kļūda artikulā")=C954,"✔",tulkojums!A$42))</f>
        <v/>
      </c>
      <c r="N954" s="2" t="str">
        <f>IF(ISBLANK(C954),"",IF(ISNUMBER(F954)=TRUE,"✔",tulkojums!A$43))</f>
        <v/>
      </c>
      <c r="O954" s="2" t="str">
        <f>IF(ISBLANK(C954),"",IF(G954="Y","✔",IF(G954="X","✔",IF(G954="N","✔",tulkojums!A$44))))</f>
        <v/>
      </c>
      <c r="P954" s="2" t="str">
        <f>IF(ISBLANK(H954),"",IF(INDEX(DB_materiali!$E$2:$E$5000,MATCH($C954,DB_materiali!$A$2:$A$5000,0))&gt;=INDEX(DB_malas!$C$2:$C$5000,MATCH(H954,DB_malas!$A$2:$A$5000,0)),IF(INDEX(DB_materiali!$E$2:$E$5000,MATCH($C954,DB_materiali!$A$2:$A$5000,0))&lt;=INDEX(DB_malas!$D$2:$D$5000,MATCH(H954,DB_malas!$A$2:$A$5000,0)),IF(OR(INDEX(DB_materiali!$B$2:$B$5000,MATCH($C954,DB_materiali!$A$2:$A$5000,0))=INDEX(DB_malas!$B$2:$B$5000,MATCH(H954,DB_malas!$A$2:$A$5000,0)),$H954="ORG"),"✔",tulkojums!$A$38),tulkojums!$A$39),tulkojums!$A$39))</f>
        <v/>
      </c>
      <c r="Q954" s="2" t="str">
        <f>IF(ISBLANK(I954),"",IF(INDEX(DB_materiali!$E$2:$E$5000,MATCH($C954,DB_materiali!$A$2:$A$5000,0))&gt;=INDEX(DB_malas!$C$2:$C$5000,MATCH(I954,DB_malas!$A$2:$A$5000,0)),IF(INDEX(DB_materiali!$E$2:$E$5000,MATCH($C954,DB_materiali!$A$2:$A$5000,0))&lt;=INDEX(DB_malas!$D$2:$D$5000,MATCH(I954,DB_malas!$A$2:$A$5000,0)),IF(OR(INDEX(DB_materiali!$B$2:$B$5000,MATCH($C954,DB_materiali!$A$2:$A$5000,0))=INDEX(DB_malas!$B$2:$B$5000,MATCH(I954,DB_malas!$A$2:$A$5000,0)),$H954="ORG"),"✔",tulkojums!$A$38),tulkojums!$A$39),tulkojums!$A$39))</f>
        <v/>
      </c>
      <c r="R954" s="2" t="str">
        <f>IF(ISBLANK(J954),"",IF(INDEX(DB_materiali!$E$2:$E$5000,MATCH($C954,DB_materiali!$A$2:$A$5000,0))&gt;=INDEX(DB_malas!$C$2:$C$5000,MATCH(J954,DB_malas!$A$2:$A$5000,0)),IF(INDEX(DB_materiali!$E$2:$E$5000,MATCH($C954,DB_materiali!$A$2:$A$5000,0))&lt;=INDEX(DB_malas!$D$2:$D$5000,MATCH(J954,DB_malas!$A$2:$A$5000,0)),IF(INDEX(DB_materiali!$B$2:$B$5000,MATCH($C954,DB_materiali!$A$2:$A$5000,0))=INDEX(DB_malas!$B$2:$B$5000,MATCH(J954,DB_malas!$A$2:$A$5000,0)),"✔",tulkojums!$A$38),tulkojums!$A$39),tulkojums!$A$39))</f>
        <v/>
      </c>
      <c r="S954" s="2" t="str">
        <f>IF(ISBLANK(K954),"",IF(INDEX(DB_materiali!$E$2:$E$5000,MATCH($C954,DB_materiali!$A$2:$A$5000,0))&gt;=INDEX(DB_malas!$C$2:$C$5000,MATCH(K954,DB_malas!$A$2:$A$5000,0)),IF(INDEX(DB_materiali!$E$2:$E$5000,MATCH($C954,DB_materiali!$A$2:$A$5000,0))&lt;=INDEX(DB_malas!$D$2:$D$5000,MATCH(K954,DB_malas!$A$2:$A$5000,0)),IF(INDEX(DB_materiali!$B$2:$B$5000,MATCH($C954,DB_materiali!$A$2:$A$5000,0))=INDEX(DB_malas!$B$2:$B$5000,MATCH(K954,DB_malas!$A$2:$A$5000,0)),"✔",tulkojums!$A$38),tulkojums!$A$39),tulkojums!$A$39))</f>
        <v/>
      </c>
      <c r="T954" s="2"/>
      <c r="U954" s="2"/>
      <c r="V954" s="2"/>
      <c r="W954" s="2"/>
      <c r="X954" s="2"/>
      <c r="Y954" s="2"/>
      <c r="Z954" s="2"/>
    </row>
    <row r="955" spans="1:26" ht="15.75" customHeight="1">
      <c r="A955" s="17"/>
      <c r="B955" s="18"/>
      <c r="C955" s="19"/>
      <c r="D955" s="55"/>
      <c r="E955" s="55"/>
      <c r="F955" s="56"/>
      <c r="G955" s="57" t="str">
        <f>IF(ISBLANK(C955),"",
   IFERROR(
      IF(
         INDEX(DB_materiali!C$2:C$5000,
               MATCH(C955, DB_materiali!A$2:A$5000, 0)
         )="FALSE",
         "N",
         "Y"
      ),
   "")
)</f>
        <v/>
      </c>
      <c r="H955" s="20"/>
      <c r="I955" s="20"/>
      <c r="J955" s="20"/>
      <c r="K955" s="20"/>
      <c r="M955" s="2" t="str">
        <f>IF(ISBLANK(C955),"",IF(IFERROR(VLOOKUP(C955,DB_materiali!$A$2:$A$5000,1,FALSE),"Kļūda artikulā")=C955,"✔",tulkojums!A$42))</f>
        <v/>
      </c>
      <c r="N955" s="2" t="str">
        <f>IF(ISBLANK(C955),"",IF(ISNUMBER(F955)=TRUE,"✔",tulkojums!A$43))</f>
        <v/>
      </c>
      <c r="O955" s="2" t="str">
        <f>IF(ISBLANK(C955),"",IF(G955="Y","✔",IF(G955="X","✔",IF(G955="N","✔",tulkojums!A$44))))</f>
        <v/>
      </c>
      <c r="P955" s="2" t="str">
        <f>IF(ISBLANK(H955),"",IF(INDEX(DB_materiali!$E$2:$E$5000,MATCH($C955,DB_materiali!$A$2:$A$5000,0))&gt;=INDEX(DB_malas!$C$2:$C$5000,MATCH(H955,DB_malas!$A$2:$A$5000,0)),IF(INDEX(DB_materiali!$E$2:$E$5000,MATCH($C955,DB_materiali!$A$2:$A$5000,0))&lt;=INDEX(DB_malas!$D$2:$D$5000,MATCH(H955,DB_malas!$A$2:$A$5000,0)),IF(OR(INDEX(DB_materiali!$B$2:$B$5000,MATCH($C955,DB_materiali!$A$2:$A$5000,0))=INDEX(DB_malas!$B$2:$B$5000,MATCH(H955,DB_malas!$A$2:$A$5000,0)),$H955="ORG"),"✔",tulkojums!$A$38),tulkojums!$A$39),tulkojums!$A$39))</f>
        <v/>
      </c>
      <c r="Q955" s="2" t="str">
        <f>IF(ISBLANK(I955),"",IF(INDEX(DB_materiali!$E$2:$E$5000,MATCH($C955,DB_materiali!$A$2:$A$5000,0))&gt;=INDEX(DB_malas!$C$2:$C$5000,MATCH(I955,DB_malas!$A$2:$A$5000,0)),IF(INDEX(DB_materiali!$E$2:$E$5000,MATCH($C955,DB_materiali!$A$2:$A$5000,0))&lt;=INDEX(DB_malas!$D$2:$D$5000,MATCH(I955,DB_malas!$A$2:$A$5000,0)),IF(OR(INDEX(DB_materiali!$B$2:$B$5000,MATCH($C955,DB_materiali!$A$2:$A$5000,0))=INDEX(DB_malas!$B$2:$B$5000,MATCH(I955,DB_malas!$A$2:$A$5000,0)),$H955="ORG"),"✔",tulkojums!$A$38),tulkojums!$A$39),tulkojums!$A$39))</f>
        <v/>
      </c>
      <c r="R955" s="2" t="str">
        <f>IF(ISBLANK(J955),"",IF(INDEX(DB_materiali!$E$2:$E$5000,MATCH($C955,DB_materiali!$A$2:$A$5000,0))&gt;=INDEX(DB_malas!$C$2:$C$5000,MATCH(J955,DB_malas!$A$2:$A$5000,0)),IF(INDEX(DB_materiali!$E$2:$E$5000,MATCH($C955,DB_materiali!$A$2:$A$5000,0))&lt;=INDEX(DB_malas!$D$2:$D$5000,MATCH(J955,DB_malas!$A$2:$A$5000,0)),IF(INDEX(DB_materiali!$B$2:$B$5000,MATCH($C955,DB_materiali!$A$2:$A$5000,0))=INDEX(DB_malas!$B$2:$B$5000,MATCH(J955,DB_malas!$A$2:$A$5000,0)),"✔",tulkojums!$A$38),tulkojums!$A$39),tulkojums!$A$39))</f>
        <v/>
      </c>
      <c r="S955" s="2" t="str">
        <f>IF(ISBLANK(K955),"",IF(INDEX(DB_materiali!$E$2:$E$5000,MATCH($C955,DB_materiali!$A$2:$A$5000,0))&gt;=INDEX(DB_malas!$C$2:$C$5000,MATCH(K955,DB_malas!$A$2:$A$5000,0)),IF(INDEX(DB_materiali!$E$2:$E$5000,MATCH($C955,DB_materiali!$A$2:$A$5000,0))&lt;=INDEX(DB_malas!$D$2:$D$5000,MATCH(K955,DB_malas!$A$2:$A$5000,0)),IF(INDEX(DB_materiali!$B$2:$B$5000,MATCH($C955,DB_materiali!$A$2:$A$5000,0))=INDEX(DB_malas!$B$2:$B$5000,MATCH(K955,DB_malas!$A$2:$A$5000,0)),"✔",tulkojums!$A$38),tulkojums!$A$39),tulkojums!$A$39))</f>
        <v/>
      </c>
      <c r="T955" s="2"/>
      <c r="U955" s="2"/>
      <c r="V955" s="2"/>
      <c r="W955" s="2"/>
      <c r="X955" s="2"/>
      <c r="Y955" s="2"/>
      <c r="Z955" s="2"/>
    </row>
    <row r="956" spans="1:26" ht="15.75" customHeight="1">
      <c r="A956" s="17"/>
      <c r="B956" s="18"/>
      <c r="C956" s="19"/>
      <c r="D956" s="55"/>
      <c r="E956" s="55"/>
      <c r="F956" s="56"/>
      <c r="G956" s="57" t="str">
        <f>IF(ISBLANK(C956),"",
   IFERROR(
      IF(
         INDEX(DB_materiali!C$2:C$5000,
               MATCH(C956, DB_materiali!A$2:A$5000, 0)
         )="FALSE",
         "N",
         "Y"
      ),
   "")
)</f>
        <v/>
      </c>
      <c r="H956" s="20"/>
      <c r="I956" s="20"/>
      <c r="J956" s="20"/>
      <c r="K956" s="20"/>
      <c r="M956" s="2" t="str">
        <f>IF(ISBLANK(C956),"",IF(IFERROR(VLOOKUP(C956,DB_materiali!$A$2:$A$5000,1,FALSE),"Kļūda artikulā")=C956,"✔",tulkojums!A$42))</f>
        <v/>
      </c>
      <c r="N956" s="2" t="str">
        <f>IF(ISBLANK(C956),"",IF(ISNUMBER(F956)=TRUE,"✔",tulkojums!A$43))</f>
        <v/>
      </c>
      <c r="O956" s="2" t="str">
        <f>IF(ISBLANK(C956),"",IF(G956="Y","✔",IF(G956="X","✔",IF(G956="N","✔",tulkojums!A$44))))</f>
        <v/>
      </c>
      <c r="P956" s="2" t="str">
        <f>IF(ISBLANK(H956),"",IF(INDEX(DB_materiali!$E$2:$E$5000,MATCH($C956,DB_materiali!$A$2:$A$5000,0))&gt;=INDEX(DB_malas!$C$2:$C$5000,MATCH(H956,DB_malas!$A$2:$A$5000,0)),IF(INDEX(DB_materiali!$E$2:$E$5000,MATCH($C956,DB_materiali!$A$2:$A$5000,0))&lt;=INDEX(DB_malas!$D$2:$D$5000,MATCH(H956,DB_malas!$A$2:$A$5000,0)),IF(OR(INDEX(DB_materiali!$B$2:$B$5000,MATCH($C956,DB_materiali!$A$2:$A$5000,0))=INDEX(DB_malas!$B$2:$B$5000,MATCH(H956,DB_malas!$A$2:$A$5000,0)),$H956="ORG"),"✔",tulkojums!$A$38),tulkojums!$A$39),tulkojums!$A$39))</f>
        <v/>
      </c>
      <c r="Q956" s="2" t="str">
        <f>IF(ISBLANK(I956),"",IF(INDEX(DB_materiali!$E$2:$E$5000,MATCH($C956,DB_materiali!$A$2:$A$5000,0))&gt;=INDEX(DB_malas!$C$2:$C$5000,MATCH(I956,DB_malas!$A$2:$A$5000,0)),IF(INDEX(DB_materiali!$E$2:$E$5000,MATCH($C956,DB_materiali!$A$2:$A$5000,0))&lt;=INDEX(DB_malas!$D$2:$D$5000,MATCH(I956,DB_malas!$A$2:$A$5000,0)),IF(OR(INDEX(DB_materiali!$B$2:$B$5000,MATCH($C956,DB_materiali!$A$2:$A$5000,0))=INDEX(DB_malas!$B$2:$B$5000,MATCH(I956,DB_malas!$A$2:$A$5000,0)),$H956="ORG"),"✔",tulkojums!$A$38),tulkojums!$A$39),tulkojums!$A$39))</f>
        <v/>
      </c>
      <c r="R956" s="2" t="str">
        <f>IF(ISBLANK(J956),"",IF(INDEX(DB_materiali!$E$2:$E$5000,MATCH($C956,DB_materiali!$A$2:$A$5000,0))&gt;=INDEX(DB_malas!$C$2:$C$5000,MATCH(J956,DB_malas!$A$2:$A$5000,0)),IF(INDEX(DB_materiali!$E$2:$E$5000,MATCH($C956,DB_materiali!$A$2:$A$5000,0))&lt;=INDEX(DB_malas!$D$2:$D$5000,MATCH(J956,DB_malas!$A$2:$A$5000,0)),IF(INDEX(DB_materiali!$B$2:$B$5000,MATCH($C956,DB_materiali!$A$2:$A$5000,0))=INDEX(DB_malas!$B$2:$B$5000,MATCH(J956,DB_malas!$A$2:$A$5000,0)),"✔",tulkojums!$A$38),tulkojums!$A$39),tulkojums!$A$39))</f>
        <v/>
      </c>
      <c r="S956" s="2" t="str">
        <f>IF(ISBLANK(K956),"",IF(INDEX(DB_materiali!$E$2:$E$5000,MATCH($C956,DB_materiali!$A$2:$A$5000,0))&gt;=INDEX(DB_malas!$C$2:$C$5000,MATCH(K956,DB_malas!$A$2:$A$5000,0)),IF(INDEX(DB_materiali!$E$2:$E$5000,MATCH($C956,DB_materiali!$A$2:$A$5000,0))&lt;=INDEX(DB_malas!$D$2:$D$5000,MATCH(K956,DB_malas!$A$2:$A$5000,0)),IF(INDEX(DB_materiali!$B$2:$B$5000,MATCH($C956,DB_materiali!$A$2:$A$5000,0))=INDEX(DB_malas!$B$2:$B$5000,MATCH(K956,DB_malas!$A$2:$A$5000,0)),"✔",tulkojums!$A$38),tulkojums!$A$39),tulkojums!$A$39))</f>
        <v/>
      </c>
      <c r="T956" s="2"/>
      <c r="U956" s="2"/>
      <c r="V956" s="2"/>
      <c r="W956" s="2"/>
      <c r="X956" s="2"/>
      <c r="Y956" s="2"/>
      <c r="Z956" s="2"/>
    </row>
    <row r="957" spans="1:26" ht="15.75" customHeight="1">
      <c r="A957" s="17"/>
      <c r="B957" s="18"/>
      <c r="C957" s="19"/>
      <c r="D957" s="55"/>
      <c r="E957" s="55"/>
      <c r="F957" s="56"/>
      <c r="G957" s="57" t="str">
        <f>IF(ISBLANK(C957),"",
   IFERROR(
      IF(
         INDEX(DB_materiali!C$2:C$5000,
               MATCH(C957, DB_materiali!A$2:A$5000, 0)
         )="FALSE",
         "N",
         "Y"
      ),
   "")
)</f>
        <v/>
      </c>
      <c r="H957" s="20"/>
      <c r="I957" s="20"/>
      <c r="J957" s="20"/>
      <c r="K957" s="20"/>
      <c r="M957" s="2" t="str">
        <f>IF(ISBLANK(C957),"",IF(IFERROR(VLOOKUP(C957,DB_materiali!$A$2:$A$5000,1,FALSE),"Kļūda artikulā")=C957,"✔",tulkojums!A$42))</f>
        <v/>
      </c>
      <c r="N957" s="2" t="str">
        <f>IF(ISBLANK(C957),"",IF(ISNUMBER(F957)=TRUE,"✔",tulkojums!A$43))</f>
        <v/>
      </c>
      <c r="O957" s="2" t="str">
        <f>IF(ISBLANK(C957),"",IF(G957="Y","✔",IF(G957="X","✔",IF(G957="N","✔",tulkojums!A$44))))</f>
        <v/>
      </c>
      <c r="P957" s="2" t="str">
        <f>IF(ISBLANK(H957),"",IF(INDEX(DB_materiali!$E$2:$E$5000,MATCH($C957,DB_materiali!$A$2:$A$5000,0))&gt;=INDEX(DB_malas!$C$2:$C$5000,MATCH(H957,DB_malas!$A$2:$A$5000,0)),IF(INDEX(DB_materiali!$E$2:$E$5000,MATCH($C957,DB_materiali!$A$2:$A$5000,0))&lt;=INDEX(DB_malas!$D$2:$D$5000,MATCH(H957,DB_malas!$A$2:$A$5000,0)),IF(OR(INDEX(DB_materiali!$B$2:$B$5000,MATCH($C957,DB_materiali!$A$2:$A$5000,0))=INDEX(DB_malas!$B$2:$B$5000,MATCH(H957,DB_malas!$A$2:$A$5000,0)),$H957="ORG"),"✔",tulkojums!$A$38),tulkojums!$A$39),tulkojums!$A$39))</f>
        <v/>
      </c>
      <c r="Q957" s="2" t="str">
        <f>IF(ISBLANK(I957),"",IF(INDEX(DB_materiali!$E$2:$E$5000,MATCH($C957,DB_materiali!$A$2:$A$5000,0))&gt;=INDEX(DB_malas!$C$2:$C$5000,MATCH(I957,DB_malas!$A$2:$A$5000,0)),IF(INDEX(DB_materiali!$E$2:$E$5000,MATCH($C957,DB_materiali!$A$2:$A$5000,0))&lt;=INDEX(DB_malas!$D$2:$D$5000,MATCH(I957,DB_malas!$A$2:$A$5000,0)),IF(OR(INDEX(DB_materiali!$B$2:$B$5000,MATCH($C957,DB_materiali!$A$2:$A$5000,0))=INDEX(DB_malas!$B$2:$B$5000,MATCH(I957,DB_malas!$A$2:$A$5000,0)),$H957="ORG"),"✔",tulkojums!$A$38),tulkojums!$A$39),tulkojums!$A$39))</f>
        <v/>
      </c>
      <c r="R957" s="2" t="str">
        <f>IF(ISBLANK(J957),"",IF(INDEX(DB_materiali!$E$2:$E$5000,MATCH($C957,DB_materiali!$A$2:$A$5000,0))&gt;=INDEX(DB_malas!$C$2:$C$5000,MATCH(J957,DB_malas!$A$2:$A$5000,0)),IF(INDEX(DB_materiali!$E$2:$E$5000,MATCH($C957,DB_materiali!$A$2:$A$5000,0))&lt;=INDEX(DB_malas!$D$2:$D$5000,MATCH(J957,DB_malas!$A$2:$A$5000,0)),IF(INDEX(DB_materiali!$B$2:$B$5000,MATCH($C957,DB_materiali!$A$2:$A$5000,0))=INDEX(DB_malas!$B$2:$B$5000,MATCH(J957,DB_malas!$A$2:$A$5000,0)),"✔",tulkojums!$A$38),tulkojums!$A$39),tulkojums!$A$39))</f>
        <v/>
      </c>
      <c r="S957" s="2" t="str">
        <f>IF(ISBLANK(K957),"",IF(INDEX(DB_materiali!$E$2:$E$5000,MATCH($C957,DB_materiali!$A$2:$A$5000,0))&gt;=INDEX(DB_malas!$C$2:$C$5000,MATCH(K957,DB_malas!$A$2:$A$5000,0)),IF(INDEX(DB_materiali!$E$2:$E$5000,MATCH($C957,DB_materiali!$A$2:$A$5000,0))&lt;=INDEX(DB_malas!$D$2:$D$5000,MATCH(K957,DB_malas!$A$2:$A$5000,0)),IF(INDEX(DB_materiali!$B$2:$B$5000,MATCH($C957,DB_materiali!$A$2:$A$5000,0))=INDEX(DB_malas!$B$2:$B$5000,MATCH(K957,DB_malas!$A$2:$A$5000,0)),"✔",tulkojums!$A$38),tulkojums!$A$39),tulkojums!$A$39))</f>
        <v/>
      </c>
      <c r="T957" s="2"/>
      <c r="U957" s="2"/>
      <c r="V957" s="2"/>
      <c r="W957" s="2"/>
      <c r="X957" s="2"/>
      <c r="Y957" s="2"/>
      <c r="Z957" s="2"/>
    </row>
    <row r="958" spans="1:26" ht="15.75" customHeight="1">
      <c r="A958" s="17"/>
      <c r="B958" s="18"/>
      <c r="C958" s="19"/>
      <c r="D958" s="55"/>
      <c r="E958" s="55"/>
      <c r="F958" s="56"/>
      <c r="G958" s="57" t="str">
        <f>IF(ISBLANK(C958),"",
   IFERROR(
      IF(
         INDEX(DB_materiali!C$2:C$5000,
               MATCH(C958, DB_materiali!A$2:A$5000, 0)
         )="FALSE",
         "N",
         "Y"
      ),
   "")
)</f>
        <v/>
      </c>
      <c r="H958" s="20"/>
      <c r="I958" s="20"/>
      <c r="J958" s="20"/>
      <c r="K958" s="20"/>
      <c r="M958" s="2" t="str">
        <f>IF(ISBLANK(C958),"",IF(IFERROR(VLOOKUP(C958,DB_materiali!$A$2:$A$5000,1,FALSE),"Kļūda artikulā")=C958,"✔",tulkojums!A$42))</f>
        <v/>
      </c>
      <c r="N958" s="2" t="str">
        <f>IF(ISBLANK(C958),"",IF(ISNUMBER(F958)=TRUE,"✔",tulkojums!A$43))</f>
        <v/>
      </c>
      <c r="O958" s="2" t="str">
        <f>IF(ISBLANK(C958),"",IF(G958="Y","✔",IF(G958="X","✔",IF(G958="N","✔",tulkojums!A$44))))</f>
        <v/>
      </c>
      <c r="P958" s="2" t="str">
        <f>IF(ISBLANK(H958),"",IF(INDEX(DB_materiali!$E$2:$E$5000,MATCH($C958,DB_materiali!$A$2:$A$5000,0))&gt;=INDEX(DB_malas!$C$2:$C$5000,MATCH(H958,DB_malas!$A$2:$A$5000,0)),IF(INDEX(DB_materiali!$E$2:$E$5000,MATCH($C958,DB_materiali!$A$2:$A$5000,0))&lt;=INDEX(DB_malas!$D$2:$D$5000,MATCH(H958,DB_malas!$A$2:$A$5000,0)),IF(OR(INDEX(DB_materiali!$B$2:$B$5000,MATCH($C958,DB_materiali!$A$2:$A$5000,0))=INDEX(DB_malas!$B$2:$B$5000,MATCH(H958,DB_malas!$A$2:$A$5000,0)),$H958="ORG"),"✔",tulkojums!$A$38),tulkojums!$A$39),tulkojums!$A$39))</f>
        <v/>
      </c>
      <c r="Q958" s="2" t="str">
        <f>IF(ISBLANK(I958),"",IF(INDEX(DB_materiali!$E$2:$E$5000,MATCH($C958,DB_materiali!$A$2:$A$5000,0))&gt;=INDEX(DB_malas!$C$2:$C$5000,MATCH(I958,DB_malas!$A$2:$A$5000,0)),IF(INDEX(DB_materiali!$E$2:$E$5000,MATCH($C958,DB_materiali!$A$2:$A$5000,0))&lt;=INDEX(DB_malas!$D$2:$D$5000,MATCH(I958,DB_malas!$A$2:$A$5000,0)),IF(OR(INDEX(DB_materiali!$B$2:$B$5000,MATCH($C958,DB_materiali!$A$2:$A$5000,0))=INDEX(DB_malas!$B$2:$B$5000,MATCH(I958,DB_malas!$A$2:$A$5000,0)),$H958="ORG"),"✔",tulkojums!$A$38),tulkojums!$A$39),tulkojums!$A$39))</f>
        <v/>
      </c>
      <c r="R958" s="2" t="str">
        <f>IF(ISBLANK(J958),"",IF(INDEX(DB_materiali!$E$2:$E$5000,MATCH($C958,DB_materiali!$A$2:$A$5000,0))&gt;=INDEX(DB_malas!$C$2:$C$5000,MATCH(J958,DB_malas!$A$2:$A$5000,0)),IF(INDEX(DB_materiali!$E$2:$E$5000,MATCH($C958,DB_materiali!$A$2:$A$5000,0))&lt;=INDEX(DB_malas!$D$2:$D$5000,MATCH(J958,DB_malas!$A$2:$A$5000,0)),IF(INDEX(DB_materiali!$B$2:$B$5000,MATCH($C958,DB_materiali!$A$2:$A$5000,0))=INDEX(DB_malas!$B$2:$B$5000,MATCH(J958,DB_malas!$A$2:$A$5000,0)),"✔",tulkojums!$A$38),tulkojums!$A$39),tulkojums!$A$39))</f>
        <v/>
      </c>
      <c r="S958" s="2" t="str">
        <f>IF(ISBLANK(K958),"",IF(INDEX(DB_materiali!$E$2:$E$5000,MATCH($C958,DB_materiali!$A$2:$A$5000,0))&gt;=INDEX(DB_malas!$C$2:$C$5000,MATCH(K958,DB_malas!$A$2:$A$5000,0)),IF(INDEX(DB_materiali!$E$2:$E$5000,MATCH($C958,DB_materiali!$A$2:$A$5000,0))&lt;=INDEX(DB_malas!$D$2:$D$5000,MATCH(K958,DB_malas!$A$2:$A$5000,0)),IF(INDEX(DB_materiali!$B$2:$B$5000,MATCH($C958,DB_materiali!$A$2:$A$5000,0))=INDEX(DB_malas!$B$2:$B$5000,MATCH(K958,DB_malas!$A$2:$A$5000,0)),"✔",tulkojums!$A$38),tulkojums!$A$39),tulkojums!$A$39))</f>
        <v/>
      </c>
      <c r="T958" s="2"/>
      <c r="U958" s="2"/>
      <c r="V958" s="2"/>
      <c r="W958" s="2"/>
      <c r="X958" s="2"/>
      <c r="Y958" s="2"/>
      <c r="Z958" s="2"/>
    </row>
    <row r="959" spans="1:26" ht="15.75" customHeight="1">
      <c r="A959" s="17"/>
      <c r="B959" s="18"/>
      <c r="C959" s="19"/>
      <c r="D959" s="55"/>
      <c r="E959" s="55"/>
      <c r="F959" s="56"/>
      <c r="G959" s="57" t="str">
        <f>IF(ISBLANK(C959),"",
   IFERROR(
      IF(
         INDEX(DB_materiali!C$2:C$5000,
               MATCH(C959, DB_materiali!A$2:A$5000, 0)
         )="FALSE",
         "N",
         "Y"
      ),
   "")
)</f>
        <v/>
      </c>
      <c r="H959" s="20"/>
      <c r="I959" s="20"/>
      <c r="J959" s="20"/>
      <c r="K959" s="20"/>
      <c r="M959" s="2" t="str">
        <f>IF(ISBLANK(C959),"",IF(IFERROR(VLOOKUP(C959,DB_materiali!$A$2:$A$5000,1,FALSE),"Kļūda artikulā")=C959,"✔",tulkojums!A$42))</f>
        <v/>
      </c>
      <c r="N959" s="2" t="str">
        <f>IF(ISBLANK(C959),"",IF(ISNUMBER(F959)=TRUE,"✔",tulkojums!A$43))</f>
        <v/>
      </c>
      <c r="O959" s="2" t="str">
        <f>IF(ISBLANK(C959),"",IF(G959="Y","✔",IF(G959="X","✔",IF(G959="N","✔",tulkojums!A$44))))</f>
        <v/>
      </c>
      <c r="P959" s="2" t="str">
        <f>IF(ISBLANK(H959),"",IF(INDEX(DB_materiali!$E$2:$E$5000,MATCH($C959,DB_materiali!$A$2:$A$5000,0))&gt;=INDEX(DB_malas!$C$2:$C$5000,MATCH(H959,DB_malas!$A$2:$A$5000,0)),IF(INDEX(DB_materiali!$E$2:$E$5000,MATCH($C959,DB_materiali!$A$2:$A$5000,0))&lt;=INDEX(DB_malas!$D$2:$D$5000,MATCH(H959,DB_malas!$A$2:$A$5000,0)),IF(OR(INDEX(DB_materiali!$B$2:$B$5000,MATCH($C959,DB_materiali!$A$2:$A$5000,0))=INDEX(DB_malas!$B$2:$B$5000,MATCH(H959,DB_malas!$A$2:$A$5000,0)),$H959="ORG"),"✔",tulkojums!$A$38),tulkojums!$A$39),tulkojums!$A$39))</f>
        <v/>
      </c>
      <c r="Q959" s="2" t="str">
        <f>IF(ISBLANK(I959),"",IF(INDEX(DB_materiali!$E$2:$E$5000,MATCH($C959,DB_materiali!$A$2:$A$5000,0))&gt;=INDEX(DB_malas!$C$2:$C$5000,MATCH(I959,DB_malas!$A$2:$A$5000,0)),IF(INDEX(DB_materiali!$E$2:$E$5000,MATCH($C959,DB_materiali!$A$2:$A$5000,0))&lt;=INDEX(DB_malas!$D$2:$D$5000,MATCH(I959,DB_malas!$A$2:$A$5000,0)),IF(OR(INDEX(DB_materiali!$B$2:$B$5000,MATCH($C959,DB_materiali!$A$2:$A$5000,0))=INDEX(DB_malas!$B$2:$B$5000,MATCH(I959,DB_malas!$A$2:$A$5000,0)),$H959="ORG"),"✔",tulkojums!$A$38),tulkojums!$A$39),tulkojums!$A$39))</f>
        <v/>
      </c>
      <c r="R959" s="2" t="str">
        <f>IF(ISBLANK(J959),"",IF(INDEX(DB_materiali!$E$2:$E$5000,MATCH($C959,DB_materiali!$A$2:$A$5000,0))&gt;=INDEX(DB_malas!$C$2:$C$5000,MATCH(J959,DB_malas!$A$2:$A$5000,0)),IF(INDEX(DB_materiali!$E$2:$E$5000,MATCH($C959,DB_materiali!$A$2:$A$5000,0))&lt;=INDEX(DB_malas!$D$2:$D$5000,MATCH(J959,DB_malas!$A$2:$A$5000,0)),IF(INDEX(DB_materiali!$B$2:$B$5000,MATCH($C959,DB_materiali!$A$2:$A$5000,0))=INDEX(DB_malas!$B$2:$B$5000,MATCH(J959,DB_malas!$A$2:$A$5000,0)),"✔",tulkojums!$A$38),tulkojums!$A$39),tulkojums!$A$39))</f>
        <v/>
      </c>
      <c r="S959" s="2" t="str">
        <f>IF(ISBLANK(K959),"",IF(INDEX(DB_materiali!$E$2:$E$5000,MATCH($C959,DB_materiali!$A$2:$A$5000,0))&gt;=INDEX(DB_malas!$C$2:$C$5000,MATCH(K959,DB_malas!$A$2:$A$5000,0)),IF(INDEX(DB_materiali!$E$2:$E$5000,MATCH($C959,DB_materiali!$A$2:$A$5000,0))&lt;=INDEX(DB_malas!$D$2:$D$5000,MATCH(K959,DB_malas!$A$2:$A$5000,0)),IF(INDEX(DB_materiali!$B$2:$B$5000,MATCH($C959,DB_materiali!$A$2:$A$5000,0))=INDEX(DB_malas!$B$2:$B$5000,MATCH(K959,DB_malas!$A$2:$A$5000,0)),"✔",tulkojums!$A$38),tulkojums!$A$39),tulkojums!$A$39))</f>
        <v/>
      </c>
      <c r="T959" s="2"/>
      <c r="U959" s="2"/>
      <c r="V959" s="2"/>
      <c r="W959" s="2"/>
      <c r="X959" s="2"/>
      <c r="Y959" s="2"/>
      <c r="Z959" s="2"/>
    </row>
    <row r="960" spans="1:26" ht="15.75" customHeight="1">
      <c r="A960" s="17"/>
      <c r="B960" s="18"/>
      <c r="C960" s="19"/>
      <c r="D960" s="55"/>
      <c r="E960" s="55"/>
      <c r="F960" s="56"/>
      <c r="G960" s="57" t="str">
        <f>IF(ISBLANK(C960),"",
   IFERROR(
      IF(
         INDEX(DB_materiali!C$2:C$5000,
               MATCH(C960, DB_materiali!A$2:A$5000, 0)
         )="FALSE",
         "N",
         "Y"
      ),
   "")
)</f>
        <v/>
      </c>
      <c r="H960" s="20"/>
      <c r="I960" s="20"/>
      <c r="J960" s="20"/>
      <c r="K960" s="20"/>
      <c r="M960" s="2" t="str">
        <f>IF(ISBLANK(C960),"",IF(IFERROR(VLOOKUP(C960,DB_materiali!$A$2:$A$5000,1,FALSE),"Kļūda artikulā")=C960,"✔",tulkojums!A$42))</f>
        <v/>
      </c>
      <c r="N960" s="2" t="str">
        <f>IF(ISBLANK(C960),"",IF(ISNUMBER(F960)=TRUE,"✔",tulkojums!A$43))</f>
        <v/>
      </c>
      <c r="O960" s="2" t="str">
        <f>IF(ISBLANK(C960),"",IF(G960="Y","✔",IF(G960="X","✔",IF(G960="N","✔",tulkojums!A$44))))</f>
        <v/>
      </c>
      <c r="P960" s="2" t="str">
        <f>IF(ISBLANK(H960),"",IF(INDEX(DB_materiali!$E$2:$E$5000,MATCH($C960,DB_materiali!$A$2:$A$5000,0))&gt;=INDEX(DB_malas!$C$2:$C$5000,MATCH(H960,DB_malas!$A$2:$A$5000,0)),IF(INDEX(DB_materiali!$E$2:$E$5000,MATCH($C960,DB_materiali!$A$2:$A$5000,0))&lt;=INDEX(DB_malas!$D$2:$D$5000,MATCH(H960,DB_malas!$A$2:$A$5000,0)),IF(OR(INDEX(DB_materiali!$B$2:$B$5000,MATCH($C960,DB_materiali!$A$2:$A$5000,0))=INDEX(DB_malas!$B$2:$B$5000,MATCH(H960,DB_malas!$A$2:$A$5000,0)),$H960="ORG"),"✔",tulkojums!$A$38),tulkojums!$A$39),tulkojums!$A$39))</f>
        <v/>
      </c>
      <c r="Q960" s="2" t="str">
        <f>IF(ISBLANK(I960),"",IF(INDEX(DB_materiali!$E$2:$E$5000,MATCH($C960,DB_materiali!$A$2:$A$5000,0))&gt;=INDEX(DB_malas!$C$2:$C$5000,MATCH(I960,DB_malas!$A$2:$A$5000,0)),IF(INDEX(DB_materiali!$E$2:$E$5000,MATCH($C960,DB_materiali!$A$2:$A$5000,0))&lt;=INDEX(DB_malas!$D$2:$D$5000,MATCH(I960,DB_malas!$A$2:$A$5000,0)),IF(OR(INDEX(DB_materiali!$B$2:$B$5000,MATCH($C960,DB_materiali!$A$2:$A$5000,0))=INDEX(DB_malas!$B$2:$B$5000,MATCH(I960,DB_malas!$A$2:$A$5000,0)),$H960="ORG"),"✔",tulkojums!$A$38),tulkojums!$A$39),tulkojums!$A$39))</f>
        <v/>
      </c>
      <c r="R960" s="2" t="str">
        <f>IF(ISBLANK(J960),"",IF(INDEX(DB_materiali!$E$2:$E$5000,MATCH($C960,DB_materiali!$A$2:$A$5000,0))&gt;=INDEX(DB_malas!$C$2:$C$5000,MATCH(J960,DB_malas!$A$2:$A$5000,0)),IF(INDEX(DB_materiali!$E$2:$E$5000,MATCH($C960,DB_materiali!$A$2:$A$5000,0))&lt;=INDEX(DB_malas!$D$2:$D$5000,MATCH(J960,DB_malas!$A$2:$A$5000,0)),IF(INDEX(DB_materiali!$B$2:$B$5000,MATCH($C960,DB_materiali!$A$2:$A$5000,0))=INDEX(DB_malas!$B$2:$B$5000,MATCH(J960,DB_malas!$A$2:$A$5000,0)),"✔",tulkojums!$A$38),tulkojums!$A$39),tulkojums!$A$39))</f>
        <v/>
      </c>
      <c r="S960" s="2" t="str">
        <f>IF(ISBLANK(K960),"",IF(INDEX(DB_materiali!$E$2:$E$5000,MATCH($C960,DB_materiali!$A$2:$A$5000,0))&gt;=INDEX(DB_malas!$C$2:$C$5000,MATCH(K960,DB_malas!$A$2:$A$5000,0)),IF(INDEX(DB_materiali!$E$2:$E$5000,MATCH($C960,DB_materiali!$A$2:$A$5000,0))&lt;=INDEX(DB_malas!$D$2:$D$5000,MATCH(K960,DB_malas!$A$2:$A$5000,0)),IF(INDEX(DB_materiali!$B$2:$B$5000,MATCH($C960,DB_materiali!$A$2:$A$5000,0))=INDEX(DB_malas!$B$2:$B$5000,MATCH(K960,DB_malas!$A$2:$A$5000,0)),"✔",tulkojums!$A$38),tulkojums!$A$39),tulkojums!$A$39))</f>
        <v/>
      </c>
      <c r="T960" s="2"/>
      <c r="U960" s="2"/>
      <c r="V960" s="2"/>
      <c r="W960" s="2"/>
      <c r="X960" s="2"/>
      <c r="Y960" s="2"/>
      <c r="Z960" s="2"/>
    </row>
    <row r="961" spans="1:26" ht="15.75" customHeight="1">
      <c r="A961" s="17"/>
      <c r="B961" s="18"/>
      <c r="C961" s="19"/>
      <c r="D961" s="55"/>
      <c r="E961" s="55"/>
      <c r="F961" s="56"/>
      <c r="G961" s="57" t="str">
        <f>IF(ISBLANK(C961),"",
   IFERROR(
      IF(
         INDEX(DB_materiali!C$2:C$5000,
               MATCH(C961, DB_materiali!A$2:A$5000, 0)
         )="FALSE",
         "N",
         "Y"
      ),
   "")
)</f>
        <v/>
      </c>
      <c r="H961" s="20"/>
      <c r="I961" s="20"/>
      <c r="J961" s="20"/>
      <c r="K961" s="20"/>
      <c r="M961" s="2" t="str">
        <f>IF(ISBLANK(C961),"",IF(IFERROR(VLOOKUP(C961,DB_materiali!$A$2:$A$5000,1,FALSE),"Kļūda artikulā")=C961,"✔",tulkojums!A$42))</f>
        <v/>
      </c>
      <c r="N961" s="2" t="str">
        <f>IF(ISBLANK(C961),"",IF(ISNUMBER(F961)=TRUE,"✔",tulkojums!A$43))</f>
        <v/>
      </c>
      <c r="O961" s="2" t="str">
        <f>IF(ISBLANK(C961),"",IF(G961="Y","✔",IF(G961="X","✔",IF(G961="N","✔",tulkojums!A$44))))</f>
        <v/>
      </c>
      <c r="P961" s="2" t="str">
        <f>IF(ISBLANK(H961),"",IF(INDEX(DB_materiali!$E$2:$E$5000,MATCH($C961,DB_materiali!$A$2:$A$5000,0))&gt;=INDEX(DB_malas!$C$2:$C$5000,MATCH(H961,DB_malas!$A$2:$A$5000,0)),IF(INDEX(DB_materiali!$E$2:$E$5000,MATCH($C961,DB_materiali!$A$2:$A$5000,0))&lt;=INDEX(DB_malas!$D$2:$D$5000,MATCH(H961,DB_malas!$A$2:$A$5000,0)),IF(OR(INDEX(DB_materiali!$B$2:$B$5000,MATCH($C961,DB_materiali!$A$2:$A$5000,0))=INDEX(DB_malas!$B$2:$B$5000,MATCH(H961,DB_malas!$A$2:$A$5000,0)),$H961="ORG"),"✔",tulkojums!$A$38),tulkojums!$A$39),tulkojums!$A$39))</f>
        <v/>
      </c>
      <c r="Q961" s="2" t="str">
        <f>IF(ISBLANK(I961),"",IF(INDEX(DB_materiali!$E$2:$E$5000,MATCH($C961,DB_materiali!$A$2:$A$5000,0))&gt;=INDEX(DB_malas!$C$2:$C$5000,MATCH(I961,DB_malas!$A$2:$A$5000,0)),IF(INDEX(DB_materiali!$E$2:$E$5000,MATCH($C961,DB_materiali!$A$2:$A$5000,0))&lt;=INDEX(DB_malas!$D$2:$D$5000,MATCH(I961,DB_malas!$A$2:$A$5000,0)),IF(OR(INDEX(DB_materiali!$B$2:$B$5000,MATCH($C961,DB_materiali!$A$2:$A$5000,0))=INDEX(DB_malas!$B$2:$B$5000,MATCH(I961,DB_malas!$A$2:$A$5000,0)),$H961="ORG"),"✔",tulkojums!$A$38),tulkojums!$A$39),tulkojums!$A$39))</f>
        <v/>
      </c>
      <c r="R961" s="2" t="str">
        <f>IF(ISBLANK(J961),"",IF(INDEX(DB_materiali!$E$2:$E$5000,MATCH($C961,DB_materiali!$A$2:$A$5000,0))&gt;=INDEX(DB_malas!$C$2:$C$5000,MATCH(J961,DB_malas!$A$2:$A$5000,0)),IF(INDEX(DB_materiali!$E$2:$E$5000,MATCH($C961,DB_materiali!$A$2:$A$5000,0))&lt;=INDEX(DB_malas!$D$2:$D$5000,MATCH(J961,DB_malas!$A$2:$A$5000,0)),IF(INDEX(DB_materiali!$B$2:$B$5000,MATCH($C961,DB_materiali!$A$2:$A$5000,0))=INDEX(DB_malas!$B$2:$B$5000,MATCH(J961,DB_malas!$A$2:$A$5000,0)),"✔",tulkojums!$A$38),tulkojums!$A$39),tulkojums!$A$39))</f>
        <v/>
      </c>
      <c r="S961" s="2" t="str">
        <f>IF(ISBLANK(K961),"",IF(INDEX(DB_materiali!$E$2:$E$5000,MATCH($C961,DB_materiali!$A$2:$A$5000,0))&gt;=INDEX(DB_malas!$C$2:$C$5000,MATCH(K961,DB_malas!$A$2:$A$5000,0)),IF(INDEX(DB_materiali!$E$2:$E$5000,MATCH($C961,DB_materiali!$A$2:$A$5000,0))&lt;=INDEX(DB_malas!$D$2:$D$5000,MATCH(K961,DB_malas!$A$2:$A$5000,0)),IF(INDEX(DB_materiali!$B$2:$B$5000,MATCH($C961,DB_materiali!$A$2:$A$5000,0))=INDEX(DB_malas!$B$2:$B$5000,MATCH(K961,DB_malas!$A$2:$A$5000,0)),"✔",tulkojums!$A$38),tulkojums!$A$39),tulkojums!$A$39))</f>
        <v/>
      </c>
      <c r="T961" s="2"/>
      <c r="U961" s="2"/>
      <c r="V961" s="2"/>
      <c r="W961" s="2"/>
      <c r="X961" s="2"/>
      <c r="Y961" s="2"/>
      <c r="Z961" s="2"/>
    </row>
    <row r="962" spans="1:26" ht="15.75" customHeight="1">
      <c r="A962" s="17"/>
      <c r="B962" s="18"/>
      <c r="C962" s="19"/>
      <c r="D962" s="55"/>
      <c r="E962" s="55"/>
      <c r="F962" s="56"/>
      <c r="G962" s="57" t="str">
        <f>IF(ISBLANK(C962),"",
   IFERROR(
      IF(
         INDEX(DB_materiali!C$2:C$5000,
               MATCH(C962, DB_materiali!A$2:A$5000, 0)
         )="FALSE",
         "N",
         "Y"
      ),
   "")
)</f>
        <v/>
      </c>
      <c r="H962" s="20"/>
      <c r="I962" s="20"/>
      <c r="J962" s="20"/>
      <c r="K962" s="20"/>
      <c r="M962" s="2" t="str">
        <f>IF(ISBLANK(C962),"",IF(IFERROR(VLOOKUP(C962,DB_materiali!$A$2:$A$5000,1,FALSE),"Kļūda artikulā")=C962,"✔",tulkojums!A$42))</f>
        <v/>
      </c>
      <c r="N962" s="2" t="str">
        <f>IF(ISBLANK(C962),"",IF(ISNUMBER(F962)=TRUE,"✔",tulkojums!A$43))</f>
        <v/>
      </c>
      <c r="O962" s="2" t="str">
        <f>IF(ISBLANK(C962),"",IF(G962="Y","✔",IF(G962="X","✔",IF(G962="N","✔",tulkojums!A$44))))</f>
        <v/>
      </c>
      <c r="P962" s="2" t="str">
        <f>IF(ISBLANK(H962),"",IF(INDEX(DB_materiali!$E$2:$E$5000,MATCH($C962,DB_materiali!$A$2:$A$5000,0))&gt;=INDEX(DB_malas!$C$2:$C$5000,MATCH(H962,DB_malas!$A$2:$A$5000,0)),IF(INDEX(DB_materiali!$E$2:$E$5000,MATCH($C962,DB_materiali!$A$2:$A$5000,0))&lt;=INDEX(DB_malas!$D$2:$D$5000,MATCH(H962,DB_malas!$A$2:$A$5000,0)),IF(OR(INDEX(DB_materiali!$B$2:$B$5000,MATCH($C962,DB_materiali!$A$2:$A$5000,0))=INDEX(DB_malas!$B$2:$B$5000,MATCH(H962,DB_malas!$A$2:$A$5000,0)),$H962="ORG"),"✔",tulkojums!$A$38),tulkojums!$A$39),tulkojums!$A$39))</f>
        <v/>
      </c>
      <c r="Q962" s="2" t="str">
        <f>IF(ISBLANK(I962),"",IF(INDEX(DB_materiali!$E$2:$E$5000,MATCH($C962,DB_materiali!$A$2:$A$5000,0))&gt;=INDEX(DB_malas!$C$2:$C$5000,MATCH(I962,DB_malas!$A$2:$A$5000,0)),IF(INDEX(DB_materiali!$E$2:$E$5000,MATCH($C962,DB_materiali!$A$2:$A$5000,0))&lt;=INDEX(DB_malas!$D$2:$D$5000,MATCH(I962,DB_malas!$A$2:$A$5000,0)),IF(OR(INDEX(DB_materiali!$B$2:$B$5000,MATCH($C962,DB_materiali!$A$2:$A$5000,0))=INDEX(DB_malas!$B$2:$B$5000,MATCH(I962,DB_malas!$A$2:$A$5000,0)),$H962="ORG"),"✔",tulkojums!$A$38),tulkojums!$A$39),tulkojums!$A$39))</f>
        <v/>
      </c>
      <c r="R962" s="2" t="str">
        <f>IF(ISBLANK(J962),"",IF(INDEX(DB_materiali!$E$2:$E$5000,MATCH($C962,DB_materiali!$A$2:$A$5000,0))&gt;=INDEX(DB_malas!$C$2:$C$5000,MATCH(J962,DB_malas!$A$2:$A$5000,0)),IF(INDEX(DB_materiali!$E$2:$E$5000,MATCH($C962,DB_materiali!$A$2:$A$5000,0))&lt;=INDEX(DB_malas!$D$2:$D$5000,MATCH(J962,DB_malas!$A$2:$A$5000,0)),IF(INDEX(DB_materiali!$B$2:$B$5000,MATCH($C962,DB_materiali!$A$2:$A$5000,0))=INDEX(DB_malas!$B$2:$B$5000,MATCH(J962,DB_malas!$A$2:$A$5000,0)),"✔",tulkojums!$A$38),tulkojums!$A$39),tulkojums!$A$39))</f>
        <v/>
      </c>
      <c r="S962" s="2" t="str">
        <f>IF(ISBLANK(K962),"",IF(INDEX(DB_materiali!$E$2:$E$5000,MATCH($C962,DB_materiali!$A$2:$A$5000,0))&gt;=INDEX(DB_malas!$C$2:$C$5000,MATCH(K962,DB_malas!$A$2:$A$5000,0)),IF(INDEX(DB_materiali!$E$2:$E$5000,MATCH($C962,DB_materiali!$A$2:$A$5000,0))&lt;=INDEX(DB_malas!$D$2:$D$5000,MATCH(K962,DB_malas!$A$2:$A$5000,0)),IF(INDEX(DB_materiali!$B$2:$B$5000,MATCH($C962,DB_materiali!$A$2:$A$5000,0))=INDEX(DB_malas!$B$2:$B$5000,MATCH(K962,DB_malas!$A$2:$A$5000,0)),"✔",tulkojums!$A$38),tulkojums!$A$39),tulkojums!$A$39))</f>
        <v/>
      </c>
      <c r="T962" s="2"/>
      <c r="U962" s="2"/>
      <c r="V962" s="2"/>
      <c r="W962" s="2"/>
      <c r="X962" s="2"/>
      <c r="Y962" s="2"/>
      <c r="Z962" s="2"/>
    </row>
    <row r="963" spans="1:26" ht="15.75" customHeight="1">
      <c r="A963" s="17"/>
      <c r="B963" s="18"/>
      <c r="C963" s="19"/>
      <c r="D963" s="55"/>
      <c r="E963" s="55"/>
      <c r="F963" s="56"/>
      <c r="G963" s="57" t="str">
        <f>IF(ISBLANK(C963),"",
   IFERROR(
      IF(
         INDEX(DB_materiali!C$2:C$5000,
               MATCH(C963, DB_materiali!A$2:A$5000, 0)
         )="FALSE",
         "N",
         "Y"
      ),
   "")
)</f>
        <v/>
      </c>
      <c r="H963" s="20"/>
      <c r="I963" s="20"/>
      <c r="J963" s="20"/>
      <c r="K963" s="20"/>
      <c r="M963" s="2" t="str">
        <f>IF(ISBLANK(C963),"",IF(IFERROR(VLOOKUP(C963,DB_materiali!$A$2:$A$5000,1,FALSE),"Kļūda artikulā")=C963,"✔",tulkojums!A$42))</f>
        <v/>
      </c>
      <c r="N963" s="2" t="str">
        <f>IF(ISBLANK(C963),"",IF(ISNUMBER(F963)=TRUE,"✔",tulkojums!A$43))</f>
        <v/>
      </c>
      <c r="O963" s="2" t="str">
        <f>IF(ISBLANK(C963),"",IF(G963="Y","✔",IF(G963="X","✔",IF(G963="N","✔",tulkojums!A$44))))</f>
        <v/>
      </c>
      <c r="P963" s="2" t="str">
        <f>IF(ISBLANK(H963),"",IF(INDEX(DB_materiali!$E$2:$E$5000,MATCH($C963,DB_materiali!$A$2:$A$5000,0))&gt;=INDEX(DB_malas!$C$2:$C$5000,MATCH(H963,DB_malas!$A$2:$A$5000,0)),IF(INDEX(DB_materiali!$E$2:$E$5000,MATCH($C963,DB_materiali!$A$2:$A$5000,0))&lt;=INDEX(DB_malas!$D$2:$D$5000,MATCH(H963,DB_malas!$A$2:$A$5000,0)),IF(OR(INDEX(DB_materiali!$B$2:$B$5000,MATCH($C963,DB_materiali!$A$2:$A$5000,0))=INDEX(DB_malas!$B$2:$B$5000,MATCH(H963,DB_malas!$A$2:$A$5000,0)),$H963="ORG"),"✔",tulkojums!$A$38),tulkojums!$A$39),tulkojums!$A$39))</f>
        <v/>
      </c>
      <c r="Q963" s="2" t="str">
        <f>IF(ISBLANK(I963),"",IF(INDEX(DB_materiali!$E$2:$E$5000,MATCH($C963,DB_materiali!$A$2:$A$5000,0))&gt;=INDEX(DB_malas!$C$2:$C$5000,MATCH(I963,DB_malas!$A$2:$A$5000,0)),IF(INDEX(DB_materiali!$E$2:$E$5000,MATCH($C963,DB_materiali!$A$2:$A$5000,0))&lt;=INDEX(DB_malas!$D$2:$D$5000,MATCH(I963,DB_malas!$A$2:$A$5000,0)),IF(OR(INDEX(DB_materiali!$B$2:$B$5000,MATCH($C963,DB_materiali!$A$2:$A$5000,0))=INDEX(DB_malas!$B$2:$B$5000,MATCH(I963,DB_malas!$A$2:$A$5000,0)),$H963="ORG"),"✔",tulkojums!$A$38),tulkojums!$A$39),tulkojums!$A$39))</f>
        <v/>
      </c>
      <c r="R963" s="2" t="str">
        <f>IF(ISBLANK(J963),"",IF(INDEX(DB_materiali!$E$2:$E$5000,MATCH($C963,DB_materiali!$A$2:$A$5000,0))&gt;=INDEX(DB_malas!$C$2:$C$5000,MATCH(J963,DB_malas!$A$2:$A$5000,0)),IF(INDEX(DB_materiali!$E$2:$E$5000,MATCH($C963,DB_materiali!$A$2:$A$5000,0))&lt;=INDEX(DB_malas!$D$2:$D$5000,MATCH(J963,DB_malas!$A$2:$A$5000,0)),IF(INDEX(DB_materiali!$B$2:$B$5000,MATCH($C963,DB_materiali!$A$2:$A$5000,0))=INDEX(DB_malas!$B$2:$B$5000,MATCH(J963,DB_malas!$A$2:$A$5000,0)),"✔",tulkojums!$A$38),tulkojums!$A$39),tulkojums!$A$39))</f>
        <v/>
      </c>
      <c r="S963" s="2" t="str">
        <f>IF(ISBLANK(K963),"",IF(INDEX(DB_materiali!$E$2:$E$5000,MATCH($C963,DB_materiali!$A$2:$A$5000,0))&gt;=INDEX(DB_malas!$C$2:$C$5000,MATCH(K963,DB_malas!$A$2:$A$5000,0)),IF(INDEX(DB_materiali!$E$2:$E$5000,MATCH($C963,DB_materiali!$A$2:$A$5000,0))&lt;=INDEX(DB_malas!$D$2:$D$5000,MATCH(K963,DB_malas!$A$2:$A$5000,0)),IF(INDEX(DB_materiali!$B$2:$B$5000,MATCH($C963,DB_materiali!$A$2:$A$5000,0))=INDEX(DB_malas!$B$2:$B$5000,MATCH(K963,DB_malas!$A$2:$A$5000,0)),"✔",tulkojums!$A$38),tulkojums!$A$39),tulkojums!$A$39))</f>
        <v/>
      </c>
      <c r="T963" s="2"/>
      <c r="U963" s="2"/>
      <c r="V963" s="2"/>
      <c r="W963" s="2"/>
      <c r="X963" s="2"/>
      <c r="Y963" s="2"/>
      <c r="Z963" s="2"/>
    </row>
    <row r="964" spans="1:26" ht="15.75" customHeight="1">
      <c r="A964" s="17"/>
      <c r="B964" s="18"/>
      <c r="C964" s="19"/>
      <c r="D964" s="55"/>
      <c r="E964" s="55"/>
      <c r="F964" s="56"/>
      <c r="G964" s="57" t="str">
        <f>IF(ISBLANK(C964),"",
   IFERROR(
      IF(
         INDEX(DB_materiali!C$2:C$5000,
               MATCH(C964, DB_materiali!A$2:A$5000, 0)
         )="FALSE",
         "N",
         "Y"
      ),
   "")
)</f>
        <v/>
      </c>
      <c r="H964" s="20"/>
      <c r="I964" s="20"/>
      <c r="J964" s="20"/>
      <c r="K964" s="20"/>
      <c r="M964" s="2" t="str">
        <f>IF(ISBLANK(C964),"",IF(IFERROR(VLOOKUP(C964,DB_materiali!$A$2:$A$5000,1,FALSE),"Kļūda artikulā")=C964,"✔",tulkojums!A$42))</f>
        <v/>
      </c>
      <c r="N964" s="2" t="str">
        <f>IF(ISBLANK(C964),"",IF(ISNUMBER(F964)=TRUE,"✔",tulkojums!A$43))</f>
        <v/>
      </c>
      <c r="O964" s="2" t="str">
        <f>IF(ISBLANK(C964),"",IF(G964="Y","✔",IF(G964="X","✔",IF(G964="N","✔",tulkojums!A$44))))</f>
        <v/>
      </c>
      <c r="P964" s="2" t="str">
        <f>IF(ISBLANK(H964),"",IF(INDEX(DB_materiali!$E$2:$E$5000,MATCH($C964,DB_materiali!$A$2:$A$5000,0))&gt;=INDEX(DB_malas!$C$2:$C$5000,MATCH(H964,DB_malas!$A$2:$A$5000,0)),IF(INDEX(DB_materiali!$E$2:$E$5000,MATCH($C964,DB_materiali!$A$2:$A$5000,0))&lt;=INDEX(DB_malas!$D$2:$D$5000,MATCH(H964,DB_malas!$A$2:$A$5000,0)),IF(OR(INDEX(DB_materiali!$B$2:$B$5000,MATCH($C964,DB_materiali!$A$2:$A$5000,0))=INDEX(DB_malas!$B$2:$B$5000,MATCH(H964,DB_malas!$A$2:$A$5000,0)),$H964="ORG"),"✔",tulkojums!$A$38),tulkojums!$A$39),tulkojums!$A$39))</f>
        <v/>
      </c>
      <c r="Q964" s="2" t="str">
        <f>IF(ISBLANK(I964),"",IF(INDEX(DB_materiali!$E$2:$E$5000,MATCH($C964,DB_materiali!$A$2:$A$5000,0))&gt;=INDEX(DB_malas!$C$2:$C$5000,MATCH(I964,DB_malas!$A$2:$A$5000,0)),IF(INDEX(DB_materiali!$E$2:$E$5000,MATCH($C964,DB_materiali!$A$2:$A$5000,0))&lt;=INDEX(DB_malas!$D$2:$D$5000,MATCH(I964,DB_malas!$A$2:$A$5000,0)),IF(OR(INDEX(DB_materiali!$B$2:$B$5000,MATCH($C964,DB_materiali!$A$2:$A$5000,0))=INDEX(DB_malas!$B$2:$B$5000,MATCH(I964,DB_malas!$A$2:$A$5000,0)),$H964="ORG"),"✔",tulkojums!$A$38),tulkojums!$A$39),tulkojums!$A$39))</f>
        <v/>
      </c>
      <c r="R964" s="2" t="str">
        <f>IF(ISBLANK(J964),"",IF(INDEX(DB_materiali!$E$2:$E$5000,MATCH($C964,DB_materiali!$A$2:$A$5000,0))&gt;=INDEX(DB_malas!$C$2:$C$5000,MATCH(J964,DB_malas!$A$2:$A$5000,0)),IF(INDEX(DB_materiali!$E$2:$E$5000,MATCH($C964,DB_materiali!$A$2:$A$5000,0))&lt;=INDEX(DB_malas!$D$2:$D$5000,MATCH(J964,DB_malas!$A$2:$A$5000,0)),IF(INDEX(DB_materiali!$B$2:$B$5000,MATCH($C964,DB_materiali!$A$2:$A$5000,0))=INDEX(DB_malas!$B$2:$B$5000,MATCH(J964,DB_malas!$A$2:$A$5000,0)),"✔",tulkojums!$A$38),tulkojums!$A$39),tulkojums!$A$39))</f>
        <v/>
      </c>
      <c r="S964" s="2" t="str">
        <f>IF(ISBLANK(K964),"",IF(INDEX(DB_materiali!$E$2:$E$5000,MATCH($C964,DB_materiali!$A$2:$A$5000,0))&gt;=INDEX(DB_malas!$C$2:$C$5000,MATCH(K964,DB_malas!$A$2:$A$5000,0)),IF(INDEX(DB_materiali!$E$2:$E$5000,MATCH($C964,DB_materiali!$A$2:$A$5000,0))&lt;=INDEX(DB_malas!$D$2:$D$5000,MATCH(K964,DB_malas!$A$2:$A$5000,0)),IF(INDEX(DB_materiali!$B$2:$B$5000,MATCH($C964,DB_materiali!$A$2:$A$5000,0))=INDEX(DB_malas!$B$2:$B$5000,MATCH(K964,DB_malas!$A$2:$A$5000,0)),"✔",tulkojums!$A$38),tulkojums!$A$39),tulkojums!$A$39))</f>
        <v/>
      </c>
      <c r="T964" s="2"/>
      <c r="U964" s="2"/>
      <c r="V964" s="2"/>
      <c r="W964" s="2"/>
      <c r="X964" s="2"/>
      <c r="Y964" s="2"/>
      <c r="Z964" s="2"/>
    </row>
    <row r="965" spans="1:26" ht="15.75" customHeight="1">
      <c r="A965" s="17"/>
      <c r="B965" s="18"/>
      <c r="C965" s="19"/>
      <c r="D965" s="55"/>
      <c r="E965" s="55"/>
      <c r="F965" s="56"/>
      <c r="G965" s="57" t="str">
        <f>IF(ISBLANK(C965),"",
   IFERROR(
      IF(
         INDEX(DB_materiali!C$2:C$5000,
               MATCH(C965, DB_materiali!A$2:A$5000, 0)
         )="FALSE",
         "N",
         "Y"
      ),
   "")
)</f>
        <v/>
      </c>
      <c r="H965" s="20"/>
      <c r="I965" s="20"/>
      <c r="J965" s="20"/>
      <c r="K965" s="20"/>
      <c r="M965" s="2" t="str">
        <f>IF(ISBLANK(C965),"",IF(IFERROR(VLOOKUP(C965,DB_materiali!$A$2:$A$5000,1,FALSE),"Kļūda artikulā")=C965,"✔",tulkojums!A$42))</f>
        <v/>
      </c>
      <c r="N965" s="2" t="str">
        <f>IF(ISBLANK(C965),"",IF(ISNUMBER(F965)=TRUE,"✔",tulkojums!A$43))</f>
        <v/>
      </c>
      <c r="O965" s="2" t="str">
        <f>IF(ISBLANK(C965),"",IF(G965="Y","✔",IF(G965="X","✔",IF(G965="N","✔",tulkojums!A$44))))</f>
        <v/>
      </c>
      <c r="P965" s="2" t="str">
        <f>IF(ISBLANK(H965),"",IF(INDEX(DB_materiali!$E$2:$E$5000,MATCH($C965,DB_materiali!$A$2:$A$5000,0))&gt;=INDEX(DB_malas!$C$2:$C$5000,MATCH(H965,DB_malas!$A$2:$A$5000,0)),IF(INDEX(DB_materiali!$E$2:$E$5000,MATCH($C965,DB_materiali!$A$2:$A$5000,0))&lt;=INDEX(DB_malas!$D$2:$D$5000,MATCH(H965,DB_malas!$A$2:$A$5000,0)),IF(OR(INDEX(DB_materiali!$B$2:$B$5000,MATCH($C965,DB_materiali!$A$2:$A$5000,0))=INDEX(DB_malas!$B$2:$B$5000,MATCH(H965,DB_malas!$A$2:$A$5000,0)),$H965="ORG"),"✔",tulkojums!$A$38),tulkojums!$A$39),tulkojums!$A$39))</f>
        <v/>
      </c>
      <c r="Q965" s="2" t="str">
        <f>IF(ISBLANK(I965),"",IF(INDEX(DB_materiali!$E$2:$E$5000,MATCH($C965,DB_materiali!$A$2:$A$5000,0))&gt;=INDEX(DB_malas!$C$2:$C$5000,MATCH(I965,DB_malas!$A$2:$A$5000,0)),IF(INDEX(DB_materiali!$E$2:$E$5000,MATCH($C965,DB_materiali!$A$2:$A$5000,0))&lt;=INDEX(DB_malas!$D$2:$D$5000,MATCH(I965,DB_malas!$A$2:$A$5000,0)),IF(OR(INDEX(DB_materiali!$B$2:$B$5000,MATCH($C965,DB_materiali!$A$2:$A$5000,0))=INDEX(DB_malas!$B$2:$B$5000,MATCH(I965,DB_malas!$A$2:$A$5000,0)),$H965="ORG"),"✔",tulkojums!$A$38),tulkojums!$A$39),tulkojums!$A$39))</f>
        <v/>
      </c>
      <c r="R965" s="2" t="str">
        <f>IF(ISBLANK(J965),"",IF(INDEX(DB_materiali!$E$2:$E$5000,MATCH($C965,DB_materiali!$A$2:$A$5000,0))&gt;=INDEX(DB_malas!$C$2:$C$5000,MATCH(J965,DB_malas!$A$2:$A$5000,0)),IF(INDEX(DB_materiali!$E$2:$E$5000,MATCH($C965,DB_materiali!$A$2:$A$5000,0))&lt;=INDEX(DB_malas!$D$2:$D$5000,MATCH(J965,DB_malas!$A$2:$A$5000,0)),IF(INDEX(DB_materiali!$B$2:$B$5000,MATCH($C965,DB_materiali!$A$2:$A$5000,0))=INDEX(DB_malas!$B$2:$B$5000,MATCH(J965,DB_malas!$A$2:$A$5000,0)),"✔",tulkojums!$A$38),tulkojums!$A$39),tulkojums!$A$39))</f>
        <v/>
      </c>
      <c r="S965" s="2" t="str">
        <f>IF(ISBLANK(K965),"",IF(INDEX(DB_materiali!$E$2:$E$5000,MATCH($C965,DB_materiali!$A$2:$A$5000,0))&gt;=INDEX(DB_malas!$C$2:$C$5000,MATCH(K965,DB_malas!$A$2:$A$5000,0)),IF(INDEX(DB_materiali!$E$2:$E$5000,MATCH($C965,DB_materiali!$A$2:$A$5000,0))&lt;=INDEX(DB_malas!$D$2:$D$5000,MATCH(K965,DB_malas!$A$2:$A$5000,0)),IF(INDEX(DB_materiali!$B$2:$B$5000,MATCH($C965,DB_materiali!$A$2:$A$5000,0))=INDEX(DB_malas!$B$2:$B$5000,MATCH(K965,DB_malas!$A$2:$A$5000,0)),"✔",tulkojums!$A$38),tulkojums!$A$39),tulkojums!$A$39))</f>
        <v/>
      </c>
      <c r="T965" s="2"/>
      <c r="U965" s="2"/>
      <c r="V965" s="2"/>
      <c r="W965" s="2"/>
      <c r="X965" s="2"/>
      <c r="Y965" s="2"/>
      <c r="Z965" s="2"/>
    </row>
    <row r="966" spans="1:26" ht="15.75" customHeight="1">
      <c r="A966" s="17"/>
      <c r="B966" s="18"/>
      <c r="C966" s="19"/>
      <c r="D966" s="55"/>
      <c r="E966" s="55"/>
      <c r="F966" s="56"/>
      <c r="G966" s="57" t="str">
        <f>IF(ISBLANK(C966),"",
   IFERROR(
      IF(
         INDEX(DB_materiali!C$2:C$5000,
               MATCH(C966, DB_materiali!A$2:A$5000, 0)
         )="FALSE",
         "N",
         "Y"
      ),
   "")
)</f>
        <v/>
      </c>
      <c r="H966" s="20"/>
      <c r="I966" s="20"/>
      <c r="J966" s="20"/>
      <c r="K966" s="20"/>
      <c r="M966" s="2" t="str">
        <f>IF(ISBLANK(C966),"",IF(IFERROR(VLOOKUP(C966,DB_materiali!$A$2:$A$5000,1,FALSE),"Kļūda artikulā")=C966,"✔",tulkojums!A$42))</f>
        <v/>
      </c>
      <c r="N966" s="2" t="str">
        <f>IF(ISBLANK(C966),"",IF(ISNUMBER(F966)=TRUE,"✔",tulkojums!A$43))</f>
        <v/>
      </c>
      <c r="O966" s="2" t="str">
        <f>IF(ISBLANK(C966),"",IF(G966="Y","✔",IF(G966="X","✔",IF(G966="N","✔",tulkojums!A$44))))</f>
        <v/>
      </c>
      <c r="P966" s="2" t="str">
        <f>IF(ISBLANK(H966),"",IF(INDEX(DB_materiali!$E$2:$E$5000,MATCH($C966,DB_materiali!$A$2:$A$5000,0))&gt;=INDEX(DB_malas!$C$2:$C$5000,MATCH(H966,DB_malas!$A$2:$A$5000,0)),IF(INDEX(DB_materiali!$E$2:$E$5000,MATCH($C966,DB_materiali!$A$2:$A$5000,0))&lt;=INDEX(DB_malas!$D$2:$D$5000,MATCH(H966,DB_malas!$A$2:$A$5000,0)),IF(OR(INDEX(DB_materiali!$B$2:$B$5000,MATCH($C966,DB_materiali!$A$2:$A$5000,0))=INDEX(DB_malas!$B$2:$B$5000,MATCH(H966,DB_malas!$A$2:$A$5000,0)),$H966="ORG"),"✔",tulkojums!$A$38),tulkojums!$A$39),tulkojums!$A$39))</f>
        <v/>
      </c>
      <c r="Q966" s="2" t="str">
        <f>IF(ISBLANK(I966),"",IF(INDEX(DB_materiali!$E$2:$E$5000,MATCH($C966,DB_materiali!$A$2:$A$5000,0))&gt;=INDEX(DB_malas!$C$2:$C$5000,MATCH(I966,DB_malas!$A$2:$A$5000,0)),IF(INDEX(DB_materiali!$E$2:$E$5000,MATCH($C966,DB_materiali!$A$2:$A$5000,0))&lt;=INDEX(DB_malas!$D$2:$D$5000,MATCH(I966,DB_malas!$A$2:$A$5000,0)),IF(OR(INDEX(DB_materiali!$B$2:$B$5000,MATCH($C966,DB_materiali!$A$2:$A$5000,0))=INDEX(DB_malas!$B$2:$B$5000,MATCH(I966,DB_malas!$A$2:$A$5000,0)),$H966="ORG"),"✔",tulkojums!$A$38),tulkojums!$A$39),tulkojums!$A$39))</f>
        <v/>
      </c>
      <c r="R966" s="2" t="str">
        <f>IF(ISBLANK(J966),"",IF(INDEX(DB_materiali!$E$2:$E$5000,MATCH($C966,DB_materiali!$A$2:$A$5000,0))&gt;=INDEX(DB_malas!$C$2:$C$5000,MATCH(J966,DB_malas!$A$2:$A$5000,0)),IF(INDEX(DB_materiali!$E$2:$E$5000,MATCH($C966,DB_materiali!$A$2:$A$5000,0))&lt;=INDEX(DB_malas!$D$2:$D$5000,MATCH(J966,DB_malas!$A$2:$A$5000,0)),IF(INDEX(DB_materiali!$B$2:$B$5000,MATCH($C966,DB_materiali!$A$2:$A$5000,0))=INDEX(DB_malas!$B$2:$B$5000,MATCH(J966,DB_malas!$A$2:$A$5000,0)),"✔",tulkojums!$A$38),tulkojums!$A$39),tulkojums!$A$39))</f>
        <v/>
      </c>
      <c r="S966" s="2" t="str">
        <f>IF(ISBLANK(K966),"",IF(INDEX(DB_materiali!$E$2:$E$5000,MATCH($C966,DB_materiali!$A$2:$A$5000,0))&gt;=INDEX(DB_malas!$C$2:$C$5000,MATCH(K966,DB_malas!$A$2:$A$5000,0)),IF(INDEX(DB_materiali!$E$2:$E$5000,MATCH($C966,DB_materiali!$A$2:$A$5000,0))&lt;=INDEX(DB_malas!$D$2:$D$5000,MATCH(K966,DB_malas!$A$2:$A$5000,0)),IF(INDEX(DB_materiali!$B$2:$B$5000,MATCH($C966,DB_materiali!$A$2:$A$5000,0))=INDEX(DB_malas!$B$2:$B$5000,MATCH(K966,DB_malas!$A$2:$A$5000,0)),"✔",tulkojums!$A$38),tulkojums!$A$39),tulkojums!$A$39))</f>
        <v/>
      </c>
      <c r="T966" s="2"/>
      <c r="U966" s="2"/>
      <c r="V966" s="2"/>
      <c r="W966" s="2"/>
      <c r="X966" s="2"/>
      <c r="Y966" s="2"/>
      <c r="Z966" s="2"/>
    </row>
    <row r="967" spans="1:26" ht="15.75" customHeight="1">
      <c r="A967" s="17"/>
      <c r="B967" s="18"/>
      <c r="C967" s="19"/>
      <c r="D967" s="55"/>
      <c r="E967" s="55"/>
      <c r="F967" s="56"/>
      <c r="G967" s="57" t="str">
        <f>IF(ISBLANK(C967),"",
   IFERROR(
      IF(
         INDEX(DB_materiali!C$2:C$5000,
               MATCH(C967, DB_materiali!A$2:A$5000, 0)
         )="FALSE",
         "N",
         "Y"
      ),
   "")
)</f>
        <v/>
      </c>
      <c r="H967" s="20"/>
      <c r="I967" s="20"/>
      <c r="J967" s="20"/>
      <c r="K967" s="20"/>
      <c r="M967" s="2" t="str">
        <f>IF(ISBLANK(C967),"",IF(IFERROR(VLOOKUP(C967,DB_materiali!$A$2:$A$5000,1,FALSE),"Kļūda artikulā")=C967,"✔",tulkojums!A$42))</f>
        <v/>
      </c>
      <c r="N967" s="2" t="str">
        <f>IF(ISBLANK(C967),"",IF(ISNUMBER(F967)=TRUE,"✔",tulkojums!A$43))</f>
        <v/>
      </c>
      <c r="O967" s="2" t="str">
        <f>IF(ISBLANK(C967),"",IF(G967="Y","✔",IF(G967="X","✔",IF(G967="N","✔",tulkojums!A$44))))</f>
        <v/>
      </c>
      <c r="P967" s="2" t="str">
        <f>IF(ISBLANK(H967),"",IF(INDEX(DB_materiali!$E$2:$E$5000,MATCH($C967,DB_materiali!$A$2:$A$5000,0))&gt;=INDEX(DB_malas!$C$2:$C$5000,MATCH(H967,DB_malas!$A$2:$A$5000,0)),IF(INDEX(DB_materiali!$E$2:$E$5000,MATCH($C967,DB_materiali!$A$2:$A$5000,0))&lt;=INDEX(DB_malas!$D$2:$D$5000,MATCH(H967,DB_malas!$A$2:$A$5000,0)),IF(OR(INDEX(DB_materiali!$B$2:$B$5000,MATCH($C967,DB_materiali!$A$2:$A$5000,0))=INDEX(DB_malas!$B$2:$B$5000,MATCH(H967,DB_malas!$A$2:$A$5000,0)),$H967="ORG"),"✔",tulkojums!$A$38),tulkojums!$A$39),tulkojums!$A$39))</f>
        <v/>
      </c>
      <c r="Q967" s="2" t="str">
        <f>IF(ISBLANK(I967),"",IF(INDEX(DB_materiali!$E$2:$E$5000,MATCH($C967,DB_materiali!$A$2:$A$5000,0))&gt;=INDEX(DB_malas!$C$2:$C$5000,MATCH(I967,DB_malas!$A$2:$A$5000,0)),IF(INDEX(DB_materiali!$E$2:$E$5000,MATCH($C967,DB_materiali!$A$2:$A$5000,0))&lt;=INDEX(DB_malas!$D$2:$D$5000,MATCH(I967,DB_malas!$A$2:$A$5000,0)),IF(OR(INDEX(DB_materiali!$B$2:$B$5000,MATCH($C967,DB_materiali!$A$2:$A$5000,0))=INDEX(DB_malas!$B$2:$B$5000,MATCH(I967,DB_malas!$A$2:$A$5000,0)),$H967="ORG"),"✔",tulkojums!$A$38),tulkojums!$A$39),tulkojums!$A$39))</f>
        <v/>
      </c>
      <c r="R967" s="2" t="str">
        <f>IF(ISBLANK(J967),"",IF(INDEX(DB_materiali!$E$2:$E$5000,MATCH($C967,DB_materiali!$A$2:$A$5000,0))&gt;=INDEX(DB_malas!$C$2:$C$5000,MATCH(J967,DB_malas!$A$2:$A$5000,0)),IF(INDEX(DB_materiali!$E$2:$E$5000,MATCH($C967,DB_materiali!$A$2:$A$5000,0))&lt;=INDEX(DB_malas!$D$2:$D$5000,MATCH(J967,DB_malas!$A$2:$A$5000,0)),IF(INDEX(DB_materiali!$B$2:$B$5000,MATCH($C967,DB_materiali!$A$2:$A$5000,0))=INDEX(DB_malas!$B$2:$B$5000,MATCH(J967,DB_malas!$A$2:$A$5000,0)),"✔",tulkojums!$A$38),tulkojums!$A$39),tulkojums!$A$39))</f>
        <v/>
      </c>
      <c r="S967" s="2" t="str">
        <f>IF(ISBLANK(K967),"",IF(INDEX(DB_materiali!$E$2:$E$5000,MATCH($C967,DB_materiali!$A$2:$A$5000,0))&gt;=INDEX(DB_malas!$C$2:$C$5000,MATCH(K967,DB_malas!$A$2:$A$5000,0)),IF(INDEX(DB_materiali!$E$2:$E$5000,MATCH($C967,DB_materiali!$A$2:$A$5000,0))&lt;=INDEX(DB_malas!$D$2:$D$5000,MATCH(K967,DB_malas!$A$2:$A$5000,0)),IF(INDEX(DB_materiali!$B$2:$B$5000,MATCH($C967,DB_materiali!$A$2:$A$5000,0))=INDEX(DB_malas!$B$2:$B$5000,MATCH(K967,DB_malas!$A$2:$A$5000,0)),"✔",tulkojums!$A$38),tulkojums!$A$39),tulkojums!$A$39))</f>
        <v/>
      </c>
      <c r="T967" s="2"/>
      <c r="U967" s="2"/>
      <c r="V967" s="2"/>
      <c r="W967" s="2"/>
      <c r="X967" s="2"/>
      <c r="Y967" s="2"/>
      <c r="Z967" s="2"/>
    </row>
    <row r="968" spans="1:26" ht="15.75" customHeight="1">
      <c r="A968" s="17"/>
      <c r="B968" s="18"/>
      <c r="C968" s="19"/>
      <c r="D968" s="55"/>
      <c r="E968" s="55"/>
      <c r="F968" s="56"/>
      <c r="G968" s="57" t="str">
        <f>IF(ISBLANK(C968),"",
   IFERROR(
      IF(
         INDEX(DB_materiali!C$2:C$5000,
               MATCH(C968, DB_materiali!A$2:A$5000, 0)
         )="FALSE",
         "N",
         "Y"
      ),
   "")
)</f>
        <v/>
      </c>
      <c r="H968" s="20"/>
      <c r="I968" s="20"/>
      <c r="J968" s="20"/>
      <c r="K968" s="20"/>
      <c r="M968" s="2" t="str">
        <f>IF(ISBLANK(C968),"",IF(IFERROR(VLOOKUP(C968,DB_materiali!$A$2:$A$5000,1,FALSE),"Kļūda artikulā")=C968,"✔",tulkojums!A$42))</f>
        <v/>
      </c>
      <c r="N968" s="2" t="str">
        <f>IF(ISBLANK(C968),"",IF(ISNUMBER(F968)=TRUE,"✔",tulkojums!A$43))</f>
        <v/>
      </c>
      <c r="O968" s="2" t="str">
        <f>IF(ISBLANK(C968),"",IF(G968="Y","✔",IF(G968="X","✔",IF(G968="N","✔",tulkojums!A$44))))</f>
        <v/>
      </c>
      <c r="P968" s="2" t="str">
        <f>IF(ISBLANK(H968),"",IF(INDEX(DB_materiali!$E$2:$E$5000,MATCH($C968,DB_materiali!$A$2:$A$5000,0))&gt;=INDEX(DB_malas!$C$2:$C$5000,MATCH(H968,DB_malas!$A$2:$A$5000,0)),IF(INDEX(DB_materiali!$E$2:$E$5000,MATCH($C968,DB_materiali!$A$2:$A$5000,0))&lt;=INDEX(DB_malas!$D$2:$D$5000,MATCH(H968,DB_malas!$A$2:$A$5000,0)),IF(OR(INDEX(DB_materiali!$B$2:$B$5000,MATCH($C968,DB_materiali!$A$2:$A$5000,0))=INDEX(DB_malas!$B$2:$B$5000,MATCH(H968,DB_malas!$A$2:$A$5000,0)),$H968="ORG"),"✔",tulkojums!$A$38),tulkojums!$A$39),tulkojums!$A$39))</f>
        <v/>
      </c>
      <c r="Q968" s="2" t="str">
        <f>IF(ISBLANK(I968),"",IF(INDEX(DB_materiali!$E$2:$E$5000,MATCH($C968,DB_materiali!$A$2:$A$5000,0))&gt;=INDEX(DB_malas!$C$2:$C$5000,MATCH(I968,DB_malas!$A$2:$A$5000,0)),IF(INDEX(DB_materiali!$E$2:$E$5000,MATCH($C968,DB_materiali!$A$2:$A$5000,0))&lt;=INDEX(DB_malas!$D$2:$D$5000,MATCH(I968,DB_malas!$A$2:$A$5000,0)),IF(OR(INDEX(DB_materiali!$B$2:$B$5000,MATCH($C968,DB_materiali!$A$2:$A$5000,0))=INDEX(DB_malas!$B$2:$B$5000,MATCH(I968,DB_malas!$A$2:$A$5000,0)),$H968="ORG"),"✔",tulkojums!$A$38),tulkojums!$A$39),tulkojums!$A$39))</f>
        <v/>
      </c>
      <c r="R968" s="2" t="str">
        <f>IF(ISBLANK(J968),"",IF(INDEX(DB_materiali!$E$2:$E$5000,MATCH($C968,DB_materiali!$A$2:$A$5000,0))&gt;=INDEX(DB_malas!$C$2:$C$5000,MATCH(J968,DB_malas!$A$2:$A$5000,0)),IF(INDEX(DB_materiali!$E$2:$E$5000,MATCH($C968,DB_materiali!$A$2:$A$5000,0))&lt;=INDEX(DB_malas!$D$2:$D$5000,MATCH(J968,DB_malas!$A$2:$A$5000,0)),IF(INDEX(DB_materiali!$B$2:$B$5000,MATCH($C968,DB_materiali!$A$2:$A$5000,0))=INDEX(DB_malas!$B$2:$B$5000,MATCH(J968,DB_malas!$A$2:$A$5000,0)),"✔",tulkojums!$A$38),tulkojums!$A$39),tulkojums!$A$39))</f>
        <v/>
      </c>
      <c r="S968" s="2" t="str">
        <f>IF(ISBLANK(K968),"",IF(INDEX(DB_materiali!$E$2:$E$5000,MATCH($C968,DB_materiali!$A$2:$A$5000,0))&gt;=INDEX(DB_malas!$C$2:$C$5000,MATCH(K968,DB_malas!$A$2:$A$5000,0)),IF(INDEX(DB_materiali!$E$2:$E$5000,MATCH($C968,DB_materiali!$A$2:$A$5000,0))&lt;=INDEX(DB_malas!$D$2:$D$5000,MATCH(K968,DB_malas!$A$2:$A$5000,0)),IF(INDEX(DB_materiali!$B$2:$B$5000,MATCH($C968,DB_materiali!$A$2:$A$5000,0))=INDEX(DB_malas!$B$2:$B$5000,MATCH(K968,DB_malas!$A$2:$A$5000,0)),"✔",tulkojums!$A$38),tulkojums!$A$39),tulkojums!$A$39))</f>
        <v/>
      </c>
      <c r="T968" s="2"/>
      <c r="U968" s="2"/>
      <c r="V968" s="2"/>
      <c r="W968" s="2"/>
      <c r="X968" s="2"/>
      <c r="Y968" s="2"/>
      <c r="Z968" s="2"/>
    </row>
    <row r="969" spans="1:26" ht="15.75" customHeight="1">
      <c r="A969" s="17"/>
      <c r="B969" s="18"/>
      <c r="C969" s="19"/>
      <c r="D969" s="55"/>
      <c r="E969" s="55"/>
      <c r="F969" s="56"/>
      <c r="G969" s="57" t="str">
        <f>IF(ISBLANK(C969),"",
   IFERROR(
      IF(
         INDEX(DB_materiali!C$2:C$5000,
               MATCH(C969, DB_materiali!A$2:A$5000, 0)
         )="FALSE",
         "N",
         "Y"
      ),
   "")
)</f>
        <v/>
      </c>
      <c r="H969" s="20"/>
      <c r="I969" s="20"/>
      <c r="J969" s="20"/>
      <c r="K969" s="20"/>
      <c r="M969" s="2" t="str">
        <f>IF(ISBLANK(C969),"",IF(IFERROR(VLOOKUP(C969,DB_materiali!$A$2:$A$5000,1,FALSE),"Kļūda artikulā")=C969,"✔",tulkojums!A$42))</f>
        <v/>
      </c>
      <c r="N969" s="2" t="str">
        <f>IF(ISBLANK(C969),"",IF(ISNUMBER(F969)=TRUE,"✔",tulkojums!A$43))</f>
        <v/>
      </c>
      <c r="O969" s="2" t="str">
        <f>IF(ISBLANK(C969),"",IF(G969="Y","✔",IF(G969="X","✔",IF(G969="N","✔",tulkojums!A$44))))</f>
        <v/>
      </c>
      <c r="P969" s="2" t="str">
        <f>IF(ISBLANK(H969),"",IF(INDEX(DB_materiali!$E$2:$E$5000,MATCH($C969,DB_materiali!$A$2:$A$5000,0))&gt;=INDEX(DB_malas!$C$2:$C$5000,MATCH(H969,DB_malas!$A$2:$A$5000,0)),IF(INDEX(DB_materiali!$E$2:$E$5000,MATCH($C969,DB_materiali!$A$2:$A$5000,0))&lt;=INDEX(DB_malas!$D$2:$D$5000,MATCH(H969,DB_malas!$A$2:$A$5000,0)),IF(OR(INDEX(DB_materiali!$B$2:$B$5000,MATCH($C969,DB_materiali!$A$2:$A$5000,0))=INDEX(DB_malas!$B$2:$B$5000,MATCH(H969,DB_malas!$A$2:$A$5000,0)),$H969="ORG"),"✔",tulkojums!$A$38),tulkojums!$A$39),tulkojums!$A$39))</f>
        <v/>
      </c>
      <c r="Q969" s="2" t="str">
        <f>IF(ISBLANK(I969),"",IF(INDEX(DB_materiali!$E$2:$E$5000,MATCH($C969,DB_materiali!$A$2:$A$5000,0))&gt;=INDEX(DB_malas!$C$2:$C$5000,MATCH(I969,DB_malas!$A$2:$A$5000,0)),IF(INDEX(DB_materiali!$E$2:$E$5000,MATCH($C969,DB_materiali!$A$2:$A$5000,0))&lt;=INDEX(DB_malas!$D$2:$D$5000,MATCH(I969,DB_malas!$A$2:$A$5000,0)),IF(OR(INDEX(DB_materiali!$B$2:$B$5000,MATCH($C969,DB_materiali!$A$2:$A$5000,0))=INDEX(DB_malas!$B$2:$B$5000,MATCH(I969,DB_malas!$A$2:$A$5000,0)),$H969="ORG"),"✔",tulkojums!$A$38),tulkojums!$A$39),tulkojums!$A$39))</f>
        <v/>
      </c>
      <c r="R969" s="2" t="str">
        <f>IF(ISBLANK(J969),"",IF(INDEX(DB_materiali!$E$2:$E$5000,MATCH($C969,DB_materiali!$A$2:$A$5000,0))&gt;=INDEX(DB_malas!$C$2:$C$5000,MATCH(J969,DB_malas!$A$2:$A$5000,0)),IF(INDEX(DB_materiali!$E$2:$E$5000,MATCH($C969,DB_materiali!$A$2:$A$5000,0))&lt;=INDEX(DB_malas!$D$2:$D$5000,MATCH(J969,DB_malas!$A$2:$A$5000,0)),IF(INDEX(DB_materiali!$B$2:$B$5000,MATCH($C969,DB_materiali!$A$2:$A$5000,0))=INDEX(DB_malas!$B$2:$B$5000,MATCH(J969,DB_malas!$A$2:$A$5000,0)),"✔",tulkojums!$A$38),tulkojums!$A$39),tulkojums!$A$39))</f>
        <v/>
      </c>
      <c r="S969" s="2" t="str">
        <f>IF(ISBLANK(K969),"",IF(INDEX(DB_materiali!$E$2:$E$5000,MATCH($C969,DB_materiali!$A$2:$A$5000,0))&gt;=INDEX(DB_malas!$C$2:$C$5000,MATCH(K969,DB_malas!$A$2:$A$5000,0)),IF(INDEX(DB_materiali!$E$2:$E$5000,MATCH($C969,DB_materiali!$A$2:$A$5000,0))&lt;=INDEX(DB_malas!$D$2:$D$5000,MATCH(K969,DB_malas!$A$2:$A$5000,0)),IF(INDEX(DB_materiali!$B$2:$B$5000,MATCH($C969,DB_materiali!$A$2:$A$5000,0))=INDEX(DB_malas!$B$2:$B$5000,MATCH(K969,DB_malas!$A$2:$A$5000,0)),"✔",tulkojums!$A$38),tulkojums!$A$39),tulkojums!$A$39))</f>
        <v/>
      </c>
      <c r="T969" s="2"/>
      <c r="U969" s="2"/>
      <c r="V969" s="2"/>
      <c r="W969" s="2"/>
      <c r="X969" s="2"/>
      <c r="Y969" s="2"/>
      <c r="Z969" s="2"/>
    </row>
    <row r="970" spans="1:26" ht="15.75" customHeight="1">
      <c r="A970" s="17"/>
      <c r="B970" s="18"/>
      <c r="C970" s="19"/>
      <c r="D970" s="55"/>
      <c r="E970" s="55"/>
      <c r="F970" s="56"/>
      <c r="G970" s="57" t="str">
        <f>IF(ISBLANK(C970),"",
   IFERROR(
      IF(
         INDEX(DB_materiali!C$2:C$5000,
               MATCH(C970, DB_materiali!A$2:A$5000, 0)
         )="FALSE",
         "N",
         "Y"
      ),
   "")
)</f>
        <v/>
      </c>
      <c r="H970" s="20"/>
      <c r="I970" s="20"/>
      <c r="J970" s="20"/>
      <c r="K970" s="20"/>
      <c r="M970" s="2" t="str">
        <f>IF(ISBLANK(C970),"",IF(IFERROR(VLOOKUP(C970,DB_materiali!$A$2:$A$5000,1,FALSE),"Kļūda artikulā")=C970,"✔",tulkojums!A$42))</f>
        <v/>
      </c>
      <c r="N970" s="2" t="str">
        <f>IF(ISBLANK(C970),"",IF(ISNUMBER(F970)=TRUE,"✔",tulkojums!A$43))</f>
        <v/>
      </c>
      <c r="O970" s="2" t="str">
        <f>IF(ISBLANK(C970),"",IF(G970="Y","✔",IF(G970="X","✔",IF(G970="N","✔",tulkojums!A$44))))</f>
        <v/>
      </c>
      <c r="P970" s="2" t="str">
        <f>IF(ISBLANK(H970),"",IF(INDEX(DB_materiali!$E$2:$E$5000,MATCH($C970,DB_materiali!$A$2:$A$5000,0))&gt;=INDEX(DB_malas!$C$2:$C$5000,MATCH(H970,DB_malas!$A$2:$A$5000,0)),IF(INDEX(DB_materiali!$E$2:$E$5000,MATCH($C970,DB_materiali!$A$2:$A$5000,0))&lt;=INDEX(DB_malas!$D$2:$D$5000,MATCH(H970,DB_malas!$A$2:$A$5000,0)),IF(OR(INDEX(DB_materiali!$B$2:$B$5000,MATCH($C970,DB_materiali!$A$2:$A$5000,0))=INDEX(DB_malas!$B$2:$B$5000,MATCH(H970,DB_malas!$A$2:$A$5000,0)),$H970="ORG"),"✔",tulkojums!$A$38),tulkojums!$A$39),tulkojums!$A$39))</f>
        <v/>
      </c>
      <c r="Q970" s="2" t="str">
        <f>IF(ISBLANK(I970),"",IF(INDEX(DB_materiali!$E$2:$E$5000,MATCH($C970,DB_materiali!$A$2:$A$5000,0))&gt;=INDEX(DB_malas!$C$2:$C$5000,MATCH(I970,DB_malas!$A$2:$A$5000,0)),IF(INDEX(DB_materiali!$E$2:$E$5000,MATCH($C970,DB_materiali!$A$2:$A$5000,0))&lt;=INDEX(DB_malas!$D$2:$D$5000,MATCH(I970,DB_malas!$A$2:$A$5000,0)),IF(OR(INDEX(DB_materiali!$B$2:$B$5000,MATCH($C970,DB_materiali!$A$2:$A$5000,0))=INDEX(DB_malas!$B$2:$B$5000,MATCH(I970,DB_malas!$A$2:$A$5000,0)),$H970="ORG"),"✔",tulkojums!$A$38),tulkojums!$A$39),tulkojums!$A$39))</f>
        <v/>
      </c>
      <c r="R970" s="2" t="str">
        <f>IF(ISBLANK(J970),"",IF(INDEX(DB_materiali!$E$2:$E$5000,MATCH($C970,DB_materiali!$A$2:$A$5000,0))&gt;=INDEX(DB_malas!$C$2:$C$5000,MATCH(J970,DB_malas!$A$2:$A$5000,0)),IF(INDEX(DB_materiali!$E$2:$E$5000,MATCH($C970,DB_materiali!$A$2:$A$5000,0))&lt;=INDEX(DB_malas!$D$2:$D$5000,MATCH(J970,DB_malas!$A$2:$A$5000,0)),IF(INDEX(DB_materiali!$B$2:$B$5000,MATCH($C970,DB_materiali!$A$2:$A$5000,0))=INDEX(DB_malas!$B$2:$B$5000,MATCH(J970,DB_malas!$A$2:$A$5000,0)),"✔",tulkojums!$A$38),tulkojums!$A$39),tulkojums!$A$39))</f>
        <v/>
      </c>
      <c r="S970" s="2" t="str">
        <f>IF(ISBLANK(K970),"",IF(INDEX(DB_materiali!$E$2:$E$5000,MATCH($C970,DB_materiali!$A$2:$A$5000,0))&gt;=INDEX(DB_malas!$C$2:$C$5000,MATCH(K970,DB_malas!$A$2:$A$5000,0)),IF(INDEX(DB_materiali!$E$2:$E$5000,MATCH($C970,DB_materiali!$A$2:$A$5000,0))&lt;=INDEX(DB_malas!$D$2:$D$5000,MATCH(K970,DB_malas!$A$2:$A$5000,0)),IF(INDEX(DB_materiali!$B$2:$B$5000,MATCH($C970,DB_materiali!$A$2:$A$5000,0))=INDEX(DB_malas!$B$2:$B$5000,MATCH(K970,DB_malas!$A$2:$A$5000,0)),"✔",tulkojums!$A$38),tulkojums!$A$39),tulkojums!$A$39))</f>
        <v/>
      </c>
      <c r="T970" s="2"/>
      <c r="U970" s="2"/>
      <c r="V970" s="2"/>
      <c r="W970" s="2"/>
      <c r="X970" s="2"/>
      <c r="Y970" s="2"/>
      <c r="Z970" s="2"/>
    </row>
    <row r="971" spans="1:26" ht="15.75" customHeight="1">
      <c r="A971" s="17"/>
      <c r="B971" s="18"/>
      <c r="C971" s="19"/>
      <c r="D971" s="55"/>
      <c r="E971" s="55"/>
      <c r="F971" s="56"/>
      <c r="G971" s="57" t="str">
        <f>IF(ISBLANK(C971),"",
   IFERROR(
      IF(
         INDEX(DB_materiali!C$2:C$5000,
               MATCH(C971, DB_materiali!A$2:A$5000, 0)
         )="FALSE",
         "N",
         "Y"
      ),
   "")
)</f>
        <v/>
      </c>
      <c r="H971" s="20"/>
      <c r="I971" s="20"/>
      <c r="J971" s="20"/>
      <c r="K971" s="20"/>
      <c r="M971" s="2" t="str">
        <f>IF(ISBLANK(C971),"",IF(IFERROR(VLOOKUP(C971,DB_materiali!$A$2:$A$5000,1,FALSE),"Kļūda artikulā")=C971,"✔",tulkojums!A$42))</f>
        <v/>
      </c>
      <c r="N971" s="2" t="str">
        <f>IF(ISBLANK(C971),"",IF(ISNUMBER(F971)=TRUE,"✔",tulkojums!A$43))</f>
        <v/>
      </c>
      <c r="O971" s="2" t="str">
        <f>IF(ISBLANK(C971),"",IF(G971="Y","✔",IF(G971="X","✔",IF(G971="N","✔",tulkojums!A$44))))</f>
        <v/>
      </c>
      <c r="P971" s="2" t="str">
        <f>IF(ISBLANK(H971),"",IF(INDEX(DB_materiali!$E$2:$E$5000,MATCH($C971,DB_materiali!$A$2:$A$5000,0))&gt;=INDEX(DB_malas!$C$2:$C$5000,MATCH(H971,DB_malas!$A$2:$A$5000,0)),IF(INDEX(DB_materiali!$E$2:$E$5000,MATCH($C971,DB_materiali!$A$2:$A$5000,0))&lt;=INDEX(DB_malas!$D$2:$D$5000,MATCH(H971,DB_malas!$A$2:$A$5000,0)),IF(OR(INDEX(DB_materiali!$B$2:$B$5000,MATCH($C971,DB_materiali!$A$2:$A$5000,0))=INDEX(DB_malas!$B$2:$B$5000,MATCH(H971,DB_malas!$A$2:$A$5000,0)),$H971="ORG"),"✔",tulkojums!$A$38),tulkojums!$A$39),tulkojums!$A$39))</f>
        <v/>
      </c>
      <c r="Q971" s="2" t="str">
        <f>IF(ISBLANK(I971),"",IF(INDEX(DB_materiali!$E$2:$E$5000,MATCH($C971,DB_materiali!$A$2:$A$5000,0))&gt;=INDEX(DB_malas!$C$2:$C$5000,MATCH(I971,DB_malas!$A$2:$A$5000,0)),IF(INDEX(DB_materiali!$E$2:$E$5000,MATCH($C971,DB_materiali!$A$2:$A$5000,0))&lt;=INDEX(DB_malas!$D$2:$D$5000,MATCH(I971,DB_malas!$A$2:$A$5000,0)),IF(OR(INDEX(DB_materiali!$B$2:$B$5000,MATCH($C971,DB_materiali!$A$2:$A$5000,0))=INDEX(DB_malas!$B$2:$B$5000,MATCH(I971,DB_malas!$A$2:$A$5000,0)),$H971="ORG"),"✔",tulkojums!$A$38),tulkojums!$A$39),tulkojums!$A$39))</f>
        <v/>
      </c>
      <c r="R971" s="2" t="str">
        <f>IF(ISBLANK(J971),"",IF(INDEX(DB_materiali!$E$2:$E$5000,MATCH($C971,DB_materiali!$A$2:$A$5000,0))&gt;=INDEX(DB_malas!$C$2:$C$5000,MATCH(J971,DB_malas!$A$2:$A$5000,0)),IF(INDEX(DB_materiali!$E$2:$E$5000,MATCH($C971,DB_materiali!$A$2:$A$5000,0))&lt;=INDEX(DB_malas!$D$2:$D$5000,MATCH(J971,DB_malas!$A$2:$A$5000,0)),IF(INDEX(DB_materiali!$B$2:$B$5000,MATCH($C971,DB_materiali!$A$2:$A$5000,0))=INDEX(DB_malas!$B$2:$B$5000,MATCH(J971,DB_malas!$A$2:$A$5000,0)),"✔",tulkojums!$A$38),tulkojums!$A$39),tulkojums!$A$39))</f>
        <v/>
      </c>
      <c r="S971" s="2" t="str">
        <f>IF(ISBLANK(K971),"",IF(INDEX(DB_materiali!$E$2:$E$5000,MATCH($C971,DB_materiali!$A$2:$A$5000,0))&gt;=INDEX(DB_malas!$C$2:$C$5000,MATCH(K971,DB_malas!$A$2:$A$5000,0)),IF(INDEX(DB_materiali!$E$2:$E$5000,MATCH($C971,DB_materiali!$A$2:$A$5000,0))&lt;=INDEX(DB_malas!$D$2:$D$5000,MATCH(K971,DB_malas!$A$2:$A$5000,0)),IF(INDEX(DB_materiali!$B$2:$B$5000,MATCH($C971,DB_materiali!$A$2:$A$5000,0))=INDEX(DB_malas!$B$2:$B$5000,MATCH(K971,DB_malas!$A$2:$A$5000,0)),"✔",tulkojums!$A$38),tulkojums!$A$39),tulkojums!$A$39))</f>
        <v/>
      </c>
      <c r="T971" s="2"/>
      <c r="U971" s="2"/>
      <c r="V971" s="2"/>
      <c r="W971" s="2"/>
      <c r="X971" s="2"/>
      <c r="Y971" s="2"/>
      <c r="Z971" s="2"/>
    </row>
    <row r="972" spans="1:26" ht="15.75" customHeight="1">
      <c r="A972" s="17"/>
      <c r="B972" s="18"/>
      <c r="C972" s="19"/>
      <c r="D972" s="55"/>
      <c r="E972" s="55"/>
      <c r="F972" s="56"/>
      <c r="G972" s="57" t="str">
        <f>IF(ISBLANK(C972),"",
   IFERROR(
      IF(
         INDEX(DB_materiali!C$2:C$5000,
               MATCH(C972, DB_materiali!A$2:A$5000, 0)
         )="FALSE",
         "N",
         "Y"
      ),
   "")
)</f>
        <v/>
      </c>
      <c r="H972" s="20"/>
      <c r="I972" s="20"/>
      <c r="J972" s="20"/>
      <c r="K972" s="20"/>
      <c r="M972" s="2" t="str">
        <f>IF(ISBLANK(C972),"",IF(IFERROR(VLOOKUP(C972,DB_materiali!$A$2:$A$5000,1,FALSE),"Kļūda artikulā")=C972,"✔",tulkojums!A$42))</f>
        <v/>
      </c>
      <c r="N972" s="2" t="str">
        <f>IF(ISBLANK(C972),"",IF(ISNUMBER(F972)=TRUE,"✔",tulkojums!A$43))</f>
        <v/>
      </c>
      <c r="O972" s="2" t="str">
        <f>IF(ISBLANK(C972),"",IF(G972="Y","✔",IF(G972="X","✔",IF(G972="N","✔",tulkojums!A$44))))</f>
        <v/>
      </c>
      <c r="P972" s="2" t="str">
        <f>IF(ISBLANK(H972),"",IF(INDEX(DB_materiali!$E$2:$E$5000,MATCH($C972,DB_materiali!$A$2:$A$5000,0))&gt;=INDEX(DB_malas!$C$2:$C$5000,MATCH(H972,DB_malas!$A$2:$A$5000,0)),IF(INDEX(DB_materiali!$E$2:$E$5000,MATCH($C972,DB_materiali!$A$2:$A$5000,0))&lt;=INDEX(DB_malas!$D$2:$D$5000,MATCH(H972,DB_malas!$A$2:$A$5000,0)),IF(OR(INDEX(DB_materiali!$B$2:$B$5000,MATCH($C972,DB_materiali!$A$2:$A$5000,0))=INDEX(DB_malas!$B$2:$B$5000,MATCH(H972,DB_malas!$A$2:$A$5000,0)),$H972="ORG"),"✔",tulkojums!$A$38),tulkojums!$A$39),tulkojums!$A$39))</f>
        <v/>
      </c>
      <c r="Q972" s="2" t="str">
        <f>IF(ISBLANK(I972),"",IF(INDEX(DB_materiali!$E$2:$E$5000,MATCH($C972,DB_materiali!$A$2:$A$5000,0))&gt;=INDEX(DB_malas!$C$2:$C$5000,MATCH(I972,DB_malas!$A$2:$A$5000,0)),IF(INDEX(DB_materiali!$E$2:$E$5000,MATCH($C972,DB_materiali!$A$2:$A$5000,0))&lt;=INDEX(DB_malas!$D$2:$D$5000,MATCH(I972,DB_malas!$A$2:$A$5000,0)),IF(OR(INDEX(DB_materiali!$B$2:$B$5000,MATCH($C972,DB_materiali!$A$2:$A$5000,0))=INDEX(DB_malas!$B$2:$B$5000,MATCH(I972,DB_malas!$A$2:$A$5000,0)),$H972="ORG"),"✔",tulkojums!$A$38),tulkojums!$A$39),tulkojums!$A$39))</f>
        <v/>
      </c>
      <c r="R972" s="2" t="str">
        <f>IF(ISBLANK(J972),"",IF(INDEX(DB_materiali!$E$2:$E$5000,MATCH($C972,DB_materiali!$A$2:$A$5000,0))&gt;=INDEX(DB_malas!$C$2:$C$5000,MATCH(J972,DB_malas!$A$2:$A$5000,0)),IF(INDEX(DB_materiali!$E$2:$E$5000,MATCH($C972,DB_materiali!$A$2:$A$5000,0))&lt;=INDEX(DB_malas!$D$2:$D$5000,MATCH(J972,DB_malas!$A$2:$A$5000,0)),IF(INDEX(DB_materiali!$B$2:$B$5000,MATCH($C972,DB_materiali!$A$2:$A$5000,0))=INDEX(DB_malas!$B$2:$B$5000,MATCH(J972,DB_malas!$A$2:$A$5000,0)),"✔",tulkojums!$A$38),tulkojums!$A$39),tulkojums!$A$39))</f>
        <v/>
      </c>
      <c r="S972" s="2" t="str">
        <f>IF(ISBLANK(K972),"",IF(INDEX(DB_materiali!$E$2:$E$5000,MATCH($C972,DB_materiali!$A$2:$A$5000,0))&gt;=INDEX(DB_malas!$C$2:$C$5000,MATCH(K972,DB_malas!$A$2:$A$5000,0)),IF(INDEX(DB_materiali!$E$2:$E$5000,MATCH($C972,DB_materiali!$A$2:$A$5000,0))&lt;=INDEX(DB_malas!$D$2:$D$5000,MATCH(K972,DB_malas!$A$2:$A$5000,0)),IF(INDEX(DB_materiali!$B$2:$B$5000,MATCH($C972,DB_materiali!$A$2:$A$5000,0))=INDEX(DB_malas!$B$2:$B$5000,MATCH(K972,DB_malas!$A$2:$A$5000,0)),"✔",tulkojums!$A$38),tulkojums!$A$39),tulkojums!$A$39))</f>
        <v/>
      </c>
      <c r="T972" s="2"/>
      <c r="U972" s="2"/>
      <c r="V972" s="2"/>
      <c r="W972" s="2"/>
      <c r="X972" s="2"/>
      <c r="Y972" s="2"/>
      <c r="Z972" s="2"/>
    </row>
    <row r="973" spans="1:26" ht="15.75" customHeight="1">
      <c r="A973" s="17"/>
      <c r="B973" s="18"/>
      <c r="C973" s="19"/>
      <c r="D973" s="55"/>
      <c r="E973" s="55"/>
      <c r="F973" s="56"/>
      <c r="G973" s="57" t="str">
        <f>IF(ISBLANK(C973),"",
   IFERROR(
      IF(
         INDEX(DB_materiali!C$2:C$5000,
               MATCH(C973, DB_materiali!A$2:A$5000, 0)
         )="FALSE",
         "N",
         "Y"
      ),
   "")
)</f>
        <v/>
      </c>
      <c r="H973" s="20"/>
      <c r="I973" s="20"/>
      <c r="J973" s="20"/>
      <c r="K973" s="20"/>
      <c r="M973" s="2" t="str">
        <f>IF(ISBLANK(C973),"",IF(IFERROR(VLOOKUP(C973,DB_materiali!$A$2:$A$5000,1,FALSE),"Kļūda artikulā")=C973,"✔",tulkojums!A$42))</f>
        <v/>
      </c>
      <c r="N973" s="2" t="str">
        <f>IF(ISBLANK(C973),"",IF(ISNUMBER(F973)=TRUE,"✔",tulkojums!A$43))</f>
        <v/>
      </c>
      <c r="O973" s="2" t="str">
        <f>IF(ISBLANK(C973),"",IF(G973="Y","✔",IF(G973="X","✔",IF(G973="N","✔",tulkojums!A$44))))</f>
        <v/>
      </c>
      <c r="P973" s="2" t="str">
        <f>IF(ISBLANK(H973),"",IF(INDEX(DB_materiali!$E$2:$E$5000,MATCH($C973,DB_materiali!$A$2:$A$5000,0))&gt;=INDEX(DB_malas!$C$2:$C$5000,MATCH(H973,DB_malas!$A$2:$A$5000,0)),IF(INDEX(DB_materiali!$E$2:$E$5000,MATCH($C973,DB_materiali!$A$2:$A$5000,0))&lt;=INDEX(DB_malas!$D$2:$D$5000,MATCH(H973,DB_malas!$A$2:$A$5000,0)),IF(OR(INDEX(DB_materiali!$B$2:$B$5000,MATCH($C973,DB_materiali!$A$2:$A$5000,0))=INDEX(DB_malas!$B$2:$B$5000,MATCH(H973,DB_malas!$A$2:$A$5000,0)),$H973="ORG"),"✔",tulkojums!$A$38),tulkojums!$A$39),tulkojums!$A$39))</f>
        <v/>
      </c>
      <c r="Q973" s="2" t="str">
        <f>IF(ISBLANK(I973),"",IF(INDEX(DB_materiali!$E$2:$E$5000,MATCH($C973,DB_materiali!$A$2:$A$5000,0))&gt;=INDEX(DB_malas!$C$2:$C$5000,MATCH(I973,DB_malas!$A$2:$A$5000,0)),IF(INDEX(DB_materiali!$E$2:$E$5000,MATCH($C973,DB_materiali!$A$2:$A$5000,0))&lt;=INDEX(DB_malas!$D$2:$D$5000,MATCH(I973,DB_malas!$A$2:$A$5000,0)),IF(OR(INDEX(DB_materiali!$B$2:$B$5000,MATCH($C973,DB_materiali!$A$2:$A$5000,0))=INDEX(DB_malas!$B$2:$B$5000,MATCH(I973,DB_malas!$A$2:$A$5000,0)),$H973="ORG"),"✔",tulkojums!$A$38),tulkojums!$A$39),tulkojums!$A$39))</f>
        <v/>
      </c>
      <c r="R973" s="2" t="str">
        <f>IF(ISBLANK(J973),"",IF(INDEX(DB_materiali!$E$2:$E$5000,MATCH($C973,DB_materiali!$A$2:$A$5000,0))&gt;=INDEX(DB_malas!$C$2:$C$5000,MATCH(J973,DB_malas!$A$2:$A$5000,0)),IF(INDEX(DB_materiali!$E$2:$E$5000,MATCH($C973,DB_materiali!$A$2:$A$5000,0))&lt;=INDEX(DB_malas!$D$2:$D$5000,MATCH(J973,DB_malas!$A$2:$A$5000,0)),IF(INDEX(DB_materiali!$B$2:$B$5000,MATCH($C973,DB_materiali!$A$2:$A$5000,0))=INDEX(DB_malas!$B$2:$B$5000,MATCH(J973,DB_malas!$A$2:$A$5000,0)),"✔",tulkojums!$A$38),tulkojums!$A$39),tulkojums!$A$39))</f>
        <v/>
      </c>
      <c r="S973" s="2" t="str">
        <f>IF(ISBLANK(K973),"",IF(INDEX(DB_materiali!$E$2:$E$5000,MATCH($C973,DB_materiali!$A$2:$A$5000,0))&gt;=INDEX(DB_malas!$C$2:$C$5000,MATCH(K973,DB_malas!$A$2:$A$5000,0)),IF(INDEX(DB_materiali!$E$2:$E$5000,MATCH($C973,DB_materiali!$A$2:$A$5000,0))&lt;=INDEX(DB_malas!$D$2:$D$5000,MATCH(K973,DB_malas!$A$2:$A$5000,0)),IF(INDEX(DB_materiali!$B$2:$B$5000,MATCH($C973,DB_materiali!$A$2:$A$5000,0))=INDEX(DB_malas!$B$2:$B$5000,MATCH(K973,DB_malas!$A$2:$A$5000,0)),"✔",tulkojums!$A$38),tulkojums!$A$39),tulkojums!$A$39))</f>
        <v/>
      </c>
      <c r="T973" s="2"/>
      <c r="U973" s="2"/>
      <c r="V973" s="2"/>
      <c r="W973" s="2"/>
      <c r="X973" s="2"/>
      <c r="Y973" s="2"/>
      <c r="Z973" s="2"/>
    </row>
    <row r="974" spans="1:26" ht="15.75" customHeight="1">
      <c r="A974" s="17"/>
      <c r="B974" s="18"/>
      <c r="C974" s="19"/>
      <c r="D974" s="55"/>
      <c r="E974" s="55"/>
      <c r="F974" s="56"/>
      <c r="G974" s="57" t="str">
        <f>IF(ISBLANK(C974),"",
   IFERROR(
      IF(
         INDEX(DB_materiali!C$2:C$5000,
               MATCH(C974, DB_materiali!A$2:A$5000, 0)
         )="FALSE",
         "N",
         "Y"
      ),
   "")
)</f>
        <v/>
      </c>
      <c r="H974" s="20"/>
      <c r="I974" s="20"/>
      <c r="J974" s="20"/>
      <c r="K974" s="20"/>
      <c r="M974" s="2" t="str">
        <f>IF(ISBLANK(C974),"",IF(IFERROR(VLOOKUP(C974,DB_materiali!$A$2:$A$5000,1,FALSE),"Kļūda artikulā")=C974,"✔",tulkojums!A$42))</f>
        <v/>
      </c>
      <c r="N974" s="2" t="str">
        <f>IF(ISBLANK(C974),"",IF(ISNUMBER(F974)=TRUE,"✔",tulkojums!A$43))</f>
        <v/>
      </c>
      <c r="O974" s="2" t="str">
        <f>IF(ISBLANK(C974),"",IF(G974="Y","✔",IF(G974="X","✔",IF(G974="N","✔",tulkojums!A$44))))</f>
        <v/>
      </c>
      <c r="P974" s="2" t="str">
        <f>IF(ISBLANK(H974),"",IF(INDEX(DB_materiali!$E$2:$E$5000,MATCH($C974,DB_materiali!$A$2:$A$5000,0))&gt;=INDEX(DB_malas!$C$2:$C$5000,MATCH(H974,DB_malas!$A$2:$A$5000,0)),IF(INDEX(DB_materiali!$E$2:$E$5000,MATCH($C974,DB_materiali!$A$2:$A$5000,0))&lt;=INDEX(DB_malas!$D$2:$D$5000,MATCH(H974,DB_malas!$A$2:$A$5000,0)),IF(OR(INDEX(DB_materiali!$B$2:$B$5000,MATCH($C974,DB_materiali!$A$2:$A$5000,0))=INDEX(DB_malas!$B$2:$B$5000,MATCH(H974,DB_malas!$A$2:$A$5000,0)),$H974="ORG"),"✔",tulkojums!$A$38),tulkojums!$A$39),tulkojums!$A$39))</f>
        <v/>
      </c>
      <c r="Q974" s="2" t="str">
        <f>IF(ISBLANK(I974),"",IF(INDEX(DB_materiali!$E$2:$E$5000,MATCH($C974,DB_materiali!$A$2:$A$5000,0))&gt;=INDEX(DB_malas!$C$2:$C$5000,MATCH(I974,DB_malas!$A$2:$A$5000,0)),IF(INDEX(DB_materiali!$E$2:$E$5000,MATCH($C974,DB_materiali!$A$2:$A$5000,0))&lt;=INDEX(DB_malas!$D$2:$D$5000,MATCH(I974,DB_malas!$A$2:$A$5000,0)),IF(OR(INDEX(DB_materiali!$B$2:$B$5000,MATCH($C974,DB_materiali!$A$2:$A$5000,0))=INDEX(DB_malas!$B$2:$B$5000,MATCH(I974,DB_malas!$A$2:$A$5000,0)),$H974="ORG"),"✔",tulkojums!$A$38),tulkojums!$A$39),tulkojums!$A$39))</f>
        <v/>
      </c>
      <c r="R974" s="2" t="str">
        <f>IF(ISBLANK(J974),"",IF(INDEX(DB_materiali!$E$2:$E$5000,MATCH($C974,DB_materiali!$A$2:$A$5000,0))&gt;=INDEX(DB_malas!$C$2:$C$5000,MATCH(J974,DB_malas!$A$2:$A$5000,0)),IF(INDEX(DB_materiali!$E$2:$E$5000,MATCH($C974,DB_materiali!$A$2:$A$5000,0))&lt;=INDEX(DB_malas!$D$2:$D$5000,MATCH(J974,DB_malas!$A$2:$A$5000,0)),IF(INDEX(DB_materiali!$B$2:$B$5000,MATCH($C974,DB_materiali!$A$2:$A$5000,0))=INDEX(DB_malas!$B$2:$B$5000,MATCH(J974,DB_malas!$A$2:$A$5000,0)),"✔",tulkojums!$A$38),tulkojums!$A$39),tulkojums!$A$39))</f>
        <v/>
      </c>
      <c r="S974" s="2" t="str">
        <f>IF(ISBLANK(K974),"",IF(INDEX(DB_materiali!$E$2:$E$5000,MATCH($C974,DB_materiali!$A$2:$A$5000,0))&gt;=INDEX(DB_malas!$C$2:$C$5000,MATCH(K974,DB_malas!$A$2:$A$5000,0)),IF(INDEX(DB_materiali!$E$2:$E$5000,MATCH($C974,DB_materiali!$A$2:$A$5000,0))&lt;=INDEX(DB_malas!$D$2:$D$5000,MATCH(K974,DB_malas!$A$2:$A$5000,0)),IF(INDEX(DB_materiali!$B$2:$B$5000,MATCH($C974,DB_materiali!$A$2:$A$5000,0))=INDEX(DB_malas!$B$2:$B$5000,MATCH(K974,DB_malas!$A$2:$A$5000,0)),"✔",tulkojums!$A$38),tulkojums!$A$39),tulkojums!$A$39))</f>
        <v/>
      </c>
      <c r="T974" s="2"/>
      <c r="U974" s="2"/>
      <c r="V974" s="2"/>
      <c r="W974" s="2"/>
      <c r="X974" s="2"/>
      <c r="Y974" s="2"/>
      <c r="Z974" s="2"/>
    </row>
    <row r="975" spans="1:26" ht="15.75" customHeight="1">
      <c r="A975" s="17"/>
      <c r="B975" s="18"/>
      <c r="C975" s="19"/>
      <c r="D975" s="55"/>
      <c r="E975" s="55"/>
      <c r="F975" s="56"/>
      <c r="G975" s="57" t="str">
        <f>IF(ISBLANK(C975),"",
   IFERROR(
      IF(
         INDEX(DB_materiali!C$2:C$5000,
               MATCH(C975, DB_materiali!A$2:A$5000, 0)
         )="FALSE",
         "N",
         "Y"
      ),
   "")
)</f>
        <v/>
      </c>
      <c r="H975" s="20"/>
      <c r="I975" s="20"/>
      <c r="J975" s="20"/>
      <c r="K975" s="20"/>
      <c r="M975" s="2" t="str">
        <f>IF(ISBLANK(C975),"",IF(IFERROR(VLOOKUP(C975,DB_materiali!$A$2:$A$5000,1,FALSE),"Kļūda artikulā")=C975,"✔",tulkojums!A$42))</f>
        <v/>
      </c>
      <c r="N975" s="2" t="str">
        <f>IF(ISBLANK(C975),"",IF(ISNUMBER(F975)=TRUE,"✔",tulkojums!A$43))</f>
        <v/>
      </c>
      <c r="O975" s="2" t="str">
        <f>IF(ISBLANK(C975),"",IF(G975="Y","✔",IF(G975="X","✔",IF(G975="N","✔",tulkojums!A$44))))</f>
        <v/>
      </c>
      <c r="P975" s="2" t="str">
        <f>IF(ISBLANK(H975),"",IF(INDEX(DB_materiali!$E$2:$E$5000,MATCH($C975,DB_materiali!$A$2:$A$5000,0))&gt;=INDEX(DB_malas!$C$2:$C$5000,MATCH(H975,DB_malas!$A$2:$A$5000,0)),IF(INDEX(DB_materiali!$E$2:$E$5000,MATCH($C975,DB_materiali!$A$2:$A$5000,0))&lt;=INDEX(DB_malas!$D$2:$D$5000,MATCH(H975,DB_malas!$A$2:$A$5000,0)),IF(OR(INDEX(DB_materiali!$B$2:$B$5000,MATCH($C975,DB_materiali!$A$2:$A$5000,0))=INDEX(DB_malas!$B$2:$B$5000,MATCH(H975,DB_malas!$A$2:$A$5000,0)),$H975="ORG"),"✔",tulkojums!$A$38),tulkojums!$A$39),tulkojums!$A$39))</f>
        <v/>
      </c>
      <c r="Q975" s="2" t="str">
        <f>IF(ISBLANK(I975),"",IF(INDEX(DB_materiali!$E$2:$E$5000,MATCH($C975,DB_materiali!$A$2:$A$5000,0))&gt;=INDEX(DB_malas!$C$2:$C$5000,MATCH(I975,DB_malas!$A$2:$A$5000,0)),IF(INDEX(DB_materiali!$E$2:$E$5000,MATCH($C975,DB_materiali!$A$2:$A$5000,0))&lt;=INDEX(DB_malas!$D$2:$D$5000,MATCH(I975,DB_malas!$A$2:$A$5000,0)),IF(OR(INDEX(DB_materiali!$B$2:$B$5000,MATCH($C975,DB_materiali!$A$2:$A$5000,0))=INDEX(DB_malas!$B$2:$B$5000,MATCH(I975,DB_malas!$A$2:$A$5000,0)),$H975="ORG"),"✔",tulkojums!$A$38),tulkojums!$A$39),tulkojums!$A$39))</f>
        <v/>
      </c>
      <c r="R975" s="2" t="str">
        <f>IF(ISBLANK(J975),"",IF(INDEX(DB_materiali!$E$2:$E$5000,MATCH($C975,DB_materiali!$A$2:$A$5000,0))&gt;=INDEX(DB_malas!$C$2:$C$5000,MATCH(J975,DB_malas!$A$2:$A$5000,0)),IF(INDEX(DB_materiali!$E$2:$E$5000,MATCH($C975,DB_materiali!$A$2:$A$5000,0))&lt;=INDEX(DB_malas!$D$2:$D$5000,MATCH(J975,DB_malas!$A$2:$A$5000,0)),IF(INDEX(DB_materiali!$B$2:$B$5000,MATCH($C975,DB_materiali!$A$2:$A$5000,0))=INDEX(DB_malas!$B$2:$B$5000,MATCH(J975,DB_malas!$A$2:$A$5000,0)),"✔",tulkojums!$A$38),tulkojums!$A$39),tulkojums!$A$39))</f>
        <v/>
      </c>
      <c r="S975" s="2" t="str">
        <f>IF(ISBLANK(K975),"",IF(INDEX(DB_materiali!$E$2:$E$5000,MATCH($C975,DB_materiali!$A$2:$A$5000,0))&gt;=INDEX(DB_malas!$C$2:$C$5000,MATCH(K975,DB_malas!$A$2:$A$5000,0)),IF(INDEX(DB_materiali!$E$2:$E$5000,MATCH($C975,DB_materiali!$A$2:$A$5000,0))&lt;=INDEX(DB_malas!$D$2:$D$5000,MATCH(K975,DB_malas!$A$2:$A$5000,0)),IF(INDEX(DB_materiali!$B$2:$B$5000,MATCH($C975,DB_materiali!$A$2:$A$5000,0))=INDEX(DB_malas!$B$2:$B$5000,MATCH(K975,DB_malas!$A$2:$A$5000,0)),"✔",tulkojums!$A$38),tulkojums!$A$39),tulkojums!$A$39))</f>
        <v/>
      </c>
      <c r="T975" s="2"/>
      <c r="U975" s="2"/>
      <c r="V975" s="2"/>
      <c r="W975" s="2"/>
      <c r="X975" s="2"/>
      <c r="Y975" s="2"/>
      <c r="Z975" s="2"/>
    </row>
    <row r="976" spans="1:26" ht="15.75" customHeight="1">
      <c r="A976" s="17"/>
      <c r="B976" s="18"/>
      <c r="C976" s="19"/>
      <c r="D976" s="55"/>
      <c r="E976" s="55"/>
      <c r="F976" s="56"/>
      <c r="G976" s="57" t="str">
        <f>IF(ISBLANK(C976),"",
   IFERROR(
      IF(
         INDEX(DB_materiali!C$2:C$5000,
               MATCH(C976, DB_materiali!A$2:A$5000, 0)
         )="FALSE",
         "N",
         "Y"
      ),
   "")
)</f>
        <v/>
      </c>
      <c r="H976" s="20"/>
      <c r="I976" s="20"/>
      <c r="J976" s="20"/>
      <c r="K976" s="20"/>
      <c r="M976" s="2" t="str">
        <f>IF(ISBLANK(C976),"",IF(IFERROR(VLOOKUP(C976,DB_materiali!$A$2:$A$5000,1,FALSE),"Kļūda artikulā")=C976,"✔",tulkojums!A$42))</f>
        <v/>
      </c>
      <c r="N976" s="2" t="str">
        <f>IF(ISBLANK(C976),"",IF(ISNUMBER(F976)=TRUE,"✔",tulkojums!A$43))</f>
        <v/>
      </c>
      <c r="O976" s="2" t="str">
        <f>IF(ISBLANK(C976),"",IF(G976="Y","✔",IF(G976="X","✔",IF(G976="N","✔",tulkojums!A$44))))</f>
        <v/>
      </c>
      <c r="P976" s="2" t="str">
        <f>IF(ISBLANK(H976),"",IF(INDEX(DB_materiali!$E$2:$E$5000,MATCH($C976,DB_materiali!$A$2:$A$5000,0))&gt;=INDEX(DB_malas!$C$2:$C$5000,MATCH(H976,DB_malas!$A$2:$A$5000,0)),IF(INDEX(DB_materiali!$E$2:$E$5000,MATCH($C976,DB_materiali!$A$2:$A$5000,0))&lt;=INDEX(DB_malas!$D$2:$D$5000,MATCH(H976,DB_malas!$A$2:$A$5000,0)),IF(OR(INDEX(DB_materiali!$B$2:$B$5000,MATCH($C976,DB_materiali!$A$2:$A$5000,0))=INDEX(DB_malas!$B$2:$B$5000,MATCH(H976,DB_malas!$A$2:$A$5000,0)),$H976="ORG"),"✔",tulkojums!$A$38),tulkojums!$A$39),tulkojums!$A$39))</f>
        <v/>
      </c>
      <c r="Q976" s="2" t="str">
        <f>IF(ISBLANK(I976),"",IF(INDEX(DB_materiali!$E$2:$E$5000,MATCH($C976,DB_materiali!$A$2:$A$5000,0))&gt;=INDEX(DB_malas!$C$2:$C$5000,MATCH(I976,DB_malas!$A$2:$A$5000,0)),IF(INDEX(DB_materiali!$E$2:$E$5000,MATCH($C976,DB_materiali!$A$2:$A$5000,0))&lt;=INDEX(DB_malas!$D$2:$D$5000,MATCH(I976,DB_malas!$A$2:$A$5000,0)),IF(OR(INDEX(DB_materiali!$B$2:$B$5000,MATCH($C976,DB_materiali!$A$2:$A$5000,0))=INDEX(DB_malas!$B$2:$B$5000,MATCH(I976,DB_malas!$A$2:$A$5000,0)),$H976="ORG"),"✔",tulkojums!$A$38),tulkojums!$A$39),tulkojums!$A$39))</f>
        <v/>
      </c>
      <c r="R976" s="2" t="str">
        <f>IF(ISBLANK(J976),"",IF(INDEX(DB_materiali!$E$2:$E$5000,MATCH($C976,DB_materiali!$A$2:$A$5000,0))&gt;=INDEX(DB_malas!$C$2:$C$5000,MATCH(J976,DB_malas!$A$2:$A$5000,0)),IF(INDEX(DB_materiali!$E$2:$E$5000,MATCH($C976,DB_materiali!$A$2:$A$5000,0))&lt;=INDEX(DB_malas!$D$2:$D$5000,MATCH(J976,DB_malas!$A$2:$A$5000,0)),IF(INDEX(DB_materiali!$B$2:$B$5000,MATCH($C976,DB_materiali!$A$2:$A$5000,0))=INDEX(DB_malas!$B$2:$B$5000,MATCH(J976,DB_malas!$A$2:$A$5000,0)),"✔",tulkojums!$A$38),tulkojums!$A$39),tulkojums!$A$39))</f>
        <v/>
      </c>
      <c r="S976" s="2" t="str">
        <f>IF(ISBLANK(K976),"",IF(INDEX(DB_materiali!$E$2:$E$5000,MATCH($C976,DB_materiali!$A$2:$A$5000,0))&gt;=INDEX(DB_malas!$C$2:$C$5000,MATCH(K976,DB_malas!$A$2:$A$5000,0)),IF(INDEX(DB_materiali!$E$2:$E$5000,MATCH($C976,DB_materiali!$A$2:$A$5000,0))&lt;=INDEX(DB_malas!$D$2:$D$5000,MATCH(K976,DB_malas!$A$2:$A$5000,0)),IF(INDEX(DB_materiali!$B$2:$B$5000,MATCH($C976,DB_materiali!$A$2:$A$5000,0))=INDEX(DB_malas!$B$2:$B$5000,MATCH(K976,DB_malas!$A$2:$A$5000,0)),"✔",tulkojums!$A$38),tulkojums!$A$39),tulkojums!$A$39))</f>
        <v/>
      </c>
      <c r="T976" s="2"/>
      <c r="U976" s="2"/>
      <c r="V976" s="2"/>
      <c r="W976" s="2"/>
      <c r="X976" s="2"/>
      <c r="Y976" s="2"/>
      <c r="Z976" s="2"/>
    </row>
    <row r="977" spans="1:26" ht="15.75" customHeight="1">
      <c r="A977" s="17"/>
      <c r="B977" s="18"/>
      <c r="C977" s="19"/>
      <c r="D977" s="55"/>
      <c r="E977" s="55"/>
      <c r="F977" s="56"/>
      <c r="G977" s="57" t="str">
        <f>IF(ISBLANK(C977),"",
   IFERROR(
      IF(
         INDEX(DB_materiali!C$2:C$5000,
               MATCH(C977, DB_materiali!A$2:A$5000, 0)
         )="FALSE",
         "N",
         "Y"
      ),
   "")
)</f>
        <v/>
      </c>
      <c r="H977" s="20"/>
      <c r="I977" s="20"/>
      <c r="J977" s="20"/>
      <c r="K977" s="20"/>
      <c r="M977" s="2" t="str">
        <f>IF(ISBLANK(C977),"",IF(IFERROR(VLOOKUP(C977,DB_materiali!$A$2:$A$5000,1,FALSE),"Kļūda artikulā")=C977,"✔",tulkojums!A$42))</f>
        <v/>
      </c>
      <c r="N977" s="2" t="str">
        <f>IF(ISBLANK(C977),"",IF(ISNUMBER(F977)=TRUE,"✔",tulkojums!A$43))</f>
        <v/>
      </c>
      <c r="O977" s="2" t="str">
        <f>IF(ISBLANK(C977),"",IF(G977="Y","✔",IF(G977="X","✔",IF(G977="N","✔",tulkojums!A$44))))</f>
        <v/>
      </c>
      <c r="P977" s="2" t="str">
        <f>IF(ISBLANK(H977),"",IF(INDEX(DB_materiali!$E$2:$E$5000,MATCH($C977,DB_materiali!$A$2:$A$5000,0))&gt;=INDEX(DB_malas!$C$2:$C$5000,MATCH(H977,DB_malas!$A$2:$A$5000,0)),IF(INDEX(DB_materiali!$E$2:$E$5000,MATCH($C977,DB_materiali!$A$2:$A$5000,0))&lt;=INDEX(DB_malas!$D$2:$D$5000,MATCH(H977,DB_malas!$A$2:$A$5000,0)),IF(OR(INDEX(DB_materiali!$B$2:$B$5000,MATCH($C977,DB_materiali!$A$2:$A$5000,0))=INDEX(DB_malas!$B$2:$B$5000,MATCH(H977,DB_malas!$A$2:$A$5000,0)),$H977="ORG"),"✔",tulkojums!$A$38),tulkojums!$A$39),tulkojums!$A$39))</f>
        <v/>
      </c>
      <c r="Q977" s="2" t="str">
        <f>IF(ISBLANK(I977),"",IF(INDEX(DB_materiali!$E$2:$E$5000,MATCH($C977,DB_materiali!$A$2:$A$5000,0))&gt;=INDEX(DB_malas!$C$2:$C$5000,MATCH(I977,DB_malas!$A$2:$A$5000,0)),IF(INDEX(DB_materiali!$E$2:$E$5000,MATCH($C977,DB_materiali!$A$2:$A$5000,0))&lt;=INDEX(DB_malas!$D$2:$D$5000,MATCH(I977,DB_malas!$A$2:$A$5000,0)),IF(OR(INDEX(DB_materiali!$B$2:$B$5000,MATCH($C977,DB_materiali!$A$2:$A$5000,0))=INDEX(DB_malas!$B$2:$B$5000,MATCH(I977,DB_malas!$A$2:$A$5000,0)),$H977="ORG"),"✔",tulkojums!$A$38),tulkojums!$A$39),tulkojums!$A$39))</f>
        <v/>
      </c>
      <c r="R977" s="2" t="str">
        <f>IF(ISBLANK(J977),"",IF(INDEX(DB_materiali!$E$2:$E$5000,MATCH($C977,DB_materiali!$A$2:$A$5000,0))&gt;=INDEX(DB_malas!$C$2:$C$5000,MATCH(J977,DB_malas!$A$2:$A$5000,0)),IF(INDEX(DB_materiali!$E$2:$E$5000,MATCH($C977,DB_materiali!$A$2:$A$5000,0))&lt;=INDEX(DB_malas!$D$2:$D$5000,MATCH(J977,DB_malas!$A$2:$A$5000,0)),IF(INDEX(DB_materiali!$B$2:$B$5000,MATCH($C977,DB_materiali!$A$2:$A$5000,0))=INDEX(DB_malas!$B$2:$B$5000,MATCH(J977,DB_malas!$A$2:$A$5000,0)),"✔",tulkojums!$A$38),tulkojums!$A$39),tulkojums!$A$39))</f>
        <v/>
      </c>
      <c r="S977" s="2" t="str">
        <f>IF(ISBLANK(K977),"",IF(INDEX(DB_materiali!$E$2:$E$5000,MATCH($C977,DB_materiali!$A$2:$A$5000,0))&gt;=INDEX(DB_malas!$C$2:$C$5000,MATCH(K977,DB_malas!$A$2:$A$5000,0)),IF(INDEX(DB_materiali!$E$2:$E$5000,MATCH($C977,DB_materiali!$A$2:$A$5000,0))&lt;=INDEX(DB_malas!$D$2:$D$5000,MATCH(K977,DB_malas!$A$2:$A$5000,0)),IF(INDEX(DB_materiali!$B$2:$B$5000,MATCH($C977,DB_materiali!$A$2:$A$5000,0))=INDEX(DB_malas!$B$2:$B$5000,MATCH(K977,DB_malas!$A$2:$A$5000,0)),"✔",tulkojums!$A$38),tulkojums!$A$39),tulkojums!$A$39))</f>
        <v/>
      </c>
      <c r="T977" s="2"/>
      <c r="U977" s="2"/>
      <c r="V977" s="2"/>
      <c r="W977" s="2"/>
      <c r="X977" s="2"/>
      <c r="Y977" s="2"/>
      <c r="Z977" s="2"/>
    </row>
    <row r="978" spans="1:26" ht="15.75" customHeight="1">
      <c r="A978" s="17"/>
      <c r="B978" s="18"/>
      <c r="C978" s="19"/>
      <c r="D978" s="55"/>
      <c r="E978" s="55"/>
      <c r="F978" s="56"/>
      <c r="G978" s="57" t="str">
        <f>IF(ISBLANK(C978),"",
   IFERROR(
      IF(
         INDEX(DB_materiali!C$2:C$5000,
               MATCH(C978, DB_materiali!A$2:A$5000, 0)
         )="FALSE",
         "N",
         "Y"
      ),
   "")
)</f>
        <v/>
      </c>
      <c r="H978" s="20"/>
      <c r="I978" s="20"/>
      <c r="J978" s="20"/>
      <c r="K978" s="20"/>
      <c r="M978" s="2" t="str">
        <f>IF(ISBLANK(C978),"",IF(IFERROR(VLOOKUP(C978,DB_materiali!$A$2:$A$5000,1,FALSE),"Kļūda artikulā")=C978,"✔",tulkojums!A$42))</f>
        <v/>
      </c>
      <c r="N978" s="2" t="str">
        <f>IF(ISBLANK(C978),"",IF(ISNUMBER(F978)=TRUE,"✔",tulkojums!A$43))</f>
        <v/>
      </c>
      <c r="O978" s="2" t="str">
        <f>IF(ISBLANK(C978),"",IF(G978="Y","✔",IF(G978="X","✔",IF(G978="N","✔",tulkojums!A$44))))</f>
        <v/>
      </c>
      <c r="P978" s="2" t="str">
        <f>IF(ISBLANK(H978),"",IF(INDEX(DB_materiali!$E$2:$E$5000,MATCH($C978,DB_materiali!$A$2:$A$5000,0))&gt;=INDEX(DB_malas!$C$2:$C$5000,MATCH(H978,DB_malas!$A$2:$A$5000,0)),IF(INDEX(DB_materiali!$E$2:$E$5000,MATCH($C978,DB_materiali!$A$2:$A$5000,0))&lt;=INDEX(DB_malas!$D$2:$D$5000,MATCH(H978,DB_malas!$A$2:$A$5000,0)),IF(OR(INDEX(DB_materiali!$B$2:$B$5000,MATCH($C978,DB_materiali!$A$2:$A$5000,0))=INDEX(DB_malas!$B$2:$B$5000,MATCH(H978,DB_malas!$A$2:$A$5000,0)),$H978="ORG"),"✔",tulkojums!$A$38),tulkojums!$A$39),tulkojums!$A$39))</f>
        <v/>
      </c>
      <c r="Q978" s="2" t="str">
        <f>IF(ISBLANK(I978),"",IF(INDEX(DB_materiali!$E$2:$E$5000,MATCH($C978,DB_materiali!$A$2:$A$5000,0))&gt;=INDEX(DB_malas!$C$2:$C$5000,MATCH(I978,DB_malas!$A$2:$A$5000,0)),IF(INDEX(DB_materiali!$E$2:$E$5000,MATCH($C978,DB_materiali!$A$2:$A$5000,0))&lt;=INDEX(DB_malas!$D$2:$D$5000,MATCH(I978,DB_malas!$A$2:$A$5000,0)),IF(OR(INDEX(DB_materiali!$B$2:$B$5000,MATCH($C978,DB_materiali!$A$2:$A$5000,0))=INDEX(DB_malas!$B$2:$B$5000,MATCH(I978,DB_malas!$A$2:$A$5000,0)),$H978="ORG"),"✔",tulkojums!$A$38),tulkojums!$A$39),tulkojums!$A$39))</f>
        <v/>
      </c>
      <c r="R978" s="2" t="str">
        <f>IF(ISBLANK(J978),"",IF(INDEX(DB_materiali!$E$2:$E$5000,MATCH($C978,DB_materiali!$A$2:$A$5000,0))&gt;=INDEX(DB_malas!$C$2:$C$5000,MATCH(J978,DB_malas!$A$2:$A$5000,0)),IF(INDEX(DB_materiali!$E$2:$E$5000,MATCH($C978,DB_materiali!$A$2:$A$5000,0))&lt;=INDEX(DB_malas!$D$2:$D$5000,MATCH(J978,DB_malas!$A$2:$A$5000,0)),IF(INDEX(DB_materiali!$B$2:$B$5000,MATCH($C978,DB_materiali!$A$2:$A$5000,0))=INDEX(DB_malas!$B$2:$B$5000,MATCH(J978,DB_malas!$A$2:$A$5000,0)),"✔",tulkojums!$A$38),tulkojums!$A$39),tulkojums!$A$39))</f>
        <v/>
      </c>
      <c r="S978" s="2" t="str">
        <f>IF(ISBLANK(K978),"",IF(INDEX(DB_materiali!$E$2:$E$5000,MATCH($C978,DB_materiali!$A$2:$A$5000,0))&gt;=INDEX(DB_malas!$C$2:$C$5000,MATCH(K978,DB_malas!$A$2:$A$5000,0)),IF(INDEX(DB_materiali!$E$2:$E$5000,MATCH($C978,DB_materiali!$A$2:$A$5000,0))&lt;=INDEX(DB_malas!$D$2:$D$5000,MATCH(K978,DB_malas!$A$2:$A$5000,0)),IF(INDEX(DB_materiali!$B$2:$B$5000,MATCH($C978,DB_materiali!$A$2:$A$5000,0))=INDEX(DB_malas!$B$2:$B$5000,MATCH(K978,DB_malas!$A$2:$A$5000,0)),"✔",tulkojums!$A$38),tulkojums!$A$39),tulkojums!$A$39))</f>
        <v/>
      </c>
      <c r="T978" s="2"/>
      <c r="U978" s="2"/>
      <c r="V978" s="2"/>
      <c r="W978" s="2"/>
      <c r="X978" s="2"/>
      <c r="Y978" s="2"/>
      <c r="Z978" s="2"/>
    </row>
    <row r="979" spans="1:26" ht="15.75" customHeight="1">
      <c r="A979" s="17"/>
      <c r="B979" s="18"/>
      <c r="C979" s="19"/>
      <c r="D979" s="55"/>
      <c r="E979" s="55"/>
      <c r="F979" s="56"/>
      <c r="G979" s="57" t="str">
        <f>IF(ISBLANK(C979),"",
   IFERROR(
      IF(
         INDEX(DB_materiali!C$2:C$5000,
               MATCH(C979, DB_materiali!A$2:A$5000, 0)
         )="FALSE",
         "N",
         "Y"
      ),
   "")
)</f>
        <v/>
      </c>
      <c r="H979" s="20"/>
      <c r="I979" s="20"/>
      <c r="J979" s="20"/>
      <c r="K979" s="20"/>
      <c r="M979" s="2" t="str">
        <f>IF(ISBLANK(C979),"",IF(IFERROR(VLOOKUP(C979,DB_materiali!$A$2:$A$5000,1,FALSE),"Kļūda artikulā")=C979,"✔",tulkojums!A$42))</f>
        <v/>
      </c>
      <c r="N979" s="2" t="str">
        <f>IF(ISBLANK(C979),"",IF(ISNUMBER(F979)=TRUE,"✔",tulkojums!A$43))</f>
        <v/>
      </c>
      <c r="O979" s="2" t="str">
        <f>IF(ISBLANK(C979),"",IF(G979="Y","✔",IF(G979="X","✔",IF(G979="N","✔",tulkojums!A$44))))</f>
        <v/>
      </c>
      <c r="P979" s="2" t="str">
        <f>IF(ISBLANK(H979),"",IF(INDEX(DB_materiali!$E$2:$E$5000,MATCH($C979,DB_materiali!$A$2:$A$5000,0))&gt;=INDEX(DB_malas!$C$2:$C$5000,MATCH(H979,DB_malas!$A$2:$A$5000,0)),IF(INDEX(DB_materiali!$E$2:$E$5000,MATCH($C979,DB_materiali!$A$2:$A$5000,0))&lt;=INDEX(DB_malas!$D$2:$D$5000,MATCH(H979,DB_malas!$A$2:$A$5000,0)),IF(OR(INDEX(DB_materiali!$B$2:$B$5000,MATCH($C979,DB_materiali!$A$2:$A$5000,0))=INDEX(DB_malas!$B$2:$B$5000,MATCH(H979,DB_malas!$A$2:$A$5000,0)),$H979="ORG"),"✔",tulkojums!$A$38),tulkojums!$A$39),tulkojums!$A$39))</f>
        <v/>
      </c>
      <c r="Q979" s="2" t="str">
        <f>IF(ISBLANK(I979),"",IF(INDEX(DB_materiali!$E$2:$E$5000,MATCH($C979,DB_materiali!$A$2:$A$5000,0))&gt;=INDEX(DB_malas!$C$2:$C$5000,MATCH(I979,DB_malas!$A$2:$A$5000,0)),IF(INDEX(DB_materiali!$E$2:$E$5000,MATCH($C979,DB_materiali!$A$2:$A$5000,0))&lt;=INDEX(DB_malas!$D$2:$D$5000,MATCH(I979,DB_malas!$A$2:$A$5000,0)),IF(OR(INDEX(DB_materiali!$B$2:$B$5000,MATCH($C979,DB_materiali!$A$2:$A$5000,0))=INDEX(DB_malas!$B$2:$B$5000,MATCH(I979,DB_malas!$A$2:$A$5000,0)),$H979="ORG"),"✔",tulkojums!$A$38),tulkojums!$A$39),tulkojums!$A$39))</f>
        <v/>
      </c>
      <c r="R979" s="2" t="str">
        <f>IF(ISBLANK(J979),"",IF(INDEX(DB_materiali!$E$2:$E$5000,MATCH($C979,DB_materiali!$A$2:$A$5000,0))&gt;=INDEX(DB_malas!$C$2:$C$5000,MATCH(J979,DB_malas!$A$2:$A$5000,0)),IF(INDEX(DB_materiali!$E$2:$E$5000,MATCH($C979,DB_materiali!$A$2:$A$5000,0))&lt;=INDEX(DB_malas!$D$2:$D$5000,MATCH(J979,DB_malas!$A$2:$A$5000,0)),IF(INDEX(DB_materiali!$B$2:$B$5000,MATCH($C979,DB_materiali!$A$2:$A$5000,0))=INDEX(DB_malas!$B$2:$B$5000,MATCH(J979,DB_malas!$A$2:$A$5000,0)),"✔",tulkojums!$A$38),tulkojums!$A$39),tulkojums!$A$39))</f>
        <v/>
      </c>
      <c r="S979" s="2" t="str">
        <f>IF(ISBLANK(K979),"",IF(INDEX(DB_materiali!$E$2:$E$5000,MATCH($C979,DB_materiali!$A$2:$A$5000,0))&gt;=INDEX(DB_malas!$C$2:$C$5000,MATCH(K979,DB_malas!$A$2:$A$5000,0)),IF(INDEX(DB_materiali!$E$2:$E$5000,MATCH($C979,DB_materiali!$A$2:$A$5000,0))&lt;=INDEX(DB_malas!$D$2:$D$5000,MATCH(K979,DB_malas!$A$2:$A$5000,0)),IF(INDEX(DB_materiali!$B$2:$B$5000,MATCH($C979,DB_materiali!$A$2:$A$5000,0))=INDEX(DB_malas!$B$2:$B$5000,MATCH(K979,DB_malas!$A$2:$A$5000,0)),"✔",tulkojums!$A$38),tulkojums!$A$39),tulkojums!$A$39))</f>
        <v/>
      </c>
      <c r="T979" s="2"/>
      <c r="U979" s="2"/>
      <c r="V979" s="2"/>
      <c r="W979" s="2"/>
      <c r="X979" s="2"/>
      <c r="Y979" s="2"/>
      <c r="Z979" s="2"/>
    </row>
    <row r="980" spans="1:26" ht="15.75" customHeight="1">
      <c r="A980" s="17"/>
      <c r="B980" s="18"/>
      <c r="C980" s="19"/>
      <c r="D980" s="55"/>
      <c r="E980" s="55"/>
      <c r="F980" s="56"/>
      <c r="G980" s="57" t="str">
        <f>IF(ISBLANK(C980),"",
   IFERROR(
      IF(
         INDEX(DB_materiali!C$2:C$5000,
               MATCH(C980, DB_materiali!A$2:A$5000, 0)
         )="FALSE",
         "N",
         "Y"
      ),
   "")
)</f>
        <v/>
      </c>
      <c r="H980" s="20"/>
      <c r="I980" s="20"/>
      <c r="J980" s="20"/>
      <c r="K980" s="20"/>
      <c r="M980" s="2" t="str">
        <f>IF(ISBLANK(C980),"",IF(IFERROR(VLOOKUP(C980,DB_materiali!$A$2:$A$5000,1,FALSE),"Kļūda artikulā")=C980,"✔",tulkojums!A$42))</f>
        <v/>
      </c>
      <c r="N980" s="2" t="str">
        <f>IF(ISBLANK(C980),"",IF(ISNUMBER(F980)=TRUE,"✔",tulkojums!A$43))</f>
        <v/>
      </c>
      <c r="O980" s="2" t="str">
        <f>IF(ISBLANK(C980),"",IF(G980="Y","✔",IF(G980="X","✔",IF(G980="N","✔",tulkojums!A$44))))</f>
        <v/>
      </c>
      <c r="P980" s="2" t="str">
        <f>IF(ISBLANK(H980),"",IF(INDEX(DB_materiali!$E$2:$E$5000,MATCH($C980,DB_materiali!$A$2:$A$5000,0))&gt;=INDEX(DB_malas!$C$2:$C$5000,MATCH(H980,DB_malas!$A$2:$A$5000,0)),IF(INDEX(DB_materiali!$E$2:$E$5000,MATCH($C980,DB_materiali!$A$2:$A$5000,0))&lt;=INDEX(DB_malas!$D$2:$D$5000,MATCH(H980,DB_malas!$A$2:$A$5000,0)),IF(OR(INDEX(DB_materiali!$B$2:$B$5000,MATCH($C980,DB_materiali!$A$2:$A$5000,0))=INDEX(DB_malas!$B$2:$B$5000,MATCH(H980,DB_malas!$A$2:$A$5000,0)),$H980="ORG"),"✔",tulkojums!$A$38),tulkojums!$A$39),tulkojums!$A$39))</f>
        <v/>
      </c>
      <c r="Q980" s="2" t="str">
        <f>IF(ISBLANK(I980),"",IF(INDEX(DB_materiali!$E$2:$E$5000,MATCH($C980,DB_materiali!$A$2:$A$5000,0))&gt;=INDEX(DB_malas!$C$2:$C$5000,MATCH(I980,DB_malas!$A$2:$A$5000,0)),IF(INDEX(DB_materiali!$E$2:$E$5000,MATCH($C980,DB_materiali!$A$2:$A$5000,0))&lt;=INDEX(DB_malas!$D$2:$D$5000,MATCH(I980,DB_malas!$A$2:$A$5000,0)),IF(OR(INDEX(DB_materiali!$B$2:$B$5000,MATCH($C980,DB_materiali!$A$2:$A$5000,0))=INDEX(DB_malas!$B$2:$B$5000,MATCH(I980,DB_malas!$A$2:$A$5000,0)),$H980="ORG"),"✔",tulkojums!$A$38),tulkojums!$A$39),tulkojums!$A$39))</f>
        <v/>
      </c>
      <c r="R980" s="2" t="str">
        <f>IF(ISBLANK(J980),"",IF(INDEX(DB_materiali!$E$2:$E$5000,MATCH($C980,DB_materiali!$A$2:$A$5000,0))&gt;=INDEX(DB_malas!$C$2:$C$5000,MATCH(J980,DB_malas!$A$2:$A$5000,0)),IF(INDEX(DB_materiali!$E$2:$E$5000,MATCH($C980,DB_materiali!$A$2:$A$5000,0))&lt;=INDEX(DB_malas!$D$2:$D$5000,MATCH(J980,DB_malas!$A$2:$A$5000,0)),IF(INDEX(DB_materiali!$B$2:$B$5000,MATCH($C980,DB_materiali!$A$2:$A$5000,0))=INDEX(DB_malas!$B$2:$B$5000,MATCH(J980,DB_malas!$A$2:$A$5000,0)),"✔",tulkojums!$A$38),tulkojums!$A$39),tulkojums!$A$39))</f>
        <v/>
      </c>
      <c r="S980" s="2" t="str">
        <f>IF(ISBLANK(K980),"",IF(INDEX(DB_materiali!$E$2:$E$5000,MATCH($C980,DB_materiali!$A$2:$A$5000,0))&gt;=INDEX(DB_malas!$C$2:$C$5000,MATCH(K980,DB_malas!$A$2:$A$5000,0)),IF(INDEX(DB_materiali!$E$2:$E$5000,MATCH($C980,DB_materiali!$A$2:$A$5000,0))&lt;=INDEX(DB_malas!$D$2:$D$5000,MATCH(K980,DB_malas!$A$2:$A$5000,0)),IF(INDEX(DB_materiali!$B$2:$B$5000,MATCH($C980,DB_materiali!$A$2:$A$5000,0))=INDEX(DB_malas!$B$2:$B$5000,MATCH(K980,DB_malas!$A$2:$A$5000,0)),"✔",tulkojums!$A$38),tulkojums!$A$39),tulkojums!$A$39))</f>
        <v/>
      </c>
      <c r="T980" s="2"/>
      <c r="U980" s="2"/>
      <c r="V980" s="2"/>
      <c r="W980" s="2"/>
      <c r="X980" s="2"/>
      <c r="Y980" s="2"/>
      <c r="Z980" s="2"/>
    </row>
    <row r="981" spans="1:26" ht="15.75" customHeight="1">
      <c r="A981" s="17"/>
      <c r="B981" s="18"/>
      <c r="C981" s="19"/>
      <c r="D981" s="55"/>
      <c r="E981" s="55"/>
      <c r="F981" s="56"/>
      <c r="G981" s="57" t="str">
        <f>IF(ISBLANK(C981),"",
   IFERROR(
      IF(
         INDEX(DB_materiali!C$2:C$5000,
               MATCH(C981, DB_materiali!A$2:A$5000, 0)
         )="FALSE",
         "N",
         "Y"
      ),
   "")
)</f>
        <v/>
      </c>
      <c r="H981" s="20"/>
      <c r="I981" s="20"/>
      <c r="J981" s="20"/>
      <c r="K981" s="20"/>
      <c r="M981" s="2" t="str">
        <f>IF(ISBLANK(C981),"",IF(IFERROR(VLOOKUP(C981,DB_materiali!$A$2:$A$5000,1,FALSE),"Kļūda artikulā")=C981,"✔",tulkojums!A$42))</f>
        <v/>
      </c>
      <c r="N981" s="2" t="str">
        <f>IF(ISBLANK(C981),"",IF(ISNUMBER(F981)=TRUE,"✔",tulkojums!A$43))</f>
        <v/>
      </c>
      <c r="O981" s="2" t="str">
        <f>IF(ISBLANK(C981),"",IF(G981="Y","✔",IF(G981="X","✔",IF(G981="N","✔",tulkojums!A$44))))</f>
        <v/>
      </c>
      <c r="P981" s="2" t="str">
        <f>IF(ISBLANK(H981),"",IF(INDEX(DB_materiali!$E$2:$E$5000,MATCH($C981,DB_materiali!$A$2:$A$5000,0))&gt;=INDEX(DB_malas!$C$2:$C$5000,MATCH(H981,DB_malas!$A$2:$A$5000,0)),IF(INDEX(DB_materiali!$E$2:$E$5000,MATCH($C981,DB_materiali!$A$2:$A$5000,0))&lt;=INDEX(DB_malas!$D$2:$D$5000,MATCH(H981,DB_malas!$A$2:$A$5000,0)),IF(OR(INDEX(DB_materiali!$B$2:$B$5000,MATCH($C981,DB_materiali!$A$2:$A$5000,0))=INDEX(DB_malas!$B$2:$B$5000,MATCH(H981,DB_malas!$A$2:$A$5000,0)),$H981="ORG"),"✔",tulkojums!$A$38),tulkojums!$A$39),tulkojums!$A$39))</f>
        <v/>
      </c>
      <c r="Q981" s="2" t="str">
        <f>IF(ISBLANK(I981),"",IF(INDEX(DB_materiali!$E$2:$E$5000,MATCH($C981,DB_materiali!$A$2:$A$5000,0))&gt;=INDEX(DB_malas!$C$2:$C$5000,MATCH(I981,DB_malas!$A$2:$A$5000,0)),IF(INDEX(DB_materiali!$E$2:$E$5000,MATCH($C981,DB_materiali!$A$2:$A$5000,0))&lt;=INDEX(DB_malas!$D$2:$D$5000,MATCH(I981,DB_malas!$A$2:$A$5000,0)),IF(OR(INDEX(DB_materiali!$B$2:$B$5000,MATCH($C981,DB_materiali!$A$2:$A$5000,0))=INDEX(DB_malas!$B$2:$B$5000,MATCH(I981,DB_malas!$A$2:$A$5000,0)),$H981="ORG"),"✔",tulkojums!$A$38),tulkojums!$A$39),tulkojums!$A$39))</f>
        <v/>
      </c>
      <c r="R981" s="2" t="str">
        <f>IF(ISBLANK(J981),"",IF(INDEX(DB_materiali!$E$2:$E$5000,MATCH($C981,DB_materiali!$A$2:$A$5000,0))&gt;=INDEX(DB_malas!$C$2:$C$5000,MATCH(J981,DB_malas!$A$2:$A$5000,0)),IF(INDEX(DB_materiali!$E$2:$E$5000,MATCH($C981,DB_materiali!$A$2:$A$5000,0))&lt;=INDEX(DB_malas!$D$2:$D$5000,MATCH(J981,DB_malas!$A$2:$A$5000,0)),IF(INDEX(DB_materiali!$B$2:$B$5000,MATCH($C981,DB_materiali!$A$2:$A$5000,0))=INDEX(DB_malas!$B$2:$B$5000,MATCH(J981,DB_malas!$A$2:$A$5000,0)),"✔",tulkojums!$A$38),tulkojums!$A$39),tulkojums!$A$39))</f>
        <v/>
      </c>
      <c r="S981" s="2" t="str">
        <f>IF(ISBLANK(K981),"",IF(INDEX(DB_materiali!$E$2:$E$5000,MATCH($C981,DB_materiali!$A$2:$A$5000,0))&gt;=INDEX(DB_malas!$C$2:$C$5000,MATCH(K981,DB_malas!$A$2:$A$5000,0)),IF(INDEX(DB_materiali!$E$2:$E$5000,MATCH($C981,DB_materiali!$A$2:$A$5000,0))&lt;=INDEX(DB_malas!$D$2:$D$5000,MATCH(K981,DB_malas!$A$2:$A$5000,0)),IF(INDEX(DB_materiali!$B$2:$B$5000,MATCH($C981,DB_materiali!$A$2:$A$5000,0))=INDEX(DB_malas!$B$2:$B$5000,MATCH(K981,DB_malas!$A$2:$A$5000,0)),"✔",tulkojums!$A$38),tulkojums!$A$39),tulkojums!$A$39))</f>
        <v/>
      </c>
      <c r="T981" s="2"/>
      <c r="U981" s="2"/>
      <c r="V981" s="2"/>
      <c r="W981" s="2"/>
      <c r="X981" s="2"/>
      <c r="Y981" s="2"/>
      <c r="Z981" s="2"/>
    </row>
    <row r="982" spans="1:26" ht="15.75" customHeight="1">
      <c r="A982" s="17"/>
      <c r="B982" s="18"/>
      <c r="C982" s="19"/>
      <c r="D982" s="55"/>
      <c r="E982" s="55"/>
      <c r="F982" s="56"/>
      <c r="G982" s="57" t="str">
        <f>IF(ISBLANK(C982),"",
   IFERROR(
      IF(
         INDEX(DB_materiali!C$2:C$5000,
               MATCH(C982, DB_materiali!A$2:A$5000, 0)
         )="FALSE",
         "N",
         "Y"
      ),
   "")
)</f>
        <v/>
      </c>
      <c r="H982" s="20"/>
      <c r="I982" s="20"/>
      <c r="J982" s="20"/>
      <c r="K982" s="20"/>
      <c r="M982" s="2" t="str">
        <f>IF(ISBLANK(C982),"",IF(IFERROR(VLOOKUP(C982,DB_materiali!$A$2:$A$5000,1,FALSE),"Kļūda artikulā")=C982,"✔",tulkojums!A$42))</f>
        <v/>
      </c>
      <c r="N982" s="2" t="str">
        <f>IF(ISBLANK(C982),"",IF(ISNUMBER(F982)=TRUE,"✔",tulkojums!A$43))</f>
        <v/>
      </c>
      <c r="O982" s="2" t="str">
        <f>IF(ISBLANK(C982),"",IF(G982="Y","✔",IF(G982="X","✔",IF(G982="N","✔",tulkojums!A$44))))</f>
        <v/>
      </c>
      <c r="P982" s="2" t="str">
        <f>IF(ISBLANK(H982),"",IF(INDEX(DB_materiali!$E$2:$E$5000,MATCH($C982,DB_materiali!$A$2:$A$5000,0))&gt;=INDEX(DB_malas!$C$2:$C$5000,MATCH(H982,DB_malas!$A$2:$A$5000,0)),IF(INDEX(DB_materiali!$E$2:$E$5000,MATCH($C982,DB_materiali!$A$2:$A$5000,0))&lt;=INDEX(DB_malas!$D$2:$D$5000,MATCH(H982,DB_malas!$A$2:$A$5000,0)),IF(OR(INDEX(DB_materiali!$B$2:$B$5000,MATCH($C982,DB_materiali!$A$2:$A$5000,0))=INDEX(DB_malas!$B$2:$B$5000,MATCH(H982,DB_malas!$A$2:$A$5000,0)),$H982="ORG"),"✔",tulkojums!$A$38),tulkojums!$A$39),tulkojums!$A$39))</f>
        <v/>
      </c>
      <c r="Q982" s="2" t="str">
        <f>IF(ISBLANK(I982),"",IF(INDEX(DB_materiali!$E$2:$E$5000,MATCH($C982,DB_materiali!$A$2:$A$5000,0))&gt;=INDEX(DB_malas!$C$2:$C$5000,MATCH(I982,DB_malas!$A$2:$A$5000,0)),IF(INDEX(DB_materiali!$E$2:$E$5000,MATCH($C982,DB_materiali!$A$2:$A$5000,0))&lt;=INDEX(DB_malas!$D$2:$D$5000,MATCH(I982,DB_malas!$A$2:$A$5000,0)),IF(OR(INDEX(DB_materiali!$B$2:$B$5000,MATCH($C982,DB_materiali!$A$2:$A$5000,0))=INDEX(DB_malas!$B$2:$B$5000,MATCH(I982,DB_malas!$A$2:$A$5000,0)),$H982="ORG"),"✔",tulkojums!$A$38),tulkojums!$A$39),tulkojums!$A$39))</f>
        <v/>
      </c>
      <c r="R982" s="2" t="str">
        <f>IF(ISBLANK(J982),"",IF(INDEX(DB_materiali!$E$2:$E$5000,MATCH($C982,DB_materiali!$A$2:$A$5000,0))&gt;=INDEX(DB_malas!$C$2:$C$5000,MATCH(J982,DB_malas!$A$2:$A$5000,0)),IF(INDEX(DB_materiali!$E$2:$E$5000,MATCH($C982,DB_materiali!$A$2:$A$5000,0))&lt;=INDEX(DB_malas!$D$2:$D$5000,MATCH(J982,DB_malas!$A$2:$A$5000,0)),IF(INDEX(DB_materiali!$B$2:$B$5000,MATCH($C982,DB_materiali!$A$2:$A$5000,0))=INDEX(DB_malas!$B$2:$B$5000,MATCH(J982,DB_malas!$A$2:$A$5000,0)),"✔",tulkojums!$A$38),tulkojums!$A$39),tulkojums!$A$39))</f>
        <v/>
      </c>
      <c r="S982" s="2" t="str">
        <f>IF(ISBLANK(K982),"",IF(INDEX(DB_materiali!$E$2:$E$5000,MATCH($C982,DB_materiali!$A$2:$A$5000,0))&gt;=INDEX(DB_malas!$C$2:$C$5000,MATCH(K982,DB_malas!$A$2:$A$5000,0)),IF(INDEX(DB_materiali!$E$2:$E$5000,MATCH($C982,DB_materiali!$A$2:$A$5000,0))&lt;=INDEX(DB_malas!$D$2:$D$5000,MATCH(K982,DB_malas!$A$2:$A$5000,0)),IF(INDEX(DB_materiali!$B$2:$B$5000,MATCH($C982,DB_materiali!$A$2:$A$5000,0))=INDEX(DB_malas!$B$2:$B$5000,MATCH(K982,DB_malas!$A$2:$A$5000,0)),"✔",tulkojums!$A$38),tulkojums!$A$39),tulkojums!$A$39))</f>
        <v/>
      </c>
      <c r="T982" s="2"/>
      <c r="U982" s="2"/>
      <c r="V982" s="2"/>
      <c r="W982" s="2"/>
      <c r="X982" s="2"/>
      <c r="Y982" s="2"/>
      <c r="Z982" s="2"/>
    </row>
    <row r="983" spans="1:26" ht="15.75" customHeight="1">
      <c r="A983" s="17"/>
      <c r="B983" s="18"/>
      <c r="C983" s="19"/>
      <c r="D983" s="55"/>
      <c r="E983" s="55"/>
      <c r="F983" s="56"/>
      <c r="G983" s="57" t="str">
        <f>IF(ISBLANK(C983),"",
   IFERROR(
      IF(
         INDEX(DB_materiali!C$2:C$5000,
               MATCH(C983, DB_materiali!A$2:A$5000, 0)
         )="FALSE",
         "N",
         "Y"
      ),
   "")
)</f>
        <v/>
      </c>
      <c r="H983" s="20"/>
      <c r="I983" s="20"/>
      <c r="J983" s="20"/>
      <c r="K983" s="20"/>
      <c r="M983" s="2" t="str">
        <f>IF(ISBLANK(C983),"",IF(IFERROR(VLOOKUP(C983,DB_materiali!$A$2:$A$5000,1,FALSE),"Kļūda artikulā")=C983,"✔",tulkojums!A$42))</f>
        <v/>
      </c>
      <c r="N983" s="2" t="str">
        <f>IF(ISBLANK(C983),"",IF(ISNUMBER(F983)=TRUE,"✔",tulkojums!A$43))</f>
        <v/>
      </c>
      <c r="O983" s="2" t="str">
        <f>IF(ISBLANK(C983),"",IF(G983="Y","✔",IF(G983="X","✔",IF(G983="N","✔",tulkojums!A$44))))</f>
        <v/>
      </c>
      <c r="P983" s="2" t="str">
        <f>IF(ISBLANK(H983),"",IF(INDEX(DB_materiali!$E$2:$E$5000,MATCH($C983,DB_materiali!$A$2:$A$5000,0))&gt;=INDEX(DB_malas!$C$2:$C$5000,MATCH(H983,DB_malas!$A$2:$A$5000,0)),IF(INDEX(DB_materiali!$E$2:$E$5000,MATCH($C983,DB_materiali!$A$2:$A$5000,0))&lt;=INDEX(DB_malas!$D$2:$D$5000,MATCH(H983,DB_malas!$A$2:$A$5000,0)),IF(OR(INDEX(DB_materiali!$B$2:$B$5000,MATCH($C983,DB_materiali!$A$2:$A$5000,0))=INDEX(DB_malas!$B$2:$B$5000,MATCH(H983,DB_malas!$A$2:$A$5000,0)),$H983="ORG"),"✔",tulkojums!$A$38),tulkojums!$A$39),tulkojums!$A$39))</f>
        <v/>
      </c>
      <c r="Q983" s="2" t="str">
        <f>IF(ISBLANK(I983),"",IF(INDEX(DB_materiali!$E$2:$E$5000,MATCH($C983,DB_materiali!$A$2:$A$5000,0))&gt;=INDEX(DB_malas!$C$2:$C$5000,MATCH(I983,DB_malas!$A$2:$A$5000,0)),IF(INDEX(DB_materiali!$E$2:$E$5000,MATCH($C983,DB_materiali!$A$2:$A$5000,0))&lt;=INDEX(DB_malas!$D$2:$D$5000,MATCH(I983,DB_malas!$A$2:$A$5000,0)),IF(OR(INDEX(DB_materiali!$B$2:$B$5000,MATCH($C983,DB_materiali!$A$2:$A$5000,0))=INDEX(DB_malas!$B$2:$B$5000,MATCH(I983,DB_malas!$A$2:$A$5000,0)),$H983="ORG"),"✔",tulkojums!$A$38),tulkojums!$A$39),tulkojums!$A$39))</f>
        <v/>
      </c>
      <c r="R983" s="2" t="str">
        <f>IF(ISBLANK(J983),"",IF(INDEX(DB_materiali!$E$2:$E$5000,MATCH($C983,DB_materiali!$A$2:$A$5000,0))&gt;=INDEX(DB_malas!$C$2:$C$5000,MATCH(J983,DB_malas!$A$2:$A$5000,0)),IF(INDEX(DB_materiali!$E$2:$E$5000,MATCH($C983,DB_materiali!$A$2:$A$5000,0))&lt;=INDEX(DB_malas!$D$2:$D$5000,MATCH(J983,DB_malas!$A$2:$A$5000,0)),IF(INDEX(DB_materiali!$B$2:$B$5000,MATCH($C983,DB_materiali!$A$2:$A$5000,0))=INDEX(DB_malas!$B$2:$B$5000,MATCH(J983,DB_malas!$A$2:$A$5000,0)),"✔",tulkojums!$A$38),tulkojums!$A$39),tulkojums!$A$39))</f>
        <v/>
      </c>
      <c r="S983" s="2" t="str">
        <f>IF(ISBLANK(K983),"",IF(INDEX(DB_materiali!$E$2:$E$5000,MATCH($C983,DB_materiali!$A$2:$A$5000,0))&gt;=INDEX(DB_malas!$C$2:$C$5000,MATCH(K983,DB_malas!$A$2:$A$5000,0)),IF(INDEX(DB_materiali!$E$2:$E$5000,MATCH($C983,DB_materiali!$A$2:$A$5000,0))&lt;=INDEX(DB_malas!$D$2:$D$5000,MATCH(K983,DB_malas!$A$2:$A$5000,0)),IF(INDEX(DB_materiali!$B$2:$B$5000,MATCH($C983,DB_materiali!$A$2:$A$5000,0))=INDEX(DB_malas!$B$2:$B$5000,MATCH(K983,DB_malas!$A$2:$A$5000,0)),"✔",tulkojums!$A$38),tulkojums!$A$39),tulkojums!$A$39))</f>
        <v/>
      </c>
      <c r="T983" s="2"/>
      <c r="U983" s="2"/>
      <c r="V983" s="2"/>
      <c r="W983" s="2"/>
      <c r="X983" s="2"/>
      <c r="Y983" s="2"/>
      <c r="Z983" s="2"/>
    </row>
    <row r="984" spans="1:26" ht="15.75" customHeight="1">
      <c r="A984" s="17"/>
      <c r="B984" s="18"/>
      <c r="C984" s="19"/>
      <c r="D984" s="55"/>
      <c r="E984" s="55"/>
      <c r="F984" s="56"/>
      <c r="G984" s="57" t="str">
        <f>IF(ISBLANK(C984),"",
   IFERROR(
      IF(
         INDEX(DB_materiali!C$2:C$5000,
               MATCH(C984, DB_materiali!A$2:A$5000, 0)
         )="FALSE",
         "N",
         "Y"
      ),
   "")
)</f>
        <v/>
      </c>
      <c r="H984" s="20"/>
      <c r="I984" s="20"/>
      <c r="J984" s="20"/>
      <c r="K984" s="20"/>
      <c r="M984" s="2" t="str">
        <f>IF(ISBLANK(C984),"",IF(IFERROR(VLOOKUP(C984,DB_materiali!$A$2:$A$5000,1,FALSE),"Kļūda artikulā")=C984,"✔",tulkojums!A$42))</f>
        <v/>
      </c>
      <c r="N984" s="2" t="str">
        <f>IF(ISBLANK(C984),"",IF(ISNUMBER(F984)=TRUE,"✔",tulkojums!A$43))</f>
        <v/>
      </c>
      <c r="O984" s="2" t="str">
        <f>IF(ISBLANK(C984),"",IF(G984="Y","✔",IF(G984="X","✔",IF(G984="N","✔",tulkojums!A$44))))</f>
        <v/>
      </c>
      <c r="P984" s="2" t="str">
        <f>IF(ISBLANK(H984),"",IF(INDEX(DB_materiali!$E$2:$E$5000,MATCH($C984,DB_materiali!$A$2:$A$5000,0))&gt;=INDEX(DB_malas!$C$2:$C$5000,MATCH(H984,DB_malas!$A$2:$A$5000,0)),IF(INDEX(DB_materiali!$E$2:$E$5000,MATCH($C984,DB_materiali!$A$2:$A$5000,0))&lt;=INDEX(DB_malas!$D$2:$D$5000,MATCH(H984,DB_malas!$A$2:$A$5000,0)),IF(OR(INDEX(DB_materiali!$B$2:$B$5000,MATCH($C984,DB_materiali!$A$2:$A$5000,0))=INDEX(DB_malas!$B$2:$B$5000,MATCH(H984,DB_malas!$A$2:$A$5000,0)),$H984="ORG"),"✔",tulkojums!$A$38),tulkojums!$A$39),tulkojums!$A$39))</f>
        <v/>
      </c>
      <c r="Q984" s="2" t="str">
        <f>IF(ISBLANK(I984),"",IF(INDEX(DB_materiali!$E$2:$E$5000,MATCH($C984,DB_materiali!$A$2:$A$5000,0))&gt;=INDEX(DB_malas!$C$2:$C$5000,MATCH(I984,DB_malas!$A$2:$A$5000,0)),IF(INDEX(DB_materiali!$E$2:$E$5000,MATCH($C984,DB_materiali!$A$2:$A$5000,0))&lt;=INDEX(DB_malas!$D$2:$D$5000,MATCH(I984,DB_malas!$A$2:$A$5000,0)),IF(OR(INDEX(DB_materiali!$B$2:$B$5000,MATCH($C984,DB_materiali!$A$2:$A$5000,0))=INDEX(DB_malas!$B$2:$B$5000,MATCH(I984,DB_malas!$A$2:$A$5000,0)),$H984="ORG"),"✔",tulkojums!$A$38),tulkojums!$A$39),tulkojums!$A$39))</f>
        <v/>
      </c>
      <c r="R984" s="2" t="str">
        <f>IF(ISBLANK(J984),"",IF(INDEX(DB_materiali!$E$2:$E$5000,MATCH($C984,DB_materiali!$A$2:$A$5000,0))&gt;=INDEX(DB_malas!$C$2:$C$5000,MATCH(J984,DB_malas!$A$2:$A$5000,0)),IF(INDEX(DB_materiali!$E$2:$E$5000,MATCH($C984,DB_materiali!$A$2:$A$5000,0))&lt;=INDEX(DB_malas!$D$2:$D$5000,MATCH(J984,DB_malas!$A$2:$A$5000,0)),IF(INDEX(DB_materiali!$B$2:$B$5000,MATCH($C984,DB_materiali!$A$2:$A$5000,0))=INDEX(DB_malas!$B$2:$B$5000,MATCH(J984,DB_malas!$A$2:$A$5000,0)),"✔",tulkojums!$A$38),tulkojums!$A$39),tulkojums!$A$39))</f>
        <v/>
      </c>
      <c r="S984" s="2" t="str">
        <f>IF(ISBLANK(K984),"",IF(INDEX(DB_materiali!$E$2:$E$5000,MATCH($C984,DB_materiali!$A$2:$A$5000,0))&gt;=INDEX(DB_malas!$C$2:$C$5000,MATCH(K984,DB_malas!$A$2:$A$5000,0)),IF(INDEX(DB_materiali!$E$2:$E$5000,MATCH($C984,DB_materiali!$A$2:$A$5000,0))&lt;=INDEX(DB_malas!$D$2:$D$5000,MATCH(K984,DB_malas!$A$2:$A$5000,0)),IF(INDEX(DB_materiali!$B$2:$B$5000,MATCH($C984,DB_materiali!$A$2:$A$5000,0))=INDEX(DB_malas!$B$2:$B$5000,MATCH(K984,DB_malas!$A$2:$A$5000,0)),"✔",tulkojums!$A$38),tulkojums!$A$39),tulkojums!$A$39))</f>
        <v/>
      </c>
      <c r="T984" s="2"/>
      <c r="U984" s="2"/>
      <c r="V984" s="2"/>
      <c r="W984" s="2"/>
      <c r="X984" s="2"/>
      <c r="Y984" s="2"/>
      <c r="Z984" s="2"/>
    </row>
    <row r="985" spans="1:26" ht="15.75" customHeight="1">
      <c r="A985" s="17"/>
      <c r="B985" s="18"/>
      <c r="C985" s="19"/>
      <c r="D985" s="55"/>
      <c r="E985" s="55"/>
      <c r="F985" s="56"/>
      <c r="G985" s="57" t="str">
        <f>IF(ISBLANK(C985),"",
   IFERROR(
      IF(
         INDEX(DB_materiali!C$2:C$5000,
               MATCH(C985, DB_materiali!A$2:A$5000, 0)
         )="FALSE",
         "N",
         "Y"
      ),
   "")
)</f>
        <v/>
      </c>
      <c r="H985" s="20"/>
      <c r="I985" s="20"/>
      <c r="J985" s="20"/>
      <c r="K985" s="20"/>
      <c r="M985" s="2" t="str">
        <f>IF(ISBLANK(C985),"",IF(IFERROR(VLOOKUP(C985,DB_materiali!$A$2:$A$5000,1,FALSE),"Kļūda artikulā")=C985,"✔",tulkojums!A$42))</f>
        <v/>
      </c>
      <c r="N985" s="2" t="str">
        <f>IF(ISBLANK(C985),"",IF(ISNUMBER(F985)=TRUE,"✔",tulkojums!A$43))</f>
        <v/>
      </c>
      <c r="O985" s="2" t="str">
        <f>IF(ISBLANK(C985),"",IF(G985="Y","✔",IF(G985="X","✔",IF(G985="N","✔",tulkojums!A$44))))</f>
        <v/>
      </c>
      <c r="P985" s="2" t="str">
        <f>IF(ISBLANK(H985),"",IF(INDEX(DB_materiali!$E$2:$E$5000,MATCH($C985,DB_materiali!$A$2:$A$5000,0))&gt;=INDEX(DB_malas!$C$2:$C$5000,MATCH(H985,DB_malas!$A$2:$A$5000,0)),IF(INDEX(DB_materiali!$E$2:$E$5000,MATCH($C985,DB_materiali!$A$2:$A$5000,0))&lt;=INDEX(DB_malas!$D$2:$D$5000,MATCH(H985,DB_malas!$A$2:$A$5000,0)),IF(OR(INDEX(DB_materiali!$B$2:$B$5000,MATCH($C985,DB_materiali!$A$2:$A$5000,0))=INDEX(DB_malas!$B$2:$B$5000,MATCH(H985,DB_malas!$A$2:$A$5000,0)),$H985="ORG"),"✔",tulkojums!$A$38),tulkojums!$A$39),tulkojums!$A$39))</f>
        <v/>
      </c>
      <c r="Q985" s="2" t="str">
        <f>IF(ISBLANK(I985),"",IF(INDEX(DB_materiali!$E$2:$E$5000,MATCH($C985,DB_materiali!$A$2:$A$5000,0))&gt;=INDEX(DB_malas!$C$2:$C$5000,MATCH(I985,DB_malas!$A$2:$A$5000,0)),IF(INDEX(DB_materiali!$E$2:$E$5000,MATCH($C985,DB_materiali!$A$2:$A$5000,0))&lt;=INDEX(DB_malas!$D$2:$D$5000,MATCH(I985,DB_malas!$A$2:$A$5000,0)),IF(OR(INDEX(DB_materiali!$B$2:$B$5000,MATCH($C985,DB_materiali!$A$2:$A$5000,0))=INDEX(DB_malas!$B$2:$B$5000,MATCH(I985,DB_malas!$A$2:$A$5000,0)),$H985="ORG"),"✔",tulkojums!$A$38),tulkojums!$A$39),tulkojums!$A$39))</f>
        <v/>
      </c>
      <c r="R985" s="2" t="str">
        <f>IF(ISBLANK(J985),"",IF(INDEX(DB_materiali!$E$2:$E$5000,MATCH($C985,DB_materiali!$A$2:$A$5000,0))&gt;=INDEX(DB_malas!$C$2:$C$5000,MATCH(J985,DB_malas!$A$2:$A$5000,0)),IF(INDEX(DB_materiali!$E$2:$E$5000,MATCH($C985,DB_materiali!$A$2:$A$5000,0))&lt;=INDEX(DB_malas!$D$2:$D$5000,MATCH(J985,DB_malas!$A$2:$A$5000,0)),IF(INDEX(DB_materiali!$B$2:$B$5000,MATCH($C985,DB_materiali!$A$2:$A$5000,0))=INDEX(DB_malas!$B$2:$B$5000,MATCH(J985,DB_malas!$A$2:$A$5000,0)),"✔",tulkojums!$A$38),tulkojums!$A$39),tulkojums!$A$39))</f>
        <v/>
      </c>
      <c r="S985" s="2" t="str">
        <f>IF(ISBLANK(K985),"",IF(INDEX(DB_materiali!$E$2:$E$5000,MATCH($C985,DB_materiali!$A$2:$A$5000,0))&gt;=INDEX(DB_malas!$C$2:$C$5000,MATCH(K985,DB_malas!$A$2:$A$5000,0)),IF(INDEX(DB_materiali!$E$2:$E$5000,MATCH($C985,DB_materiali!$A$2:$A$5000,0))&lt;=INDEX(DB_malas!$D$2:$D$5000,MATCH(K985,DB_malas!$A$2:$A$5000,0)),IF(INDEX(DB_materiali!$B$2:$B$5000,MATCH($C985,DB_materiali!$A$2:$A$5000,0))=INDEX(DB_malas!$B$2:$B$5000,MATCH(K985,DB_malas!$A$2:$A$5000,0)),"✔",tulkojums!$A$38),tulkojums!$A$39),tulkojums!$A$39))</f>
        <v/>
      </c>
      <c r="T985" s="2"/>
      <c r="U985" s="2"/>
      <c r="V985" s="2"/>
      <c r="W985" s="2"/>
      <c r="X985" s="2"/>
      <c r="Y985" s="2"/>
      <c r="Z985" s="2"/>
    </row>
    <row r="986" spans="1:26" ht="15.75" customHeight="1">
      <c r="A986" s="17"/>
      <c r="B986" s="18"/>
      <c r="C986" s="19"/>
      <c r="D986" s="55"/>
      <c r="E986" s="55"/>
      <c r="F986" s="56"/>
      <c r="G986" s="57" t="str">
        <f>IF(ISBLANK(C986),"",
   IFERROR(
      IF(
         INDEX(DB_materiali!C$2:C$5000,
               MATCH(C986, DB_materiali!A$2:A$5000, 0)
         )="FALSE",
         "N",
         "Y"
      ),
   "")
)</f>
        <v/>
      </c>
      <c r="H986" s="20"/>
      <c r="I986" s="20"/>
      <c r="J986" s="20"/>
      <c r="K986" s="20"/>
      <c r="M986" s="2" t="str">
        <f>IF(ISBLANK(C986),"",IF(IFERROR(VLOOKUP(C986,DB_materiali!$A$2:$A$5000,1,FALSE),"Kļūda artikulā")=C986,"✔",tulkojums!A$42))</f>
        <v/>
      </c>
      <c r="N986" s="2" t="str">
        <f>IF(ISBLANK(C986),"",IF(ISNUMBER(F986)=TRUE,"✔",tulkojums!A$43))</f>
        <v/>
      </c>
      <c r="O986" s="2" t="str">
        <f>IF(ISBLANK(C986),"",IF(G986="Y","✔",IF(G986="X","✔",IF(G986="N","✔",tulkojums!A$44))))</f>
        <v/>
      </c>
      <c r="P986" s="2" t="str">
        <f>IF(ISBLANK(H986),"",IF(INDEX(DB_materiali!$E$2:$E$5000,MATCH($C986,DB_materiali!$A$2:$A$5000,0))&gt;=INDEX(DB_malas!$C$2:$C$5000,MATCH(H986,DB_malas!$A$2:$A$5000,0)),IF(INDEX(DB_materiali!$E$2:$E$5000,MATCH($C986,DB_materiali!$A$2:$A$5000,0))&lt;=INDEX(DB_malas!$D$2:$D$5000,MATCH(H986,DB_malas!$A$2:$A$5000,0)),IF(OR(INDEX(DB_materiali!$B$2:$B$5000,MATCH($C986,DB_materiali!$A$2:$A$5000,0))=INDEX(DB_malas!$B$2:$B$5000,MATCH(H986,DB_malas!$A$2:$A$5000,0)),$H986="ORG"),"✔",tulkojums!$A$38),tulkojums!$A$39),tulkojums!$A$39))</f>
        <v/>
      </c>
      <c r="Q986" s="2" t="str">
        <f>IF(ISBLANK(I986),"",IF(INDEX(DB_materiali!$E$2:$E$5000,MATCH($C986,DB_materiali!$A$2:$A$5000,0))&gt;=INDEX(DB_malas!$C$2:$C$5000,MATCH(I986,DB_malas!$A$2:$A$5000,0)),IF(INDEX(DB_materiali!$E$2:$E$5000,MATCH($C986,DB_materiali!$A$2:$A$5000,0))&lt;=INDEX(DB_malas!$D$2:$D$5000,MATCH(I986,DB_malas!$A$2:$A$5000,0)),IF(OR(INDEX(DB_materiali!$B$2:$B$5000,MATCH($C986,DB_materiali!$A$2:$A$5000,0))=INDEX(DB_malas!$B$2:$B$5000,MATCH(I986,DB_malas!$A$2:$A$5000,0)),$H986="ORG"),"✔",tulkojums!$A$38),tulkojums!$A$39),tulkojums!$A$39))</f>
        <v/>
      </c>
      <c r="R986" s="2" t="str">
        <f>IF(ISBLANK(J986),"",IF(INDEX(DB_materiali!$E$2:$E$5000,MATCH($C986,DB_materiali!$A$2:$A$5000,0))&gt;=INDEX(DB_malas!$C$2:$C$5000,MATCH(J986,DB_malas!$A$2:$A$5000,0)),IF(INDEX(DB_materiali!$E$2:$E$5000,MATCH($C986,DB_materiali!$A$2:$A$5000,0))&lt;=INDEX(DB_malas!$D$2:$D$5000,MATCH(J986,DB_malas!$A$2:$A$5000,0)),IF(INDEX(DB_materiali!$B$2:$B$5000,MATCH($C986,DB_materiali!$A$2:$A$5000,0))=INDEX(DB_malas!$B$2:$B$5000,MATCH(J986,DB_malas!$A$2:$A$5000,0)),"✔",tulkojums!$A$38),tulkojums!$A$39),tulkojums!$A$39))</f>
        <v/>
      </c>
      <c r="S986" s="2" t="str">
        <f>IF(ISBLANK(K986),"",IF(INDEX(DB_materiali!$E$2:$E$5000,MATCH($C986,DB_materiali!$A$2:$A$5000,0))&gt;=INDEX(DB_malas!$C$2:$C$5000,MATCH(K986,DB_malas!$A$2:$A$5000,0)),IF(INDEX(DB_materiali!$E$2:$E$5000,MATCH($C986,DB_materiali!$A$2:$A$5000,0))&lt;=INDEX(DB_malas!$D$2:$D$5000,MATCH(K986,DB_malas!$A$2:$A$5000,0)),IF(INDEX(DB_materiali!$B$2:$B$5000,MATCH($C986,DB_materiali!$A$2:$A$5000,0))=INDEX(DB_malas!$B$2:$B$5000,MATCH(K986,DB_malas!$A$2:$A$5000,0)),"✔",tulkojums!$A$38),tulkojums!$A$39),tulkojums!$A$39))</f>
        <v/>
      </c>
      <c r="T986" s="2"/>
      <c r="U986" s="2"/>
      <c r="V986" s="2"/>
      <c r="W986" s="2"/>
      <c r="X986" s="2"/>
      <c r="Y986" s="2"/>
      <c r="Z986" s="2"/>
    </row>
    <row r="987" spans="1:26" ht="15.75" customHeight="1">
      <c r="A987" s="17"/>
      <c r="B987" s="18"/>
      <c r="C987" s="19"/>
      <c r="D987" s="55"/>
      <c r="E987" s="55"/>
      <c r="F987" s="56"/>
      <c r="G987" s="57" t="str">
        <f>IF(ISBLANK(C987),"",
   IFERROR(
      IF(
         INDEX(DB_materiali!C$2:C$5000,
               MATCH(C987, DB_materiali!A$2:A$5000, 0)
         )="FALSE",
         "N",
         "Y"
      ),
   "")
)</f>
        <v/>
      </c>
      <c r="H987" s="20"/>
      <c r="I987" s="20"/>
      <c r="J987" s="20"/>
      <c r="K987" s="20"/>
      <c r="M987" s="2" t="str">
        <f>IF(ISBLANK(C987),"",IF(IFERROR(VLOOKUP(C987,DB_materiali!$A$2:$A$5000,1,FALSE),"Kļūda artikulā")=C987,"✔",tulkojums!A$42))</f>
        <v/>
      </c>
      <c r="N987" s="2" t="str">
        <f>IF(ISBLANK(C987),"",IF(ISNUMBER(F987)=TRUE,"✔",tulkojums!A$43))</f>
        <v/>
      </c>
      <c r="O987" s="2" t="str">
        <f>IF(ISBLANK(C987),"",IF(G987="Y","✔",IF(G987="X","✔",IF(G987="N","✔",tulkojums!A$44))))</f>
        <v/>
      </c>
      <c r="P987" s="2" t="str">
        <f>IF(ISBLANK(H987),"",IF(INDEX(DB_materiali!$E$2:$E$5000,MATCH($C987,DB_materiali!$A$2:$A$5000,0))&gt;=INDEX(DB_malas!$C$2:$C$5000,MATCH(H987,DB_malas!$A$2:$A$5000,0)),IF(INDEX(DB_materiali!$E$2:$E$5000,MATCH($C987,DB_materiali!$A$2:$A$5000,0))&lt;=INDEX(DB_malas!$D$2:$D$5000,MATCH(H987,DB_malas!$A$2:$A$5000,0)),IF(OR(INDEX(DB_materiali!$B$2:$B$5000,MATCH($C987,DB_materiali!$A$2:$A$5000,0))=INDEX(DB_malas!$B$2:$B$5000,MATCH(H987,DB_malas!$A$2:$A$5000,0)),$H987="ORG"),"✔",tulkojums!$A$38),tulkojums!$A$39),tulkojums!$A$39))</f>
        <v/>
      </c>
      <c r="Q987" s="2" t="str">
        <f>IF(ISBLANK(I987),"",IF(INDEX(DB_materiali!$E$2:$E$5000,MATCH($C987,DB_materiali!$A$2:$A$5000,0))&gt;=INDEX(DB_malas!$C$2:$C$5000,MATCH(I987,DB_malas!$A$2:$A$5000,0)),IF(INDEX(DB_materiali!$E$2:$E$5000,MATCH($C987,DB_materiali!$A$2:$A$5000,0))&lt;=INDEX(DB_malas!$D$2:$D$5000,MATCH(I987,DB_malas!$A$2:$A$5000,0)),IF(OR(INDEX(DB_materiali!$B$2:$B$5000,MATCH($C987,DB_materiali!$A$2:$A$5000,0))=INDEX(DB_malas!$B$2:$B$5000,MATCH(I987,DB_malas!$A$2:$A$5000,0)),$H987="ORG"),"✔",tulkojums!$A$38),tulkojums!$A$39),tulkojums!$A$39))</f>
        <v/>
      </c>
      <c r="R987" s="2" t="str">
        <f>IF(ISBLANK(J987),"",IF(INDEX(DB_materiali!$E$2:$E$5000,MATCH($C987,DB_materiali!$A$2:$A$5000,0))&gt;=INDEX(DB_malas!$C$2:$C$5000,MATCH(J987,DB_malas!$A$2:$A$5000,0)),IF(INDEX(DB_materiali!$E$2:$E$5000,MATCH($C987,DB_materiali!$A$2:$A$5000,0))&lt;=INDEX(DB_malas!$D$2:$D$5000,MATCH(J987,DB_malas!$A$2:$A$5000,0)),IF(INDEX(DB_materiali!$B$2:$B$5000,MATCH($C987,DB_materiali!$A$2:$A$5000,0))=INDEX(DB_malas!$B$2:$B$5000,MATCH(J987,DB_malas!$A$2:$A$5000,0)),"✔",tulkojums!$A$38),tulkojums!$A$39),tulkojums!$A$39))</f>
        <v/>
      </c>
      <c r="S987" s="2" t="str">
        <f>IF(ISBLANK(K987),"",IF(INDEX(DB_materiali!$E$2:$E$5000,MATCH($C987,DB_materiali!$A$2:$A$5000,0))&gt;=INDEX(DB_malas!$C$2:$C$5000,MATCH(K987,DB_malas!$A$2:$A$5000,0)),IF(INDEX(DB_materiali!$E$2:$E$5000,MATCH($C987,DB_materiali!$A$2:$A$5000,0))&lt;=INDEX(DB_malas!$D$2:$D$5000,MATCH(K987,DB_malas!$A$2:$A$5000,0)),IF(INDEX(DB_materiali!$B$2:$B$5000,MATCH($C987,DB_materiali!$A$2:$A$5000,0))=INDEX(DB_malas!$B$2:$B$5000,MATCH(K987,DB_malas!$A$2:$A$5000,0)),"✔",tulkojums!$A$38),tulkojums!$A$39),tulkojums!$A$39))</f>
        <v/>
      </c>
      <c r="T987" s="2"/>
      <c r="U987" s="2"/>
      <c r="V987" s="2"/>
      <c r="W987" s="2"/>
      <c r="X987" s="2"/>
      <c r="Y987" s="2"/>
      <c r="Z987" s="2"/>
    </row>
    <row r="988" spans="1:26" ht="15.75" customHeight="1">
      <c r="A988" s="17"/>
      <c r="B988" s="18"/>
      <c r="C988" s="19"/>
      <c r="D988" s="55"/>
      <c r="E988" s="55"/>
      <c r="F988" s="56"/>
      <c r="G988" s="57" t="str">
        <f>IF(ISBLANK(C988),"",
   IFERROR(
      IF(
         INDEX(DB_materiali!C$2:C$5000,
               MATCH(C988, DB_materiali!A$2:A$5000, 0)
         )="FALSE",
         "N",
         "Y"
      ),
   "")
)</f>
        <v/>
      </c>
      <c r="H988" s="20"/>
      <c r="I988" s="20"/>
      <c r="J988" s="20"/>
      <c r="K988" s="20"/>
      <c r="M988" s="2" t="str">
        <f>IF(ISBLANK(C988),"",IF(IFERROR(VLOOKUP(C988,DB_materiali!$A$2:$A$5000,1,FALSE),"Kļūda artikulā")=C988,"✔",tulkojums!A$42))</f>
        <v/>
      </c>
      <c r="N988" s="2" t="str">
        <f>IF(ISBLANK(C988),"",IF(ISNUMBER(F988)=TRUE,"✔",tulkojums!A$43))</f>
        <v/>
      </c>
      <c r="O988" s="2" t="str">
        <f>IF(ISBLANK(C988),"",IF(G988="Y","✔",IF(G988="X","✔",IF(G988="N","✔",tulkojums!A$44))))</f>
        <v/>
      </c>
      <c r="P988" s="2" t="str">
        <f>IF(ISBLANK(H988),"",IF(INDEX(DB_materiali!$E$2:$E$5000,MATCH($C988,DB_materiali!$A$2:$A$5000,0))&gt;=INDEX(DB_malas!$C$2:$C$5000,MATCH(H988,DB_malas!$A$2:$A$5000,0)),IF(INDEX(DB_materiali!$E$2:$E$5000,MATCH($C988,DB_materiali!$A$2:$A$5000,0))&lt;=INDEX(DB_malas!$D$2:$D$5000,MATCH(H988,DB_malas!$A$2:$A$5000,0)),IF(OR(INDEX(DB_materiali!$B$2:$B$5000,MATCH($C988,DB_materiali!$A$2:$A$5000,0))=INDEX(DB_malas!$B$2:$B$5000,MATCH(H988,DB_malas!$A$2:$A$5000,0)),$H988="ORG"),"✔",tulkojums!$A$38),tulkojums!$A$39),tulkojums!$A$39))</f>
        <v/>
      </c>
      <c r="Q988" s="2" t="str">
        <f>IF(ISBLANK(I988),"",IF(INDEX(DB_materiali!$E$2:$E$5000,MATCH($C988,DB_materiali!$A$2:$A$5000,0))&gt;=INDEX(DB_malas!$C$2:$C$5000,MATCH(I988,DB_malas!$A$2:$A$5000,0)),IF(INDEX(DB_materiali!$E$2:$E$5000,MATCH($C988,DB_materiali!$A$2:$A$5000,0))&lt;=INDEX(DB_malas!$D$2:$D$5000,MATCH(I988,DB_malas!$A$2:$A$5000,0)),IF(OR(INDEX(DB_materiali!$B$2:$B$5000,MATCH($C988,DB_materiali!$A$2:$A$5000,0))=INDEX(DB_malas!$B$2:$B$5000,MATCH(I988,DB_malas!$A$2:$A$5000,0)),$H988="ORG"),"✔",tulkojums!$A$38),tulkojums!$A$39),tulkojums!$A$39))</f>
        <v/>
      </c>
      <c r="R988" s="2" t="str">
        <f>IF(ISBLANK(J988),"",IF(INDEX(DB_materiali!$E$2:$E$5000,MATCH($C988,DB_materiali!$A$2:$A$5000,0))&gt;=INDEX(DB_malas!$C$2:$C$5000,MATCH(J988,DB_malas!$A$2:$A$5000,0)),IF(INDEX(DB_materiali!$E$2:$E$5000,MATCH($C988,DB_materiali!$A$2:$A$5000,0))&lt;=INDEX(DB_malas!$D$2:$D$5000,MATCH(J988,DB_malas!$A$2:$A$5000,0)),IF(INDEX(DB_materiali!$B$2:$B$5000,MATCH($C988,DB_materiali!$A$2:$A$5000,0))=INDEX(DB_malas!$B$2:$B$5000,MATCH(J988,DB_malas!$A$2:$A$5000,0)),"✔",tulkojums!$A$38),tulkojums!$A$39),tulkojums!$A$39))</f>
        <v/>
      </c>
      <c r="S988" s="2" t="str">
        <f>IF(ISBLANK(K988),"",IF(INDEX(DB_materiali!$E$2:$E$5000,MATCH($C988,DB_materiali!$A$2:$A$5000,0))&gt;=INDEX(DB_malas!$C$2:$C$5000,MATCH(K988,DB_malas!$A$2:$A$5000,0)),IF(INDEX(DB_materiali!$E$2:$E$5000,MATCH($C988,DB_materiali!$A$2:$A$5000,0))&lt;=INDEX(DB_malas!$D$2:$D$5000,MATCH(K988,DB_malas!$A$2:$A$5000,0)),IF(INDEX(DB_materiali!$B$2:$B$5000,MATCH($C988,DB_materiali!$A$2:$A$5000,0))=INDEX(DB_malas!$B$2:$B$5000,MATCH(K988,DB_malas!$A$2:$A$5000,0)),"✔",tulkojums!$A$38),tulkojums!$A$39),tulkojums!$A$39))</f>
        <v/>
      </c>
      <c r="T988" s="2"/>
      <c r="U988" s="2"/>
      <c r="V988" s="2"/>
      <c r="W988" s="2"/>
      <c r="X988" s="2"/>
      <c r="Y988" s="2"/>
      <c r="Z988" s="2"/>
    </row>
    <row r="989" spans="1:26" ht="15.75" customHeight="1">
      <c r="A989" s="17"/>
      <c r="B989" s="18"/>
      <c r="C989" s="19"/>
      <c r="D989" s="55"/>
      <c r="E989" s="55"/>
      <c r="F989" s="56"/>
      <c r="G989" s="57" t="str">
        <f>IF(ISBLANK(C989),"",
   IFERROR(
      IF(
         INDEX(DB_materiali!C$2:C$5000,
               MATCH(C989, DB_materiali!A$2:A$5000, 0)
         )="FALSE",
         "N",
         "Y"
      ),
   "")
)</f>
        <v/>
      </c>
      <c r="H989" s="20"/>
      <c r="I989" s="20"/>
      <c r="J989" s="20"/>
      <c r="K989" s="20"/>
      <c r="M989" s="2" t="str">
        <f>IF(ISBLANK(C989),"",IF(IFERROR(VLOOKUP(C989,DB_materiali!$A$2:$A$5000,1,FALSE),"Kļūda artikulā")=C989,"✔",tulkojums!A$42))</f>
        <v/>
      </c>
      <c r="N989" s="2" t="str">
        <f>IF(ISBLANK(C989),"",IF(ISNUMBER(F989)=TRUE,"✔",tulkojums!A$43))</f>
        <v/>
      </c>
      <c r="O989" s="2" t="str">
        <f>IF(ISBLANK(C989),"",IF(G989="Y","✔",IF(G989="X","✔",IF(G989="N","✔",tulkojums!A$44))))</f>
        <v/>
      </c>
      <c r="P989" s="2" t="str">
        <f>IF(ISBLANK(H989),"",IF(INDEX(DB_materiali!$E$2:$E$5000,MATCH($C989,DB_materiali!$A$2:$A$5000,0))&gt;=INDEX(DB_malas!$C$2:$C$5000,MATCH(H989,DB_malas!$A$2:$A$5000,0)),IF(INDEX(DB_materiali!$E$2:$E$5000,MATCH($C989,DB_materiali!$A$2:$A$5000,0))&lt;=INDEX(DB_malas!$D$2:$D$5000,MATCH(H989,DB_malas!$A$2:$A$5000,0)),IF(OR(INDEX(DB_materiali!$B$2:$B$5000,MATCH($C989,DB_materiali!$A$2:$A$5000,0))=INDEX(DB_malas!$B$2:$B$5000,MATCH(H989,DB_malas!$A$2:$A$5000,0)),$H989="ORG"),"✔",tulkojums!$A$38),tulkojums!$A$39),tulkojums!$A$39))</f>
        <v/>
      </c>
      <c r="Q989" s="2" t="str">
        <f>IF(ISBLANK(I989),"",IF(INDEX(DB_materiali!$E$2:$E$5000,MATCH($C989,DB_materiali!$A$2:$A$5000,0))&gt;=INDEX(DB_malas!$C$2:$C$5000,MATCH(I989,DB_malas!$A$2:$A$5000,0)),IF(INDEX(DB_materiali!$E$2:$E$5000,MATCH($C989,DB_materiali!$A$2:$A$5000,0))&lt;=INDEX(DB_malas!$D$2:$D$5000,MATCH(I989,DB_malas!$A$2:$A$5000,0)),IF(OR(INDEX(DB_materiali!$B$2:$B$5000,MATCH($C989,DB_materiali!$A$2:$A$5000,0))=INDEX(DB_malas!$B$2:$B$5000,MATCH(I989,DB_malas!$A$2:$A$5000,0)),$H989="ORG"),"✔",tulkojums!$A$38),tulkojums!$A$39),tulkojums!$A$39))</f>
        <v/>
      </c>
      <c r="R989" s="2" t="str">
        <f>IF(ISBLANK(J989),"",IF(INDEX(DB_materiali!$E$2:$E$5000,MATCH($C989,DB_materiali!$A$2:$A$5000,0))&gt;=INDEX(DB_malas!$C$2:$C$5000,MATCH(J989,DB_malas!$A$2:$A$5000,0)),IF(INDEX(DB_materiali!$E$2:$E$5000,MATCH($C989,DB_materiali!$A$2:$A$5000,0))&lt;=INDEX(DB_malas!$D$2:$D$5000,MATCH(J989,DB_malas!$A$2:$A$5000,0)),IF(INDEX(DB_materiali!$B$2:$B$5000,MATCH($C989,DB_materiali!$A$2:$A$5000,0))=INDEX(DB_malas!$B$2:$B$5000,MATCH(J989,DB_malas!$A$2:$A$5000,0)),"✔",tulkojums!$A$38),tulkojums!$A$39),tulkojums!$A$39))</f>
        <v/>
      </c>
      <c r="S989" s="2" t="str">
        <f>IF(ISBLANK(K989),"",IF(INDEX(DB_materiali!$E$2:$E$5000,MATCH($C989,DB_materiali!$A$2:$A$5000,0))&gt;=INDEX(DB_malas!$C$2:$C$5000,MATCH(K989,DB_malas!$A$2:$A$5000,0)),IF(INDEX(DB_materiali!$E$2:$E$5000,MATCH($C989,DB_materiali!$A$2:$A$5000,0))&lt;=INDEX(DB_malas!$D$2:$D$5000,MATCH(K989,DB_malas!$A$2:$A$5000,0)),IF(INDEX(DB_materiali!$B$2:$B$5000,MATCH($C989,DB_materiali!$A$2:$A$5000,0))=INDEX(DB_malas!$B$2:$B$5000,MATCH(K989,DB_malas!$A$2:$A$5000,0)),"✔",tulkojums!$A$38),tulkojums!$A$39),tulkojums!$A$39))</f>
        <v/>
      </c>
      <c r="T989" s="2"/>
      <c r="U989" s="2"/>
      <c r="V989" s="2"/>
      <c r="W989" s="2"/>
      <c r="X989" s="2"/>
      <c r="Y989" s="2"/>
      <c r="Z989" s="2"/>
    </row>
    <row r="990" spans="1:26" ht="15.75" customHeight="1">
      <c r="A990" s="17"/>
      <c r="B990" s="18"/>
      <c r="C990" s="19"/>
      <c r="D990" s="55"/>
      <c r="E990" s="55"/>
      <c r="F990" s="56"/>
      <c r="G990" s="57" t="str">
        <f>IF(ISBLANK(C990),"",
   IFERROR(
      IF(
         INDEX(DB_materiali!C$2:C$5000,
               MATCH(C990, DB_materiali!A$2:A$5000, 0)
         )="FALSE",
         "N",
         "Y"
      ),
   "")
)</f>
        <v/>
      </c>
      <c r="H990" s="20"/>
      <c r="I990" s="20"/>
      <c r="J990" s="20"/>
      <c r="K990" s="20"/>
      <c r="M990" s="2" t="str">
        <f>IF(ISBLANK(C990),"",IF(IFERROR(VLOOKUP(C990,DB_materiali!$A$2:$A$5000,1,FALSE),"Kļūda artikulā")=C990,"✔",tulkojums!A$42))</f>
        <v/>
      </c>
      <c r="N990" s="2" t="str">
        <f>IF(ISBLANK(C990),"",IF(ISNUMBER(F990)=TRUE,"✔",tulkojums!A$43))</f>
        <v/>
      </c>
      <c r="O990" s="2" t="str">
        <f>IF(ISBLANK(C990),"",IF(G990="Y","✔",IF(G990="X","✔",IF(G990="N","✔",tulkojums!A$44))))</f>
        <v/>
      </c>
      <c r="P990" s="2" t="str">
        <f>IF(ISBLANK(H990),"",IF(INDEX(DB_materiali!$E$2:$E$5000,MATCH($C990,DB_materiali!$A$2:$A$5000,0))&gt;=INDEX(DB_malas!$C$2:$C$5000,MATCH(H990,DB_malas!$A$2:$A$5000,0)),IF(INDEX(DB_materiali!$E$2:$E$5000,MATCH($C990,DB_materiali!$A$2:$A$5000,0))&lt;=INDEX(DB_malas!$D$2:$D$5000,MATCH(H990,DB_malas!$A$2:$A$5000,0)),IF(OR(INDEX(DB_materiali!$B$2:$B$5000,MATCH($C990,DB_materiali!$A$2:$A$5000,0))=INDEX(DB_malas!$B$2:$B$5000,MATCH(H990,DB_malas!$A$2:$A$5000,0)),$H990="ORG"),"✔",tulkojums!$A$38),tulkojums!$A$39),tulkojums!$A$39))</f>
        <v/>
      </c>
      <c r="Q990" s="2" t="str">
        <f>IF(ISBLANK(I990),"",IF(INDEX(DB_materiali!$E$2:$E$5000,MATCH($C990,DB_materiali!$A$2:$A$5000,0))&gt;=INDEX(DB_malas!$C$2:$C$5000,MATCH(I990,DB_malas!$A$2:$A$5000,0)),IF(INDEX(DB_materiali!$E$2:$E$5000,MATCH($C990,DB_materiali!$A$2:$A$5000,0))&lt;=INDEX(DB_malas!$D$2:$D$5000,MATCH(I990,DB_malas!$A$2:$A$5000,0)),IF(OR(INDEX(DB_materiali!$B$2:$B$5000,MATCH($C990,DB_materiali!$A$2:$A$5000,0))=INDEX(DB_malas!$B$2:$B$5000,MATCH(I990,DB_malas!$A$2:$A$5000,0)),$H990="ORG"),"✔",tulkojums!$A$38),tulkojums!$A$39),tulkojums!$A$39))</f>
        <v/>
      </c>
      <c r="R990" s="2" t="str">
        <f>IF(ISBLANK(J990),"",IF(INDEX(DB_materiali!$E$2:$E$5000,MATCH($C990,DB_materiali!$A$2:$A$5000,0))&gt;=INDEX(DB_malas!$C$2:$C$5000,MATCH(J990,DB_malas!$A$2:$A$5000,0)),IF(INDEX(DB_materiali!$E$2:$E$5000,MATCH($C990,DB_materiali!$A$2:$A$5000,0))&lt;=INDEX(DB_malas!$D$2:$D$5000,MATCH(J990,DB_malas!$A$2:$A$5000,0)),IF(INDEX(DB_materiali!$B$2:$B$5000,MATCH($C990,DB_materiali!$A$2:$A$5000,0))=INDEX(DB_malas!$B$2:$B$5000,MATCH(J990,DB_malas!$A$2:$A$5000,0)),"✔",tulkojums!$A$38),tulkojums!$A$39),tulkojums!$A$39))</f>
        <v/>
      </c>
      <c r="S990" s="2" t="str">
        <f>IF(ISBLANK(K990),"",IF(INDEX(DB_materiali!$E$2:$E$5000,MATCH($C990,DB_materiali!$A$2:$A$5000,0))&gt;=INDEX(DB_malas!$C$2:$C$5000,MATCH(K990,DB_malas!$A$2:$A$5000,0)),IF(INDEX(DB_materiali!$E$2:$E$5000,MATCH($C990,DB_materiali!$A$2:$A$5000,0))&lt;=INDEX(DB_malas!$D$2:$D$5000,MATCH(K990,DB_malas!$A$2:$A$5000,0)),IF(INDEX(DB_materiali!$B$2:$B$5000,MATCH($C990,DB_materiali!$A$2:$A$5000,0))=INDEX(DB_malas!$B$2:$B$5000,MATCH(K990,DB_malas!$A$2:$A$5000,0)),"✔",tulkojums!$A$38),tulkojums!$A$39),tulkojums!$A$39))</f>
        <v/>
      </c>
      <c r="T990" s="2"/>
      <c r="U990" s="2"/>
      <c r="V990" s="2"/>
      <c r="W990" s="2"/>
      <c r="X990" s="2"/>
      <c r="Y990" s="2"/>
      <c r="Z990" s="2"/>
    </row>
    <row r="991" spans="1:26" ht="15.75" customHeight="1">
      <c r="A991" s="17"/>
      <c r="B991" s="18"/>
      <c r="C991" s="19"/>
      <c r="D991" s="55"/>
      <c r="E991" s="55"/>
      <c r="F991" s="56"/>
      <c r="G991" s="57" t="str">
        <f>IF(ISBLANK(C991),"",
   IFERROR(
      IF(
         INDEX(DB_materiali!C$2:C$5000,
               MATCH(C991, DB_materiali!A$2:A$5000, 0)
         )="FALSE",
         "N",
         "Y"
      ),
   "")
)</f>
        <v/>
      </c>
      <c r="H991" s="20"/>
      <c r="I991" s="20"/>
      <c r="J991" s="20"/>
      <c r="K991" s="20"/>
      <c r="M991" s="2" t="str">
        <f>IF(ISBLANK(C991),"",IF(IFERROR(VLOOKUP(C991,DB_materiali!$A$2:$A$5000,1,FALSE),"Kļūda artikulā")=C991,"✔",tulkojums!A$42))</f>
        <v/>
      </c>
      <c r="N991" s="2" t="str">
        <f>IF(ISBLANK(C991),"",IF(ISNUMBER(F991)=TRUE,"✔",tulkojums!A$43))</f>
        <v/>
      </c>
      <c r="O991" s="2" t="str">
        <f>IF(ISBLANK(C991),"",IF(G991="Y","✔",IF(G991="X","✔",IF(G991="N","✔",tulkojums!A$44))))</f>
        <v/>
      </c>
      <c r="P991" s="2" t="str">
        <f>IF(ISBLANK(H991),"",IF(INDEX(DB_materiali!$E$2:$E$5000,MATCH($C991,DB_materiali!$A$2:$A$5000,0))&gt;=INDEX(DB_malas!$C$2:$C$5000,MATCH(H991,DB_malas!$A$2:$A$5000,0)),IF(INDEX(DB_materiali!$E$2:$E$5000,MATCH($C991,DB_materiali!$A$2:$A$5000,0))&lt;=INDEX(DB_malas!$D$2:$D$5000,MATCH(H991,DB_malas!$A$2:$A$5000,0)),IF(OR(INDEX(DB_materiali!$B$2:$B$5000,MATCH($C991,DB_materiali!$A$2:$A$5000,0))=INDEX(DB_malas!$B$2:$B$5000,MATCH(H991,DB_malas!$A$2:$A$5000,0)),$H991="ORG"),"✔",tulkojums!$A$38),tulkojums!$A$39),tulkojums!$A$39))</f>
        <v/>
      </c>
      <c r="Q991" s="2" t="str">
        <f>IF(ISBLANK(I991),"",IF(INDEX(DB_materiali!$E$2:$E$5000,MATCH($C991,DB_materiali!$A$2:$A$5000,0))&gt;=INDEX(DB_malas!$C$2:$C$5000,MATCH(I991,DB_malas!$A$2:$A$5000,0)),IF(INDEX(DB_materiali!$E$2:$E$5000,MATCH($C991,DB_materiali!$A$2:$A$5000,0))&lt;=INDEX(DB_malas!$D$2:$D$5000,MATCH(I991,DB_malas!$A$2:$A$5000,0)),IF(OR(INDEX(DB_materiali!$B$2:$B$5000,MATCH($C991,DB_materiali!$A$2:$A$5000,0))=INDEX(DB_malas!$B$2:$B$5000,MATCH(I991,DB_malas!$A$2:$A$5000,0)),$H991="ORG"),"✔",tulkojums!$A$38),tulkojums!$A$39),tulkojums!$A$39))</f>
        <v/>
      </c>
      <c r="R991" s="2" t="str">
        <f>IF(ISBLANK(J991),"",IF(INDEX(DB_materiali!$E$2:$E$5000,MATCH($C991,DB_materiali!$A$2:$A$5000,0))&gt;=INDEX(DB_malas!$C$2:$C$5000,MATCH(J991,DB_malas!$A$2:$A$5000,0)),IF(INDEX(DB_materiali!$E$2:$E$5000,MATCH($C991,DB_materiali!$A$2:$A$5000,0))&lt;=INDEX(DB_malas!$D$2:$D$5000,MATCH(J991,DB_malas!$A$2:$A$5000,0)),IF(INDEX(DB_materiali!$B$2:$B$5000,MATCH($C991,DB_materiali!$A$2:$A$5000,0))=INDEX(DB_malas!$B$2:$B$5000,MATCH(J991,DB_malas!$A$2:$A$5000,0)),"✔",tulkojums!$A$38),tulkojums!$A$39),tulkojums!$A$39))</f>
        <v/>
      </c>
      <c r="S991" s="2" t="str">
        <f>IF(ISBLANK(K991),"",IF(INDEX(DB_materiali!$E$2:$E$5000,MATCH($C991,DB_materiali!$A$2:$A$5000,0))&gt;=INDEX(DB_malas!$C$2:$C$5000,MATCH(K991,DB_malas!$A$2:$A$5000,0)),IF(INDEX(DB_materiali!$E$2:$E$5000,MATCH($C991,DB_materiali!$A$2:$A$5000,0))&lt;=INDEX(DB_malas!$D$2:$D$5000,MATCH(K991,DB_malas!$A$2:$A$5000,0)),IF(INDEX(DB_materiali!$B$2:$B$5000,MATCH($C991,DB_materiali!$A$2:$A$5000,0))=INDEX(DB_malas!$B$2:$B$5000,MATCH(K991,DB_malas!$A$2:$A$5000,0)),"✔",tulkojums!$A$38),tulkojums!$A$39),tulkojums!$A$39))</f>
        <v/>
      </c>
      <c r="T991" s="2"/>
      <c r="U991" s="2"/>
      <c r="V991" s="2"/>
      <c r="W991" s="2"/>
      <c r="X991" s="2"/>
      <c r="Y991" s="2"/>
      <c r="Z991" s="2"/>
    </row>
    <row r="992" spans="1:26" ht="15.75" customHeight="1">
      <c r="A992" s="17"/>
      <c r="B992" s="18"/>
      <c r="C992" s="19"/>
      <c r="D992" s="55"/>
      <c r="E992" s="55"/>
      <c r="F992" s="56"/>
      <c r="G992" s="57" t="str">
        <f>IF(ISBLANK(C992),"",
   IFERROR(
      IF(
         INDEX(DB_materiali!C$2:C$5000,
               MATCH(C992, DB_materiali!A$2:A$5000, 0)
         )="FALSE",
         "N",
         "Y"
      ),
   "")
)</f>
        <v/>
      </c>
      <c r="H992" s="20"/>
      <c r="I992" s="20"/>
      <c r="J992" s="20"/>
      <c r="K992" s="20"/>
      <c r="M992" s="2" t="str">
        <f>IF(ISBLANK(C992),"",IF(IFERROR(VLOOKUP(C992,DB_materiali!$A$2:$A$5000,1,FALSE),"Kļūda artikulā")=C992,"✔",tulkojums!A$42))</f>
        <v/>
      </c>
      <c r="N992" s="2" t="str">
        <f>IF(ISBLANK(C992),"",IF(ISNUMBER(F992)=TRUE,"✔",tulkojums!A$43))</f>
        <v/>
      </c>
      <c r="O992" s="2" t="str">
        <f>IF(ISBLANK(C992),"",IF(G992="Y","✔",IF(G992="X","✔",IF(G992="N","✔",tulkojums!A$44))))</f>
        <v/>
      </c>
      <c r="P992" s="2" t="str">
        <f>IF(ISBLANK(H992),"",IF(INDEX(DB_materiali!$E$2:$E$5000,MATCH($C992,DB_materiali!$A$2:$A$5000,0))&gt;=INDEX(DB_malas!$C$2:$C$5000,MATCH(H992,DB_malas!$A$2:$A$5000,0)),IF(INDEX(DB_materiali!$E$2:$E$5000,MATCH($C992,DB_materiali!$A$2:$A$5000,0))&lt;=INDEX(DB_malas!$D$2:$D$5000,MATCH(H992,DB_malas!$A$2:$A$5000,0)),IF(OR(INDEX(DB_materiali!$B$2:$B$5000,MATCH($C992,DB_materiali!$A$2:$A$5000,0))=INDEX(DB_malas!$B$2:$B$5000,MATCH(H992,DB_malas!$A$2:$A$5000,0)),$H992="ORG"),"✔",tulkojums!$A$38),tulkojums!$A$39),tulkojums!$A$39))</f>
        <v/>
      </c>
      <c r="Q992" s="2" t="str">
        <f>IF(ISBLANK(I992),"",IF(INDEX(DB_materiali!$E$2:$E$5000,MATCH($C992,DB_materiali!$A$2:$A$5000,0))&gt;=INDEX(DB_malas!$C$2:$C$5000,MATCH(I992,DB_malas!$A$2:$A$5000,0)),IF(INDEX(DB_materiali!$E$2:$E$5000,MATCH($C992,DB_materiali!$A$2:$A$5000,0))&lt;=INDEX(DB_malas!$D$2:$D$5000,MATCH(I992,DB_malas!$A$2:$A$5000,0)),IF(OR(INDEX(DB_materiali!$B$2:$B$5000,MATCH($C992,DB_materiali!$A$2:$A$5000,0))=INDEX(DB_malas!$B$2:$B$5000,MATCH(I992,DB_malas!$A$2:$A$5000,0)),$H992="ORG"),"✔",tulkojums!$A$38),tulkojums!$A$39),tulkojums!$A$39))</f>
        <v/>
      </c>
      <c r="R992" s="2" t="str">
        <f>IF(ISBLANK(J992),"",IF(INDEX(DB_materiali!$E$2:$E$5000,MATCH($C992,DB_materiali!$A$2:$A$5000,0))&gt;=INDEX(DB_malas!$C$2:$C$5000,MATCH(J992,DB_malas!$A$2:$A$5000,0)),IF(INDEX(DB_materiali!$E$2:$E$5000,MATCH($C992,DB_materiali!$A$2:$A$5000,0))&lt;=INDEX(DB_malas!$D$2:$D$5000,MATCH(J992,DB_malas!$A$2:$A$5000,0)),IF(INDEX(DB_materiali!$B$2:$B$5000,MATCH($C992,DB_materiali!$A$2:$A$5000,0))=INDEX(DB_malas!$B$2:$B$5000,MATCH(J992,DB_malas!$A$2:$A$5000,0)),"✔",tulkojums!$A$38),tulkojums!$A$39),tulkojums!$A$39))</f>
        <v/>
      </c>
      <c r="S992" s="2" t="str">
        <f>IF(ISBLANK(K992),"",IF(INDEX(DB_materiali!$E$2:$E$5000,MATCH($C992,DB_materiali!$A$2:$A$5000,0))&gt;=INDEX(DB_malas!$C$2:$C$5000,MATCH(K992,DB_malas!$A$2:$A$5000,0)),IF(INDEX(DB_materiali!$E$2:$E$5000,MATCH($C992,DB_materiali!$A$2:$A$5000,0))&lt;=INDEX(DB_malas!$D$2:$D$5000,MATCH(K992,DB_malas!$A$2:$A$5000,0)),IF(INDEX(DB_materiali!$B$2:$B$5000,MATCH($C992,DB_materiali!$A$2:$A$5000,0))=INDEX(DB_malas!$B$2:$B$5000,MATCH(K992,DB_malas!$A$2:$A$5000,0)),"✔",tulkojums!$A$38),tulkojums!$A$39),tulkojums!$A$39))</f>
        <v/>
      </c>
      <c r="T992" s="2"/>
      <c r="U992" s="2"/>
      <c r="V992" s="2"/>
      <c r="W992" s="2"/>
      <c r="X992" s="2"/>
      <c r="Y992" s="2"/>
      <c r="Z992" s="2"/>
    </row>
    <row r="993" spans="1:26" ht="15.75" customHeight="1">
      <c r="A993" s="17"/>
      <c r="B993" s="18"/>
      <c r="C993" s="19"/>
      <c r="D993" s="55"/>
      <c r="E993" s="55"/>
      <c r="F993" s="56"/>
      <c r="G993" s="57" t="str">
        <f>IF(ISBLANK(C993),"",
   IFERROR(
      IF(
         INDEX(DB_materiali!C$2:C$5000,
               MATCH(C993, DB_materiali!A$2:A$5000, 0)
         )="FALSE",
         "N",
         "Y"
      ),
   "")
)</f>
        <v/>
      </c>
      <c r="H993" s="20"/>
      <c r="I993" s="20"/>
      <c r="J993" s="20"/>
      <c r="K993" s="20"/>
      <c r="M993" s="2" t="str">
        <f>IF(ISBLANK(C993),"",IF(IFERROR(VLOOKUP(C993,DB_materiali!$A$2:$A$5000,1,FALSE),"Kļūda artikulā")=C993,"✔",tulkojums!A$42))</f>
        <v/>
      </c>
      <c r="N993" s="2" t="str">
        <f>IF(ISBLANK(C993),"",IF(ISNUMBER(F993)=TRUE,"✔",tulkojums!A$43))</f>
        <v/>
      </c>
      <c r="O993" s="2" t="str">
        <f>IF(ISBLANK(C993),"",IF(G993="Y","✔",IF(G993="X","✔",IF(G993="N","✔",tulkojums!A$44))))</f>
        <v/>
      </c>
      <c r="P993" s="2" t="str">
        <f>IF(ISBLANK(H993),"",IF(INDEX(DB_materiali!$E$2:$E$5000,MATCH($C993,DB_materiali!$A$2:$A$5000,0))&gt;=INDEX(DB_malas!$C$2:$C$5000,MATCH(H993,DB_malas!$A$2:$A$5000,0)),IF(INDEX(DB_materiali!$E$2:$E$5000,MATCH($C993,DB_materiali!$A$2:$A$5000,0))&lt;=INDEX(DB_malas!$D$2:$D$5000,MATCH(H993,DB_malas!$A$2:$A$5000,0)),IF(OR(INDEX(DB_materiali!$B$2:$B$5000,MATCH($C993,DB_materiali!$A$2:$A$5000,0))=INDEX(DB_malas!$B$2:$B$5000,MATCH(H993,DB_malas!$A$2:$A$5000,0)),$H993="ORG"),"✔",tulkojums!$A$38),tulkojums!$A$39),tulkojums!$A$39))</f>
        <v/>
      </c>
      <c r="Q993" s="2" t="str">
        <f>IF(ISBLANK(I993),"",IF(INDEX(DB_materiali!$E$2:$E$5000,MATCH($C993,DB_materiali!$A$2:$A$5000,0))&gt;=INDEX(DB_malas!$C$2:$C$5000,MATCH(I993,DB_malas!$A$2:$A$5000,0)),IF(INDEX(DB_materiali!$E$2:$E$5000,MATCH($C993,DB_materiali!$A$2:$A$5000,0))&lt;=INDEX(DB_malas!$D$2:$D$5000,MATCH(I993,DB_malas!$A$2:$A$5000,0)),IF(OR(INDEX(DB_materiali!$B$2:$B$5000,MATCH($C993,DB_materiali!$A$2:$A$5000,0))=INDEX(DB_malas!$B$2:$B$5000,MATCH(I993,DB_malas!$A$2:$A$5000,0)),$H993="ORG"),"✔",tulkojums!$A$38),tulkojums!$A$39),tulkojums!$A$39))</f>
        <v/>
      </c>
      <c r="R993" s="2" t="str">
        <f>IF(ISBLANK(J993),"",IF(INDEX(DB_materiali!$E$2:$E$5000,MATCH($C993,DB_materiali!$A$2:$A$5000,0))&gt;=INDEX(DB_malas!$C$2:$C$5000,MATCH(J993,DB_malas!$A$2:$A$5000,0)),IF(INDEX(DB_materiali!$E$2:$E$5000,MATCH($C993,DB_materiali!$A$2:$A$5000,0))&lt;=INDEX(DB_malas!$D$2:$D$5000,MATCH(J993,DB_malas!$A$2:$A$5000,0)),IF(INDEX(DB_materiali!$B$2:$B$5000,MATCH($C993,DB_materiali!$A$2:$A$5000,0))=INDEX(DB_malas!$B$2:$B$5000,MATCH(J993,DB_malas!$A$2:$A$5000,0)),"✔",tulkojums!$A$38),tulkojums!$A$39),tulkojums!$A$39))</f>
        <v/>
      </c>
      <c r="S993" s="2" t="str">
        <f>IF(ISBLANK(K993),"",IF(INDEX(DB_materiali!$E$2:$E$5000,MATCH($C993,DB_materiali!$A$2:$A$5000,0))&gt;=INDEX(DB_malas!$C$2:$C$5000,MATCH(K993,DB_malas!$A$2:$A$5000,0)),IF(INDEX(DB_materiali!$E$2:$E$5000,MATCH($C993,DB_materiali!$A$2:$A$5000,0))&lt;=INDEX(DB_malas!$D$2:$D$5000,MATCH(K993,DB_malas!$A$2:$A$5000,0)),IF(INDEX(DB_materiali!$B$2:$B$5000,MATCH($C993,DB_materiali!$A$2:$A$5000,0))=INDEX(DB_malas!$B$2:$B$5000,MATCH(K993,DB_malas!$A$2:$A$5000,0)),"✔",tulkojums!$A$38),tulkojums!$A$39),tulkojums!$A$39))</f>
        <v/>
      </c>
      <c r="T993" s="2"/>
      <c r="U993" s="2"/>
      <c r="V993" s="2"/>
      <c r="W993" s="2"/>
      <c r="X993" s="2"/>
      <c r="Y993" s="2"/>
      <c r="Z993" s="2"/>
    </row>
    <row r="994" spans="1:26" ht="15.75" customHeight="1">
      <c r="A994" s="17"/>
      <c r="B994" s="18"/>
      <c r="C994" s="19"/>
      <c r="D994" s="55"/>
      <c r="E994" s="55"/>
      <c r="F994" s="56"/>
      <c r="G994" s="57" t="str">
        <f>IF(ISBLANK(C994),"",
   IFERROR(
      IF(
         INDEX(DB_materiali!C$2:C$5000,
               MATCH(C994, DB_materiali!A$2:A$5000, 0)
         )="FALSE",
         "N",
         "Y"
      ),
   "")
)</f>
        <v/>
      </c>
      <c r="H994" s="20"/>
      <c r="I994" s="20"/>
      <c r="J994" s="20"/>
      <c r="K994" s="20"/>
      <c r="M994" s="2" t="str">
        <f>IF(ISBLANK(C994),"",IF(IFERROR(VLOOKUP(C994,DB_materiali!$A$2:$A$5000,1,FALSE),"Kļūda artikulā")=C994,"✔",tulkojums!A$42))</f>
        <v/>
      </c>
      <c r="N994" s="2" t="str">
        <f>IF(ISBLANK(C994),"",IF(ISNUMBER(F994)=TRUE,"✔",tulkojums!A$43))</f>
        <v/>
      </c>
      <c r="O994" s="2" t="str">
        <f>IF(ISBLANK(C994),"",IF(G994="Y","✔",IF(G994="X","✔",IF(G994="N","✔",tulkojums!A$44))))</f>
        <v/>
      </c>
      <c r="P994" s="2" t="str">
        <f>IF(ISBLANK(H994),"",IF(INDEX(DB_materiali!$E$2:$E$5000,MATCH($C994,DB_materiali!$A$2:$A$5000,0))&gt;=INDEX(DB_malas!$C$2:$C$5000,MATCH(H994,DB_malas!$A$2:$A$5000,0)),IF(INDEX(DB_materiali!$E$2:$E$5000,MATCH($C994,DB_materiali!$A$2:$A$5000,0))&lt;=INDEX(DB_malas!$D$2:$D$5000,MATCH(H994,DB_malas!$A$2:$A$5000,0)),IF(OR(INDEX(DB_materiali!$B$2:$B$5000,MATCH($C994,DB_materiali!$A$2:$A$5000,0))=INDEX(DB_malas!$B$2:$B$5000,MATCH(H994,DB_malas!$A$2:$A$5000,0)),$H994="ORG"),"✔",tulkojums!$A$38),tulkojums!$A$39),tulkojums!$A$39))</f>
        <v/>
      </c>
      <c r="Q994" s="2" t="str">
        <f>IF(ISBLANK(I994),"",IF(INDEX(DB_materiali!$E$2:$E$5000,MATCH($C994,DB_materiali!$A$2:$A$5000,0))&gt;=INDEX(DB_malas!$C$2:$C$5000,MATCH(I994,DB_malas!$A$2:$A$5000,0)),IF(INDEX(DB_materiali!$E$2:$E$5000,MATCH($C994,DB_materiali!$A$2:$A$5000,0))&lt;=INDEX(DB_malas!$D$2:$D$5000,MATCH(I994,DB_malas!$A$2:$A$5000,0)),IF(OR(INDEX(DB_materiali!$B$2:$B$5000,MATCH($C994,DB_materiali!$A$2:$A$5000,0))=INDEX(DB_malas!$B$2:$B$5000,MATCH(I994,DB_malas!$A$2:$A$5000,0)),$H994="ORG"),"✔",tulkojums!$A$38),tulkojums!$A$39),tulkojums!$A$39))</f>
        <v/>
      </c>
      <c r="R994" s="2" t="str">
        <f>IF(ISBLANK(J994),"",IF(INDEX(DB_materiali!$E$2:$E$5000,MATCH($C994,DB_materiali!$A$2:$A$5000,0))&gt;=INDEX(DB_malas!$C$2:$C$5000,MATCH(J994,DB_malas!$A$2:$A$5000,0)),IF(INDEX(DB_materiali!$E$2:$E$5000,MATCH($C994,DB_materiali!$A$2:$A$5000,0))&lt;=INDEX(DB_malas!$D$2:$D$5000,MATCH(J994,DB_malas!$A$2:$A$5000,0)),IF(INDEX(DB_materiali!$B$2:$B$5000,MATCH($C994,DB_materiali!$A$2:$A$5000,0))=INDEX(DB_malas!$B$2:$B$5000,MATCH(J994,DB_malas!$A$2:$A$5000,0)),"✔",tulkojums!$A$38),tulkojums!$A$39),tulkojums!$A$39))</f>
        <v/>
      </c>
      <c r="S994" s="2" t="str">
        <f>IF(ISBLANK(K994),"",IF(INDEX(DB_materiali!$E$2:$E$5000,MATCH($C994,DB_materiali!$A$2:$A$5000,0))&gt;=INDEX(DB_malas!$C$2:$C$5000,MATCH(K994,DB_malas!$A$2:$A$5000,0)),IF(INDEX(DB_materiali!$E$2:$E$5000,MATCH($C994,DB_materiali!$A$2:$A$5000,0))&lt;=INDEX(DB_malas!$D$2:$D$5000,MATCH(K994,DB_malas!$A$2:$A$5000,0)),IF(INDEX(DB_materiali!$B$2:$B$5000,MATCH($C994,DB_materiali!$A$2:$A$5000,0))=INDEX(DB_malas!$B$2:$B$5000,MATCH(K994,DB_malas!$A$2:$A$5000,0)),"✔",tulkojums!$A$38),tulkojums!$A$39),tulkojums!$A$39))</f>
        <v/>
      </c>
      <c r="T994" s="2"/>
      <c r="U994" s="2"/>
      <c r="V994" s="2"/>
      <c r="W994" s="2"/>
      <c r="X994" s="2"/>
      <c r="Y994" s="2"/>
      <c r="Z994" s="2"/>
    </row>
    <row r="995" spans="1:26" ht="15.75" customHeight="1">
      <c r="A995" s="17"/>
      <c r="B995" s="18"/>
      <c r="C995" s="19"/>
      <c r="D995" s="55"/>
      <c r="E995" s="55"/>
      <c r="F995" s="56"/>
      <c r="G995" s="57" t="str">
        <f>IF(ISBLANK(C995),"",
   IFERROR(
      IF(
         INDEX(DB_materiali!C$2:C$5000,
               MATCH(C995, DB_materiali!A$2:A$5000, 0)
         )="FALSE",
         "N",
         "Y"
      ),
   "")
)</f>
        <v/>
      </c>
      <c r="H995" s="20"/>
      <c r="I995" s="20"/>
      <c r="J995" s="20"/>
      <c r="K995" s="20"/>
      <c r="M995" s="2" t="str">
        <f>IF(ISBLANK(C995),"",IF(IFERROR(VLOOKUP(C995,DB_materiali!$A$2:$A$5000,1,FALSE),"Kļūda artikulā")=C995,"✔",tulkojums!A$42))</f>
        <v/>
      </c>
      <c r="N995" s="2" t="str">
        <f>IF(ISBLANK(C995),"",IF(ISNUMBER(F995)=TRUE,"✔",tulkojums!A$43))</f>
        <v/>
      </c>
      <c r="O995" s="2" t="str">
        <f>IF(ISBLANK(C995),"",IF(G995="Y","✔",IF(G995="X","✔",IF(G995="N","✔",tulkojums!A$44))))</f>
        <v/>
      </c>
      <c r="P995" s="2" t="str">
        <f>IF(ISBLANK(H995),"",IF(INDEX(DB_materiali!$E$2:$E$5000,MATCH($C995,DB_materiali!$A$2:$A$5000,0))&gt;=INDEX(DB_malas!$C$2:$C$5000,MATCH(H995,DB_malas!$A$2:$A$5000,0)),IF(INDEX(DB_materiali!$E$2:$E$5000,MATCH($C995,DB_materiali!$A$2:$A$5000,0))&lt;=INDEX(DB_malas!$D$2:$D$5000,MATCH(H995,DB_malas!$A$2:$A$5000,0)),IF(OR(INDEX(DB_materiali!$B$2:$B$5000,MATCH($C995,DB_materiali!$A$2:$A$5000,0))=INDEX(DB_malas!$B$2:$B$5000,MATCH(H995,DB_malas!$A$2:$A$5000,0)),$H995="ORG"),"✔",tulkojums!$A$38),tulkojums!$A$39),tulkojums!$A$39))</f>
        <v/>
      </c>
      <c r="Q995" s="2" t="str">
        <f>IF(ISBLANK(I995),"",IF(INDEX(DB_materiali!$E$2:$E$5000,MATCH($C995,DB_materiali!$A$2:$A$5000,0))&gt;=INDEX(DB_malas!$C$2:$C$5000,MATCH(I995,DB_malas!$A$2:$A$5000,0)),IF(INDEX(DB_materiali!$E$2:$E$5000,MATCH($C995,DB_materiali!$A$2:$A$5000,0))&lt;=INDEX(DB_malas!$D$2:$D$5000,MATCH(I995,DB_malas!$A$2:$A$5000,0)),IF(OR(INDEX(DB_materiali!$B$2:$B$5000,MATCH($C995,DB_materiali!$A$2:$A$5000,0))=INDEX(DB_malas!$B$2:$B$5000,MATCH(I995,DB_malas!$A$2:$A$5000,0)),$H995="ORG"),"✔",tulkojums!$A$38),tulkojums!$A$39),tulkojums!$A$39))</f>
        <v/>
      </c>
      <c r="R995" s="2" t="str">
        <f>IF(ISBLANK(J995),"",IF(INDEX(DB_materiali!$E$2:$E$5000,MATCH($C995,DB_materiali!$A$2:$A$5000,0))&gt;=INDEX(DB_malas!$C$2:$C$5000,MATCH(J995,DB_malas!$A$2:$A$5000,0)),IF(INDEX(DB_materiali!$E$2:$E$5000,MATCH($C995,DB_materiali!$A$2:$A$5000,0))&lt;=INDEX(DB_malas!$D$2:$D$5000,MATCH(J995,DB_malas!$A$2:$A$5000,0)),IF(INDEX(DB_materiali!$B$2:$B$5000,MATCH($C995,DB_materiali!$A$2:$A$5000,0))=INDEX(DB_malas!$B$2:$B$5000,MATCH(J995,DB_malas!$A$2:$A$5000,0)),"✔",tulkojums!$A$38),tulkojums!$A$39),tulkojums!$A$39))</f>
        <v/>
      </c>
      <c r="S995" s="2" t="str">
        <f>IF(ISBLANK(K995),"",IF(INDEX(DB_materiali!$E$2:$E$5000,MATCH($C995,DB_materiali!$A$2:$A$5000,0))&gt;=INDEX(DB_malas!$C$2:$C$5000,MATCH(K995,DB_malas!$A$2:$A$5000,0)),IF(INDEX(DB_materiali!$E$2:$E$5000,MATCH($C995,DB_materiali!$A$2:$A$5000,0))&lt;=INDEX(DB_malas!$D$2:$D$5000,MATCH(K995,DB_malas!$A$2:$A$5000,0)),IF(INDEX(DB_materiali!$B$2:$B$5000,MATCH($C995,DB_materiali!$A$2:$A$5000,0))=INDEX(DB_malas!$B$2:$B$5000,MATCH(K995,DB_malas!$A$2:$A$5000,0)),"✔",tulkojums!$A$38),tulkojums!$A$39),tulkojums!$A$39))</f>
        <v/>
      </c>
      <c r="T995" s="2"/>
      <c r="U995" s="2"/>
      <c r="V995" s="2"/>
      <c r="W995" s="2"/>
      <c r="X995" s="2"/>
      <c r="Y995" s="2"/>
      <c r="Z995" s="2"/>
    </row>
    <row r="996" spans="1:26" ht="15.75" customHeight="1">
      <c r="A996" s="17"/>
      <c r="B996" s="18"/>
      <c r="C996" s="19"/>
      <c r="D996" s="55"/>
      <c r="E996" s="55"/>
      <c r="F996" s="56"/>
      <c r="G996" s="57" t="str">
        <f>IF(ISBLANK(C996),"",
   IFERROR(
      IF(
         INDEX(DB_materiali!C$2:C$5000,
               MATCH(C996, DB_materiali!A$2:A$5000, 0)
         )="FALSE",
         "N",
         "Y"
      ),
   "")
)</f>
        <v/>
      </c>
      <c r="H996" s="20"/>
      <c r="I996" s="20"/>
      <c r="J996" s="20"/>
      <c r="K996" s="20"/>
      <c r="M996" s="2" t="str">
        <f>IF(ISBLANK(C996),"",IF(IFERROR(VLOOKUP(C996,DB_materiali!$A$2:$A$5000,1,FALSE),"Kļūda artikulā")=C996,"✔",tulkojums!A$42))</f>
        <v/>
      </c>
      <c r="N996" s="2" t="str">
        <f>IF(ISBLANK(C996),"",IF(ISNUMBER(F996)=TRUE,"✔",tulkojums!A$43))</f>
        <v/>
      </c>
      <c r="O996" s="2" t="str">
        <f>IF(ISBLANK(C996),"",IF(G996="Y","✔",IF(G996="X","✔",IF(G996="N","✔",tulkojums!A$44))))</f>
        <v/>
      </c>
      <c r="P996" s="2" t="str">
        <f>IF(ISBLANK(H996),"",IF(INDEX(DB_materiali!$E$2:$E$5000,MATCH($C996,DB_materiali!$A$2:$A$5000,0))&gt;=INDEX(DB_malas!$C$2:$C$5000,MATCH(H996,DB_malas!$A$2:$A$5000,0)),IF(INDEX(DB_materiali!$E$2:$E$5000,MATCH($C996,DB_materiali!$A$2:$A$5000,0))&lt;=INDEX(DB_malas!$D$2:$D$5000,MATCH(H996,DB_malas!$A$2:$A$5000,0)),IF(OR(INDEX(DB_materiali!$B$2:$B$5000,MATCH($C996,DB_materiali!$A$2:$A$5000,0))=INDEX(DB_malas!$B$2:$B$5000,MATCH(H996,DB_malas!$A$2:$A$5000,0)),$H996="ORG"),"✔",tulkojums!$A$38),tulkojums!$A$39),tulkojums!$A$39))</f>
        <v/>
      </c>
      <c r="Q996" s="2" t="str">
        <f>IF(ISBLANK(I996),"",IF(INDEX(DB_materiali!$E$2:$E$5000,MATCH($C996,DB_materiali!$A$2:$A$5000,0))&gt;=INDEX(DB_malas!$C$2:$C$5000,MATCH(I996,DB_malas!$A$2:$A$5000,0)),IF(INDEX(DB_materiali!$E$2:$E$5000,MATCH($C996,DB_materiali!$A$2:$A$5000,0))&lt;=INDEX(DB_malas!$D$2:$D$5000,MATCH(I996,DB_malas!$A$2:$A$5000,0)),IF(OR(INDEX(DB_materiali!$B$2:$B$5000,MATCH($C996,DB_materiali!$A$2:$A$5000,0))=INDEX(DB_malas!$B$2:$B$5000,MATCH(I996,DB_malas!$A$2:$A$5000,0)),$H996="ORG"),"✔",tulkojums!$A$38),tulkojums!$A$39),tulkojums!$A$39))</f>
        <v/>
      </c>
      <c r="R996" s="2" t="str">
        <f>IF(ISBLANK(J996),"",IF(INDEX(DB_materiali!$E$2:$E$5000,MATCH($C996,DB_materiali!$A$2:$A$5000,0))&gt;=INDEX(DB_malas!$C$2:$C$5000,MATCH(J996,DB_malas!$A$2:$A$5000,0)),IF(INDEX(DB_materiali!$E$2:$E$5000,MATCH($C996,DB_materiali!$A$2:$A$5000,0))&lt;=INDEX(DB_malas!$D$2:$D$5000,MATCH(J996,DB_malas!$A$2:$A$5000,0)),IF(INDEX(DB_materiali!$B$2:$B$5000,MATCH($C996,DB_materiali!$A$2:$A$5000,0))=INDEX(DB_malas!$B$2:$B$5000,MATCH(J996,DB_malas!$A$2:$A$5000,0)),"✔",tulkojums!$A$38),tulkojums!$A$39),tulkojums!$A$39))</f>
        <v/>
      </c>
      <c r="S996" s="2" t="str">
        <f>IF(ISBLANK(K996),"",IF(INDEX(DB_materiali!$E$2:$E$5000,MATCH($C996,DB_materiali!$A$2:$A$5000,0))&gt;=INDEX(DB_malas!$C$2:$C$5000,MATCH(K996,DB_malas!$A$2:$A$5000,0)),IF(INDEX(DB_materiali!$E$2:$E$5000,MATCH($C996,DB_materiali!$A$2:$A$5000,0))&lt;=INDEX(DB_malas!$D$2:$D$5000,MATCH(K996,DB_malas!$A$2:$A$5000,0)),IF(INDEX(DB_materiali!$B$2:$B$5000,MATCH($C996,DB_materiali!$A$2:$A$5000,0))=INDEX(DB_malas!$B$2:$B$5000,MATCH(K996,DB_malas!$A$2:$A$5000,0)),"✔",tulkojums!$A$38),tulkojums!$A$39),tulkojums!$A$39))</f>
        <v/>
      </c>
      <c r="T996" s="2"/>
      <c r="U996" s="2"/>
      <c r="V996" s="2"/>
      <c r="W996" s="2"/>
      <c r="X996" s="2"/>
      <c r="Y996" s="2"/>
      <c r="Z996" s="2"/>
    </row>
    <row r="997" spans="1:26" ht="15.75" customHeight="1">
      <c r="A997" s="17"/>
      <c r="B997" s="18"/>
      <c r="C997" s="19"/>
      <c r="D997" s="55"/>
      <c r="E997" s="55"/>
      <c r="F997" s="56"/>
      <c r="G997" s="57" t="str">
        <f>IF(ISBLANK(C997),"",
   IFERROR(
      IF(
         INDEX(DB_materiali!C$2:C$5000,
               MATCH(C997, DB_materiali!A$2:A$5000, 0)
         )="FALSE",
         "N",
         "Y"
      ),
   "")
)</f>
        <v/>
      </c>
      <c r="H997" s="20"/>
      <c r="I997" s="20"/>
      <c r="J997" s="20"/>
      <c r="K997" s="20"/>
      <c r="M997" s="2" t="str">
        <f>IF(ISBLANK(C997),"",IF(IFERROR(VLOOKUP(C997,DB_materiali!$A$2:$A$5000,1,FALSE),"Kļūda artikulā")=C997,"✔",tulkojums!A$42))</f>
        <v/>
      </c>
      <c r="N997" s="2" t="str">
        <f>IF(ISBLANK(C997),"",IF(ISNUMBER(F997)=TRUE,"✔",tulkojums!A$43))</f>
        <v/>
      </c>
      <c r="O997" s="2" t="str">
        <f>IF(ISBLANK(C997),"",IF(G997="Y","✔",IF(G997="X","✔",IF(G997="N","✔",tulkojums!A$44))))</f>
        <v/>
      </c>
      <c r="P997" s="2" t="str">
        <f>IF(ISBLANK(H997),"",IF(INDEX(DB_materiali!$E$2:$E$5000,MATCH($C997,DB_materiali!$A$2:$A$5000,0))&gt;=INDEX(DB_malas!$C$2:$C$5000,MATCH(H997,DB_malas!$A$2:$A$5000,0)),IF(INDEX(DB_materiali!$E$2:$E$5000,MATCH($C997,DB_materiali!$A$2:$A$5000,0))&lt;=INDEX(DB_malas!$D$2:$D$5000,MATCH(H997,DB_malas!$A$2:$A$5000,0)),IF(OR(INDEX(DB_materiali!$B$2:$B$5000,MATCH($C997,DB_materiali!$A$2:$A$5000,0))=INDEX(DB_malas!$B$2:$B$5000,MATCH(H997,DB_malas!$A$2:$A$5000,0)),$H997="ORG"),"✔",tulkojums!$A$38),tulkojums!$A$39),tulkojums!$A$39))</f>
        <v/>
      </c>
      <c r="Q997" s="2" t="str">
        <f>IF(ISBLANK(I997),"",IF(INDEX(DB_materiali!$E$2:$E$5000,MATCH($C997,DB_materiali!$A$2:$A$5000,0))&gt;=INDEX(DB_malas!$C$2:$C$5000,MATCH(I997,DB_malas!$A$2:$A$5000,0)),IF(INDEX(DB_materiali!$E$2:$E$5000,MATCH($C997,DB_materiali!$A$2:$A$5000,0))&lt;=INDEX(DB_malas!$D$2:$D$5000,MATCH(I997,DB_malas!$A$2:$A$5000,0)),IF(OR(INDEX(DB_materiali!$B$2:$B$5000,MATCH($C997,DB_materiali!$A$2:$A$5000,0))=INDEX(DB_malas!$B$2:$B$5000,MATCH(I997,DB_malas!$A$2:$A$5000,0)),$H997="ORG"),"✔",tulkojums!$A$38),tulkojums!$A$39),tulkojums!$A$39))</f>
        <v/>
      </c>
      <c r="R997" s="2" t="str">
        <f>IF(ISBLANK(J997),"",IF(INDEX(DB_materiali!$E$2:$E$5000,MATCH($C997,DB_materiali!$A$2:$A$5000,0))&gt;=INDEX(DB_malas!$C$2:$C$5000,MATCH(J997,DB_malas!$A$2:$A$5000,0)),IF(INDEX(DB_materiali!$E$2:$E$5000,MATCH($C997,DB_materiali!$A$2:$A$5000,0))&lt;=INDEX(DB_malas!$D$2:$D$5000,MATCH(J997,DB_malas!$A$2:$A$5000,0)),IF(INDEX(DB_materiali!$B$2:$B$5000,MATCH($C997,DB_materiali!$A$2:$A$5000,0))=INDEX(DB_malas!$B$2:$B$5000,MATCH(J997,DB_malas!$A$2:$A$5000,0)),"✔",tulkojums!$A$38),tulkojums!$A$39),tulkojums!$A$39))</f>
        <v/>
      </c>
      <c r="S997" s="2" t="str">
        <f>IF(ISBLANK(K997),"",IF(INDEX(DB_materiali!$E$2:$E$5000,MATCH($C997,DB_materiali!$A$2:$A$5000,0))&gt;=INDEX(DB_malas!$C$2:$C$5000,MATCH(K997,DB_malas!$A$2:$A$5000,0)),IF(INDEX(DB_materiali!$E$2:$E$5000,MATCH($C997,DB_materiali!$A$2:$A$5000,0))&lt;=INDEX(DB_malas!$D$2:$D$5000,MATCH(K997,DB_malas!$A$2:$A$5000,0)),IF(INDEX(DB_materiali!$B$2:$B$5000,MATCH($C997,DB_materiali!$A$2:$A$5000,0))=INDEX(DB_malas!$B$2:$B$5000,MATCH(K997,DB_malas!$A$2:$A$5000,0)),"✔",tulkojums!$A$38),tulkojums!$A$39),tulkojums!$A$39))</f>
        <v/>
      </c>
      <c r="T997" s="2"/>
      <c r="U997" s="2"/>
      <c r="V997" s="2"/>
      <c r="W997" s="2"/>
      <c r="X997" s="2"/>
      <c r="Y997" s="2"/>
      <c r="Z997" s="2"/>
    </row>
    <row r="998" spans="1:26" ht="15.75" customHeight="1">
      <c r="A998" s="17"/>
      <c r="B998" s="18"/>
      <c r="C998" s="19"/>
      <c r="D998" s="55"/>
      <c r="E998" s="55"/>
      <c r="F998" s="56"/>
      <c r="G998" s="57" t="str">
        <f>IF(ISBLANK(C998),"",
   IFERROR(
      IF(
         INDEX(DB_materiali!C$2:C$5000,
               MATCH(C998, DB_materiali!A$2:A$5000, 0)
         )="FALSE",
         "N",
         "Y"
      ),
   "")
)</f>
        <v/>
      </c>
      <c r="H998" s="20"/>
      <c r="I998" s="20"/>
      <c r="J998" s="20"/>
      <c r="K998" s="20"/>
      <c r="M998" s="2" t="str">
        <f>IF(ISBLANK(C998),"",IF(IFERROR(VLOOKUP(C998,DB_materiali!$A$2:$A$5000,1,FALSE),"Kļūda artikulā")=C998,"✔",tulkojums!A$42))</f>
        <v/>
      </c>
      <c r="N998" s="2" t="str">
        <f>IF(ISBLANK(C998),"",IF(ISNUMBER(F998)=TRUE,"✔",tulkojums!A$43))</f>
        <v/>
      </c>
      <c r="O998" s="2" t="str">
        <f>IF(ISBLANK(C998),"",IF(G998="Y","✔",IF(G998="X","✔",IF(G998="N","✔",tulkojums!A$44))))</f>
        <v/>
      </c>
      <c r="P998" s="2" t="str">
        <f>IF(ISBLANK(H998),"",IF(INDEX(DB_materiali!$E$2:$E$5000,MATCH($C998,DB_materiali!$A$2:$A$5000,0))&gt;=INDEX(DB_malas!$C$2:$C$5000,MATCH(H998,DB_malas!$A$2:$A$5000,0)),IF(INDEX(DB_materiali!$E$2:$E$5000,MATCH($C998,DB_materiali!$A$2:$A$5000,0))&lt;=INDEX(DB_malas!$D$2:$D$5000,MATCH(H998,DB_malas!$A$2:$A$5000,0)),IF(OR(INDEX(DB_materiali!$B$2:$B$5000,MATCH($C998,DB_materiali!$A$2:$A$5000,0))=INDEX(DB_malas!$B$2:$B$5000,MATCH(H998,DB_malas!$A$2:$A$5000,0)),$H998="ORG"),"✔",tulkojums!$A$38),tulkojums!$A$39),tulkojums!$A$39))</f>
        <v/>
      </c>
      <c r="Q998" s="2" t="str">
        <f>IF(ISBLANK(I998),"",IF(INDEX(DB_materiali!$E$2:$E$5000,MATCH($C998,DB_materiali!$A$2:$A$5000,0))&gt;=INDEX(DB_malas!$C$2:$C$5000,MATCH(I998,DB_malas!$A$2:$A$5000,0)),IF(INDEX(DB_materiali!$E$2:$E$5000,MATCH($C998,DB_materiali!$A$2:$A$5000,0))&lt;=INDEX(DB_malas!$D$2:$D$5000,MATCH(I998,DB_malas!$A$2:$A$5000,0)),IF(OR(INDEX(DB_materiali!$B$2:$B$5000,MATCH($C998,DB_materiali!$A$2:$A$5000,0))=INDEX(DB_malas!$B$2:$B$5000,MATCH(I998,DB_malas!$A$2:$A$5000,0)),$H998="ORG"),"✔",tulkojums!$A$38),tulkojums!$A$39),tulkojums!$A$39))</f>
        <v/>
      </c>
      <c r="R998" s="2" t="str">
        <f>IF(ISBLANK(J998),"",IF(INDEX(DB_materiali!$E$2:$E$5000,MATCH($C998,DB_materiali!$A$2:$A$5000,0))&gt;=INDEX(DB_malas!$C$2:$C$5000,MATCH(J998,DB_malas!$A$2:$A$5000,0)),IF(INDEX(DB_materiali!$E$2:$E$5000,MATCH($C998,DB_materiali!$A$2:$A$5000,0))&lt;=INDEX(DB_malas!$D$2:$D$5000,MATCH(J998,DB_malas!$A$2:$A$5000,0)),IF(INDEX(DB_materiali!$B$2:$B$5000,MATCH($C998,DB_materiali!$A$2:$A$5000,0))=INDEX(DB_malas!$B$2:$B$5000,MATCH(J998,DB_malas!$A$2:$A$5000,0)),"✔",tulkojums!$A$38),tulkojums!$A$39),tulkojums!$A$39))</f>
        <v/>
      </c>
      <c r="S998" s="2" t="str">
        <f>IF(ISBLANK(K998),"",IF(INDEX(DB_materiali!$E$2:$E$5000,MATCH($C998,DB_materiali!$A$2:$A$5000,0))&gt;=INDEX(DB_malas!$C$2:$C$5000,MATCH(K998,DB_malas!$A$2:$A$5000,0)),IF(INDEX(DB_materiali!$E$2:$E$5000,MATCH($C998,DB_materiali!$A$2:$A$5000,0))&lt;=INDEX(DB_malas!$D$2:$D$5000,MATCH(K998,DB_malas!$A$2:$A$5000,0)),IF(INDEX(DB_materiali!$B$2:$B$5000,MATCH($C998,DB_materiali!$A$2:$A$5000,0))=INDEX(DB_malas!$B$2:$B$5000,MATCH(K998,DB_malas!$A$2:$A$5000,0)),"✔",tulkojums!$A$38),tulkojums!$A$39),tulkojums!$A$39))</f>
        <v/>
      </c>
      <c r="T998" s="2"/>
      <c r="U998" s="2"/>
      <c r="V998" s="2"/>
      <c r="W998" s="2"/>
      <c r="X998" s="2"/>
      <c r="Y998" s="2"/>
      <c r="Z998" s="2"/>
    </row>
    <row r="999" spans="1:26" ht="15.75" customHeight="1">
      <c r="A999" s="17"/>
      <c r="B999" s="18"/>
      <c r="C999" s="19"/>
      <c r="D999" s="55"/>
      <c r="E999" s="55"/>
      <c r="F999" s="56"/>
      <c r="G999" s="57" t="str">
        <f>IF(ISBLANK(C999),"",
   IFERROR(
      IF(
         INDEX(DB_materiali!C$2:C$5000,
               MATCH(C999, DB_materiali!A$2:A$5000, 0)
         )="FALSE",
         "N",
         "Y"
      ),
   "")
)</f>
        <v/>
      </c>
      <c r="H999" s="20"/>
      <c r="I999" s="20"/>
      <c r="J999" s="20"/>
      <c r="K999" s="20"/>
      <c r="M999" s="2" t="str">
        <f>IF(ISBLANK(C999),"",IF(IFERROR(VLOOKUP(C999,DB_materiali!$A$2:$A$5000,1,FALSE),"Kļūda artikulā")=C999,"✔",tulkojums!A$42))</f>
        <v/>
      </c>
      <c r="N999" s="2" t="str">
        <f>IF(ISBLANK(C999),"",IF(ISNUMBER(F999)=TRUE,"✔",tulkojums!A$43))</f>
        <v/>
      </c>
      <c r="O999" s="2" t="str">
        <f>IF(ISBLANK(C999),"",IF(G999="Y","✔",IF(G999="X","✔",IF(G999="N","✔",tulkojums!A$44))))</f>
        <v/>
      </c>
      <c r="P999" s="2" t="str">
        <f>IF(ISBLANK(H999),"",IF(INDEX(DB_materiali!$E$2:$E$5000,MATCH($C999,DB_materiali!$A$2:$A$5000,0))&gt;=INDEX(DB_malas!$C$2:$C$5000,MATCH(H999,DB_malas!$A$2:$A$5000,0)),IF(INDEX(DB_materiali!$E$2:$E$5000,MATCH($C999,DB_materiali!$A$2:$A$5000,0))&lt;=INDEX(DB_malas!$D$2:$D$5000,MATCH(H999,DB_malas!$A$2:$A$5000,0)),IF(OR(INDEX(DB_materiali!$B$2:$B$5000,MATCH($C999,DB_materiali!$A$2:$A$5000,0))=INDEX(DB_malas!$B$2:$B$5000,MATCH(H999,DB_malas!$A$2:$A$5000,0)),$H999="ORG"),"✔",tulkojums!$A$38),tulkojums!$A$39),tulkojums!$A$39))</f>
        <v/>
      </c>
      <c r="Q999" s="2" t="str">
        <f>IF(ISBLANK(I999),"",IF(INDEX(DB_materiali!$E$2:$E$5000,MATCH($C999,DB_materiali!$A$2:$A$5000,0))&gt;=INDEX(DB_malas!$C$2:$C$5000,MATCH(I999,DB_malas!$A$2:$A$5000,0)),IF(INDEX(DB_materiali!$E$2:$E$5000,MATCH($C999,DB_materiali!$A$2:$A$5000,0))&lt;=INDEX(DB_malas!$D$2:$D$5000,MATCH(I999,DB_malas!$A$2:$A$5000,0)),IF(OR(INDEX(DB_materiali!$B$2:$B$5000,MATCH($C999,DB_materiali!$A$2:$A$5000,0))=INDEX(DB_malas!$B$2:$B$5000,MATCH(I999,DB_malas!$A$2:$A$5000,0)),$H999="ORG"),"✔",tulkojums!$A$38),tulkojums!$A$39),tulkojums!$A$39))</f>
        <v/>
      </c>
      <c r="R999" s="2" t="str">
        <f>IF(ISBLANK(J999),"",IF(INDEX(DB_materiali!$E$2:$E$5000,MATCH($C999,DB_materiali!$A$2:$A$5000,0))&gt;=INDEX(DB_malas!$C$2:$C$5000,MATCH(J999,DB_malas!$A$2:$A$5000,0)),IF(INDEX(DB_materiali!$E$2:$E$5000,MATCH($C999,DB_materiali!$A$2:$A$5000,0))&lt;=INDEX(DB_malas!$D$2:$D$5000,MATCH(J999,DB_malas!$A$2:$A$5000,0)),IF(INDEX(DB_materiali!$B$2:$B$5000,MATCH($C999,DB_materiali!$A$2:$A$5000,0))=INDEX(DB_malas!$B$2:$B$5000,MATCH(J999,DB_malas!$A$2:$A$5000,0)),"✔",tulkojums!$A$38),tulkojums!$A$39),tulkojums!$A$39))</f>
        <v/>
      </c>
      <c r="S999" s="2" t="str">
        <f>IF(ISBLANK(K999),"",IF(INDEX(DB_materiali!$E$2:$E$5000,MATCH($C999,DB_materiali!$A$2:$A$5000,0))&gt;=INDEX(DB_malas!$C$2:$C$5000,MATCH(K999,DB_malas!$A$2:$A$5000,0)),IF(INDEX(DB_materiali!$E$2:$E$5000,MATCH($C999,DB_materiali!$A$2:$A$5000,0))&lt;=INDEX(DB_malas!$D$2:$D$5000,MATCH(K999,DB_malas!$A$2:$A$5000,0)),IF(INDEX(DB_materiali!$B$2:$B$5000,MATCH($C999,DB_materiali!$A$2:$A$5000,0))=INDEX(DB_malas!$B$2:$B$5000,MATCH(K999,DB_malas!$A$2:$A$5000,0)),"✔",tulkojums!$A$38),tulkojums!$A$39),tulkojums!$A$39))</f>
        <v/>
      </c>
      <c r="T999" s="2"/>
      <c r="U999" s="2"/>
      <c r="V999" s="2"/>
      <c r="W999" s="2"/>
      <c r="X999" s="2"/>
      <c r="Y999" s="2"/>
      <c r="Z999" s="2"/>
    </row>
    <row r="1000" spans="1:26" ht="15.75" customHeight="1">
      <c r="A1000" s="17"/>
      <c r="B1000" s="18"/>
      <c r="C1000" s="19"/>
      <c r="D1000" s="55"/>
      <c r="E1000" s="55"/>
      <c r="F1000" s="56"/>
      <c r="G1000" s="57" t="str">
        <f>IF(ISBLANK(C1000),"",
   IFERROR(
      IF(
         INDEX(DB_materiali!C$2:C$5000,
               MATCH(C1000, DB_materiali!A$2:A$5000, 0)
         )="FALSE",
         "N",
         "Y"
      ),
   "")
)</f>
        <v/>
      </c>
      <c r="H1000" s="20"/>
      <c r="I1000" s="20"/>
      <c r="J1000" s="20"/>
      <c r="K1000" s="20"/>
      <c r="M1000" s="2" t="str">
        <f>IF(ISBLANK(C1000),"",IF(IFERROR(VLOOKUP(C1000,DB_materiali!$A$2:$A$5000,1,FALSE),"Kļūda artikulā")=C1000,"✔",tulkojums!A$42))</f>
        <v/>
      </c>
      <c r="N1000" s="2" t="str">
        <f>IF(ISBLANK(C1000),"",IF(ISNUMBER(F1000)=TRUE,"✔",tulkojums!A$43))</f>
        <v/>
      </c>
      <c r="O1000" s="2" t="str">
        <f>IF(ISBLANK(C1000),"",IF(G1000="Y","✔",IF(G1000="X","✔",IF(G1000="N","✔",tulkojums!A$44))))</f>
        <v/>
      </c>
      <c r="P1000" s="2" t="str">
        <f>IF(ISBLANK(H1000),"",IF(INDEX(DB_materiali!$E$2:$E$5000,MATCH($C1000,DB_materiali!$A$2:$A$5000,0))&gt;=INDEX(DB_malas!$C$2:$C$5000,MATCH(H1000,DB_malas!$A$2:$A$5000,0)),IF(INDEX(DB_materiali!$E$2:$E$5000,MATCH($C1000,DB_materiali!$A$2:$A$5000,0))&lt;=INDEX(DB_malas!$D$2:$D$5000,MATCH(H1000,DB_malas!$A$2:$A$5000,0)),IF(OR(INDEX(DB_materiali!$B$2:$B$5000,MATCH($C1000,DB_materiali!$A$2:$A$5000,0))=INDEX(DB_malas!$B$2:$B$5000,MATCH(H1000,DB_malas!$A$2:$A$5000,0)),$H1000="ORG"),"✔",tulkojums!$A$38),tulkojums!$A$39),tulkojums!$A$39))</f>
        <v/>
      </c>
      <c r="Q1000" s="2" t="str">
        <f>IF(ISBLANK(I1000),"",IF(INDEX(DB_materiali!$E$2:$E$5000,MATCH($C1000,DB_materiali!$A$2:$A$5000,0))&gt;=INDEX(DB_malas!$C$2:$C$5000,MATCH(I1000,DB_malas!$A$2:$A$5000,0)),IF(INDEX(DB_materiali!$E$2:$E$5000,MATCH($C1000,DB_materiali!$A$2:$A$5000,0))&lt;=INDEX(DB_malas!$D$2:$D$5000,MATCH(I1000,DB_malas!$A$2:$A$5000,0)),IF(OR(INDEX(DB_materiali!$B$2:$B$5000,MATCH($C1000,DB_materiali!$A$2:$A$5000,0))=INDEX(DB_malas!$B$2:$B$5000,MATCH(I1000,DB_malas!$A$2:$A$5000,0)),$H1000="ORG"),"✔",tulkojums!$A$38),tulkojums!$A$39),tulkojums!$A$39))</f>
        <v/>
      </c>
      <c r="R1000" s="2" t="str">
        <f>IF(ISBLANK(J1000),"",IF(INDEX(DB_materiali!$E$2:$E$5000,MATCH($C1000,DB_materiali!$A$2:$A$5000,0))&gt;=INDEX(DB_malas!$C$2:$C$5000,MATCH(J1000,DB_malas!$A$2:$A$5000,0)),IF(INDEX(DB_materiali!$E$2:$E$5000,MATCH($C1000,DB_materiali!$A$2:$A$5000,0))&lt;=INDEX(DB_malas!$D$2:$D$5000,MATCH(J1000,DB_malas!$A$2:$A$5000,0)),IF(INDEX(DB_materiali!$B$2:$B$5000,MATCH($C1000,DB_materiali!$A$2:$A$5000,0))=INDEX(DB_malas!$B$2:$B$5000,MATCH(J1000,DB_malas!$A$2:$A$5000,0)),"✔",tulkojums!$A$38),tulkojums!$A$39),tulkojums!$A$39))</f>
        <v/>
      </c>
      <c r="S1000" s="2" t="str">
        <f>IF(ISBLANK(K1000),"",IF(INDEX(DB_materiali!$E$2:$E$5000,MATCH($C1000,DB_materiali!$A$2:$A$5000,0))&gt;=INDEX(DB_malas!$C$2:$C$5000,MATCH(K1000,DB_malas!$A$2:$A$5000,0)),IF(INDEX(DB_materiali!$E$2:$E$5000,MATCH($C1000,DB_materiali!$A$2:$A$5000,0))&lt;=INDEX(DB_malas!$D$2:$D$5000,MATCH(K1000,DB_malas!$A$2:$A$5000,0)),IF(INDEX(DB_materiali!$B$2:$B$5000,MATCH($C1000,DB_materiali!$A$2:$A$5000,0))=INDEX(DB_malas!$B$2:$B$5000,MATCH(K1000,DB_malas!$A$2:$A$5000,0)),"✔",tulkojums!$A$38),tulkojums!$A$39),tulkojums!$A$39))</f>
        <v/>
      </c>
      <c r="T1000" s="2"/>
      <c r="U1000" s="2"/>
      <c r="V1000" s="2"/>
      <c r="W1000" s="2"/>
      <c r="X1000" s="2"/>
      <c r="Y1000" s="2"/>
      <c r="Z1000" s="2"/>
    </row>
  </sheetData>
  <mergeCells count="18">
    <mergeCell ref="B6:C6"/>
    <mergeCell ref="C1:G1"/>
    <mergeCell ref="B2:C2"/>
    <mergeCell ref="B3:C3"/>
    <mergeCell ref="B4:F4"/>
    <mergeCell ref="B5:C5"/>
    <mergeCell ref="E5:F5"/>
    <mergeCell ref="B7:C7"/>
    <mergeCell ref="H7:K7"/>
    <mergeCell ref="G8:K8"/>
    <mergeCell ref="M8:S8"/>
    <mergeCell ref="A9:A10"/>
    <mergeCell ref="B9:B10"/>
    <mergeCell ref="C9:C10"/>
    <mergeCell ref="D9:G9"/>
    <mergeCell ref="H9:K9"/>
    <mergeCell ref="M9:O9"/>
    <mergeCell ref="P9:S9"/>
  </mergeCells>
  <phoneticPr fontId="15" type="noConversion"/>
  <conditionalFormatting sqref="M11:M2000">
    <cfRule type="cellIs" dxfId="8" priority="1" operator="equal">
      <formula>"✔"</formula>
    </cfRule>
  </conditionalFormatting>
  <conditionalFormatting sqref="N11:N1000">
    <cfRule type="cellIs" dxfId="5" priority="17" operator="equal">
      <formula>"✔"</formula>
    </cfRule>
  </conditionalFormatting>
  <conditionalFormatting sqref="O11:O1000">
    <cfRule type="containsText" dxfId="3" priority="19" operator="containsText" text="✔">
      <formula>NOT(ISERROR(SEARCH(("✔"),(O11))))</formula>
    </cfRule>
  </conditionalFormatting>
  <conditionalFormatting sqref="P11:S1000">
    <cfRule type="containsText" dxfId="1" priority="15" operator="containsText" text="✔">
      <formula>NOT(ISERROR(SEARCH(("✔"),(P11))))</formula>
    </cfRule>
  </conditionalFormatting>
  <pageMargins left="0.25" right="0.25" top="0.75" bottom="0.75" header="0" footer="0"/>
  <pageSetup paperSize="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665EE46-8245-47CD-9E0A-04475DC970EE}">
            <xm:f>tulkojums!$A$42</xm:f>
            <x14:dxf>
              <font>
                <color theme="0"/>
              </font>
              <fill>
                <patternFill>
                  <bgColor rgb="FFFF5050"/>
                </patternFill>
              </fill>
            </x14:dxf>
          </x14:cfRule>
          <xm:sqref>M11:M2000</xm:sqref>
        </x14:conditionalFormatting>
        <x14:conditionalFormatting xmlns:xm="http://schemas.microsoft.com/office/excel/2006/main">
          <x14:cfRule type="containsText" priority="16" operator="containsText" id="{A153CA12-6356-4F57-9A24-DB0905D6E385}">
            <xm:f>NOT(ISERROR(SEARCH(tulkojums!$A$43,N11)))</xm:f>
            <xm:f>tulkojums!$A$43</xm:f>
            <x14:dxf>
              <font>
                <color theme="0"/>
              </font>
              <fill>
                <patternFill patternType="solid">
                  <fgColor rgb="FFFF5050"/>
                  <bgColor rgb="FFFF5050"/>
                </patternFill>
              </fill>
            </x14:dxf>
          </x14:cfRule>
          <xm:sqref>N11:N1000</xm:sqref>
        </x14:conditionalFormatting>
        <x14:conditionalFormatting xmlns:xm="http://schemas.microsoft.com/office/excel/2006/main">
          <x14:cfRule type="containsText" priority="18" operator="containsText" id="{13E47C3D-C4BF-4966-8F8B-D265078865AA}">
            <xm:f>NOT(ISERROR(SEARCH(tulkojums!$A$44,O11)))</xm:f>
            <xm:f>tulkojums!$A$44</xm:f>
            <x14:dxf>
              <font>
                <color theme="0"/>
              </font>
              <fill>
                <patternFill patternType="solid">
                  <fgColor rgb="FFFF5050"/>
                  <bgColor rgb="FFFF5050"/>
                </patternFill>
              </fill>
            </x14:dxf>
          </x14:cfRule>
          <xm:sqref>O11:O1000</xm:sqref>
        </x14:conditionalFormatting>
        <x14:conditionalFormatting xmlns:xm="http://schemas.microsoft.com/office/excel/2006/main">
          <x14:cfRule type="containsText" priority="14" operator="containsText" id="{E575523B-6CDA-46B0-92C9-CA807AE92767}">
            <xm:f>NOT(ISERROR(SEARCH(tulkojums!$A$38,P11)))</xm:f>
            <xm:f>tulkojums!$A$38</xm:f>
            <x14:dxf>
              <font>
                <color theme="1"/>
              </font>
              <fill>
                <patternFill patternType="solid">
                  <fgColor rgb="FFFFFF00"/>
                  <bgColor rgb="FFFFFF00"/>
                </patternFill>
              </fill>
            </x14:dxf>
          </x14:cfRule>
          <x14:cfRule type="cellIs" priority="20" operator="equal" id="{0CDF2B97-3C80-4FD2-A62E-4E6EF1162CEC}">
            <xm:f>tulkojums!$A$39</xm:f>
            <x14:dxf>
              <font>
                <color theme="0"/>
              </font>
              <fill>
                <patternFill patternType="solid">
                  <fgColor rgb="FFFF0000"/>
                  <bgColor rgb="FFFF0000"/>
                </patternFill>
              </fill>
            </x14:dxf>
          </x14:cfRule>
          <xm:sqref>P11:S1000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DB_materiali!$A$2:$A$5000</xm:f>
          </x14:formula1>
          <xm:sqref>C53:C1000 C50:C51 C11:C47</xm:sqref>
        </x14:dataValidation>
        <x14:dataValidation type="list" allowBlank="1" showErrorMessage="1" xr:uid="{00000000-0002-0000-0000-000001000000}">
          <x14:formula1>
            <xm:f>tulkojums!$B$2:$B$4</xm:f>
          </x14:formula1>
          <xm:sqref>A1</xm:sqref>
        </x14:dataValidation>
        <x14:dataValidation type="list" allowBlank="1" showErrorMessage="1" xr:uid="{00000000-0002-0000-0000-000002000000}">
          <x14:formula1>
            <xm:f>DB_malas!$A$2:$A$5000</xm:f>
          </x14:formula1>
          <xm:sqref>H11:K1000</xm:sqref>
        </x14:dataValidation>
        <x14:dataValidation type="list" allowBlank="1" showInputMessage="1" showErrorMessage="1" xr:uid="{C5FF2D6D-8D68-4D49-B891-1854038993C0}">
          <x14:formula1>
            <xm:f>DB_materiali!$T$3:$T$6</xm:f>
          </x14:formula1>
          <xm:sqref>G11:G1000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3" workbookViewId="0">
      <selection activeCell="B22" sqref="B22"/>
    </sheetView>
  </sheetViews>
  <sheetFormatPr defaultColWidth="12.625" defaultRowHeight="15" customHeight="1"/>
  <cols>
    <col min="1" max="1" width="36.375" customWidth="1"/>
    <col min="2" max="2" width="36.625" customWidth="1"/>
    <col min="3" max="3" width="32.875" customWidth="1"/>
    <col min="4" max="4" width="28.875" customWidth="1"/>
    <col min="5" max="26" width="8" customWidth="1"/>
  </cols>
  <sheetData>
    <row r="1" spans="1:26">
      <c r="A1" s="23"/>
      <c r="B1" s="23" t="str">
        <f>forma!A1</f>
        <v>EE</v>
      </c>
      <c r="C1" s="23"/>
      <c r="D1" s="2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>
      <c r="A2" s="23"/>
      <c r="B2" s="23" t="s">
        <v>0</v>
      </c>
      <c r="C2" s="23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>
      <c r="A3" s="23"/>
      <c r="B3" s="23" t="s">
        <v>3</v>
      </c>
      <c r="C3" s="23"/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>
      <c r="A4" s="23"/>
      <c r="B4" s="23" t="s">
        <v>4</v>
      </c>
      <c r="C4" s="23"/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>
      <c r="A5" s="23"/>
      <c r="B5" s="23" t="s">
        <v>0</v>
      </c>
      <c r="C5" s="23" t="s">
        <v>3</v>
      </c>
      <c r="D5" s="23" t="s">
        <v>4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>
      <c r="A6" s="23" t="str">
        <f t="shared" ref="A6:A44" si="0">IF(B$1="LV",B6,IF(B$1="EE",C6,D6))</f>
        <v>Tellimuse number</v>
      </c>
      <c r="B6" s="23" t="s">
        <v>5</v>
      </c>
      <c r="C6" s="25" t="s">
        <v>6</v>
      </c>
      <c r="D6" s="23" t="s">
        <v>7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>
      <c r="A7" s="23" t="str">
        <f t="shared" si="0"/>
        <v>Kliendiprojekt nr.</v>
      </c>
      <c r="B7" s="23" t="s">
        <v>8</v>
      </c>
      <c r="C7" s="26" t="s">
        <v>9</v>
      </c>
      <c r="D7" s="23" t="s">
        <v>10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3" t="str">
        <f t="shared" si="0"/>
        <v>Kliendi nr.</v>
      </c>
      <c r="B8" s="23" t="s">
        <v>11</v>
      </c>
      <c r="C8" s="26" t="s">
        <v>12</v>
      </c>
      <c r="D8" s="23" t="s">
        <v>13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3" t="str">
        <f t="shared" si="0"/>
        <v>Detaili nimetus</v>
      </c>
      <c r="B9" s="23" t="s">
        <v>5546</v>
      </c>
      <c r="C9" s="23" t="s">
        <v>14</v>
      </c>
      <c r="D9" s="23" t="s">
        <v>15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>
      <c r="A10" s="23" t="str">
        <f t="shared" si="0"/>
        <v>Tootekood</v>
      </c>
      <c r="B10" s="23" t="s">
        <v>16</v>
      </c>
      <c r="C10" s="23" t="s">
        <v>17</v>
      </c>
      <c r="D10" s="23" t="s">
        <v>18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3" t="str">
        <f t="shared" si="0"/>
        <v>Detaili mõõdud</v>
      </c>
      <c r="B11" s="23" t="s">
        <v>19</v>
      </c>
      <c r="C11" s="23" t="s">
        <v>20</v>
      </c>
      <c r="D11" s="23" t="s">
        <v>21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>
      <c r="A12" s="23" t="str">
        <f t="shared" si="0"/>
        <v>Pikkus Y</v>
      </c>
      <c r="B12" s="23" t="s">
        <v>93</v>
      </c>
      <c r="C12" s="23" t="s">
        <v>107</v>
      </c>
      <c r="D12" s="23" t="s">
        <v>109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>
      <c r="A13" s="23" t="str">
        <f t="shared" si="0"/>
        <v>Laius X</v>
      </c>
      <c r="B13" s="23" t="s">
        <v>94</v>
      </c>
      <c r="C13" s="23" t="s">
        <v>108</v>
      </c>
      <c r="D13" s="23" t="s">
        <v>110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>
      <c r="A14" s="23" t="str">
        <f t="shared" si="0"/>
        <v>Kogus</v>
      </c>
      <c r="B14" s="23" t="s">
        <v>22</v>
      </c>
      <c r="C14" s="23" t="s">
        <v>23</v>
      </c>
      <c r="D14" s="23" t="s">
        <v>24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>
      <c r="A15" s="23" t="str">
        <f t="shared" si="0"/>
        <v>Puidusüü asetsemine</v>
      </c>
      <c r="B15" s="23" t="s">
        <v>25</v>
      </c>
      <c r="C15" s="23" t="s">
        <v>26</v>
      </c>
      <c r="D15" s="23" t="s">
        <v>27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>
      <c r="A16" s="23" t="str">
        <f t="shared" si="0"/>
        <v>ABS servakantide paigaldamine</v>
      </c>
      <c r="B16" s="23" t="s">
        <v>28</v>
      </c>
      <c r="C16" s="23" t="s">
        <v>29</v>
      </c>
      <c r="D16" s="23" t="s">
        <v>30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>
      <c r="A17" s="23" t="str">
        <f t="shared" si="0"/>
        <v>Pikkus Y1</v>
      </c>
      <c r="B17" s="23" t="s">
        <v>95</v>
      </c>
      <c r="C17" s="23" t="s">
        <v>99</v>
      </c>
      <c r="D17" s="23" t="s">
        <v>103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>
      <c r="A18" s="23" t="str">
        <f t="shared" si="0"/>
        <v>Pikkus Y2</v>
      </c>
      <c r="B18" s="23" t="s">
        <v>96</v>
      </c>
      <c r="C18" s="23" t="s">
        <v>100</v>
      </c>
      <c r="D18" s="23" t="s">
        <v>104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23" t="str">
        <f t="shared" si="0"/>
        <v>Laius X1</v>
      </c>
      <c r="B19" s="23" t="s">
        <v>97</v>
      </c>
      <c r="C19" s="23" t="s">
        <v>101</v>
      </c>
      <c r="D19" s="23" t="s">
        <v>105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>
      <c r="A20" s="23" t="str">
        <f t="shared" si="0"/>
        <v>Laius X2</v>
      </c>
      <c r="B20" s="23" t="s">
        <v>98</v>
      </c>
      <c r="C20" s="23" t="s">
        <v>102</v>
      </c>
      <c r="D20" s="23" t="s">
        <v>106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3" t="str">
        <f t="shared" si="0"/>
        <v xml:space="preserve">   N-ühetooniline dekoor;</v>
      </c>
      <c r="B21" s="23" t="s">
        <v>129</v>
      </c>
      <c r="C21" s="23" t="s">
        <v>130</v>
      </c>
      <c r="D21" s="23" t="s">
        <v>131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3" t="str">
        <f t="shared" si="0"/>
        <v xml:space="preserve"> Y-paralleelne pikkusega;</v>
      </c>
      <c r="B22" s="23" t="s">
        <v>111</v>
      </c>
      <c r="C22" s="23" t="s">
        <v>113</v>
      </c>
      <c r="D22" s="23" t="s">
        <v>115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3" t="str">
        <f t="shared" si="0"/>
        <v>X-paralleelne laiusega</v>
      </c>
      <c r="B23" s="23" t="s">
        <v>112</v>
      </c>
      <c r="C23" s="23" t="s">
        <v>114</v>
      </c>
      <c r="D23" s="23" t="s">
        <v>116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3">
        <f t="shared" si="0"/>
        <v>0</v>
      </c>
      <c r="B24" s="23" t="s">
        <v>31</v>
      </c>
      <c r="C24" s="23"/>
      <c r="D24" s="23" t="s">
        <v>32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3" t="str">
        <f t="shared" si="0"/>
        <v>Tellimuse kuupäev</v>
      </c>
      <c r="B25" s="23" t="s">
        <v>33</v>
      </c>
      <c r="C25" s="23" t="s">
        <v>34</v>
      </c>
      <c r="D25" s="27" t="s">
        <v>35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3" t="str">
        <f t="shared" si="0"/>
        <v>Klient</v>
      </c>
      <c r="B26" s="23" t="s">
        <v>36</v>
      </c>
      <c r="C26" s="23" t="s">
        <v>37</v>
      </c>
      <c r="D26" s="27" t="s">
        <v>38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>
      <c r="A27" s="23" t="str">
        <f t="shared" si="0"/>
        <v>E-mail</v>
      </c>
      <c r="B27" s="23" t="s">
        <v>39</v>
      </c>
      <c r="C27" s="23" t="s">
        <v>40</v>
      </c>
      <c r="D27" s="27" t="s">
        <v>41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23" t="str">
        <f t="shared" si="0"/>
        <v>Mob.</v>
      </c>
      <c r="B28" s="23" t="s">
        <v>42</v>
      </c>
      <c r="C28" s="23" t="s">
        <v>43</v>
      </c>
      <c r="D28" s="27" t="s">
        <v>44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23" t="str">
        <f t="shared" si="0"/>
        <v>SUURUS (VALMIS TOOTE)</v>
      </c>
      <c r="B29" s="23" t="s">
        <v>45</v>
      </c>
      <c r="C29" s="23" t="s">
        <v>46</v>
      </c>
      <c r="D29" s="23" t="s">
        <v>47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48" customHeight="1">
      <c r="A30" s="23" t="str">
        <f t="shared" si="0"/>
        <v>Kinnitan tellimust. Suurused ja materjalid on õiged.</v>
      </c>
      <c r="B30" s="28" t="s">
        <v>48</v>
      </c>
      <c r="C30" s="23" t="s">
        <v>49</v>
      </c>
      <c r="D30" s="28" t="s">
        <v>50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3" t="str">
        <f t="shared" si="0"/>
        <v>Joonise nr *</v>
      </c>
      <c r="B31" s="23" t="s">
        <v>5547</v>
      </c>
      <c r="C31" s="23" t="s">
        <v>51</v>
      </c>
      <c r="D31" s="23" t="s">
        <v>52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>
      <c r="A32" s="23" t="str">
        <f t="shared" si="0"/>
        <v>Joonise nr * - Kui on vaja lisatöölemist: puurimine, freesimine. Siis info on joonises!</v>
      </c>
      <c r="B32" s="23" t="s">
        <v>53</v>
      </c>
      <c r="C32" s="23" t="s">
        <v>54</v>
      </c>
      <c r="D32" s="29" t="s">
        <v>55</v>
      </c>
      <c r="E32" s="24"/>
      <c r="F32" s="24"/>
      <c r="G32" s="24"/>
      <c r="H32" s="24"/>
      <c r="I32" s="23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23" t="str">
        <f t="shared" si="0"/>
        <v>Viga kontrollimisel</v>
      </c>
      <c r="B33" s="23" t="s">
        <v>56</v>
      </c>
      <c r="C33" s="23" t="s">
        <v>57</v>
      </c>
      <c r="D33" s="23" t="s">
        <v>58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23" t="str">
        <f t="shared" si="0"/>
        <v>Materjali kontroll</v>
      </c>
      <c r="B34" s="23" t="s">
        <v>59</v>
      </c>
      <c r="C34" s="23" t="s">
        <v>60</v>
      </c>
      <c r="D34" s="23" t="s">
        <v>61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23" t="str">
        <f t="shared" si="0"/>
        <v>Koguse kontrollimine</v>
      </c>
      <c r="B35" s="23" t="s">
        <v>62</v>
      </c>
      <c r="C35" s="23" t="s">
        <v>63</v>
      </c>
      <c r="D35" s="23" t="s">
        <v>64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>
      <c r="A36" s="23" t="str">
        <f t="shared" si="0"/>
        <v>Kiudsuuna test</v>
      </c>
      <c r="B36" s="23" t="s">
        <v>65</v>
      </c>
      <c r="C36" s="23" t="s">
        <v>66</v>
      </c>
      <c r="D36" s="23" t="s">
        <v>67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3" t="str">
        <f t="shared" si="0"/>
        <v>Kaunistus ja laius</v>
      </c>
      <c r="B37" s="23" t="s">
        <v>68</v>
      </c>
      <c r="C37" s="23" t="s">
        <v>69</v>
      </c>
      <c r="D37" s="23" t="s">
        <v>70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>
      <c r="A38" s="23" t="str">
        <f t="shared" si="0"/>
        <v>ei sobi dekooriga</v>
      </c>
      <c r="B38" s="23" t="s">
        <v>71</v>
      </c>
      <c r="C38" s="23" t="s">
        <v>72</v>
      </c>
      <c r="D38" s="23" t="s">
        <v>73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>
      <c r="A39" s="23" t="str">
        <f t="shared" si="0"/>
        <v>ei sobi laius</v>
      </c>
      <c r="B39" s="23" t="s">
        <v>74</v>
      </c>
      <c r="C39" s="23" t="s">
        <v>75</v>
      </c>
      <c r="D39" s="23" t="s">
        <v>76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>
      <c r="A40" s="23" t="str">
        <f t="shared" si="0"/>
        <v>Äärekontroll</v>
      </c>
      <c r="B40" s="23" t="s">
        <v>77</v>
      </c>
      <c r="C40" s="23" t="s">
        <v>78</v>
      </c>
      <c r="D40" s="23" t="s">
        <v>79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>
      <c r="A41" s="23" t="str">
        <f t="shared" si="0"/>
        <v>Materjaliandmeid on uuendatud</v>
      </c>
      <c r="B41" s="23" t="s">
        <v>80</v>
      </c>
      <c r="C41" s="23" t="s">
        <v>81</v>
      </c>
      <c r="D41" s="23" t="s">
        <v>82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>
      <c r="A42" s="23" t="str">
        <f t="shared" si="0"/>
        <v>Viga artiklis</v>
      </c>
      <c r="B42" s="23" t="s">
        <v>120</v>
      </c>
      <c r="C42" s="23" t="s">
        <v>121</v>
      </c>
      <c r="D42" s="60" t="s">
        <v>122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>
      <c r="A43" s="23" t="str">
        <f t="shared" si="0"/>
        <v>Sisestage kogus</v>
      </c>
      <c r="B43" s="23" t="s">
        <v>123</v>
      </c>
      <c r="C43" s="23" t="s">
        <v>125</v>
      </c>
      <c r="D43" s="60" t="s">
        <v>124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>
      <c r="A44" s="23" t="str">
        <f t="shared" si="0"/>
        <v>Ei ole õige</v>
      </c>
      <c r="B44" s="23" t="s">
        <v>126</v>
      </c>
      <c r="C44" s="23" t="s">
        <v>127</v>
      </c>
      <c r="D44" s="60" t="s">
        <v>128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A45" s="23"/>
      <c r="B45" s="23"/>
      <c r="C45" s="23"/>
      <c r="D45" s="23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>
      <c r="A46" s="23"/>
      <c r="B46" s="23"/>
      <c r="C46" s="23"/>
      <c r="D46" s="23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>
      <c r="A47" s="23"/>
      <c r="B47" s="23"/>
      <c r="C47" s="23"/>
      <c r="D47" s="23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>
      <c r="A48" s="23"/>
      <c r="B48" s="23"/>
      <c r="C48" s="23"/>
      <c r="D48" s="23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>
      <c r="A49" s="23"/>
      <c r="B49" s="23"/>
      <c r="C49" s="23"/>
      <c r="D49" s="23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>
      <c r="A50" s="23"/>
      <c r="B50" s="23"/>
      <c r="C50" s="23"/>
      <c r="D50" s="23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>
      <c r="A51" s="23"/>
      <c r="B51" s="23"/>
      <c r="C51" s="23"/>
      <c r="D51" s="23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>
      <c r="A52" s="23"/>
      <c r="B52" s="23"/>
      <c r="C52" s="23"/>
      <c r="D52" s="23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>
      <c r="A53" s="23"/>
      <c r="B53" s="23"/>
      <c r="C53" s="23"/>
      <c r="D53" s="23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>
      <c r="A54" s="23"/>
      <c r="B54" s="23"/>
      <c r="C54" s="23"/>
      <c r="D54" s="23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>
      <c r="A55" s="23"/>
      <c r="B55" s="23"/>
      <c r="C55" s="23"/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>
      <c r="A56" s="23"/>
      <c r="B56" s="23"/>
      <c r="C56" s="23"/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>
      <c r="A57" s="23"/>
      <c r="B57" s="23"/>
      <c r="C57" s="23"/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>
      <c r="A58" s="23"/>
      <c r="B58" s="23"/>
      <c r="C58" s="23"/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>
      <c r="A59" s="23"/>
      <c r="B59" s="23"/>
      <c r="C59" s="23"/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>
      <c r="A60" s="23"/>
      <c r="B60" s="23"/>
      <c r="C60" s="23"/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>
      <c r="A61" s="23"/>
      <c r="B61" s="23"/>
      <c r="C61" s="23"/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>
      <c r="A62" s="23"/>
      <c r="B62" s="23"/>
      <c r="C62" s="23"/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>
      <c r="A63" s="23"/>
      <c r="B63" s="23"/>
      <c r="C63" s="23"/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>
      <c r="A64" s="23"/>
      <c r="B64" s="23"/>
      <c r="C64" s="23"/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>
      <c r="A65" s="23"/>
      <c r="B65" s="23"/>
      <c r="C65" s="23"/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>
      <c r="A66" s="23"/>
      <c r="B66" s="23"/>
      <c r="C66" s="23"/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>
      <c r="A67" s="23"/>
      <c r="B67" s="23"/>
      <c r="C67" s="23"/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>
      <c r="A68" s="23"/>
      <c r="B68" s="23"/>
      <c r="C68" s="23"/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>
      <c r="A69" s="23"/>
      <c r="B69" s="23"/>
      <c r="C69" s="23"/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>
      <c r="A70" s="23"/>
      <c r="B70" s="23"/>
      <c r="C70" s="23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>
      <c r="A71" s="23"/>
      <c r="B71" s="23"/>
      <c r="C71" s="23"/>
      <c r="D71" s="23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>
      <c r="A72" s="23"/>
      <c r="B72" s="23"/>
      <c r="C72" s="23"/>
      <c r="D72" s="23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>
      <c r="A73" s="23"/>
      <c r="B73" s="23"/>
      <c r="C73" s="23"/>
      <c r="D73" s="23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>
      <c r="A74" s="23"/>
      <c r="B74" s="23"/>
      <c r="C74" s="23"/>
      <c r="D74" s="23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>
      <c r="A75" s="23"/>
      <c r="B75" s="23"/>
      <c r="C75" s="23"/>
      <c r="D75" s="23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>
      <c r="A76" s="23"/>
      <c r="B76" s="23"/>
      <c r="C76" s="23"/>
      <c r="D76" s="23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>
      <c r="A77" s="23"/>
      <c r="B77" s="23"/>
      <c r="C77" s="23"/>
      <c r="D77" s="23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>
      <c r="A78" s="23"/>
      <c r="B78" s="23"/>
      <c r="C78" s="23"/>
      <c r="D78" s="23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>
      <c r="A79" s="23"/>
      <c r="B79" s="23"/>
      <c r="C79" s="23"/>
      <c r="D79" s="23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>
      <c r="A80" s="23"/>
      <c r="B80" s="23"/>
      <c r="C80" s="23"/>
      <c r="D80" s="23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>
      <c r="A81" s="23"/>
      <c r="B81" s="23"/>
      <c r="C81" s="23"/>
      <c r="D81" s="23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>
      <c r="A82" s="23"/>
      <c r="B82" s="23"/>
      <c r="C82" s="23"/>
      <c r="D82" s="23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>
      <c r="A83" s="23"/>
      <c r="B83" s="23"/>
      <c r="C83" s="23"/>
      <c r="D83" s="23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>
      <c r="A84" s="23"/>
      <c r="B84" s="23"/>
      <c r="C84" s="23"/>
      <c r="D84" s="23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>
      <c r="A85" s="23"/>
      <c r="B85" s="23"/>
      <c r="C85" s="23"/>
      <c r="D85" s="23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>
      <c r="A86" s="23"/>
      <c r="B86" s="23"/>
      <c r="C86" s="23"/>
      <c r="D86" s="23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>
      <c r="A87" s="23"/>
      <c r="B87" s="23"/>
      <c r="C87" s="23"/>
      <c r="D87" s="23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>
      <c r="A88" s="23"/>
      <c r="B88" s="23"/>
      <c r="C88" s="23"/>
      <c r="D88" s="23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>
      <c r="A89" s="23"/>
      <c r="B89" s="23"/>
      <c r="C89" s="23"/>
      <c r="D89" s="23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>
      <c r="A90" s="23"/>
      <c r="B90" s="23"/>
      <c r="C90" s="23"/>
      <c r="D90" s="23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>
      <c r="A91" s="23"/>
      <c r="B91" s="23"/>
      <c r="C91" s="23"/>
      <c r="D91" s="23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>
      <c r="A92" s="23"/>
      <c r="B92" s="23"/>
      <c r="C92" s="23"/>
      <c r="D92" s="23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>
      <c r="A93" s="23"/>
      <c r="B93" s="23"/>
      <c r="C93" s="23"/>
      <c r="D93" s="23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>
      <c r="A94" s="23"/>
      <c r="B94" s="23"/>
      <c r="C94" s="23"/>
      <c r="D94" s="23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>
      <c r="A95" s="23"/>
      <c r="B95" s="23"/>
      <c r="C95" s="23"/>
      <c r="D95" s="23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>
      <c r="A96" s="23"/>
      <c r="B96" s="23"/>
      <c r="C96" s="23"/>
      <c r="D96" s="23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>
      <c r="A97" s="23"/>
      <c r="B97" s="23"/>
      <c r="C97" s="23"/>
      <c r="D97" s="23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>
      <c r="A98" s="23"/>
      <c r="B98" s="23"/>
      <c r="C98" s="23"/>
      <c r="D98" s="23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>
      <c r="A99" s="23"/>
      <c r="B99" s="23"/>
      <c r="C99" s="23"/>
      <c r="D99" s="23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>
      <c r="A100" s="23"/>
      <c r="B100" s="23"/>
      <c r="C100" s="23"/>
      <c r="D100" s="23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>
      <c r="A101" s="23"/>
      <c r="B101" s="23"/>
      <c r="C101" s="23"/>
      <c r="D101" s="23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>
      <c r="A102" s="23"/>
      <c r="B102" s="23"/>
      <c r="C102" s="23"/>
      <c r="D102" s="23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23"/>
      <c r="B103" s="23"/>
      <c r="C103" s="23"/>
      <c r="D103" s="23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>
      <c r="A104" s="23"/>
      <c r="B104" s="23"/>
      <c r="C104" s="23"/>
      <c r="D104" s="23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>
      <c r="A105" s="23"/>
      <c r="B105" s="23"/>
      <c r="C105" s="23"/>
      <c r="D105" s="23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23"/>
      <c r="B106" s="23"/>
      <c r="C106" s="23"/>
      <c r="D106" s="23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23"/>
      <c r="B107" s="23"/>
      <c r="C107" s="23"/>
      <c r="D107" s="23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23"/>
      <c r="B108" s="23"/>
      <c r="C108" s="23"/>
      <c r="D108" s="23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23"/>
      <c r="B109" s="23"/>
      <c r="C109" s="23"/>
      <c r="D109" s="23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23"/>
      <c r="B110" s="23"/>
      <c r="C110" s="23"/>
      <c r="D110" s="23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23"/>
      <c r="B111" s="23"/>
      <c r="C111" s="23"/>
      <c r="D111" s="23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23"/>
      <c r="B112" s="23"/>
      <c r="C112" s="23"/>
      <c r="D112" s="23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23"/>
      <c r="B113" s="23"/>
      <c r="C113" s="23"/>
      <c r="D113" s="23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23"/>
      <c r="B114" s="23"/>
      <c r="C114" s="23"/>
      <c r="D114" s="23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23"/>
      <c r="B115" s="23"/>
      <c r="C115" s="23"/>
      <c r="D115" s="23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23"/>
      <c r="B116" s="23"/>
      <c r="C116" s="23"/>
      <c r="D116" s="23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23"/>
      <c r="B117" s="23"/>
      <c r="C117" s="23"/>
      <c r="D117" s="23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23"/>
      <c r="B118" s="23"/>
      <c r="C118" s="23"/>
      <c r="D118" s="23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>
      <c r="A119" s="23"/>
      <c r="B119" s="23"/>
      <c r="C119" s="23"/>
      <c r="D119" s="23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>
      <c r="A120" s="23"/>
      <c r="B120" s="23"/>
      <c r="C120" s="23"/>
      <c r="D120" s="23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23"/>
      <c r="B121" s="23"/>
      <c r="C121" s="23"/>
      <c r="D121" s="23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23"/>
      <c r="B122" s="23"/>
      <c r="C122" s="23"/>
      <c r="D122" s="23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>
      <c r="A123" s="23"/>
      <c r="B123" s="23"/>
      <c r="C123" s="23"/>
      <c r="D123" s="23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23"/>
      <c r="B124" s="23"/>
      <c r="C124" s="23"/>
      <c r="D124" s="23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23"/>
      <c r="B125" s="23"/>
      <c r="C125" s="23"/>
      <c r="D125" s="23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23"/>
      <c r="B126" s="23"/>
      <c r="C126" s="23"/>
      <c r="D126" s="23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3"/>
      <c r="B127" s="23"/>
      <c r="C127" s="23"/>
      <c r="D127" s="23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3"/>
      <c r="B128" s="23"/>
      <c r="C128" s="23"/>
      <c r="D128" s="23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3"/>
      <c r="B129" s="23"/>
      <c r="C129" s="23"/>
      <c r="D129" s="23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23"/>
      <c r="B130" s="23"/>
      <c r="C130" s="23"/>
      <c r="D130" s="23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>
      <c r="A131" s="23"/>
      <c r="B131" s="23"/>
      <c r="C131" s="23"/>
      <c r="D131" s="23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3"/>
      <c r="B132" s="23"/>
      <c r="C132" s="23"/>
      <c r="D132" s="23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23"/>
      <c r="B133" s="23"/>
      <c r="C133" s="23"/>
      <c r="D133" s="23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>
      <c r="A134" s="23"/>
      <c r="B134" s="23"/>
      <c r="C134" s="23"/>
      <c r="D134" s="23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>
      <c r="A135" s="23"/>
      <c r="B135" s="23"/>
      <c r="C135" s="23"/>
      <c r="D135" s="23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>
      <c r="A136" s="23"/>
      <c r="B136" s="23"/>
      <c r="C136" s="23"/>
      <c r="D136" s="23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>
      <c r="A137" s="23"/>
      <c r="B137" s="23"/>
      <c r="C137" s="23"/>
      <c r="D137" s="23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>
      <c r="A138" s="23"/>
      <c r="B138" s="23"/>
      <c r="C138" s="23"/>
      <c r="D138" s="23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>
      <c r="A139" s="23"/>
      <c r="B139" s="23"/>
      <c r="C139" s="23"/>
      <c r="D139" s="23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>
      <c r="A140" s="23"/>
      <c r="B140" s="23"/>
      <c r="C140" s="23"/>
      <c r="D140" s="23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>
      <c r="A141" s="23"/>
      <c r="B141" s="23"/>
      <c r="C141" s="23"/>
      <c r="D141" s="23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>
      <c r="A142" s="23"/>
      <c r="B142" s="23"/>
      <c r="C142" s="23"/>
      <c r="D142" s="23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23"/>
      <c r="B143" s="23"/>
      <c r="C143" s="23"/>
      <c r="D143" s="23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>
      <c r="A144" s="23"/>
      <c r="B144" s="23"/>
      <c r="C144" s="23"/>
      <c r="D144" s="23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>
      <c r="A145" s="23"/>
      <c r="B145" s="23"/>
      <c r="C145" s="23"/>
      <c r="D145" s="23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>
      <c r="A146" s="23"/>
      <c r="B146" s="23"/>
      <c r="C146" s="23"/>
      <c r="D146" s="23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>
      <c r="A147" s="23"/>
      <c r="B147" s="23"/>
      <c r="C147" s="23"/>
      <c r="D147" s="23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>
      <c r="A148" s="23"/>
      <c r="B148" s="23"/>
      <c r="C148" s="23"/>
      <c r="D148" s="23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>
      <c r="A149" s="23"/>
      <c r="B149" s="23"/>
      <c r="C149" s="23"/>
      <c r="D149" s="23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>
      <c r="A150" s="23"/>
      <c r="B150" s="23"/>
      <c r="C150" s="23"/>
      <c r="D150" s="23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>
      <c r="A151" s="23"/>
      <c r="B151" s="23"/>
      <c r="C151" s="23"/>
      <c r="D151" s="23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>
      <c r="A152" s="23"/>
      <c r="B152" s="23"/>
      <c r="C152" s="23"/>
      <c r="D152" s="23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>
      <c r="A153" s="23"/>
      <c r="B153" s="23"/>
      <c r="C153" s="23"/>
      <c r="D153" s="23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23"/>
      <c r="B154" s="23"/>
      <c r="C154" s="23"/>
      <c r="D154" s="23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>
      <c r="A155" s="23"/>
      <c r="B155" s="23"/>
      <c r="C155" s="23"/>
      <c r="D155" s="23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>
      <c r="A156" s="23"/>
      <c r="B156" s="23"/>
      <c r="C156" s="23"/>
      <c r="D156" s="23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>
      <c r="A157" s="23"/>
      <c r="B157" s="23"/>
      <c r="C157" s="23"/>
      <c r="D157" s="23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>
      <c r="A158" s="23"/>
      <c r="B158" s="23"/>
      <c r="C158" s="23"/>
      <c r="D158" s="23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>
      <c r="A159" s="23"/>
      <c r="B159" s="23"/>
      <c r="C159" s="23"/>
      <c r="D159" s="23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>
      <c r="A160" s="23"/>
      <c r="B160" s="23"/>
      <c r="C160" s="23"/>
      <c r="D160" s="23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>
      <c r="A161" s="23"/>
      <c r="B161" s="23"/>
      <c r="C161" s="23"/>
      <c r="D161" s="23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>
      <c r="A162" s="23"/>
      <c r="B162" s="23"/>
      <c r="C162" s="23"/>
      <c r="D162" s="23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23"/>
      <c r="B163" s="23"/>
      <c r="C163" s="23"/>
      <c r="D163" s="23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23"/>
      <c r="B164" s="23"/>
      <c r="C164" s="23"/>
      <c r="D164" s="23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23"/>
      <c r="B165" s="23"/>
      <c r="C165" s="23"/>
      <c r="D165" s="23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23"/>
      <c r="B166" s="23"/>
      <c r="C166" s="23"/>
      <c r="D166" s="23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23"/>
      <c r="B167" s="23"/>
      <c r="C167" s="23"/>
      <c r="D167" s="23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23"/>
      <c r="B168" s="23"/>
      <c r="C168" s="23"/>
      <c r="D168" s="23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23"/>
      <c r="B169" s="23"/>
      <c r="C169" s="23"/>
      <c r="D169" s="23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>
      <c r="A170" s="23"/>
      <c r="B170" s="23"/>
      <c r="C170" s="23"/>
      <c r="D170" s="23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23"/>
      <c r="B171" s="23"/>
      <c r="C171" s="23"/>
      <c r="D171" s="23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>
      <c r="A172" s="23"/>
      <c r="B172" s="23"/>
      <c r="C172" s="23"/>
      <c r="D172" s="23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>
      <c r="A173" s="23"/>
      <c r="B173" s="23"/>
      <c r="C173" s="23"/>
      <c r="D173" s="23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23"/>
      <c r="B174" s="23"/>
      <c r="C174" s="23"/>
      <c r="D174" s="23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23"/>
      <c r="B175" s="23"/>
      <c r="C175" s="23"/>
      <c r="D175" s="23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23"/>
      <c r="B176" s="23"/>
      <c r="C176" s="23"/>
      <c r="D176" s="23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23"/>
      <c r="B177" s="23"/>
      <c r="C177" s="23"/>
      <c r="D177" s="23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>
      <c r="A178" s="23"/>
      <c r="B178" s="23"/>
      <c r="C178" s="23"/>
      <c r="D178" s="23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23"/>
      <c r="B179" s="23"/>
      <c r="C179" s="23"/>
      <c r="D179" s="23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23"/>
      <c r="B180" s="23"/>
      <c r="C180" s="23"/>
      <c r="D180" s="23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>
      <c r="A181" s="23"/>
      <c r="B181" s="23"/>
      <c r="C181" s="23"/>
      <c r="D181" s="23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23"/>
      <c r="B182" s="23"/>
      <c r="C182" s="23"/>
      <c r="D182" s="2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23"/>
      <c r="B183" s="23"/>
      <c r="C183" s="23"/>
      <c r="D183" s="23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23"/>
      <c r="B184" s="23"/>
      <c r="C184" s="23"/>
      <c r="D184" s="23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23"/>
      <c r="B185" s="23"/>
      <c r="C185" s="23"/>
      <c r="D185" s="23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23"/>
      <c r="B186" s="23"/>
      <c r="C186" s="23"/>
      <c r="D186" s="23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23"/>
      <c r="B187" s="23"/>
      <c r="C187" s="23"/>
      <c r="D187" s="23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23"/>
      <c r="B188" s="23"/>
      <c r="C188" s="23"/>
      <c r="D188" s="23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23"/>
      <c r="B189" s="23"/>
      <c r="C189" s="23"/>
      <c r="D189" s="23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23"/>
      <c r="B190" s="23"/>
      <c r="C190" s="23"/>
      <c r="D190" s="23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23"/>
      <c r="B191" s="23"/>
      <c r="C191" s="23"/>
      <c r="D191" s="23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23"/>
      <c r="B192" s="23"/>
      <c r="C192" s="23"/>
      <c r="D192" s="23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23"/>
      <c r="B193" s="23"/>
      <c r="C193" s="23"/>
      <c r="D193" s="23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23"/>
      <c r="B194" s="23"/>
      <c r="C194" s="23"/>
      <c r="D194" s="23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23"/>
      <c r="B195" s="23"/>
      <c r="C195" s="23"/>
      <c r="D195" s="23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23"/>
      <c r="B196" s="23"/>
      <c r="C196" s="23"/>
      <c r="D196" s="23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23"/>
      <c r="B197" s="23"/>
      <c r="C197" s="23"/>
      <c r="D197" s="23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23"/>
      <c r="B198" s="23"/>
      <c r="C198" s="23"/>
      <c r="D198" s="23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23"/>
      <c r="B199" s="23"/>
      <c r="C199" s="23"/>
      <c r="D199" s="23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23"/>
      <c r="B200" s="23"/>
      <c r="C200" s="23"/>
      <c r="D200" s="23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23"/>
      <c r="B201" s="23"/>
      <c r="C201" s="23"/>
      <c r="D201" s="23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23"/>
      <c r="B202" s="23"/>
      <c r="C202" s="23"/>
      <c r="D202" s="23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23"/>
      <c r="B203" s="23"/>
      <c r="C203" s="23"/>
      <c r="D203" s="23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23"/>
      <c r="B204" s="23"/>
      <c r="C204" s="23"/>
      <c r="D204" s="23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23"/>
      <c r="B205" s="23"/>
      <c r="C205" s="23"/>
      <c r="D205" s="23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23"/>
      <c r="B206" s="23"/>
      <c r="C206" s="23"/>
      <c r="D206" s="23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23"/>
      <c r="B207" s="23"/>
      <c r="C207" s="23"/>
      <c r="D207" s="23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23"/>
      <c r="B208" s="23"/>
      <c r="C208" s="23"/>
      <c r="D208" s="23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23"/>
      <c r="B209" s="23"/>
      <c r="C209" s="23"/>
      <c r="D209" s="23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23"/>
      <c r="B210" s="23"/>
      <c r="C210" s="23"/>
      <c r="D210" s="23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23"/>
      <c r="B211" s="23"/>
      <c r="C211" s="23"/>
      <c r="D211" s="23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23"/>
      <c r="B212" s="23"/>
      <c r="C212" s="23"/>
      <c r="D212" s="23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23"/>
      <c r="B213" s="23"/>
      <c r="C213" s="23"/>
      <c r="D213" s="23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23"/>
      <c r="B214" s="23"/>
      <c r="C214" s="23"/>
      <c r="D214" s="23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23"/>
      <c r="B215" s="23"/>
      <c r="C215" s="23"/>
      <c r="D215" s="23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23"/>
      <c r="B216" s="23"/>
      <c r="C216" s="23"/>
      <c r="D216" s="23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23"/>
      <c r="B217" s="23"/>
      <c r="C217" s="23"/>
      <c r="D217" s="23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23"/>
      <c r="B218" s="23"/>
      <c r="C218" s="23"/>
      <c r="D218" s="23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23"/>
      <c r="B219" s="23"/>
      <c r="C219" s="23"/>
      <c r="D219" s="23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23"/>
      <c r="B220" s="23"/>
      <c r="C220" s="23"/>
      <c r="D220" s="23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>
      <c r="A221" s="23"/>
      <c r="B221" s="23"/>
      <c r="C221" s="23"/>
      <c r="D221" s="23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>
      <c r="A222" s="23"/>
      <c r="B222" s="23"/>
      <c r="C222" s="23"/>
      <c r="D222" s="23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>
      <c r="A223" s="23"/>
      <c r="B223" s="23"/>
      <c r="C223" s="23"/>
      <c r="D223" s="23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>
      <c r="A224" s="23"/>
      <c r="B224" s="23"/>
      <c r="C224" s="23"/>
      <c r="D224" s="23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>
      <c r="A225" s="23"/>
      <c r="B225" s="23"/>
      <c r="C225" s="23"/>
      <c r="D225" s="23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>
      <c r="A226" s="23"/>
      <c r="B226" s="23"/>
      <c r="C226" s="23"/>
      <c r="D226" s="23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>
      <c r="A227" s="23"/>
      <c r="B227" s="23"/>
      <c r="C227" s="23"/>
      <c r="D227" s="23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>
      <c r="A228" s="23"/>
      <c r="B228" s="23"/>
      <c r="C228" s="23"/>
      <c r="D228" s="23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>
      <c r="A229" s="23"/>
      <c r="B229" s="23"/>
      <c r="C229" s="23"/>
      <c r="D229" s="23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>
      <c r="A230" s="23"/>
      <c r="B230" s="23"/>
      <c r="C230" s="23"/>
      <c r="D230" s="23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>
      <c r="A231" s="23"/>
      <c r="B231" s="23"/>
      <c r="C231" s="23"/>
      <c r="D231" s="23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>
      <c r="A232" s="23"/>
      <c r="B232" s="23"/>
      <c r="C232" s="23"/>
      <c r="D232" s="23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>
      <c r="A233" s="23"/>
      <c r="B233" s="23"/>
      <c r="C233" s="23"/>
      <c r="D233" s="23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>
      <c r="A234" s="23"/>
      <c r="B234" s="23"/>
      <c r="C234" s="23"/>
      <c r="D234" s="23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>
      <c r="A235" s="23"/>
      <c r="B235" s="23"/>
      <c r="C235" s="23"/>
      <c r="D235" s="23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>
      <c r="A236" s="23"/>
      <c r="B236" s="23"/>
      <c r="C236" s="23"/>
      <c r="D236" s="23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>
      <c r="A237" s="23"/>
      <c r="B237" s="23"/>
      <c r="C237" s="23"/>
      <c r="D237" s="23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>
      <c r="A238" s="23"/>
      <c r="B238" s="23"/>
      <c r="C238" s="23"/>
      <c r="D238" s="23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>
      <c r="A239" s="23"/>
      <c r="B239" s="23"/>
      <c r="C239" s="23"/>
      <c r="D239" s="23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>
      <c r="A240" s="23"/>
      <c r="B240" s="23"/>
      <c r="C240" s="23"/>
      <c r="D240" s="23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>
      <c r="A241" s="23"/>
      <c r="B241" s="23"/>
      <c r="C241" s="23"/>
      <c r="D241" s="23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>
      <c r="A242" s="23"/>
      <c r="B242" s="23"/>
      <c r="C242" s="23"/>
      <c r="D242" s="23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>
      <c r="A243" s="23"/>
      <c r="B243" s="23"/>
      <c r="C243" s="23"/>
      <c r="D243" s="23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>
      <c r="A244" s="23"/>
      <c r="B244" s="23"/>
      <c r="C244" s="23"/>
      <c r="D244" s="23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>
      <c r="A245" s="23"/>
      <c r="B245" s="23"/>
      <c r="C245" s="23"/>
      <c r="D245" s="23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>
      <c r="A246" s="23"/>
      <c r="B246" s="23"/>
      <c r="C246" s="23"/>
      <c r="D246" s="23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>
      <c r="A247" s="23"/>
      <c r="B247" s="23"/>
      <c r="C247" s="23"/>
      <c r="D247" s="23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>
      <c r="A248" s="23"/>
      <c r="B248" s="23"/>
      <c r="C248" s="23"/>
      <c r="D248" s="23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>
      <c r="A249" s="23"/>
      <c r="B249" s="23"/>
      <c r="C249" s="23"/>
      <c r="D249" s="23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>
      <c r="A250" s="23"/>
      <c r="B250" s="23"/>
      <c r="C250" s="23"/>
      <c r="D250" s="23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>
      <c r="A251" s="23"/>
      <c r="B251" s="23"/>
      <c r="C251" s="23"/>
      <c r="D251" s="23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>
      <c r="A252" s="23"/>
      <c r="B252" s="23"/>
      <c r="C252" s="23"/>
      <c r="D252" s="23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>
      <c r="A253" s="23"/>
      <c r="B253" s="23"/>
      <c r="C253" s="23"/>
      <c r="D253" s="23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>
      <c r="A254" s="23"/>
      <c r="B254" s="23"/>
      <c r="C254" s="23"/>
      <c r="D254" s="23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>
      <c r="A255" s="23"/>
      <c r="B255" s="23"/>
      <c r="C255" s="23"/>
      <c r="D255" s="23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>
      <c r="A256" s="23"/>
      <c r="B256" s="23"/>
      <c r="C256" s="23"/>
      <c r="D256" s="23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>
      <c r="A257" s="23"/>
      <c r="B257" s="23"/>
      <c r="C257" s="23"/>
      <c r="D257" s="23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>
      <c r="A258" s="23"/>
      <c r="B258" s="23"/>
      <c r="C258" s="23"/>
      <c r="D258" s="23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>
      <c r="A259" s="23"/>
      <c r="B259" s="23"/>
      <c r="C259" s="23"/>
      <c r="D259" s="23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>
      <c r="A260" s="23"/>
      <c r="B260" s="23"/>
      <c r="C260" s="23"/>
      <c r="D260" s="23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>
      <c r="A261" s="23"/>
      <c r="B261" s="23"/>
      <c r="C261" s="23"/>
      <c r="D261" s="23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>
      <c r="A262" s="23"/>
      <c r="B262" s="23"/>
      <c r="C262" s="23"/>
      <c r="D262" s="23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>
      <c r="A263" s="23"/>
      <c r="B263" s="23"/>
      <c r="C263" s="23"/>
      <c r="D263" s="23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>
      <c r="A264" s="23"/>
      <c r="B264" s="23"/>
      <c r="C264" s="23"/>
      <c r="D264" s="23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>
      <c r="A265" s="23"/>
      <c r="B265" s="23"/>
      <c r="C265" s="23"/>
      <c r="D265" s="23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>
      <c r="A266" s="23"/>
      <c r="B266" s="23"/>
      <c r="C266" s="23"/>
      <c r="D266" s="23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>
      <c r="A267" s="23"/>
      <c r="B267" s="23"/>
      <c r="C267" s="23"/>
      <c r="D267" s="23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>
      <c r="A268" s="23"/>
      <c r="B268" s="23"/>
      <c r="C268" s="23"/>
      <c r="D268" s="23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>
      <c r="A269" s="23"/>
      <c r="B269" s="23"/>
      <c r="C269" s="23"/>
      <c r="D269" s="23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>
      <c r="A270" s="23"/>
      <c r="B270" s="23"/>
      <c r="C270" s="23"/>
      <c r="D270" s="23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>
      <c r="A271" s="23"/>
      <c r="B271" s="23"/>
      <c r="C271" s="23"/>
      <c r="D271" s="23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>
      <c r="A272" s="23"/>
      <c r="B272" s="23"/>
      <c r="C272" s="23"/>
      <c r="D272" s="23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>
      <c r="A273" s="23"/>
      <c r="B273" s="23"/>
      <c r="C273" s="23"/>
      <c r="D273" s="23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>
      <c r="A274" s="23"/>
      <c r="B274" s="23"/>
      <c r="C274" s="23"/>
      <c r="D274" s="23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>
      <c r="A275" s="23"/>
      <c r="B275" s="23"/>
      <c r="C275" s="23"/>
      <c r="D275" s="23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>
      <c r="A276" s="23"/>
      <c r="B276" s="23"/>
      <c r="C276" s="23"/>
      <c r="D276" s="23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>
      <c r="A277" s="23"/>
      <c r="B277" s="23"/>
      <c r="C277" s="23"/>
      <c r="D277" s="23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>
      <c r="A278" s="23"/>
      <c r="B278" s="23"/>
      <c r="C278" s="23"/>
      <c r="D278" s="23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>
      <c r="A279" s="23"/>
      <c r="B279" s="23"/>
      <c r="C279" s="23"/>
      <c r="D279" s="23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>
      <c r="A280" s="23"/>
      <c r="B280" s="23"/>
      <c r="C280" s="23"/>
      <c r="D280" s="23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>
      <c r="A281" s="23"/>
      <c r="B281" s="23"/>
      <c r="C281" s="23"/>
      <c r="D281" s="23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>
      <c r="A282" s="23"/>
      <c r="B282" s="23"/>
      <c r="C282" s="23"/>
      <c r="D282" s="23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>
      <c r="A283" s="23"/>
      <c r="B283" s="23"/>
      <c r="C283" s="23"/>
      <c r="D283" s="23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>
      <c r="A284" s="23"/>
      <c r="B284" s="23"/>
      <c r="C284" s="23"/>
      <c r="D284" s="23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>
      <c r="A285" s="23"/>
      <c r="B285" s="23"/>
      <c r="C285" s="23"/>
      <c r="D285" s="23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>
      <c r="A286" s="23"/>
      <c r="B286" s="23"/>
      <c r="C286" s="23"/>
      <c r="D286" s="23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>
      <c r="A287" s="23"/>
      <c r="B287" s="23"/>
      <c r="C287" s="23"/>
      <c r="D287" s="23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>
      <c r="A288" s="23"/>
      <c r="B288" s="23"/>
      <c r="C288" s="23"/>
      <c r="D288" s="23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>
      <c r="A289" s="23"/>
      <c r="B289" s="23"/>
      <c r="C289" s="23"/>
      <c r="D289" s="23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>
      <c r="A290" s="23"/>
      <c r="B290" s="23"/>
      <c r="C290" s="23"/>
      <c r="D290" s="23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>
      <c r="A291" s="23"/>
      <c r="B291" s="23"/>
      <c r="C291" s="23"/>
      <c r="D291" s="23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>
      <c r="A292" s="23"/>
      <c r="B292" s="23"/>
      <c r="C292" s="23"/>
      <c r="D292" s="23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>
      <c r="A293" s="23"/>
      <c r="B293" s="23"/>
      <c r="C293" s="23"/>
      <c r="D293" s="23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>
      <c r="A294" s="23"/>
      <c r="B294" s="23"/>
      <c r="C294" s="23"/>
      <c r="D294" s="23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>
      <c r="A295" s="23"/>
      <c r="B295" s="23"/>
      <c r="C295" s="23"/>
      <c r="D295" s="23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>
      <c r="A296" s="23"/>
      <c r="B296" s="23"/>
      <c r="C296" s="23"/>
      <c r="D296" s="23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>
      <c r="A297" s="23"/>
      <c r="B297" s="23"/>
      <c r="C297" s="23"/>
      <c r="D297" s="23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>
      <c r="A298" s="23"/>
      <c r="B298" s="23"/>
      <c r="C298" s="23"/>
      <c r="D298" s="23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>
      <c r="A299" s="23"/>
      <c r="B299" s="23"/>
      <c r="C299" s="23"/>
      <c r="D299" s="23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>
      <c r="A300" s="23"/>
      <c r="B300" s="23"/>
      <c r="C300" s="23"/>
      <c r="D300" s="23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>
      <c r="A301" s="23"/>
      <c r="B301" s="23"/>
      <c r="C301" s="23"/>
      <c r="D301" s="23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>
      <c r="A302" s="23"/>
      <c r="B302" s="23"/>
      <c r="C302" s="23"/>
      <c r="D302" s="23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>
      <c r="A303" s="23"/>
      <c r="B303" s="23"/>
      <c r="C303" s="23"/>
      <c r="D303" s="23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>
      <c r="A304" s="23"/>
      <c r="B304" s="23"/>
      <c r="C304" s="23"/>
      <c r="D304" s="23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>
      <c r="A305" s="23"/>
      <c r="B305" s="23"/>
      <c r="C305" s="23"/>
      <c r="D305" s="23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>
      <c r="A306" s="23"/>
      <c r="B306" s="23"/>
      <c r="C306" s="23"/>
      <c r="D306" s="23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>
      <c r="A307" s="23"/>
      <c r="B307" s="23"/>
      <c r="C307" s="23"/>
      <c r="D307" s="23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>
      <c r="A308" s="23"/>
      <c r="B308" s="23"/>
      <c r="C308" s="23"/>
      <c r="D308" s="23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>
      <c r="A309" s="23"/>
      <c r="B309" s="23"/>
      <c r="C309" s="23"/>
      <c r="D309" s="23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>
      <c r="A310" s="23"/>
      <c r="B310" s="23"/>
      <c r="C310" s="23"/>
      <c r="D310" s="23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>
      <c r="A311" s="23"/>
      <c r="B311" s="23"/>
      <c r="C311" s="23"/>
      <c r="D311" s="23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>
      <c r="A312" s="23"/>
      <c r="B312" s="23"/>
      <c r="C312" s="23"/>
      <c r="D312" s="23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>
      <c r="A313" s="23"/>
      <c r="B313" s="23"/>
      <c r="C313" s="23"/>
      <c r="D313" s="23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>
      <c r="A314" s="23"/>
      <c r="B314" s="23"/>
      <c r="C314" s="23"/>
      <c r="D314" s="23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>
      <c r="A315" s="23"/>
      <c r="B315" s="23"/>
      <c r="C315" s="23"/>
      <c r="D315" s="23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>
      <c r="A316" s="23"/>
      <c r="B316" s="23"/>
      <c r="C316" s="23"/>
      <c r="D316" s="23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>
      <c r="A317" s="23"/>
      <c r="B317" s="23"/>
      <c r="C317" s="23"/>
      <c r="D317" s="23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>
      <c r="A318" s="23"/>
      <c r="B318" s="23"/>
      <c r="C318" s="23"/>
      <c r="D318" s="23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>
      <c r="A319" s="23"/>
      <c r="B319" s="23"/>
      <c r="C319" s="23"/>
      <c r="D319" s="23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>
      <c r="A320" s="23"/>
      <c r="B320" s="23"/>
      <c r="C320" s="23"/>
      <c r="D320" s="23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>
      <c r="A321" s="23"/>
      <c r="B321" s="23"/>
      <c r="C321" s="23"/>
      <c r="D321" s="23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>
      <c r="A322" s="23"/>
      <c r="B322" s="23"/>
      <c r="C322" s="23"/>
      <c r="D322" s="23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>
      <c r="A323" s="23"/>
      <c r="B323" s="23"/>
      <c r="C323" s="23"/>
      <c r="D323" s="23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>
      <c r="A324" s="23"/>
      <c r="B324" s="23"/>
      <c r="C324" s="23"/>
      <c r="D324" s="23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>
      <c r="A325" s="23"/>
      <c r="B325" s="23"/>
      <c r="C325" s="23"/>
      <c r="D325" s="23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>
      <c r="A326" s="23"/>
      <c r="B326" s="23"/>
      <c r="C326" s="23"/>
      <c r="D326" s="23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>
      <c r="A327" s="23"/>
      <c r="B327" s="23"/>
      <c r="C327" s="23"/>
      <c r="D327" s="23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>
      <c r="A328" s="23"/>
      <c r="B328" s="23"/>
      <c r="C328" s="23"/>
      <c r="D328" s="23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>
      <c r="A329" s="23"/>
      <c r="B329" s="23"/>
      <c r="C329" s="23"/>
      <c r="D329" s="23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>
      <c r="A330" s="23"/>
      <c r="B330" s="23"/>
      <c r="C330" s="23"/>
      <c r="D330" s="23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>
      <c r="A331" s="23"/>
      <c r="B331" s="23"/>
      <c r="C331" s="23"/>
      <c r="D331" s="23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>
      <c r="A332" s="23"/>
      <c r="B332" s="23"/>
      <c r="C332" s="23"/>
      <c r="D332" s="23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>
      <c r="A333" s="23"/>
      <c r="B333" s="23"/>
      <c r="C333" s="23"/>
      <c r="D333" s="23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>
      <c r="A334" s="23"/>
      <c r="B334" s="23"/>
      <c r="C334" s="23"/>
      <c r="D334" s="23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>
      <c r="A335" s="23"/>
      <c r="B335" s="23"/>
      <c r="C335" s="23"/>
      <c r="D335" s="23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>
      <c r="A336" s="23"/>
      <c r="B336" s="23"/>
      <c r="C336" s="23"/>
      <c r="D336" s="23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>
      <c r="A337" s="23"/>
      <c r="B337" s="23"/>
      <c r="C337" s="23"/>
      <c r="D337" s="23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>
      <c r="A338" s="23"/>
      <c r="B338" s="23"/>
      <c r="C338" s="23"/>
      <c r="D338" s="23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>
      <c r="A339" s="23"/>
      <c r="B339" s="23"/>
      <c r="C339" s="23"/>
      <c r="D339" s="23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>
      <c r="A340" s="23"/>
      <c r="B340" s="23"/>
      <c r="C340" s="23"/>
      <c r="D340" s="23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>
      <c r="A341" s="23"/>
      <c r="B341" s="23"/>
      <c r="C341" s="23"/>
      <c r="D341" s="23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>
      <c r="A342" s="23"/>
      <c r="B342" s="23"/>
      <c r="C342" s="23"/>
      <c r="D342" s="23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>
      <c r="A343" s="23"/>
      <c r="B343" s="23"/>
      <c r="C343" s="23"/>
      <c r="D343" s="23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>
      <c r="A344" s="23"/>
      <c r="B344" s="23"/>
      <c r="C344" s="23"/>
      <c r="D344" s="23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>
      <c r="A345" s="23"/>
      <c r="B345" s="23"/>
      <c r="C345" s="23"/>
      <c r="D345" s="23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>
      <c r="A346" s="23"/>
      <c r="B346" s="23"/>
      <c r="C346" s="23"/>
      <c r="D346" s="23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>
      <c r="A347" s="23"/>
      <c r="B347" s="23"/>
      <c r="C347" s="23"/>
      <c r="D347" s="23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>
      <c r="A348" s="23"/>
      <c r="B348" s="23"/>
      <c r="C348" s="23"/>
      <c r="D348" s="23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>
      <c r="A349" s="23"/>
      <c r="B349" s="23"/>
      <c r="C349" s="23"/>
      <c r="D349" s="23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>
      <c r="A350" s="23"/>
      <c r="B350" s="23"/>
      <c r="C350" s="23"/>
      <c r="D350" s="23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>
      <c r="A351" s="23"/>
      <c r="B351" s="23"/>
      <c r="C351" s="23"/>
      <c r="D351" s="23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>
      <c r="A352" s="23"/>
      <c r="B352" s="23"/>
      <c r="C352" s="23"/>
      <c r="D352" s="23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>
      <c r="A353" s="23"/>
      <c r="B353" s="23"/>
      <c r="C353" s="23"/>
      <c r="D353" s="23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>
      <c r="A354" s="23"/>
      <c r="B354" s="23"/>
      <c r="C354" s="23"/>
      <c r="D354" s="23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>
      <c r="A355" s="23"/>
      <c r="B355" s="23"/>
      <c r="C355" s="23"/>
      <c r="D355" s="23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>
      <c r="A356" s="23"/>
      <c r="B356" s="23"/>
      <c r="C356" s="23"/>
      <c r="D356" s="23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>
      <c r="A357" s="23"/>
      <c r="B357" s="23"/>
      <c r="C357" s="23"/>
      <c r="D357" s="23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>
      <c r="A358" s="23"/>
      <c r="B358" s="23"/>
      <c r="C358" s="23"/>
      <c r="D358" s="23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>
      <c r="A359" s="23"/>
      <c r="B359" s="23"/>
      <c r="C359" s="23"/>
      <c r="D359" s="23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>
      <c r="A360" s="23"/>
      <c r="B360" s="23"/>
      <c r="C360" s="23"/>
      <c r="D360" s="23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>
      <c r="A361" s="23"/>
      <c r="B361" s="23"/>
      <c r="C361" s="23"/>
      <c r="D361" s="23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>
      <c r="A362" s="23"/>
      <c r="B362" s="23"/>
      <c r="C362" s="23"/>
      <c r="D362" s="23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>
      <c r="A363" s="23"/>
      <c r="B363" s="23"/>
      <c r="C363" s="23"/>
      <c r="D363" s="23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>
      <c r="A364" s="23"/>
      <c r="B364" s="23"/>
      <c r="C364" s="23"/>
      <c r="D364" s="23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>
      <c r="A365" s="23"/>
      <c r="B365" s="23"/>
      <c r="C365" s="23"/>
      <c r="D365" s="23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>
      <c r="A366" s="23"/>
      <c r="B366" s="23"/>
      <c r="C366" s="23"/>
      <c r="D366" s="23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>
      <c r="A367" s="23"/>
      <c r="B367" s="23"/>
      <c r="C367" s="23"/>
      <c r="D367" s="23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>
      <c r="A368" s="23"/>
      <c r="B368" s="23"/>
      <c r="C368" s="23"/>
      <c r="D368" s="23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>
      <c r="A369" s="23"/>
      <c r="B369" s="23"/>
      <c r="C369" s="23"/>
      <c r="D369" s="23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>
      <c r="A370" s="23"/>
      <c r="B370" s="23"/>
      <c r="C370" s="23"/>
      <c r="D370" s="23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>
      <c r="A371" s="23"/>
      <c r="B371" s="23"/>
      <c r="C371" s="23"/>
      <c r="D371" s="23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>
      <c r="A372" s="23"/>
      <c r="B372" s="23"/>
      <c r="C372" s="23"/>
      <c r="D372" s="23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>
      <c r="A373" s="23"/>
      <c r="B373" s="23"/>
      <c r="C373" s="23"/>
      <c r="D373" s="23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>
      <c r="A374" s="23"/>
      <c r="B374" s="23"/>
      <c r="C374" s="23"/>
      <c r="D374" s="23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>
      <c r="A375" s="23"/>
      <c r="B375" s="23"/>
      <c r="C375" s="23"/>
      <c r="D375" s="23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>
      <c r="A376" s="23"/>
      <c r="B376" s="23"/>
      <c r="C376" s="23"/>
      <c r="D376" s="23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>
      <c r="A377" s="23"/>
      <c r="B377" s="23"/>
      <c r="C377" s="23"/>
      <c r="D377" s="23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>
      <c r="A378" s="23"/>
      <c r="B378" s="23"/>
      <c r="C378" s="23"/>
      <c r="D378" s="23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>
      <c r="A379" s="23"/>
      <c r="B379" s="23"/>
      <c r="C379" s="23"/>
      <c r="D379" s="23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>
      <c r="A380" s="23"/>
      <c r="B380" s="23"/>
      <c r="C380" s="23"/>
      <c r="D380" s="23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>
      <c r="A381" s="23"/>
      <c r="B381" s="23"/>
      <c r="C381" s="23"/>
      <c r="D381" s="23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>
      <c r="A382" s="23"/>
      <c r="B382" s="23"/>
      <c r="C382" s="23"/>
      <c r="D382" s="23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>
      <c r="A383" s="23"/>
      <c r="B383" s="23"/>
      <c r="C383" s="23"/>
      <c r="D383" s="23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>
      <c r="A384" s="23"/>
      <c r="B384" s="23"/>
      <c r="C384" s="23"/>
      <c r="D384" s="23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>
      <c r="A385" s="23"/>
      <c r="B385" s="23"/>
      <c r="C385" s="23"/>
      <c r="D385" s="23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>
      <c r="A386" s="23"/>
      <c r="B386" s="23"/>
      <c r="C386" s="23"/>
      <c r="D386" s="23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>
      <c r="A387" s="23"/>
      <c r="B387" s="23"/>
      <c r="C387" s="23"/>
      <c r="D387" s="23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>
      <c r="A388" s="23"/>
      <c r="B388" s="23"/>
      <c r="C388" s="23"/>
      <c r="D388" s="23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>
      <c r="A389" s="23"/>
      <c r="B389" s="23"/>
      <c r="C389" s="23"/>
      <c r="D389" s="23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>
      <c r="A390" s="23"/>
      <c r="B390" s="23"/>
      <c r="C390" s="23"/>
      <c r="D390" s="23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>
      <c r="A391" s="23"/>
      <c r="B391" s="23"/>
      <c r="C391" s="23"/>
      <c r="D391" s="23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>
      <c r="A392" s="23"/>
      <c r="B392" s="23"/>
      <c r="C392" s="23"/>
      <c r="D392" s="23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>
      <c r="A393" s="23"/>
      <c r="B393" s="23"/>
      <c r="C393" s="23"/>
      <c r="D393" s="23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>
      <c r="A394" s="23"/>
      <c r="B394" s="23"/>
      <c r="C394" s="23"/>
      <c r="D394" s="23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>
      <c r="A395" s="23"/>
      <c r="B395" s="23"/>
      <c r="C395" s="23"/>
      <c r="D395" s="23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>
      <c r="A396" s="23"/>
      <c r="B396" s="23"/>
      <c r="C396" s="23"/>
      <c r="D396" s="23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>
      <c r="A397" s="23"/>
      <c r="B397" s="23"/>
      <c r="C397" s="23"/>
      <c r="D397" s="23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>
      <c r="A398" s="23"/>
      <c r="B398" s="23"/>
      <c r="C398" s="23"/>
      <c r="D398" s="23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>
      <c r="A399" s="23"/>
      <c r="B399" s="23"/>
      <c r="C399" s="23"/>
      <c r="D399" s="23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>
      <c r="A400" s="23"/>
      <c r="B400" s="23"/>
      <c r="C400" s="23"/>
      <c r="D400" s="23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>
      <c r="A401" s="23"/>
      <c r="B401" s="23"/>
      <c r="C401" s="23"/>
      <c r="D401" s="23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>
      <c r="A402" s="23"/>
      <c r="B402" s="23"/>
      <c r="C402" s="23"/>
      <c r="D402" s="23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>
      <c r="A403" s="23"/>
      <c r="B403" s="23"/>
      <c r="C403" s="23"/>
      <c r="D403" s="23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>
      <c r="A404" s="23"/>
      <c r="B404" s="23"/>
      <c r="C404" s="23"/>
      <c r="D404" s="23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>
      <c r="A405" s="23"/>
      <c r="B405" s="23"/>
      <c r="C405" s="23"/>
      <c r="D405" s="23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>
      <c r="A406" s="23"/>
      <c r="B406" s="23"/>
      <c r="C406" s="23"/>
      <c r="D406" s="23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>
      <c r="A407" s="23"/>
      <c r="B407" s="23"/>
      <c r="C407" s="23"/>
      <c r="D407" s="23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>
      <c r="A408" s="23"/>
      <c r="B408" s="23"/>
      <c r="C408" s="23"/>
      <c r="D408" s="23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>
      <c r="A409" s="23"/>
      <c r="B409" s="23"/>
      <c r="C409" s="23"/>
      <c r="D409" s="23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>
      <c r="A410" s="23"/>
      <c r="B410" s="23"/>
      <c r="C410" s="23"/>
      <c r="D410" s="23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>
      <c r="A411" s="23"/>
      <c r="B411" s="23"/>
      <c r="C411" s="23"/>
      <c r="D411" s="23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>
      <c r="A412" s="23"/>
      <c r="B412" s="23"/>
      <c r="C412" s="23"/>
      <c r="D412" s="23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>
      <c r="A413" s="23"/>
      <c r="B413" s="23"/>
      <c r="C413" s="23"/>
      <c r="D413" s="23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>
      <c r="A414" s="23"/>
      <c r="B414" s="23"/>
      <c r="C414" s="23"/>
      <c r="D414" s="23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>
      <c r="A415" s="23"/>
      <c r="B415" s="23"/>
      <c r="C415" s="23"/>
      <c r="D415" s="23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>
      <c r="A416" s="23"/>
      <c r="B416" s="23"/>
      <c r="C416" s="23"/>
      <c r="D416" s="23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>
      <c r="A417" s="23"/>
      <c r="B417" s="23"/>
      <c r="C417" s="23"/>
      <c r="D417" s="23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>
      <c r="A418" s="23"/>
      <c r="B418" s="23"/>
      <c r="C418" s="23"/>
      <c r="D418" s="23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>
      <c r="A419" s="23"/>
      <c r="B419" s="23"/>
      <c r="C419" s="23"/>
      <c r="D419" s="23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>
      <c r="A420" s="23"/>
      <c r="B420" s="23"/>
      <c r="C420" s="23"/>
      <c r="D420" s="23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>
      <c r="A421" s="23"/>
      <c r="B421" s="23"/>
      <c r="C421" s="23"/>
      <c r="D421" s="23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>
      <c r="A422" s="23"/>
      <c r="B422" s="23"/>
      <c r="C422" s="23"/>
      <c r="D422" s="23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>
      <c r="A423" s="23"/>
      <c r="B423" s="23"/>
      <c r="C423" s="23"/>
      <c r="D423" s="23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>
      <c r="A424" s="23"/>
      <c r="B424" s="23"/>
      <c r="C424" s="23"/>
      <c r="D424" s="23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>
      <c r="A425" s="23"/>
      <c r="B425" s="23"/>
      <c r="C425" s="23"/>
      <c r="D425" s="23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>
      <c r="A426" s="23"/>
      <c r="B426" s="23"/>
      <c r="C426" s="23"/>
      <c r="D426" s="23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>
      <c r="A427" s="23"/>
      <c r="B427" s="23"/>
      <c r="C427" s="23"/>
      <c r="D427" s="23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>
      <c r="A428" s="23"/>
      <c r="B428" s="23"/>
      <c r="C428" s="23"/>
      <c r="D428" s="23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>
      <c r="A429" s="23"/>
      <c r="B429" s="23"/>
      <c r="C429" s="23"/>
      <c r="D429" s="23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>
      <c r="A430" s="23"/>
      <c r="B430" s="23"/>
      <c r="C430" s="23"/>
      <c r="D430" s="23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>
      <c r="A431" s="23"/>
      <c r="B431" s="23"/>
      <c r="C431" s="23"/>
      <c r="D431" s="23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>
      <c r="A432" s="23"/>
      <c r="B432" s="23"/>
      <c r="C432" s="23"/>
      <c r="D432" s="23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>
      <c r="A433" s="23"/>
      <c r="B433" s="23"/>
      <c r="C433" s="23"/>
      <c r="D433" s="23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>
      <c r="A434" s="23"/>
      <c r="B434" s="23"/>
      <c r="C434" s="23"/>
      <c r="D434" s="23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>
      <c r="A435" s="23"/>
      <c r="B435" s="23"/>
      <c r="C435" s="23"/>
      <c r="D435" s="23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>
      <c r="A436" s="23"/>
      <c r="B436" s="23"/>
      <c r="C436" s="23"/>
      <c r="D436" s="23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>
      <c r="A437" s="23"/>
      <c r="B437" s="23"/>
      <c r="C437" s="23"/>
      <c r="D437" s="23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>
      <c r="A438" s="23"/>
      <c r="B438" s="23"/>
      <c r="C438" s="23"/>
      <c r="D438" s="23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>
      <c r="A439" s="23"/>
      <c r="B439" s="23"/>
      <c r="C439" s="23"/>
      <c r="D439" s="23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>
      <c r="A440" s="23"/>
      <c r="B440" s="23"/>
      <c r="C440" s="23"/>
      <c r="D440" s="23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>
      <c r="A441" s="23"/>
      <c r="B441" s="23"/>
      <c r="C441" s="23"/>
      <c r="D441" s="23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>
      <c r="A442" s="23"/>
      <c r="B442" s="23"/>
      <c r="C442" s="23"/>
      <c r="D442" s="23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>
      <c r="A443" s="23"/>
      <c r="B443" s="23"/>
      <c r="C443" s="23"/>
      <c r="D443" s="23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>
      <c r="A444" s="23"/>
      <c r="B444" s="23"/>
      <c r="C444" s="23"/>
      <c r="D444" s="23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>
      <c r="A445" s="23"/>
      <c r="B445" s="23"/>
      <c r="C445" s="23"/>
      <c r="D445" s="23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>
      <c r="A446" s="23"/>
      <c r="B446" s="23"/>
      <c r="C446" s="23"/>
      <c r="D446" s="23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>
      <c r="A447" s="23"/>
      <c r="B447" s="23"/>
      <c r="C447" s="23"/>
      <c r="D447" s="23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>
      <c r="A448" s="23"/>
      <c r="B448" s="23"/>
      <c r="C448" s="23"/>
      <c r="D448" s="23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>
      <c r="A449" s="23"/>
      <c r="B449" s="23"/>
      <c r="C449" s="23"/>
      <c r="D449" s="23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>
      <c r="A450" s="23"/>
      <c r="B450" s="23"/>
      <c r="C450" s="23"/>
      <c r="D450" s="23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>
      <c r="A451" s="23"/>
      <c r="B451" s="23"/>
      <c r="C451" s="23"/>
      <c r="D451" s="23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>
      <c r="A452" s="23"/>
      <c r="B452" s="23"/>
      <c r="C452" s="23"/>
      <c r="D452" s="23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>
      <c r="A453" s="23"/>
      <c r="B453" s="23"/>
      <c r="C453" s="23"/>
      <c r="D453" s="23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>
      <c r="A454" s="23"/>
      <c r="B454" s="23"/>
      <c r="C454" s="23"/>
      <c r="D454" s="23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>
      <c r="A455" s="23"/>
      <c r="B455" s="23"/>
      <c r="C455" s="23"/>
      <c r="D455" s="23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>
      <c r="A456" s="23"/>
      <c r="B456" s="23"/>
      <c r="C456" s="23"/>
      <c r="D456" s="23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>
      <c r="A457" s="23"/>
      <c r="B457" s="23"/>
      <c r="C457" s="23"/>
      <c r="D457" s="23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>
      <c r="A458" s="23"/>
      <c r="B458" s="23"/>
      <c r="C458" s="23"/>
      <c r="D458" s="23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>
      <c r="A459" s="23"/>
      <c r="B459" s="23"/>
      <c r="C459" s="23"/>
      <c r="D459" s="23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>
      <c r="A460" s="23"/>
      <c r="B460" s="23"/>
      <c r="C460" s="23"/>
      <c r="D460" s="23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>
      <c r="A461" s="23"/>
      <c r="B461" s="23"/>
      <c r="C461" s="23"/>
      <c r="D461" s="23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>
      <c r="A462" s="23"/>
      <c r="B462" s="23"/>
      <c r="C462" s="23"/>
      <c r="D462" s="23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>
      <c r="A463" s="23"/>
      <c r="B463" s="23"/>
      <c r="C463" s="23"/>
      <c r="D463" s="23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>
      <c r="A464" s="23"/>
      <c r="B464" s="23"/>
      <c r="C464" s="23"/>
      <c r="D464" s="23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>
      <c r="A465" s="23"/>
      <c r="B465" s="23"/>
      <c r="C465" s="23"/>
      <c r="D465" s="23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>
      <c r="A466" s="23"/>
      <c r="B466" s="23"/>
      <c r="C466" s="23"/>
      <c r="D466" s="23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>
      <c r="A467" s="23"/>
      <c r="B467" s="23"/>
      <c r="C467" s="23"/>
      <c r="D467" s="23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>
      <c r="A468" s="23"/>
      <c r="B468" s="23"/>
      <c r="C468" s="23"/>
      <c r="D468" s="23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>
      <c r="A469" s="23"/>
      <c r="B469" s="23"/>
      <c r="C469" s="23"/>
      <c r="D469" s="23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>
      <c r="A470" s="23"/>
      <c r="B470" s="23"/>
      <c r="C470" s="23"/>
      <c r="D470" s="23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>
      <c r="A471" s="23"/>
      <c r="B471" s="23"/>
      <c r="C471" s="23"/>
      <c r="D471" s="23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>
      <c r="A472" s="23"/>
      <c r="B472" s="23"/>
      <c r="C472" s="23"/>
      <c r="D472" s="23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>
      <c r="A473" s="23"/>
      <c r="B473" s="23"/>
      <c r="C473" s="23"/>
      <c r="D473" s="23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>
      <c r="A474" s="23"/>
      <c r="B474" s="23"/>
      <c r="C474" s="23"/>
      <c r="D474" s="23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>
      <c r="A475" s="23"/>
      <c r="B475" s="23"/>
      <c r="C475" s="23"/>
      <c r="D475" s="23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>
      <c r="A476" s="23"/>
      <c r="B476" s="23"/>
      <c r="C476" s="23"/>
      <c r="D476" s="23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>
      <c r="A477" s="23"/>
      <c r="B477" s="23"/>
      <c r="C477" s="23"/>
      <c r="D477" s="23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>
      <c r="A478" s="23"/>
      <c r="B478" s="23"/>
      <c r="C478" s="23"/>
      <c r="D478" s="23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>
      <c r="A479" s="23"/>
      <c r="B479" s="23"/>
      <c r="C479" s="23"/>
      <c r="D479" s="23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>
      <c r="A480" s="23"/>
      <c r="B480" s="23"/>
      <c r="C480" s="23"/>
      <c r="D480" s="23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>
      <c r="A481" s="23"/>
      <c r="B481" s="23"/>
      <c r="C481" s="23"/>
      <c r="D481" s="23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>
      <c r="A482" s="23"/>
      <c r="B482" s="23"/>
      <c r="C482" s="23"/>
      <c r="D482" s="23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>
      <c r="A483" s="23"/>
      <c r="B483" s="23"/>
      <c r="C483" s="23"/>
      <c r="D483" s="23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>
      <c r="A484" s="23"/>
      <c r="B484" s="23"/>
      <c r="C484" s="23"/>
      <c r="D484" s="23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>
      <c r="A485" s="23"/>
      <c r="B485" s="23"/>
      <c r="C485" s="23"/>
      <c r="D485" s="23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>
      <c r="A486" s="23"/>
      <c r="B486" s="23"/>
      <c r="C486" s="23"/>
      <c r="D486" s="23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>
      <c r="A487" s="23"/>
      <c r="B487" s="23"/>
      <c r="C487" s="23"/>
      <c r="D487" s="23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>
      <c r="A488" s="23"/>
      <c r="B488" s="23"/>
      <c r="C488" s="23"/>
      <c r="D488" s="23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>
      <c r="A489" s="23"/>
      <c r="B489" s="23"/>
      <c r="C489" s="23"/>
      <c r="D489" s="23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>
      <c r="A490" s="23"/>
      <c r="B490" s="23"/>
      <c r="C490" s="23"/>
      <c r="D490" s="23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>
      <c r="A491" s="23"/>
      <c r="B491" s="23"/>
      <c r="C491" s="23"/>
      <c r="D491" s="23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>
      <c r="A492" s="23"/>
      <c r="B492" s="23"/>
      <c r="C492" s="23"/>
      <c r="D492" s="23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>
      <c r="A493" s="23"/>
      <c r="B493" s="23"/>
      <c r="C493" s="23"/>
      <c r="D493" s="23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>
      <c r="A494" s="23"/>
      <c r="B494" s="23"/>
      <c r="C494" s="23"/>
      <c r="D494" s="23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>
      <c r="A495" s="23"/>
      <c r="B495" s="23"/>
      <c r="C495" s="23"/>
      <c r="D495" s="23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>
      <c r="A496" s="23"/>
      <c r="B496" s="23"/>
      <c r="C496" s="23"/>
      <c r="D496" s="23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>
      <c r="A497" s="23"/>
      <c r="B497" s="23"/>
      <c r="C497" s="23"/>
      <c r="D497" s="23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>
      <c r="A498" s="23"/>
      <c r="B498" s="23"/>
      <c r="C498" s="23"/>
      <c r="D498" s="23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>
      <c r="A499" s="23"/>
      <c r="B499" s="23"/>
      <c r="C499" s="23"/>
      <c r="D499" s="23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>
      <c r="A500" s="23"/>
      <c r="B500" s="23"/>
      <c r="C500" s="23"/>
      <c r="D500" s="23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>
      <c r="A501" s="23"/>
      <c r="B501" s="23"/>
      <c r="C501" s="23"/>
      <c r="D501" s="23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>
      <c r="A502" s="23"/>
      <c r="B502" s="23"/>
      <c r="C502" s="23"/>
      <c r="D502" s="23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>
      <c r="A503" s="23"/>
      <c r="B503" s="23"/>
      <c r="C503" s="23"/>
      <c r="D503" s="23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>
      <c r="A504" s="23"/>
      <c r="B504" s="23"/>
      <c r="C504" s="23"/>
      <c r="D504" s="23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>
      <c r="A505" s="23"/>
      <c r="B505" s="23"/>
      <c r="C505" s="23"/>
      <c r="D505" s="23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>
      <c r="A506" s="23"/>
      <c r="B506" s="23"/>
      <c r="C506" s="23"/>
      <c r="D506" s="23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>
      <c r="A507" s="23"/>
      <c r="B507" s="23"/>
      <c r="C507" s="23"/>
      <c r="D507" s="23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>
      <c r="A508" s="23"/>
      <c r="B508" s="23"/>
      <c r="C508" s="23"/>
      <c r="D508" s="23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>
      <c r="A509" s="23"/>
      <c r="B509" s="23"/>
      <c r="C509" s="23"/>
      <c r="D509" s="23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>
      <c r="A510" s="23"/>
      <c r="B510" s="23"/>
      <c r="C510" s="23"/>
      <c r="D510" s="23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>
      <c r="A511" s="23"/>
      <c r="B511" s="23"/>
      <c r="C511" s="23"/>
      <c r="D511" s="23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>
      <c r="A512" s="23"/>
      <c r="B512" s="23"/>
      <c r="C512" s="23"/>
      <c r="D512" s="23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>
      <c r="A513" s="23"/>
      <c r="B513" s="23"/>
      <c r="C513" s="23"/>
      <c r="D513" s="23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>
      <c r="A514" s="23"/>
      <c r="B514" s="23"/>
      <c r="C514" s="23"/>
      <c r="D514" s="23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>
      <c r="A515" s="23"/>
      <c r="B515" s="23"/>
      <c r="C515" s="23"/>
      <c r="D515" s="23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>
      <c r="A516" s="23"/>
      <c r="B516" s="23"/>
      <c r="C516" s="23"/>
      <c r="D516" s="23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>
      <c r="A517" s="23"/>
      <c r="B517" s="23"/>
      <c r="C517" s="23"/>
      <c r="D517" s="23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>
      <c r="A518" s="23"/>
      <c r="B518" s="23"/>
      <c r="C518" s="23"/>
      <c r="D518" s="23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>
      <c r="A519" s="23"/>
      <c r="B519" s="23"/>
      <c r="C519" s="23"/>
      <c r="D519" s="23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>
      <c r="A520" s="23"/>
      <c r="B520" s="23"/>
      <c r="C520" s="23"/>
      <c r="D520" s="23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>
      <c r="A521" s="23"/>
      <c r="B521" s="23"/>
      <c r="C521" s="23"/>
      <c r="D521" s="23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>
      <c r="A522" s="23"/>
      <c r="B522" s="23"/>
      <c r="C522" s="23"/>
      <c r="D522" s="23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>
      <c r="A523" s="23"/>
      <c r="B523" s="23"/>
      <c r="C523" s="23"/>
      <c r="D523" s="23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>
      <c r="A524" s="23"/>
      <c r="B524" s="23"/>
      <c r="C524" s="23"/>
      <c r="D524" s="23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>
      <c r="A525" s="23"/>
      <c r="B525" s="23"/>
      <c r="C525" s="23"/>
      <c r="D525" s="23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>
      <c r="A526" s="23"/>
      <c r="B526" s="23"/>
      <c r="C526" s="23"/>
      <c r="D526" s="23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>
      <c r="A527" s="23"/>
      <c r="B527" s="23"/>
      <c r="C527" s="23"/>
      <c r="D527" s="23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>
      <c r="A528" s="23"/>
      <c r="B528" s="23"/>
      <c r="C528" s="23"/>
      <c r="D528" s="23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>
      <c r="A529" s="23"/>
      <c r="B529" s="23"/>
      <c r="C529" s="23"/>
      <c r="D529" s="23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>
      <c r="A530" s="23"/>
      <c r="B530" s="23"/>
      <c r="C530" s="23"/>
      <c r="D530" s="23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>
      <c r="A531" s="23"/>
      <c r="B531" s="23"/>
      <c r="C531" s="23"/>
      <c r="D531" s="23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>
      <c r="A532" s="23"/>
      <c r="B532" s="23"/>
      <c r="C532" s="23"/>
      <c r="D532" s="23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>
      <c r="A533" s="23"/>
      <c r="B533" s="23"/>
      <c r="C533" s="23"/>
      <c r="D533" s="23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>
      <c r="A534" s="23"/>
      <c r="B534" s="23"/>
      <c r="C534" s="23"/>
      <c r="D534" s="23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>
      <c r="A535" s="23"/>
      <c r="B535" s="23"/>
      <c r="C535" s="23"/>
      <c r="D535" s="23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>
      <c r="A536" s="23"/>
      <c r="B536" s="23"/>
      <c r="C536" s="23"/>
      <c r="D536" s="23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>
      <c r="A537" s="23"/>
      <c r="B537" s="23"/>
      <c r="C537" s="23"/>
      <c r="D537" s="23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>
      <c r="A538" s="23"/>
      <c r="B538" s="23"/>
      <c r="C538" s="23"/>
      <c r="D538" s="23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>
      <c r="A539" s="23"/>
      <c r="B539" s="23"/>
      <c r="C539" s="23"/>
      <c r="D539" s="23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>
      <c r="A540" s="23"/>
      <c r="B540" s="23"/>
      <c r="C540" s="23"/>
      <c r="D540" s="23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>
      <c r="A541" s="23"/>
      <c r="B541" s="23"/>
      <c r="C541" s="23"/>
      <c r="D541" s="23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>
      <c r="A542" s="23"/>
      <c r="B542" s="23"/>
      <c r="C542" s="23"/>
      <c r="D542" s="23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>
      <c r="A543" s="23"/>
      <c r="B543" s="23"/>
      <c r="C543" s="23"/>
      <c r="D543" s="23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>
      <c r="A544" s="23"/>
      <c r="B544" s="23"/>
      <c r="C544" s="23"/>
      <c r="D544" s="23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>
      <c r="A545" s="23"/>
      <c r="B545" s="23"/>
      <c r="C545" s="23"/>
      <c r="D545" s="23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>
      <c r="A546" s="23"/>
      <c r="B546" s="23"/>
      <c r="C546" s="23"/>
      <c r="D546" s="23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>
      <c r="A547" s="23"/>
      <c r="B547" s="23"/>
      <c r="C547" s="23"/>
      <c r="D547" s="23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>
      <c r="A548" s="23"/>
      <c r="B548" s="23"/>
      <c r="C548" s="23"/>
      <c r="D548" s="23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>
      <c r="A549" s="23"/>
      <c r="B549" s="23"/>
      <c r="C549" s="23"/>
      <c r="D549" s="23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>
      <c r="A550" s="23"/>
      <c r="B550" s="23"/>
      <c r="C550" s="23"/>
      <c r="D550" s="23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>
      <c r="A551" s="23"/>
      <c r="B551" s="23"/>
      <c r="C551" s="23"/>
      <c r="D551" s="23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>
      <c r="A552" s="23"/>
      <c r="B552" s="23"/>
      <c r="C552" s="23"/>
      <c r="D552" s="23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>
      <c r="A553" s="23"/>
      <c r="B553" s="23"/>
      <c r="C553" s="23"/>
      <c r="D553" s="23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>
      <c r="A554" s="23"/>
      <c r="B554" s="23"/>
      <c r="C554" s="23"/>
      <c r="D554" s="23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>
      <c r="A555" s="23"/>
      <c r="B555" s="23"/>
      <c r="C555" s="23"/>
      <c r="D555" s="23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>
      <c r="A556" s="23"/>
      <c r="B556" s="23"/>
      <c r="C556" s="23"/>
      <c r="D556" s="23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>
      <c r="A557" s="23"/>
      <c r="B557" s="23"/>
      <c r="C557" s="23"/>
      <c r="D557" s="23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>
      <c r="A558" s="23"/>
      <c r="B558" s="23"/>
      <c r="C558" s="23"/>
      <c r="D558" s="23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>
      <c r="A559" s="23"/>
      <c r="B559" s="23"/>
      <c r="C559" s="23"/>
      <c r="D559" s="23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>
      <c r="A560" s="23"/>
      <c r="B560" s="23"/>
      <c r="C560" s="23"/>
      <c r="D560" s="23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>
      <c r="A561" s="23"/>
      <c r="B561" s="23"/>
      <c r="C561" s="23"/>
      <c r="D561" s="23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>
      <c r="A562" s="23"/>
      <c r="B562" s="23"/>
      <c r="C562" s="23"/>
      <c r="D562" s="23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>
      <c r="A563" s="23"/>
      <c r="B563" s="23"/>
      <c r="C563" s="23"/>
      <c r="D563" s="23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>
      <c r="A564" s="23"/>
      <c r="B564" s="23"/>
      <c r="C564" s="23"/>
      <c r="D564" s="23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>
      <c r="A565" s="23"/>
      <c r="B565" s="23"/>
      <c r="C565" s="23"/>
      <c r="D565" s="23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>
      <c r="A566" s="23"/>
      <c r="B566" s="23"/>
      <c r="C566" s="23"/>
      <c r="D566" s="23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>
      <c r="A567" s="23"/>
      <c r="B567" s="23"/>
      <c r="C567" s="23"/>
      <c r="D567" s="23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>
      <c r="A568" s="23"/>
      <c r="B568" s="23"/>
      <c r="C568" s="23"/>
      <c r="D568" s="23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>
      <c r="A569" s="23"/>
      <c r="B569" s="23"/>
      <c r="C569" s="23"/>
      <c r="D569" s="23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>
      <c r="A570" s="23"/>
      <c r="B570" s="23"/>
      <c r="C570" s="23"/>
      <c r="D570" s="23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>
      <c r="A571" s="23"/>
      <c r="B571" s="23"/>
      <c r="C571" s="23"/>
      <c r="D571" s="23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>
      <c r="A572" s="23"/>
      <c r="B572" s="23"/>
      <c r="C572" s="23"/>
      <c r="D572" s="23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>
      <c r="A573" s="23"/>
      <c r="B573" s="23"/>
      <c r="C573" s="23"/>
      <c r="D573" s="23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>
      <c r="A574" s="23"/>
      <c r="B574" s="23"/>
      <c r="C574" s="23"/>
      <c r="D574" s="23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>
      <c r="A575" s="23"/>
      <c r="B575" s="23"/>
      <c r="C575" s="23"/>
      <c r="D575" s="23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>
      <c r="A576" s="23"/>
      <c r="B576" s="23"/>
      <c r="C576" s="23"/>
      <c r="D576" s="23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>
      <c r="A577" s="23"/>
      <c r="B577" s="23"/>
      <c r="C577" s="23"/>
      <c r="D577" s="23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>
      <c r="A578" s="23"/>
      <c r="B578" s="23"/>
      <c r="C578" s="23"/>
      <c r="D578" s="23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>
      <c r="A579" s="23"/>
      <c r="B579" s="23"/>
      <c r="C579" s="23"/>
      <c r="D579" s="23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>
      <c r="A580" s="23"/>
      <c r="B580" s="23"/>
      <c r="C580" s="23"/>
      <c r="D580" s="23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>
      <c r="A581" s="23"/>
      <c r="B581" s="23"/>
      <c r="C581" s="23"/>
      <c r="D581" s="23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>
      <c r="A582" s="23"/>
      <c r="B582" s="23"/>
      <c r="C582" s="23"/>
      <c r="D582" s="23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>
      <c r="A583" s="23"/>
      <c r="B583" s="23"/>
      <c r="C583" s="23"/>
      <c r="D583" s="23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>
      <c r="A584" s="23"/>
      <c r="B584" s="23"/>
      <c r="C584" s="23"/>
      <c r="D584" s="23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>
      <c r="A585" s="23"/>
      <c r="B585" s="23"/>
      <c r="C585" s="23"/>
      <c r="D585" s="23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>
      <c r="A586" s="23"/>
      <c r="B586" s="23"/>
      <c r="C586" s="23"/>
      <c r="D586" s="23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>
      <c r="A587" s="23"/>
      <c r="B587" s="23"/>
      <c r="C587" s="23"/>
      <c r="D587" s="23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>
      <c r="A588" s="23"/>
      <c r="B588" s="23"/>
      <c r="C588" s="23"/>
      <c r="D588" s="23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>
      <c r="A589" s="23"/>
      <c r="B589" s="23"/>
      <c r="C589" s="23"/>
      <c r="D589" s="23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>
      <c r="A590" s="23"/>
      <c r="B590" s="23"/>
      <c r="C590" s="23"/>
      <c r="D590" s="23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>
      <c r="A591" s="23"/>
      <c r="B591" s="23"/>
      <c r="C591" s="23"/>
      <c r="D591" s="23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>
      <c r="A592" s="23"/>
      <c r="B592" s="23"/>
      <c r="C592" s="23"/>
      <c r="D592" s="23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>
      <c r="A593" s="23"/>
      <c r="B593" s="23"/>
      <c r="C593" s="23"/>
      <c r="D593" s="23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>
      <c r="A594" s="23"/>
      <c r="B594" s="23"/>
      <c r="C594" s="23"/>
      <c r="D594" s="23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>
      <c r="A595" s="23"/>
      <c r="B595" s="23"/>
      <c r="C595" s="23"/>
      <c r="D595" s="23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>
      <c r="A596" s="23"/>
      <c r="B596" s="23"/>
      <c r="C596" s="23"/>
      <c r="D596" s="23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>
      <c r="A597" s="23"/>
      <c r="B597" s="23"/>
      <c r="C597" s="23"/>
      <c r="D597" s="23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>
      <c r="A598" s="23"/>
      <c r="B598" s="23"/>
      <c r="C598" s="23"/>
      <c r="D598" s="23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>
      <c r="A599" s="23"/>
      <c r="B599" s="23"/>
      <c r="C599" s="23"/>
      <c r="D599" s="23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>
      <c r="A600" s="23"/>
      <c r="B600" s="23"/>
      <c r="C600" s="23"/>
      <c r="D600" s="23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>
      <c r="A601" s="23"/>
      <c r="B601" s="23"/>
      <c r="C601" s="23"/>
      <c r="D601" s="23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>
      <c r="A602" s="23"/>
      <c r="B602" s="23"/>
      <c r="C602" s="23"/>
      <c r="D602" s="23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>
      <c r="A603" s="23"/>
      <c r="B603" s="23"/>
      <c r="C603" s="23"/>
      <c r="D603" s="23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>
      <c r="A604" s="23"/>
      <c r="B604" s="23"/>
      <c r="C604" s="23"/>
      <c r="D604" s="23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>
      <c r="A605" s="23"/>
      <c r="B605" s="23"/>
      <c r="C605" s="23"/>
      <c r="D605" s="23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>
      <c r="A606" s="23"/>
      <c r="B606" s="23"/>
      <c r="C606" s="23"/>
      <c r="D606" s="23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>
      <c r="A607" s="23"/>
      <c r="B607" s="23"/>
      <c r="C607" s="23"/>
      <c r="D607" s="23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>
      <c r="A608" s="23"/>
      <c r="B608" s="23"/>
      <c r="C608" s="23"/>
      <c r="D608" s="23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>
      <c r="A609" s="23"/>
      <c r="B609" s="23"/>
      <c r="C609" s="23"/>
      <c r="D609" s="23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>
      <c r="A610" s="23"/>
      <c r="B610" s="23"/>
      <c r="C610" s="23"/>
      <c r="D610" s="23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>
      <c r="A611" s="23"/>
      <c r="B611" s="23"/>
      <c r="C611" s="23"/>
      <c r="D611" s="23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>
      <c r="A612" s="23"/>
      <c r="B612" s="23"/>
      <c r="C612" s="23"/>
      <c r="D612" s="23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>
      <c r="A613" s="23"/>
      <c r="B613" s="23"/>
      <c r="C613" s="23"/>
      <c r="D613" s="23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>
      <c r="A614" s="23"/>
      <c r="B614" s="23"/>
      <c r="C614" s="23"/>
      <c r="D614" s="23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>
      <c r="A615" s="23"/>
      <c r="B615" s="23"/>
      <c r="C615" s="23"/>
      <c r="D615" s="23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>
      <c r="A616" s="23"/>
      <c r="B616" s="23"/>
      <c r="C616" s="23"/>
      <c r="D616" s="23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>
      <c r="A617" s="23"/>
      <c r="B617" s="23"/>
      <c r="C617" s="23"/>
      <c r="D617" s="23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>
      <c r="A618" s="23"/>
      <c r="B618" s="23"/>
      <c r="C618" s="23"/>
      <c r="D618" s="23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>
      <c r="A619" s="23"/>
      <c r="B619" s="23"/>
      <c r="C619" s="23"/>
      <c r="D619" s="23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>
      <c r="A620" s="23"/>
      <c r="B620" s="23"/>
      <c r="C620" s="23"/>
      <c r="D620" s="23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>
      <c r="A621" s="23"/>
      <c r="B621" s="23"/>
      <c r="C621" s="23"/>
      <c r="D621" s="23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>
      <c r="A622" s="23"/>
      <c r="B622" s="23"/>
      <c r="C622" s="23"/>
      <c r="D622" s="23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>
      <c r="A623" s="23"/>
      <c r="B623" s="23"/>
      <c r="C623" s="23"/>
      <c r="D623" s="23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>
      <c r="A624" s="23"/>
      <c r="B624" s="23"/>
      <c r="C624" s="23"/>
      <c r="D624" s="23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>
      <c r="A625" s="23"/>
      <c r="B625" s="23"/>
      <c r="C625" s="23"/>
      <c r="D625" s="23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>
      <c r="A626" s="23"/>
      <c r="B626" s="23"/>
      <c r="C626" s="23"/>
      <c r="D626" s="23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>
      <c r="A627" s="23"/>
      <c r="B627" s="23"/>
      <c r="C627" s="23"/>
      <c r="D627" s="23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>
      <c r="A628" s="23"/>
      <c r="B628" s="23"/>
      <c r="C628" s="23"/>
      <c r="D628" s="23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>
      <c r="A629" s="23"/>
      <c r="B629" s="23"/>
      <c r="C629" s="23"/>
      <c r="D629" s="23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>
      <c r="A630" s="23"/>
      <c r="B630" s="23"/>
      <c r="C630" s="23"/>
      <c r="D630" s="23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>
      <c r="A631" s="23"/>
      <c r="B631" s="23"/>
      <c r="C631" s="23"/>
      <c r="D631" s="23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>
      <c r="A632" s="23"/>
      <c r="B632" s="23"/>
      <c r="C632" s="23"/>
      <c r="D632" s="23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>
      <c r="A633" s="23"/>
      <c r="B633" s="23"/>
      <c r="C633" s="23"/>
      <c r="D633" s="23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>
      <c r="A634" s="23"/>
      <c r="B634" s="23"/>
      <c r="C634" s="23"/>
      <c r="D634" s="23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>
      <c r="A635" s="23"/>
      <c r="B635" s="23"/>
      <c r="C635" s="23"/>
      <c r="D635" s="23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>
      <c r="A636" s="23"/>
      <c r="B636" s="23"/>
      <c r="C636" s="23"/>
      <c r="D636" s="23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>
      <c r="A637" s="23"/>
      <c r="B637" s="23"/>
      <c r="C637" s="23"/>
      <c r="D637" s="23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>
      <c r="A638" s="23"/>
      <c r="B638" s="23"/>
      <c r="C638" s="23"/>
      <c r="D638" s="23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>
      <c r="A639" s="23"/>
      <c r="B639" s="23"/>
      <c r="C639" s="23"/>
      <c r="D639" s="23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>
      <c r="A640" s="23"/>
      <c r="B640" s="23"/>
      <c r="C640" s="23"/>
      <c r="D640" s="23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>
      <c r="A641" s="23"/>
      <c r="B641" s="23"/>
      <c r="C641" s="23"/>
      <c r="D641" s="23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>
      <c r="A642" s="23"/>
      <c r="B642" s="23"/>
      <c r="C642" s="23"/>
      <c r="D642" s="23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>
      <c r="A643" s="23"/>
      <c r="B643" s="23"/>
      <c r="C643" s="23"/>
      <c r="D643" s="23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>
      <c r="A644" s="23"/>
      <c r="B644" s="23"/>
      <c r="C644" s="23"/>
      <c r="D644" s="23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>
      <c r="A645" s="23"/>
      <c r="B645" s="23"/>
      <c r="C645" s="23"/>
      <c r="D645" s="23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>
      <c r="A646" s="23"/>
      <c r="B646" s="23"/>
      <c r="C646" s="23"/>
      <c r="D646" s="23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>
      <c r="A647" s="23"/>
      <c r="B647" s="23"/>
      <c r="C647" s="23"/>
      <c r="D647" s="23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>
      <c r="A648" s="23"/>
      <c r="B648" s="23"/>
      <c r="C648" s="23"/>
      <c r="D648" s="23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>
      <c r="A649" s="23"/>
      <c r="B649" s="23"/>
      <c r="C649" s="23"/>
      <c r="D649" s="23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>
      <c r="A650" s="23"/>
      <c r="B650" s="23"/>
      <c r="C650" s="23"/>
      <c r="D650" s="23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>
      <c r="A651" s="23"/>
      <c r="B651" s="23"/>
      <c r="C651" s="23"/>
      <c r="D651" s="23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>
      <c r="A652" s="23"/>
      <c r="B652" s="23"/>
      <c r="C652" s="23"/>
      <c r="D652" s="23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>
      <c r="A653" s="23"/>
      <c r="B653" s="23"/>
      <c r="C653" s="23"/>
      <c r="D653" s="23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>
      <c r="A654" s="23"/>
      <c r="B654" s="23"/>
      <c r="C654" s="23"/>
      <c r="D654" s="23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>
      <c r="A655" s="23"/>
      <c r="B655" s="23"/>
      <c r="C655" s="23"/>
      <c r="D655" s="23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>
      <c r="A656" s="23"/>
      <c r="B656" s="23"/>
      <c r="C656" s="23"/>
      <c r="D656" s="23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>
      <c r="A657" s="23"/>
      <c r="B657" s="23"/>
      <c r="C657" s="23"/>
      <c r="D657" s="23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>
      <c r="A658" s="23"/>
      <c r="B658" s="23"/>
      <c r="C658" s="23"/>
      <c r="D658" s="23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>
      <c r="A659" s="23"/>
      <c r="B659" s="23"/>
      <c r="C659" s="23"/>
      <c r="D659" s="23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>
      <c r="A660" s="23"/>
      <c r="B660" s="23"/>
      <c r="C660" s="23"/>
      <c r="D660" s="23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>
      <c r="A661" s="23"/>
      <c r="B661" s="23"/>
      <c r="C661" s="23"/>
      <c r="D661" s="23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>
      <c r="A662" s="23"/>
      <c r="B662" s="23"/>
      <c r="C662" s="23"/>
      <c r="D662" s="23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>
      <c r="A663" s="23"/>
      <c r="B663" s="23"/>
      <c r="C663" s="23"/>
      <c r="D663" s="23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>
      <c r="A664" s="23"/>
      <c r="B664" s="23"/>
      <c r="C664" s="23"/>
      <c r="D664" s="23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>
      <c r="A665" s="23"/>
      <c r="B665" s="23"/>
      <c r="C665" s="23"/>
      <c r="D665" s="23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>
      <c r="A666" s="23"/>
      <c r="B666" s="23"/>
      <c r="C666" s="23"/>
      <c r="D666" s="23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>
      <c r="A667" s="23"/>
      <c r="B667" s="23"/>
      <c r="C667" s="23"/>
      <c r="D667" s="23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>
      <c r="A668" s="23"/>
      <c r="B668" s="23"/>
      <c r="C668" s="23"/>
      <c r="D668" s="23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>
      <c r="A669" s="23"/>
      <c r="B669" s="23"/>
      <c r="C669" s="23"/>
      <c r="D669" s="23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>
      <c r="A670" s="23"/>
      <c r="B670" s="23"/>
      <c r="C670" s="23"/>
      <c r="D670" s="23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>
      <c r="A671" s="23"/>
      <c r="B671" s="23"/>
      <c r="C671" s="23"/>
      <c r="D671" s="23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>
      <c r="A672" s="23"/>
      <c r="B672" s="23"/>
      <c r="C672" s="23"/>
      <c r="D672" s="23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>
      <c r="A673" s="23"/>
      <c r="B673" s="23"/>
      <c r="C673" s="23"/>
      <c r="D673" s="23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>
      <c r="A674" s="23"/>
      <c r="B674" s="23"/>
      <c r="C674" s="23"/>
      <c r="D674" s="23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>
      <c r="A675" s="23"/>
      <c r="B675" s="23"/>
      <c r="C675" s="23"/>
      <c r="D675" s="23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>
      <c r="A676" s="23"/>
      <c r="B676" s="23"/>
      <c r="C676" s="23"/>
      <c r="D676" s="23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>
      <c r="A677" s="23"/>
      <c r="B677" s="23"/>
      <c r="C677" s="23"/>
      <c r="D677" s="23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>
      <c r="A678" s="23"/>
      <c r="B678" s="23"/>
      <c r="C678" s="23"/>
      <c r="D678" s="23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>
      <c r="A679" s="23"/>
      <c r="B679" s="23"/>
      <c r="C679" s="23"/>
      <c r="D679" s="23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>
      <c r="A680" s="23"/>
      <c r="B680" s="23"/>
      <c r="C680" s="23"/>
      <c r="D680" s="23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>
      <c r="A681" s="23"/>
      <c r="B681" s="23"/>
      <c r="C681" s="23"/>
      <c r="D681" s="23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>
      <c r="A682" s="23"/>
      <c r="B682" s="23"/>
      <c r="C682" s="23"/>
      <c r="D682" s="23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>
      <c r="A683" s="23"/>
      <c r="B683" s="23"/>
      <c r="C683" s="23"/>
      <c r="D683" s="23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>
      <c r="A684" s="23"/>
      <c r="B684" s="23"/>
      <c r="C684" s="23"/>
      <c r="D684" s="23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>
      <c r="A685" s="23"/>
      <c r="B685" s="23"/>
      <c r="C685" s="23"/>
      <c r="D685" s="23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>
      <c r="A686" s="23"/>
      <c r="B686" s="23"/>
      <c r="C686" s="23"/>
      <c r="D686" s="23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>
      <c r="A687" s="23"/>
      <c r="B687" s="23"/>
      <c r="C687" s="23"/>
      <c r="D687" s="23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>
      <c r="A688" s="23"/>
      <c r="B688" s="23"/>
      <c r="C688" s="23"/>
      <c r="D688" s="23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>
      <c r="A689" s="23"/>
      <c r="B689" s="23"/>
      <c r="C689" s="23"/>
      <c r="D689" s="23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>
      <c r="A690" s="23"/>
      <c r="B690" s="23"/>
      <c r="C690" s="23"/>
      <c r="D690" s="23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>
      <c r="A691" s="23"/>
      <c r="B691" s="23"/>
      <c r="C691" s="23"/>
      <c r="D691" s="23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>
      <c r="A692" s="23"/>
      <c r="B692" s="23"/>
      <c r="C692" s="23"/>
      <c r="D692" s="23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>
      <c r="A693" s="23"/>
      <c r="B693" s="23"/>
      <c r="C693" s="23"/>
      <c r="D693" s="23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>
      <c r="A694" s="23"/>
      <c r="B694" s="23"/>
      <c r="C694" s="23"/>
      <c r="D694" s="23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>
      <c r="A695" s="23"/>
      <c r="B695" s="23"/>
      <c r="C695" s="23"/>
      <c r="D695" s="23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>
      <c r="A696" s="23"/>
      <c r="B696" s="23"/>
      <c r="C696" s="23"/>
      <c r="D696" s="23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>
      <c r="A697" s="23"/>
      <c r="B697" s="23"/>
      <c r="C697" s="23"/>
      <c r="D697" s="23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>
      <c r="A698" s="23"/>
      <c r="B698" s="23"/>
      <c r="C698" s="23"/>
      <c r="D698" s="23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>
      <c r="A699" s="23"/>
      <c r="B699" s="23"/>
      <c r="C699" s="23"/>
      <c r="D699" s="23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>
      <c r="A700" s="23"/>
      <c r="B700" s="23"/>
      <c r="C700" s="23"/>
      <c r="D700" s="23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>
      <c r="A701" s="23"/>
      <c r="B701" s="23"/>
      <c r="C701" s="23"/>
      <c r="D701" s="23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>
      <c r="A702" s="23"/>
      <c r="B702" s="23"/>
      <c r="C702" s="23"/>
      <c r="D702" s="23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>
      <c r="A703" s="23"/>
      <c r="B703" s="23"/>
      <c r="C703" s="23"/>
      <c r="D703" s="23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>
      <c r="A704" s="23"/>
      <c r="B704" s="23"/>
      <c r="C704" s="23"/>
      <c r="D704" s="23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>
      <c r="A705" s="23"/>
      <c r="B705" s="23"/>
      <c r="C705" s="23"/>
      <c r="D705" s="23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>
      <c r="A706" s="23"/>
      <c r="B706" s="23"/>
      <c r="C706" s="23"/>
      <c r="D706" s="23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>
      <c r="A707" s="23"/>
      <c r="B707" s="23"/>
      <c r="C707" s="23"/>
      <c r="D707" s="23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>
      <c r="A708" s="23"/>
      <c r="B708" s="23"/>
      <c r="C708" s="23"/>
      <c r="D708" s="23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>
      <c r="A709" s="23"/>
      <c r="B709" s="23"/>
      <c r="C709" s="23"/>
      <c r="D709" s="23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>
      <c r="A710" s="23"/>
      <c r="B710" s="23"/>
      <c r="C710" s="23"/>
      <c r="D710" s="23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>
      <c r="A711" s="23"/>
      <c r="B711" s="23"/>
      <c r="C711" s="23"/>
      <c r="D711" s="23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>
      <c r="A712" s="23"/>
      <c r="B712" s="23"/>
      <c r="C712" s="23"/>
      <c r="D712" s="23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>
      <c r="A713" s="23"/>
      <c r="B713" s="23"/>
      <c r="C713" s="23"/>
      <c r="D713" s="23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>
      <c r="A714" s="23"/>
      <c r="B714" s="23"/>
      <c r="C714" s="23"/>
      <c r="D714" s="23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>
      <c r="A715" s="23"/>
      <c r="B715" s="23"/>
      <c r="C715" s="23"/>
      <c r="D715" s="23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>
      <c r="A716" s="23"/>
      <c r="B716" s="23"/>
      <c r="C716" s="23"/>
      <c r="D716" s="23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>
      <c r="A717" s="23"/>
      <c r="B717" s="23"/>
      <c r="C717" s="23"/>
      <c r="D717" s="23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>
      <c r="A718" s="23"/>
      <c r="B718" s="23"/>
      <c r="C718" s="23"/>
      <c r="D718" s="23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>
      <c r="A719" s="23"/>
      <c r="B719" s="23"/>
      <c r="C719" s="23"/>
      <c r="D719" s="23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>
      <c r="A720" s="23"/>
      <c r="B720" s="23"/>
      <c r="C720" s="23"/>
      <c r="D720" s="23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>
      <c r="A721" s="23"/>
      <c r="B721" s="23"/>
      <c r="C721" s="23"/>
      <c r="D721" s="23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>
      <c r="A722" s="23"/>
      <c r="B722" s="23"/>
      <c r="C722" s="23"/>
      <c r="D722" s="23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>
      <c r="A723" s="23"/>
      <c r="B723" s="23"/>
      <c r="C723" s="23"/>
      <c r="D723" s="23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>
      <c r="A724" s="23"/>
      <c r="B724" s="23"/>
      <c r="C724" s="23"/>
      <c r="D724" s="23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>
      <c r="A725" s="23"/>
      <c r="B725" s="23"/>
      <c r="C725" s="23"/>
      <c r="D725" s="23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>
      <c r="A726" s="23"/>
      <c r="B726" s="23"/>
      <c r="C726" s="23"/>
      <c r="D726" s="23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>
      <c r="A727" s="23"/>
      <c r="B727" s="23"/>
      <c r="C727" s="23"/>
      <c r="D727" s="23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>
      <c r="A728" s="23"/>
      <c r="B728" s="23"/>
      <c r="C728" s="23"/>
      <c r="D728" s="23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>
      <c r="A729" s="23"/>
      <c r="B729" s="23"/>
      <c r="C729" s="23"/>
      <c r="D729" s="23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>
      <c r="A730" s="23"/>
      <c r="B730" s="23"/>
      <c r="C730" s="23"/>
      <c r="D730" s="23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>
      <c r="A731" s="23"/>
      <c r="B731" s="23"/>
      <c r="C731" s="23"/>
      <c r="D731" s="23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>
      <c r="A732" s="23"/>
      <c r="B732" s="23"/>
      <c r="C732" s="23"/>
      <c r="D732" s="23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>
      <c r="A733" s="23"/>
      <c r="B733" s="23"/>
      <c r="C733" s="23"/>
      <c r="D733" s="23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>
      <c r="A734" s="23"/>
      <c r="B734" s="23"/>
      <c r="C734" s="23"/>
      <c r="D734" s="23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>
      <c r="A735" s="23"/>
      <c r="B735" s="23"/>
      <c r="C735" s="23"/>
      <c r="D735" s="23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>
      <c r="A736" s="23"/>
      <c r="B736" s="23"/>
      <c r="C736" s="23"/>
      <c r="D736" s="23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>
      <c r="A737" s="23"/>
      <c r="B737" s="23"/>
      <c r="C737" s="23"/>
      <c r="D737" s="23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>
      <c r="A738" s="23"/>
      <c r="B738" s="23"/>
      <c r="C738" s="23"/>
      <c r="D738" s="23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>
      <c r="A739" s="23"/>
      <c r="B739" s="23"/>
      <c r="C739" s="23"/>
      <c r="D739" s="23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>
      <c r="A740" s="23"/>
      <c r="B740" s="23"/>
      <c r="C740" s="23"/>
      <c r="D740" s="23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>
      <c r="A741" s="23"/>
      <c r="B741" s="23"/>
      <c r="C741" s="23"/>
      <c r="D741" s="23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>
      <c r="A742" s="23"/>
      <c r="B742" s="23"/>
      <c r="C742" s="23"/>
      <c r="D742" s="23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>
      <c r="A743" s="23"/>
      <c r="B743" s="23"/>
      <c r="C743" s="23"/>
      <c r="D743" s="23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>
      <c r="A744" s="23"/>
      <c r="B744" s="23"/>
      <c r="C744" s="23"/>
      <c r="D744" s="23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>
      <c r="A745" s="23"/>
      <c r="B745" s="23"/>
      <c r="C745" s="23"/>
      <c r="D745" s="23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>
      <c r="A746" s="23"/>
      <c r="B746" s="23"/>
      <c r="C746" s="23"/>
      <c r="D746" s="23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>
      <c r="A747" s="23"/>
      <c r="B747" s="23"/>
      <c r="C747" s="23"/>
      <c r="D747" s="23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>
      <c r="A748" s="23"/>
      <c r="B748" s="23"/>
      <c r="C748" s="23"/>
      <c r="D748" s="23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>
      <c r="A749" s="23"/>
      <c r="B749" s="23"/>
      <c r="C749" s="23"/>
      <c r="D749" s="23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>
      <c r="A750" s="23"/>
      <c r="B750" s="23"/>
      <c r="C750" s="23"/>
      <c r="D750" s="23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>
      <c r="A751" s="23"/>
      <c r="B751" s="23"/>
      <c r="C751" s="23"/>
      <c r="D751" s="23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>
      <c r="A752" s="23"/>
      <c r="B752" s="23"/>
      <c r="C752" s="23"/>
      <c r="D752" s="23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>
      <c r="A753" s="23"/>
      <c r="B753" s="23"/>
      <c r="C753" s="23"/>
      <c r="D753" s="23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>
      <c r="A754" s="23"/>
      <c r="B754" s="23"/>
      <c r="C754" s="23"/>
      <c r="D754" s="23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>
      <c r="A755" s="23"/>
      <c r="B755" s="23"/>
      <c r="C755" s="23"/>
      <c r="D755" s="23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>
      <c r="A756" s="23"/>
      <c r="B756" s="23"/>
      <c r="C756" s="23"/>
      <c r="D756" s="23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>
      <c r="A757" s="23"/>
      <c r="B757" s="23"/>
      <c r="C757" s="23"/>
      <c r="D757" s="23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>
      <c r="A758" s="23"/>
      <c r="B758" s="23"/>
      <c r="C758" s="23"/>
      <c r="D758" s="23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>
      <c r="A759" s="23"/>
      <c r="B759" s="23"/>
      <c r="C759" s="23"/>
      <c r="D759" s="23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>
      <c r="A760" s="23"/>
      <c r="B760" s="23"/>
      <c r="C760" s="23"/>
      <c r="D760" s="23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>
      <c r="A761" s="23"/>
      <c r="B761" s="23"/>
      <c r="C761" s="23"/>
      <c r="D761" s="23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>
      <c r="A762" s="23"/>
      <c r="B762" s="23"/>
      <c r="C762" s="23"/>
      <c r="D762" s="23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>
      <c r="A763" s="23"/>
      <c r="B763" s="23"/>
      <c r="C763" s="23"/>
      <c r="D763" s="23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>
      <c r="A764" s="23"/>
      <c r="B764" s="23"/>
      <c r="C764" s="23"/>
      <c r="D764" s="23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>
      <c r="A765" s="23"/>
      <c r="B765" s="23"/>
      <c r="C765" s="23"/>
      <c r="D765" s="23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>
      <c r="A766" s="23"/>
      <c r="B766" s="23"/>
      <c r="C766" s="23"/>
      <c r="D766" s="23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>
      <c r="A767" s="23"/>
      <c r="B767" s="23"/>
      <c r="C767" s="23"/>
      <c r="D767" s="23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>
      <c r="A768" s="23"/>
      <c r="B768" s="23"/>
      <c r="C768" s="23"/>
      <c r="D768" s="23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>
      <c r="A769" s="23"/>
      <c r="B769" s="23"/>
      <c r="C769" s="23"/>
      <c r="D769" s="23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>
      <c r="A770" s="23"/>
      <c r="B770" s="23"/>
      <c r="C770" s="23"/>
      <c r="D770" s="23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>
      <c r="A771" s="23"/>
      <c r="B771" s="23"/>
      <c r="C771" s="23"/>
      <c r="D771" s="23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>
      <c r="A772" s="23"/>
      <c r="B772" s="23"/>
      <c r="C772" s="23"/>
      <c r="D772" s="23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>
      <c r="A773" s="23"/>
      <c r="B773" s="23"/>
      <c r="C773" s="23"/>
      <c r="D773" s="23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>
      <c r="A774" s="23"/>
      <c r="B774" s="23"/>
      <c r="C774" s="23"/>
      <c r="D774" s="23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>
      <c r="A775" s="23"/>
      <c r="B775" s="23"/>
      <c r="C775" s="23"/>
      <c r="D775" s="23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>
      <c r="A776" s="23"/>
      <c r="B776" s="23"/>
      <c r="C776" s="23"/>
      <c r="D776" s="23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>
      <c r="A777" s="23"/>
      <c r="B777" s="23"/>
      <c r="C777" s="23"/>
      <c r="D777" s="23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>
      <c r="A778" s="23"/>
      <c r="B778" s="23"/>
      <c r="C778" s="23"/>
      <c r="D778" s="23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>
      <c r="A779" s="23"/>
      <c r="B779" s="23"/>
      <c r="C779" s="23"/>
      <c r="D779" s="23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>
      <c r="A780" s="23"/>
      <c r="B780" s="23"/>
      <c r="C780" s="23"/>
      <c r="D780" s="23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>
      <c r="A781" s="23"/>
      <c r="B781" s="23"/>
      <c r="C781" s="23"/>
      <c r="D781" s="23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>
      <c r="A782" s="23"/>
      <c r="B782" s="23"/>
      <c r="C782" s="23"/>
      <c r="D782" s="23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>
      <c r="A783" s="23"/>
      <c r="B783" s="23"/>
      <c r="C783" s="23"/>
      <c r="D783" s="23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>
      <c r="A784" s="23"/>
      <c r="B784" s="23"/>
      <c r="C784" s="23"/>
      <c r="D784" s="23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>
      <c r="A785" s="23"/>
      <c r="B785" s="23"/>
      <c r="C785" s="23"/>
      <c r="D785" s="23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>
      <c r="A786" s="23"/>
      <c r="B786" s="23"/>
      <c r="C786" s="23"/>
      <c r="D786" s="23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>
      <c r="A787" s="23"/>
      <c r="B787" s="23"/>
      <c r="C787" s="23"/>
      <c r="D787" s="23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>
      <c r="A788" s="23"/>
      <c r="B788" s="23"/>
      <c r="C788" s="23"/>
      <c r="D788" s="23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>
      <c r="A789" s="23"/>
      <c r="B789" s="23"/>
      <c r="C789" s="23"/>
      <c r="D789" s="23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>
      <c r="A790" s="23"/>
      <c r="B790" s="23"/>
      <c r="C790" s="23"/>
      <c r="D790" s="23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>
      <c r="A791" s="23"/>
      <c r="B791" s="23"/>
      <c r="C791" s="23"/>
      <c r="D791" s="23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>
      <c r="A792" s="23"/>
      <c r="B792" s="23"/>
      <c r="C792" s="23"/>
      <c r="D792" s="23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>
      <c r="A793" s="23"/>
      <c r="B793" s="23"/>
      <c r="C793" s="23"/>
      <c r="D793" s="23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>
      <c r="A794" s="23"/>
      <c r="B794" s="23"/>
      <c r="C794" s="23"/>
      <c r="D794" s="23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>
      <c r="A795" s="23"/>
      <c r="B795" s="23"/>
      <c r="C795" s="23"/>
      <c r="D795" s="23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>
      <c r="A796" s="23"/>
      <c r="B796" s="23"/>
      <c r="C796" s="23"/>
      <c r="D796" s="23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>
      <c r="A797" s="23"/>
      <c r="B797" s="23"/>
      <c r="C797" s="23"/>
      <c r="D797" s="23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>
      <c r="A798" s="23"/>
      <c r="B798" s="23"/>
      <c r="C798" s="23"/>
      <c r="D798" s="23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>
      <c r="A799" s="23"/>
      <c r="B799" s="23"/>
      <c r="C799" s="23"/>
      <c r="D799" s="23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>
      <c r="A800" s="23"/>
      <c r="B800" s="23"/>
      <c r="C800" s="23"/>
      <c r="D800" s="23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>
      <c r="A801" s="23"/>
      <c r="B801" s="23"/>
      <c r="C801" s="23"/>
      <c r="D801" s="23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>
      <c r="A802" s="23"/>
      <c r="B802" s="23"/>
      <c r="C802" s="23"/>
      <c r="D802" s="23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>
      <c r="A803" s="23"/>
      <c r="B803" s="23"/>
      <c r="C803" s="23"/>
      <c r="D803" s="23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>
      <c r="A804" s="23"/>
      <c r="B804" s="23"/>
      <c r="C804" s="23"/>
      <c r="D804" s="23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>
      <c r="A805" s="23"/>
      <c r="B805" s="23"/>
      <c r="C805" s="23"/>
      <c r="D805" s="23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>
      <c r="A806" s="23"/>
      <c r="B806" s="23"/>
      <c r="C806" s="23"/>
      <c r="D806" s="23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>
      <c r="A807" s="23"/>
      <c r="B807" s="23"/>
      <c r="C807" s="23"/>
      <c r="D807" s="23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>
      <c r="A808" s="23"/>
      <c r="B808" s="23"/>
      <c r="C808" s="23"/>
      <c r="D808" s="23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>
      <c r="A809" s="23"/>
      <c r="B809" s="23"/>
      <c r="C809" s="23"/>
      <c r="D809" s="23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>
      <c r="A810" s="23"/>
      <c r="B810" s="23"/>
      <c r="C810" s="23"/>
      <c r="D810" s="23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>
      <c r="A811" s="23"/>
      <c r="B811" s="23"/>
      <c r="C811" s="23"/>
      <c r="D811" s="23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>
      <c r="A812" s="23"/>
      <c r="B812" s="23"/>
      <c r="C812" s="23"/>
      <c r="D812" s="23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>
      <c r="A813" s="23"/>
      <c r="B813" s="23"/>
      <c r="C813" s="23"/>
      <c r="D813" s="23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>
      <c r="A814" s="23"/>
      <c r="B814" s="23"/>
      <c r="C814" s="23"/>
      <c r="D814" s="23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>
      <c r="A815" s="23"/>
      <c r="B815" s="23"/>
      <c r="C815" s="23"/>
      <c r="D815" s="23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>
      <c r="A816" s="23"/>
      <c r="B816" s="23"/>
      <c r="C816" s="23"/>
      <c r="D816" s="23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>
      <c r="A817" s="23"/>
      <c r="B817" s="23"/>
      <c r="C817" s="23"/>
      <c r="D817" s="23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>
      <c r="A818" s="23"/>
      <c r="B818" s="23"/>
      <c r="C818" s="23"/>
      <c r="D818" s="23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>
      <c r="A819" s="23"/>
      <c r="B819" s="23"/>
      <c r="C819" s="23"/>
      <c r="D819" s="23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>
      <c r="A820" s="23"/>
      <c r="B820" s="23"/>
      <c r="C820" s="23"/>
      <c r="D820" s="23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>
      <c r="A821" s="23"/>
      <c r="B821" s="23"/>
      <c r="C821" s="23"/>
      <c r="D821" s="23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>
      <c r="A822" s="23"/>
      <c r="B822" s="23"/>
      <c r="C822" s="23"/>
      <c r="D822" s="23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>
      <c r="A823" s="23"/>
      <c r="B823" s="23"/>
      <c r="C823" s="23"/>
      <c r="D823" s="23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>
      <c r="A824" s="23"/>
      <c r="B824" s="23"/>
      <c r="C824" s="23"/>
      <c r="D824" s="23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>
      <c r="A825" s="23"/>
      <c r="B825" s="23"/>
      <c r="C825" s="23"/>
      <c r="D825" s="23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>
      <c r="A826" s="23"/>
      <c r="B826" s="23"/>
      <c r="C826" s="23"/>
      <c r="D826" s="23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>
      <c r="A827" s="23"/>
      <c r="B827" s="23"/>
      <c r="C827" s="23"/>
      <c r="D827" s="23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>
      <c r="A828" s="23"/>
      <c r="B828" s="23"/>
      <c r="C828" s="23"/>
      <c r="D828" s="23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>
      <c r="A829" s="23"/>
      <c r="B829" s="23"/>
      <c r="C829" s="23"/>
      <c r="D829" s="23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>
      <c r="A830" s="23"/>
      <c r="B830" s="23"/>
      <c r="C830" s="23"/>
      <c r="D830" s="23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>
      <c r="A831" s="23"/>
      <c r="B831" s="23"/>
      <c r="C831" s="23"/>
      <c r="D831" s="23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>
      <c r="A832" s="23"/>
      <c r="B832" s="23"/>
      <c r="C832" s="23"/>
      <c r="D832" s="23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>
      <c r="A833" s="23"/>
      <c r="B833" s="23"/>
      <c r="C833" s="23"/>
      <c r="D833" s="23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>
      <c r="A834" s="23"/>
      <c r="B834" s="23"/>
      <c r="C834" s="23"/>
      <c r="D834" s="23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>
      <c r="A835" s="23"/>
      <c r="B835" s="23"/>
      <c r="C835" s="23"/>
      <c r="D835" s="23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>
      <c r="A836" s="23"/>
      <c r="B836" s="23"/>
      <c r="C836" s="23"/>
      <c r="D836" s="23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>
      <c r="A837" s="23"/>
      <c r="B837" s="23"/>
      <c r="C837" s="23"/>
      <c r="D837" s="23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>
      <c r="A838" s="23"/>
      <c r="B838" s="23"/>
      <c r="C838" s="23"/>
      <c r="D838" s="23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>
      <c r="A839" s="23"/>
      <c r="B839" s="23"/>
      <c r="C839" s="23"/>
      <c r="D839" s="23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>
      <c r="A840" s="23"/>
      <c r="B840" s="23"/>
      <c r="C840" s="23"/>
      <c r="D840" s="23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>
      <c r="A841" s="23"/>
      <c r="B841" s="23"/>
      <c r="C841" s="23"/>
      <c r="D841" s="23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>
      <c r="A842" s="23"/>
      <c r="B842" s="23"/>
      <c r="C842" s="23"/>
      <c r="D842" s="23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>
      <c r="A843" s="23"/>
      <c r="B843" s="23"/>
      <c r="C843" s="23"/>
      <c r="D843" s="23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>
      <c r="A844" s="23"/>
      <c r="B844" s="23"/>
      <c r="C844" s="23"/>
      <c r="D844" s="23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>
      <c r="A845" s="23"/>
      <c r="B845" s="23"/>
      <c r="C845" s="23"/>
      <c r="D845" s="23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>
      <c r="A846" s="23"/>
      <c r="B846" s="23"/>
      <c r="C846" s="23"/>
      <c r="D846" s="23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>
      <c r="A847" s="23"/>
      <c r="B847" s="23"/>
      <c r="C847" s="23"/>
      <c r="D847" s="23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>
      <c r="A848" s="23"/>
      <c r="B848" s="23"/>
      <c r="C848" s="23"/>
      <c r="D848" s="23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>
      <c r="A849" s="23"/>
      <c r="B849" s="23"/>
      <c r="C849" s="23"/>
      <c r="D849" s="23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>
      <c r="A850" s="23"/>
      <c r="B850" s="23"/>
      <c r="C850" s="23"/>
      <c r="D850" s="23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>
      <c r="A851" s="23"/>
      <c r="B851" s="23"/>
      <c r="C851" s="23"/>
      <c r="D851" s="23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>
      <c r="A852" s="23"/>
      <c r="B852" s="23"/>
      <c r="C852" s="23"/>
      <c r="D852" s="23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>
      <c r="A853" s="23"/>
      <c r="B853" s="23"/>
      <c r="C853" s="23"/>
      <c r="D853" s="23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>
      <c r="A854" s="23"/>
      <c r="B854" s="23"/>
      <c r="C854" s="23"/>
      <c r="D854" s="23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>
      <c r="A855" s="23"/>
      <c r="B855" s="23"/>
      <c r="C855" s="23"/>
      <c r="D855" s="23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>
      <c r="A856" s="23"/>
      <c r="B856" s="23"/>
      <c r="C856" s="23"/>
      <c r="D856" s="23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>
      <c r="A857" s="23"/>
      <c r="B857" s="23"/>
      <c r="C857" s="23"/>
      <c r="D857" s="23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>
      <c r="A858" s="23"/>
      <c r="B858" s="23"/>
      <c r="C858" s="23"/>
      <c r="D858" s="23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>
      <c r="A859" s="23"/>
      <c r="B859" s="23"/>
      <c r="C859" s="23"/>
      <c r="D859" s="23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>
      <c r="A860" s="23"/>
      <c r="B860" s="23"/>
      <c r="C860" s="23"/>
      <c r="D860" s="23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>
      <c r="A861" s="23"/>
      <c r="B861" s="23"/>
      <c r="C861" s="23"/>
      <c r="D861" s="23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>
      <c r="A862" s="23"/>
      <c r="B862" s="23"/>
      <c r="C862" s="23"/>
      <c r="D862" s="23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>
      <c r="A863" s="23"/>
      <c r="B863" s="23"/>
      <c r="C863" s="23"/>
      <c r="D863" s="23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>
      <c r="A864" s="23"/>
      <c r="B864" s="23"/>
      <c r="C864" s="23"/>
      <c r="D864" s="23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>
      <c r="A865" s="23"/>
      <c r="B865" s="23"/>
      <c r="C865" s="23"/>
      <c r="D865" s="23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>
      <c r="A866" s="23"/>
      <c r="B866" s="23"/>
      <c r="C866" s="23"/>
      <c r="D866" s="23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>
      <c r="A867" s="23"/>
      <c r="B867" s="23"/>
      <c r="C867" s="23"/>
      <c r="D867" s="23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>
      <c r="A868" s="23"/>
      <c r="B868" s="23"/>
      <c r="C868" s="23"/>
      <c r="D868" s="23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>
      <c r="A869" s="23"/>
      <c r="B869" s="23"/>
      <c r="C869" s="23"/>
      <c r="D869" s="23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>
      <c r="A870" s="23"/>
      <c r="B870" s="23"/>
      <c r="C870" s="23"/>
      <c r="D870" s="23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>
      <c r="A871" s="23"/>
      <c r="B871" s="23"/>
      <c r="C871" s="23"/>
      <c r="D871" s="23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>
      <c r="A872" s="23"/>
      <c r="B872" s="23"/>
      <c r="C872" s="23"/>
      <c r="D872" s="23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>
      <c r="A873" s="23"/>
      <c r="B873" s="23"/>
      <c r="C873" s="23"/>
      <c r="D873" s="23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>
      <c r="A874" s="23"/>
      <c r="B874" s="23"/>
      <c r="C874" s="23"/>
      <c r="D874" s="23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>
      <c r="A875" s="23"/>
      <c r="B875" s="23"/>
      <c r="C875" s="23"/>
      <c r="D875" s="23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>
      <c r="A876" s="23"/>
      <c r="B876" s="23"/>
      <c r="C876" s="23"/>
      <c r="D876" s="23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>
      <c r="A877" s="23"/>
      <c r="B877" s="23"/>
      <c r="C877" s="23"/>
      <c r="D877" s="23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>
      <c r="A878" s="23"/>
      <c r="B878" s="23"/>
      <c r="C878" s="23"/>
      <c r="D878" s="23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>
      <c r="A879" s="23"/>
      <c r="B879" s="23"/>
      <c r="C879" s="23"/>
      <c r="D879" s="23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>
      <c r="A880" s="23"/>
      <c r="B880" s="23"/>
      <c r="C880" s="23"/>
      <c r="D880" s="23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>
      <c r="A881" s="23"/>
      <c r="B881" s="23"/>
      <c r="C881" s="23"/>
      <c r="D881" s="23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>
      <c r="A882" s="23"/>
      <c r="B882" s="23"/>
      <c r="C882" s="23"/>
      <c r="D882" s="23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>
      <c r="A883" s="23"/>
      <c r="B883" s="23"/>
      <c r="C883" s="23"/>
      <c r="D883" s="23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>
      <c r="A884" s="23"/>
      <c r="B884" s="23"/>
      <c r="C884" s="23"/>
      <c r="D884" s="23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>
      <c r="A885" s="23"/>
      <c r="B885" s="23"/>
      <c r="C885" s="23"/>
      <c r="D885" s="23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>
      <c r="A886" s="23"/>
      <c r="B886" s="23"/>
      <c r="C886" s="23"/>
      <c r="D886" s="23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>
      <c r="A887" s="23"/>
      <c r="B887" s="23"/>
      <c r="C887" s="23"/>
      <c r="D887" s="23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>
      <c r="A888" s="23"/>
      <c r="B888" s="23"/>
      <c r="C888" s="23"/>
      <c r="D888" s="23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>
      <c r="A889" s="23"/>
      <c r="B889" s="23"/>
      <c r="C889" s="23"/>
      <c r="D889" s="23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>
      <c r="A890" s="23"/>
      <c r="B890" s="23"/>
      <c r="C890" s="23"/>
      <c r="D890" s="23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>
      <c r="A891" s="23"/>
      <c r="B891" s="23"/>
      <c r="C891" s="23"/>
      <c r="D891" s="23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>
      <c r="A892" s="23"/>
      <c r="B892" s="23"/>
      <c r="C892" s="23"/>
      <c r="D892" s="23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>
      <c r="A893" s="23"/>
      <c r="B893" s="23"/>
      <c r="C893" s="23"/>
      <c r="D893" s="23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>
      <c r="A894" s="23"/>
      <c r="B894" s="23"/>
      <c r="C894" s="23"/>
      <c r="D894" s="23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>
      <c r="A895" s="23"/>
      <c r="B895" s="23"/>
      <c r="C895" s="23"/>
      <c r="D895" s="23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>
      <c r="A896" s="23"/>
      <c r="B896" s="23"/>
      <c r="C896" s="23"/>
      <c r="D896" s="23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>
      <c r="A897" s="23"/>
      <c r="B897" s="23"/>
      <c r="C897" s="23"/>
      <c r="D897" s="23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>
      <c r="A898" s="23"/>
      <c r="B898" s="23"/>
      <c r="C898" s="23"/>
      <c r="D898" s="23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>
      <c r="A899" s="23"/>
      <c r="B899" s="23"/>
      <c r="C899" s="23"/>
      <c r="D899" s="23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>
      <c r="A900" s="23"/>
      <c r="B900" s="23"/>
      <c r="C900" s="23"/>
      <c r="D900" s="23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>
      <c r="A901" s="23"/>
      <c r="B901" s="23"/>
      <c r="C901" s="23"/>
      <c r="D901" s="23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>
      <c r="A902" s="23"/>
      <c r="B902" s="23"/>
      <c r="C902" s="23"/>
      <c r="D902" s="23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>
      <c r="A903" s="23"/>
      <c r="B903" s="23"/>
      <c r="C903" s="23"/>
      <c r="D903" s="23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>
      <c r="A904" s="23"/>
      <c r="B904" s="23"/>
      <c r="C904" s="23"/>
      <c r="D904" s="23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>
      <c r="A905" s="23"/>
      <c r="B905" s="23"/>
      <c r="C905" s="23"/>
      <c r="D905" s="23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>
      <c r="A906" s="23"/>
      <c r="B906" s="23"/>
      <c r="C906" s="23"/>
      <c r="D906" s="23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>
      <c r="A907" s="23"/>
      <c r="B907" s="23"/>
      <c r="C907" s="23"/>
      <c r="D907" s="23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>
      <c r="A908" s="23"/>
      <c r="B908" s="23"/>
      <c r="C908" s="23"/>
      <c r="D908" s="23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>
      <c r="A909" s="23"/>
      <c r="B909" s="23"/>
      <c r="C909" s="23"/>
      <c r="D909" s="23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>
      <c r="A910" s="23"/>
      <c r="B910" s="23"/>
      <c r="C910" s="23"/>
      <c r="D910" s="23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>
      <c r="A911" s="23"/>
      <c r="B911" s="23"/>
      <c r="C911" s="23"/>
      <c r="D911" s="23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>
      <c r="A912" s="23"/>
      <c r="B912" s="23"/>
      <c r="C912" s="23"/>
      <c r="D912" s="23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>
      <c r="A913" s="23"/>
      <c r="B913" s="23"/>
      <c r="C913" s="23"/>
      <c r="D913" s="23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>
      <c r="A914" s="23"/>
      <c r="B914" s="23"/>
      <c r="C914" s="23"/>
      <c r="D914" s="23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>
      <c r="A915" s="23"/>
      <c r="B915" s="23"/>
      <c r="C915" s="23"/>
      <c r="D915" s="23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>
      <c r="A916" s="23"/>
      <c r="B916" s="23"/>
      <c r="C916" s="23"/>
      <c r="D916" s="23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>
      <c r="A917" s="23"/>
      <c r="B917" s="23"/>
      <c r="C917" s="23"/>
      <c r="D917" s="23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>
      <c r="A918" s="23"/>
      <c r="B918" s="23"/>
      <c r="C918" s="23"/>
      <c r="D918" s="23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>
      <c r="A919" s="23"/>
      <c r="B919" s="23"/>
      <c r="C919" s="23"/>
      <c r="D919" s="23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>
      <c r="A920" s="23"/>
      <c r="B920" s="23"/>
      <c r="C920" s="23"/>
      <c r="D920" s="23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>
      <c r="A921" s="23"/>
      <c r="B921" s="23"/>
      <c r="C921" s="23"/>
      <c r="D921" s="23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>
      <c r="A922" s="23"/>
      <c r="B922" s="23"/>
      <c r="C922" s="23"/>
      <c r="D922" s="23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>
      <c r="A923" s="23"/>
      <c r="B923" s="23"/>
      <c r="C923" s="23"/>
      <c r="D923" s="23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>
      <c r="A924" s="23"/>
      <c r="B924" s="23"/>
      <c r="C924" s="23"/>
      <c r="D924" s="23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>
      <c r="A925" s="23"/>
      <c r="B925" s="23"/>
      <c r="C925" s="23"/>
      <c r="D925" s="23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>
      <c r="A926" s="23"/>
      <c r="B926" s="23"/>
      <c r="C926" s="23"/>
      <c r="D926" s="23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>
      <c r="A927" s="23"/>
      <c r="B927" s="23"/>
      <c r="C927" s="23"/>
      <c r="D927" s="23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>
      <c r="A928" s="23"/>
      <c r="B928" s="23"/>
      <c r="C928" s="23"/>
      <c r="D928" s="23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>
      <c r="A929" s="23"/>
      <c r="B929" s="23"/>
      <c r="C929" s="23"/>
      <c r="D929" s="23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>
      <c r="A930" s="23"/>
      <c r="B930" s="23"/>
      <c r="C930" s="23"/>
      <c r="D930" s="23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>
      <c r="A931" s="23"/>
      <c r="B931" s="23"/>
      <c r="C931" s="23"/>
      <c r="D931" s="23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>
      <c r="A932" s="23"/>
      <c r="B932" s="23"/>
      <c r="C932" s="23"/>
      <c r="D932" s="23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>
      <c r="A933" s="23"/>
      <c r="B933" s="23"/>
      <c r="C933" s="23"/>
      <c r="D933" s="23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>
      <c r="A934" s="23"/>
      <c r="B934" s="23"/>
      <c r="C934" s="23"/>
      <c r="D934" s="23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>
      <c r="A935" s="23"/>
      <c r="B935" s="23"/>
      <c r="C935" s="23"/>
      <c r="D935" s="23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>
      <c r="A936" s="23"/>
      <c r="B936" s="23"/>
      <c r="C936" s="23"/>
      <c r="D936" s="23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>
      <c r="A937" s="23"/>
      <c r="B937" s="23"/>
      <c r="C937" s="23"/>
      <c r="D937" s="23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>
      <c r="A938" s="23"/>
      <c r="B938" s="23"/>
      <c r="C938" s="23"/>
      <c r="D938" s="23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>
      <c r="A939" s="23"/>
      <c r="B939" s="23"/>
      <c r="C939" s="23"/>
      <c r="D939" s="23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>
      <c r="A940" s="23"/>
      <c r="B940" s="23"/>
      <c r="C940" s="23"/>
      <c r="D940" s="23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>
      <c r="A941" s="23"/>
      <c r="B941" s="23"/>
      <c r="C941" s="23"/>
      <c r="D941" s="23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>
      <c r="A942" s="23"/>
      <c r="B942" s="23"/>
      <c r="C942" s="23"/>
      <c r="D942" s="23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>
      <c r="A943" s="23"/>
      <c r="B943" s="23"/>
      <c r="C943" s="23"/>
      <c r="D943" s="23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>
      <c r="A944" s="23"/>
      <c r="B944" s="23"/>
      <c r="C944" s="23"/>
      <c r="D944" s="23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>
      <c r="A945" s="23"/>
      <c r="B945" s="23"/>
      <c r="C945" s="23"/>
      <c r="D945" s="23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>
      <c r="A946" s="23"/>
      <c r="B946" s="23"/>
      <c r="C946" s="23"/>
      <c r="D946" s="23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>
      <c r="A947" s="23"/>
      <c r="B947" s="23"/>
      <c r="C947" s="23"/>
      <c r="D947" s="23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>
      <c r="A948" s="23"/>
      <c r="B948" s="23"/>
      <c r="C948" s="23"/>
      <c r="D948" s="23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>
      <c r="A949" s="23"/>
      <c r="B949" s="23"/>
      <c r="C949" s="23"/>
      <c r="D949" s="23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>
      <c r="A950" s="23"/>
      <c r="B950" s="23"/>
      <c r="C950" s="23"/>
      <c r="D950" s="23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>
      <c r="A951" s="23"/>
      <c r="B951" s="23"/>
      <c r="C951" s="23"/>
      <c r="D951" s="23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>
      <c r="A952" s="23"/>
      <c r="B952" s="23"/>
      <c r="C952" s="23"/>
      <c r="D952" s="23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>
      <c r="A953" s="23"/>
      <c r="B953" s="23"/>
      <c r="C953" s="23"/>
      <c r="D953" s="23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>
      <c r="A954" s="23"/>
      <c r="B954" s="23"/>
      <c r="C954" s="23"/>
      <c r="D954" s="23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>
      <c r="A955" s="23"/>
      <c r="B955" s="23"/>
      <c r="C955" s="23"/>
      <c r="D955" s="23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>
      <c r="A956" s="23"/>
      <c r="B956" s="23"/>
      <c r="C956" s="23"/>
      <c r="D956" s="23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>
      <c r="A957" s="23"/>
      <c r="B957" s="23"/>
      <c r="C957" s="23"/>
      <c r="D957" s="23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>
      <c r="A958" s="23"/>
      <c r="B958" s="23"/>
      <c r="C958" s="23"/>
      <c r="D958" s="23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>
      <c r="A959" s="23"/>
      <c r="B959" s="23"/>
      <c r="C959" s="23"/>
      <c r="D959" s="23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>
      <c r="A960" s="23"/>
      <c r="B960" s="23"/>
      <c r="C960" s="23"/>
      <c r="D960" s="23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>
      <c r="A961" s="23"/>
      <c r="B961" s="23"/>
      <c r="C961" s="23"/>
      <c r="D961" s="23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>
      <c r="A962" s="23"/>
      <c r="B962" s="23"/>
      <c r="C962" s="23"/>
      <c r="D962" s="23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>
      <c r="A963" s="23"/>
      <c r="B963" s="23"/>
      <c r="C963" s="23"/>
      <c r="D963" s="23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>
      <c r="A964" s="23"/>
      <c r="B964" s="23"/>
      <c r="C964" s="23"/>
      <c r="D964" s="23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>
      <c r="A965" s="23"/>
      <c r="B965" s="23"/>
      <c r="C965" s="23"/>
      <c r="D965" s="23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>
      <c r="A966" s="23"/>
      <c r="B966" s="23"/>
      <c r="C966" s="23"/>
      <c r="D966" s="23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>
      <c r="A967" s="23"/>
      <c r="B967" s="23"/>
      <c r="C967" s="23"/>
      <c r="D967" s="23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>
      <c r="A968" s="23"/>
      <c r="B968" s="23"/>
      <c r="C968" s="23"/>
      <c r="D968" s="23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>
      <c r="A969" s="23"/>
      <c r="B969" s="23"/>
      <c r="C969" s="23"/>
      <c r="D969" s="23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>
      <c r="A970" s="23"/>
      <c r="B970" s="23"/>
      <c r="C970" s="23"/>
      <c r="D970" s="23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>
      <c r="A971" s="23"/>
      <c r="B971" s="23"/>
      <c r="C971" s="23"/>
      <c r="D971" s="23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>
      <c r="A972" s="23"/>
      <c r="B972" s="23"/>
      <c r="C972" s="23"/>
      <c r="D972" s="23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>
      <c r="A973" s="23"/>
      <c r="B973" s="23"/>
      <c r="C973" s="23"/>
      <c r="D973" s="23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>
      <c r="A974" s="23"/>
      <c r="B974" s="23"/>
      <c r="C974" s="23"/>
      <c r="D974" s="23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>
      <c r="A975" s="23"/>
      <c r="B975" s="23"/>
      <c r="C975" s="23"/>
      <c r="D975" s="23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>
      <c r="A976" s="23"/>
      <c r="B976" s="23"/>
      <c r="C976" s="23"/>
      <c r="D976" s="23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>
      <c r="A977" s="23"/>
      <c r="B977" s="23"/>
      <c r="C977" s="23"/>
      <c r="D977" s="23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>
      <c r="A978" s="23"/>
      <c r="B978" s="23"/>
      <c r="C978" s="23"/>
      <c r="D978" s="23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>
      <c r="A979" s="23"/>
      <c r="B979" s="23"/>
      <c r="C979" s="23"/>
      <c r="D979" s="23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>
      <c r="A980" s="23"/>
      <c r="B980" s="23"/>
      <c r="C980" s="23"/>
      <c r="D980" s="23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>
      <c r="A981" s="23"/>
      <c r="B981" s="23"/>
      <c r="C981" s="23"/>
      <c r="D981" s="23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>
      <c r="A982" s="23"/>
      <c r="B982" s="23"/>
      <c r="C982" s="23"/>
      <c r="D982" s="23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>
      <c r="A983" s="23"/>
      <c r="B983" s="23"/>
      <c r="C983" s="23"/>
      <c r="D983" s="23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>
      <c r="A984" s="23"/>
      <c r="B984" s="23"/>
      <c r="C984" s="23"/>
      <c r="D984" s="23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>
      <c r="A985" s="23"/>
      <c r="B985" s="23"/>
      <c r="C985" s="23"/>
      <c r="D985" s="23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>
      <c r="A986" s="23"/>
      <c r="B986" s="23"/>
      <c r="C986" s="23"/>
      <c r="D986" s="23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>
      <c r="A987" s="23"/>
      <c r="B987" s="23"/>
      <c r="C987" s="23"/>
      <c r="D987" s="23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>
      <c r="A988" s="23"/>
      <c r="B988" s="23"/>
      <c r="C988" s="23"/>
      <c r="D988" s="23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>
      <c r="A989" s="23"/>
      <c r="B989" s="23"/>
      <c r="C989" s="23"/>
      <c r="D989" s="23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>
      <c r="A990" s="23"/>
      <c r="B990" s="23"/>
      <c r="C990" s="23"/>
      <c r="D990" s="23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>
      <c r="A991" s="23"/>
      <c r="B991" s="23"/>
      <c r="C991" s="23"/>
      <c r="D991" s="23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>
      <c r="A992" s="23"/>
      <c r="B992" s="23"/>
      <c r="C992" s="23"/>
      <c r="D992" s="23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>
      <c r="A993" s="23"/>
      <c r="B993" s="23"/>
      <c r="C993" s="23"/>
      <c r="D993" s="23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>
      <c r="A994" s="23"/>
      <c r="B994" s="23"/>
      <c r="C994" s="23"/>
      <c r="D994" s="23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>
      <c r="A995" s="23"/>
      <c r="B995" s="23"/>
      <c r="C995" s="23"/>
      <c r="D995" s="23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>
      <c r="A996" s="23"/>
      <c r="B996" s="23"/>
      <c r="C996" s="23"/>
      <c r="D996" s="23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>
      <c r="A997" s="23"/>
      <c r="B997" s="23"/>
      <c r="C997" s="23"/>
      <c r="D997" s="23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>
      <c r="A998" s="23"/>
      <c r="B998" s="23"/>
      <c r="C998" s="23"/>
      <c r="D998" s="23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>
      <c r="A999" s="23"/>
      <c r="B999" s="23"/>
      <c r="C999" s="23"/>
      <c r="D999" s="23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.75" customHeight="1">
      <c r="A1000" s="23"/>
      <c r="B1000" s="23"/>
      <c r="C1000" s="23"/>
      <c r="D1000" s="23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275"/>
  <sheetViews>
    <sheetView workbookViewId="0">
      <selection activeCell="T6" sqref="T6"/>
    </sheetView>
  </sheetViews>
  <sheetFormatPr defaultColWidth="12.625" defaultRowHeight="15" customHeight="1"/>
  <cols>
    <col min="1" max="1" width="21.375" customWidth="1"/>
    <col min="2" max="26" width="7.625" customWidth="1"/>
  </cols>
  <sheetData>
    <row r="1" spans="1:20">
      <c r="A1" s="30" t="s">
        <v>83</v>
      </c>
      <c r="B1" s="61" t="s">
        <v>84</v>
      </c>
      <c r="C1" s="61" t="s">
        <v>85</v>
      </c>
      <c r="D1" s="61" t="s">
        <v>86</v>
      </c>
      <c r="E1" s="61" t="s">
        <v>87</v>
      </c>
      <c r="F1" s="61" t="s">
        <v>88</v>
      </c>
      <c r="G1" s="61" t="s">
        <v>91</v>
      </c>
      <c r="H1" s="61" t="s">
        <v>92</v>
      </c>
    </row>
    <row r="2" spans="1:20">
      <c r="A2" t="s">
        <v>134</v>
      </c>
      <c r="B2" t="s">
        <v>135</v>
      </c>
      <c r="C2" t="s">
        <v>136</v>
      </c>
      <c r="D2">
        <v>2800</v>
      </c>
      <c r="E2">
        <v>16</v>
      </c>
      <c r="F2">
        <v>2070</v>
      </c>
      <c r="S2" s="31" t="s">
        <v>89</v>
      </c>
      <c r="T2" s="32" t="s">
        <v>90</v>
      </c>
    </row>
    <row r="3" spans="1:20">
      <c r="A3" t="s">
        <v>137</v>
      </c>
      <c r="B3" t="s">
        <v>138</v>
      </c>
      <c r="C3" t="s">
        <v>136</v>
      </c>
      <c r="D3">
        <v>2800</v>
      </c>
      <c r="E3">
        <v>16</v>
      </c>
      <c r="F3">
        <v>2070</v>
      </c>
      <c r="S3" s="31" t="s">
        <v>90</v>
      </c>
      <c r="T3" s="32"/>
    </row>
    <row r="4" spans="1:20">
      <c r="A4" t="s">
        <v>139</v>
      </c>
      <c r="B4" t="s">
        <v>140</v>
      </c>
      <c r="C4" t="s">
        <v>136</v>
      </c>
      <c r="D4">
        <v>2800</v>
      </c>
      <c r="E4">
        <v>16</v>
      </c>
      <c r="F4">
        <v>2070</v>
      </c>
      <c r="S4" s="31"/>
      <c r="T4" s="31" t="s">
        <v>117</v>
      </c>
    </row>
    <row r="5" spans="1:20">
      <c r="A5" t="s">
        <v>141</v>
      </c>
      <c r="B5" t="s">
        <v>142</v>
      </c>
      <c r="C5" t="s">
        <v>143</v>
      </c>
      <c r="D5">
        <v>2800</v>
      </c>
      <c r="E5">
        <v>16</v>
      </c>
      <c r="F5">
        <v>2070</v>
      </c>
      <c r="S5" s="31"/>
      <c r="T5" s="31" t="s">
        <v>118</v>
      </c>
    </row>
    <row r="6" spans="1:20">
      <c r="A6" t="s">
        <v>144</v>
      </c>
      <c r="B6" t="s">
        <v>145</v>
      </c>
      <c r="C6" t="s">
        <v>143</v>
      </c>
      <c r="D6">
        <v>2800</v>
      </c>
      <c r="E6">
        <v>16</v>
      </c>
      <c r="F6">
        <v>2070</v>
      </c>
      <c r="S6" s="31"/>
      <c r="T6" s="31" t="s">
        <v>119</v>
      </c>
    </row>
    <row r="7" spans="1:20" ht="14.25">
      <c r="A7" t="s">
        <v>146</v>
      </c>
      <c r="B7" t="s">
        <v>147</v>
      </c>
      <c r="C7" t="s">
        <v>136</v>
      </c>
      <c r="D7">
        <v>2800</v>
      </c>
      <c r="E7">
        <v>16</v>
      </c>
      <c r="F7">
        <v>2070</v>
      </c>
    </row>
    <row r="8" spans="1:20" ht="14.25">
      <c r="A8" t="s">
        <v>148</v>
      </c>
      <c r="B8" t="s">
        <v>135</v>
      </c>
      <c r="C8" t="s">
        <v>136</v>
      </c>
      <c r="D8">
        <v>2800</v>
      </c>
      <c r="E8">
        <v>18</v>
      </c>
      <c r="F8">
        <v>2070</v>
      </c>
    </row>
    <row r="9" spans="1:20" ht="14.25">
      <c r="A9" t="s">
        <v>149</v>
      </c>
      <c r="B9" t="s">
        <v>138</v>
      </c>
      <c r="C9" t="s">
        <v>136</v>
      </c>
      <c r="D9">
        <v>2800</v>
      </c>
      <c r="E9">
        <v>18</v>
      </c>
      <c r="F9">
        <v>2070</v>
      </c>
    </row>
    <row r="10" spans="1:20" ht="14.25">
      <c r="A10" t="s">
        <v>150</v>
      </c>
      <c r="B10" t="s">
        <v>151</v>
      </c>
      <c r="C10" t="s">
        <v>136</v>
      </c>
      <c r="D10">
        <v>2800</v>
      </c>
      <c r="E10">
        <v>18</v>
      </c>
      <c r="F10">
        <v>2070</v>
      </c>
    </row>
    <row r="11" spans="1:20" ht="14.25">
      <c r="A11" t="s">
        <v>152</v>
      </c>
      <c r="B11" t="s">
        <v>140</v>
      </c>
      <c r="C11" t="s">
        <v>136</v>
      </c>
      <c r="D11">
        <v>2800</v>
      </c>
      <c r="E11">
        <v>18</v>
      </c>
      <c r="F11">
        <v>2070</v>
      </c>
    </row>
    <row r="12" spans="1:20" ht="14.25">
      <c r="A12" t="s">
        <v>153</v>
      </c>
      <c r="B12" t="s">
        <v>142</v>
      </c>
      <c r="C12" t="s">
        <v>143</v>
      </c>
      <c r="D12">
        <v>2800</v>
      </c>
      <c r="E12">
        <v>18</v>
      </c>
      <c r="F12">
        <v>2070</v>
      </c>
    </row>
    <row r="13" spans="1:20" ht="14.25">
      <c r="A13" t="s">
        <v>154</v>
      </c>
      <c r="B13" t="s">
        <v>145</v>
      </c>
      <c r="C13" t="s">
        <v>143</v>
      </c>
      <c r="D13">
        <v>2800</v>
      </c>
      <c r="E13">
        <v>18</v>
      </c>
      <c r="F13">
        <v>2070</v>
      </c>
    </row>
    <row r="14" spans="1:20" ht="14.25">
      <c r="A14" t="s">
        <v>155</v>
      </c>
      <c r="B14" t="s">
        <v>147</v>
      </c>
      <c r="C14" t="s">
        <v>136</v>
      </c>
      <c r="D14">
        <v>2800</v>
      </c>
      <c r="E14">
        <v>18</v>
      </c>
      <c r="F14">
        <v>2070</v>
      </c>
    </row>
    <row r="15" spans="1:20" ht="14.25">
      <c r="A15" t="s">
        <v>156</v>
      </c>
      <c r="B15" t="s">
        <v>157</v>
      </c>
      <c r="C15" t="s">
        <v>143</v>
      </c>
      <c r="D15">
        <v>2800</v>
      </c>
      <c r="E15">
        <v>18</v>
      </c>
      <c r="F15">
        <v>2070</v>
      </c>
    </row>
    <row r="16" spans="1:20" ht="14.25">
      <c r="A16" t="s">
        <v>158</v>
      </c>
      <c r="B16" t="s">
        <v>159</v>
      </c>
      <c r="C16" t="s">
        <v>143</v>
      </c>
      <c r="D16">
        <v>2800</v>
      </c>
      <c r="E16">
        <v>18</v>
      </c>
      <c r="F16">
        <v>2070</v>
      </c>
    </row>
    <row r="17" spans="1:6" ht="14.25">
      <c r="A17" t="s">
        <v>160</v>
      </c>
      <c r="B17" t="s">
        <v>135</v>
      </c>
      <c r="C17" t="s">
        <v>136</v>
      </c>
      <c r="D17">
        <v>2800</v>
      </c>
      <c r="E17">
        <v>22</v>
      </c>
      <c r="F17">
        <v>2070</v>
      </c>
    </row>
    <row r="18" spans="1:6" ht="14.25">
      <c r="A18" t="s">
        <v>161</v>
      </c>
      <c r="B18" t="s">
        <v>135</v>
      </c>
      <c r="C18" t="s">
        <v>136</v>
      </c>
      <c r="D18">
        <v>2800</v>
      </c>
      <c r="E18">
        <v>25</v>
      </c>
      <c r="F18">
        <v>2070</v>
      </c>
    </row>
    <row r="19" spans="1:6" ht="14.25">
      <c r="A19" t="s">
        <v>162</v>
      </c>
      <c r="B19" t="s">
        <v>138</v>
      </c>
      <c r="C19" t="s">
        <v>136</v>
      </c>
      <c r="D19">
        <v>2800</v>
      </c>
      <c r="E19">
        <v>25</v>
      </c>
      <c r="F19">
        <v>2070</v>
      </c>
    </row>
    <row r="20" spans="1:6" ht="14.25">
      <c r="A20" t="s">
        <v>163</v>
      </c>
      <c r="B20" t="s">
        <v>138</v>
      </c>
      <c r="C20" t="s">
        <v>136</v>
      </c>
      <c r="D20">
        <v>2800</v>
      </c>
      <c r="E20">
        <v>25</v>
      </c>
      <c r="F20">
        <v>2070</v>
      </c>
    </row>
    <row r="21" spans="1:6" ht="15.75" customHeight="1">
      <c r="A21" t="s">
        <v>164</v>
      </c>
      <c r="B21" t="s">
        <v>140</v>
      </c>
      <c r="C21" t="s">
        <v>136</v>
      </c>
      <c r="D21">
        <v>2800</v>
      </c>
      <c r="E21">
        <v>25</v>
      </c>
      <c r="F21">
        <v>2070</v>
      </c>
    </row>
    <row r="22" spans="1:6" ht="15.75" customHeight="1">
      <c r="A22" t="s">
        <v>165</v>
      </c>
      <c r="B22" t="s">
        <v>142</v>
      </c>
      <c r="C22" t="s">
        <v>143</v>
      </c>
      <c r="D22">
        <v>2800</v>
      </c>
      <c r="E22">
        <v>25</v>
      </c>
      <c r="F22">
        <v>2070</v>
      </c>
    </row>
    <row r="23" spans="1:6" ht="15.75" customHeight="1">
      <c r="A23" t="s">
        <v>166</v>
      </c>
      <c r="B23" t="s">
        <v>145</v>
      </c>
      <c r="C23" t="s">
        <v>143</v>
      </c>
      <c r="D23">
        <v>2800</v>
      </c>
      <c r="E23">
        <v>25</v>
      </c>
      <c r="F23">
        <v>2070</v>
      </c>
    </row>
    <row r="24" spans="1:6" ht="15.75" customHeight="1">
      <c r="A24" t="s">
        <v>167</v>
      </c>
      <c r="B24" t="s">
        <v>147</v>
      </c>
      <c r="C24" t="s">
        <v>136</v>
      </c>
      <c r="D24">
        <v>2800</v>
      </c>
      <c r="E24">
        <v>25</v>
      </c>
      <c r="F24">
        <v>2070</v>
      </c>
    </row>
    <row r="25" spans="1:6" ht="15.75" customHeight="1">
      <c r="A25" t="s">
        <v>168</v>
      </c>
      <c r="B25" t="s">
        <v>157</v>
      </c>
      <c r="C25" t="s">
        <v>143</v>
      </c>
      <c r="D25">
        <v>2800</v>
      </c>
      <c r="E25">
        <v>25</v>
      </c>
      <c r="F25">
        <v>2070</v>
      </c>
    </row>
    <row r="26" spans="1:6" ht="15.75" customHeight="1">
      <c r="A26" t="s">
        <v>169</v>
      </c>
      <c r="B26" t="s">
        <v>159</v>
      </c>
      <c r="C26" t="s">
        <v>143</v>
      </c>
      <c r="D26">
        <v>2800</v>
      </c>
      <c r="E26">
        <v>25</v>
      </c>
      <c r="F26">
        <v>2070</v>
      </c>
    </row>
    <row r="27" spans="1:6" ht="15.75" customHeight="1">
      <c r="A27" t="s">
        <v>170</v>
      </c>
      <c r="B27" t="s">
        <v>171</v>
      </c>
      <c r="C27" t="s">
        <v>136</v>
      </c>
      <c r="D27">
        <v>3050</v>
      </c>
      <c r="E27">
        <v>20</v>
      </c>
      <c r="F27">
        <v>1300</v>
      </c>
    </row>
    <row r="28" spans="1:6" ht="15.75" customHeight="1">
      <c r="A28" t="s">
        <v>172</v>
      </c>
      <c r="B28" t="s">
        <v>173</v>
      </c>
      <c r="C28" t="s">
        <v>136</v>
      </c>
      <c r="D28">
        <v>3050</v>
      </c>
      <c r="E28">
        <v>20</v>
      </c>
      <c r="F28">
        <v>1300</v>
      </c>
    </row>
    <row r="29" spans="1:6" ht="15.75" customHeight="1">
      <c r="A29" t="s">
        <v>174</v>
      </c>
      <c r="B29" t="s">
        <v>173</v>
      </c>
      <c r="C29" t="s">
        <v>136</v>
      </c>
      <c r="D29">
        <v>3040</v>
      </c>
      <c r="E29">
        <v>20</v>
      </c>
      <c r="F29">
        <v>1290</v>
      </c>
    </row>
    <row r="30" spans="1:6" ht="15.75" customHeight="1">
      <c r="A30" t="s">
        <v>175</v>
      </c>
      <c r="B30" t="s">
        <v>176</v>
      </c>
      <c r="C30" t="s">
        <v>136</v>
      </c>
      <c r="D30">
        <v>3050</v>
      </c>
      <c r="E30">
        <v>20</v>
      </c>
      <c r="F30">
        <v>1300</v>
      </c>
    </row>
    <row r="31" spans="1:6" ht="15.75" customHeight="1">
      <c r="A31" t="s">
        <v>177</v>
      </c>
      <c r="B31" t="s">
        <v>178</v>
      </c>
      <c r="C31" t="s">
        <v>136</v>
      </c>
      <c r="D31">
        <v>3050</v>
      </c>
      <c r="E31">
        <v>20</v>
      </c>
      <c r="F31">
        <v>1300</v>
      </c>
    </row>
    <row r="32" spans="1:6" ht="15.75" customHeight="1">
      <c r="A32" t="s">
        <v>179</v>
      </c>
      <c r="B32" t="s">
        <v>178</v>
      </c>
      <c r="C32" t="s">
        <v>136</v>
      </c>
      <c r="D32">
        <v>3040</v>
      </c>
      <c r="E32">
        <v>20</v>
      </c>
      <c r="F32">
        <v>1290</v>
      </c>
    </row>
    <row r="33" spans="1:6" ht="15.75" customHeight="1">
      <c r="A33" t="s">
        <v>180</v>
      </c>
      <c r="B33" t="s">
        <v>181</v>
      </c>
      <c r="C33" t="s">
        <v>136</v>
      </c>
      <c r="D33">
        <v>3040</v>
      </c>
      <c r="E33">
        <v>20</v>
      </c>
      <c r="F33">
        <v>1290</v>
      </c>
    </row>
    <row r="34" spans="1:6" ht="15.75" customHeight="1">
      <c r="A34" t="s">
        <v>182</v>
      </c>
      <c r="B34" t="s">
        <v>183</v>
      </c>
      <c r="C34" t="s">
        <v>136</v>
      </c>
      <c r="D34">
        <v>3050</v>
      </c>
      <c r="E34">
        <v>20</v>
      </c>
      <c r="F34">
        <v>1300</v>
      </c>
    </row>
    <row r="35" spans="1:6" ht="15.75" customHeight="1">
      <c r="A35" t="s">
        <v>5548</v>
      </c>
      <c r="B35" t="s">
        <v>183</v>
      </c>
      <c r="C35" t="s">
        <v>136</v>
      </c>
      <c r="D35">
        <v>3040</v>
      </c>
      <c r="E35">
        <v>20</v>
      </c>
      <c r="F35">
        <v>1290</v>
      </c>
    </row>
    <row r="36" spans="1:6" ht="15.75" customHeight="1">
      <c r="A36" t="s">
        <v>184</v>
      </c>
      <c r="B36" t="s">
        <v>185</v>
      </c>
      <c r="C36" t="s">
        <v>136</v>
      </c>
      <c r="D36">
        <v>3050</v>
      </c>
      <c r="E36">
        <v>20</v>
      </c>
      <c r="F36">
        <v>1300</v>
      </c>
    </row>
    <row r="37" spans="1:6" ht="15.75" customHeight="1">
      <c r="A37" t="s">
        <v>186</v>
      </c>
      <c r="B37" t="s">
        <v>187</v>
      </c>
      <c r="C37" t="s">
        <v>136</v>
      </c>
      <c r="D37">
        <v>3050</v>
      </c>
      <c r="E37">
        <v>20</v>
      </c>
      <c r="F37">
        <v>1300</v>
      </c>
    </row>
    <row r="38" spans="1:6" ht="15.75" customHeight="1">
      <c r="A38" t="s">
        <v>188</v>
      </c>
      <c r="B38" t="s">
        <v>189</v>
      </c>
      <c r="C38" t="s">
        <v>136</v>
      </c>
      <c r="D38">
        <v>2800</v>
      </c>
      <c r="E38">
        <v>20</v>
      </c>
      <c r="F38">
        <v>2070</v>
      </c>
    </row>
    <row r="39" spans="1:6" ht="15.75" customHeight="1">
      <c r="A39" t="s">
        <v>190</v>
      </c>
      <c r="B39" t="s">
        <v>191</v>
      </c>
      <c r="C39" t="s">
        <v>136</v>
      </c>
      <c r="D39">
        <v>3050</v>
      </c>
      <c r="E39">
        <v>20</v>
      </c>
      <c r="F39">
        <v>1300</v>
      </c>
    </row>
    <row r="40" spans="1:6" ht="15.75" customHeight="1">
      <c r="A40" t="s">
        <v>192</v>
      </c>
      <c r="B40" t="s">
        <v>193</v>
      </c>
      <c r="C40" t="s">
        <v>136</v>
      </c>
      <c r="D40">
        <v>3050</v>
      </c>
      <c r="E40">
        <v>20</v>
      </c>
      <c r="F40">
        <v>1300</v>
      </c>
    </row>
    <row r="41" spans="1:6" ht="15.75" customHeight="1">
      <c r="A41" t="s">
        <v>194</v>
      </c>
      <c r="B41">
        <v>8685</v>
      </c>
      <c r="C41" t="s">
        <v>136</v>
      </c>
      <c r="D41">
        <v>2800</v>
      </c>
      <c r="E41">
        <v>16</v>
      </c>
      <c r="F41">
        <v>2070</v>
      </c>
    </row>
    <row r="42" spans="1:6" ht="15.75" customHeight="1">
      <c r="A42" t="s">
        <v>195</v>
      </c>
      <c r="B42">
        <v>8685</v>
      </c>
      <c r="C42" t="s">
        <v>136</v>
      </c>
      <c r="D42">
        <v>2800</v>
      </c>
      <c r="E42">
        <v>18</v>
      </c>
      <c r="F42">
        <v>2070</v>
      </c>
    </row>
    <row r="43" spans="1:6" ht="15.75" customHeight="1">
      <c r="A43" t="s">
        <v>196</v>
      </c>
      <c r="C43" t="s">
        <v>136</v>
      </c>
      <c r="D43">
        <v>2800</v>
      </c>
      <c r="E43">
        <v>18</v>
      </c>
      <c r="F43">
        <v>2070</v>
      </c>
    </row>
    <row r="44" spans="1:6" ht="15.75" customHeight="1">
      <c r="A44" t="s">
        <v>197</v>
      </c>
      <c r="B44" t="s">
        <v>198</v>
      </c>
      <c r="C44" t="s">
        <v>136</v>
      </c>
      <c r="D44">
        <v>2800</v>
      </c>
      <c r="E44">
        <v>18.100000000000001</v>
      </c>
      <c r="F44">
        <v>2070</v>
      </c>
    </row>
    <row r="45" spans="1:6" ht="15.75" customHeight="1">
      <c r="A45" t="s">
        <v>200</v>
      </c>
      <c r="B45" t="s">
        <v>201</v>
      </c>
      <c r="C45" t="s">
        <v>136</v>
      </c>
      <c r="D45">
        <v>2800</v>
      </c>
      <c r="E45">
        <v>18.3</v>
      </c>
      <c r="F45">
        <v>2070</v>
      </c>
    </row>
    <row r="46" spans="1:6" ht="15.75" customHeight="1">
      <c r="A46" t="s">
        <v>5549</v>
      </c>
      <c r="B46" t="s">
        <v>199</v>
      </c>
      <c r="C46" t="s">
        <v>136</v>
      </c>
      <c r="D46">
        <v>2800</v>
      </c>
      <c r="E46">
        <v>18.899999999999999</v>
      </c>
      <c r="F46">
        <v>2070</v>
      </c>
    </row>
    <row r="47" spans="1:6" ht="15.75" customHeight="1">
      <c r="A47" t="s">
        <v>202</v>
      </c>
      <c r="B47" t="s">
        <v>203</v>
      </c>
      <c r="C47" t="s">
        <v>136</v>
      </c>
      <c r="D47">
        <v>2800</v>
      </c>
      <c r="E47">
        <v>8.9</v>
      </c>
      <c r="F47">
        <v>2070</v>
      </c>
    </row>
    <row r="48" spans="1:6" ht="15.75" customHeight="1">
      <c r="A48" t="s">
        <v>204</v>
      </c>
      <c r="B48" t="s">
        <v>205</v>
      </c>
      <c r="C48" t="s">
        <v>136</v>
      </c>
      <c r="D48">
        <v>2800</v>
      </c>
      <c r="E48">
        <v>18.600000000000001</v>
      </c>
      <c r="F48">
        <v>2070</v>
      </c>
    </row>
    <row r="49" spans="1:6" ht="15.75" customHeight="1">
      <c r="A49" t="s">
        <v>206</v>
      </c>
      <c r="B49" t="s">
        <v>207</v>
      </c>
      <c r="C49" t="s">
        <v>143</v>
      </c>
      <c r="D49">
        <v>2800</v>
      </c>
      <c r="E49">
        <v>18.5</v>
      </c>
      <c r="F49">
        <v>2070</v>
      </c>
    </row>
    <row r="50" spans="1:6" ht="15.75" customHeight="1">
      <c r="A50" t="s">
        <v>208</v>
      </c>
      <c r="B50" t="s">
        <v>209</v>
      </c>
      <c r="C50" t="s">
        <v>136</v>
      </c>
      <c r="D50">
        <v>2800</v>
      </c>
      <c r="E50">
        <v>18.100000000000001</v>
      </c>
      <c r="F50">
        <v>2070</v>
      </c>
    </row>
    <row r="51" spans="1:6" ht="15.75" customHeight="1">
      <c r="A51" t="s">
        <v>210</v>
      </c>
      <c r="B51" t="s">
        <v>211</v>
      </c>
      <c r="C51" t="s">
        <v>136</v>
      </c>
      <c r="D51">
        <v>2800</v>
      </c>
      <c r="E51">
        <v>18.399999999999999</v>
      </c>
      <c r="F51">
        <v>2070</v>
      </c>
    </row>
    <row r="52" spans="1:6" ht="15.75" customHeight="1">
      <c r="A52" t="s">
        <v>212</v>
      </c>
      <c r="C52" t="s">
        <v>136</v>
      </c>
      <c r="D52">
        <v>2800</v>
      </c>
      <c r="E52">
        <v>18</v>
      </c>
      <c r="F52">
        <v>2070</v>
      </c>
    </row>
    <row r="53" spans="1:6" ht="15.75" customHeight="1">
      <c r="A53" t="s">
        <v>213</v>
      </c>
      <c r="B53" t="s">
        <v>214</v>
      </c>
      <c r="C53" t="s">
        <v>136</v>
      </c>
      <c r="D53">
        <v>2800</v>
      </c>
      <c r="E53">
        <v>18</v>
      </c>
      <c r="F53">
        <v>2070</v>
      </c>
    </row>
    <row r="54" spans="1:6" ht="15.75" customHeight="1">
      <c r="A54" t="s">
        <v>5352</v>
      </c>
      <c r="B54" t="s">
        <v>5353</v>
      </c>
      <c r="C54" t="s">
        <v>143</v>
      </c>
      <c r="D54">
        <v>2800</v>
      </c>
      <c r="E54">
        <v>19</v>
      </c>
      <c r="F54">
        <v>2070</v>
      </c>
    </row>
    <row r="55" spans="1:6" ht="15.75" customHeight="1">
      <c r="A55" t="s">
        <v>5354</v>
      </c>
      <c r="B55" t="s">
        <v>5355</v>
      </c>
      <c r="C55" t="s">
        <v>143</v>
      </c>
      <c r="D55">
        <v>2800</v>
      </c>
      <c r="E55">
        <v>19</v>
      </c>
      <c r="F55">
        <v>2070</v>
      </c>
    </row>
    <row r="56" spans="1:6" ht="15.75" customHeight="1">
      <c r="A56" t="s">
        <v>215</v>
      </c>
      <c r="B56" t="s">
        <v>216</v>
      </c>
      <c r="C56" t="s">
        <v>143</v>
      </c>
      <c r="D56">
        <v>2800</v>
      </c>
      <c r="E56">
        <v>10</v>
      </c>
      <c r="F56">
        <v>2070</v>
      </c>
    </row>
    <row r="57" spans="1:6" ht="15.75" customHeight="1">
      <c r="A57" t="s">
        <v>217</v>
      </c>
      <c r="B57" t="s">
        <v>216</v>
      </c>
      <c r="C57" t="s">
        <v>143</v>
      </c>
      <c r="D57">
        <v>2800</v>
      </c>
      <c r="E57">
        <v>16</v>
      </c>
      <c r="F57">
        <v>2070</v>
      </c>
    </row>
    <row r="58" spans="1:6" ht="15.75" customHeight="1">
      <c r="A58" t="s">
        <v>218</v>
      </c>
      <c r="B58" t="s">
        <v>216</v>
      </c>
      <c r="C58" t="s">
        <v>143</v>
      </c>
      <c r="D58">
        <v>2800</v>
      </c>
      <c r="E58">
        <v>18</v>
      </c>
      <c r="F58">
        <v>2070</v>
      </c>
    </row>
    <row r="59" spans="1:6" ht="15.75" customHeight="1">
      <c r="A59" t="s">
        <v>219</v>
      </c>
      <c r="B59" t="s">
        <v>216</v>
      </c>
      <c r="C59" t="s">
        <v>143</v>
      </c>
      <c r="D59">
        <v>2800</v>
      </c>
      <c r="E59">
        <v>25</v>
      </c>
      <c r="F59">
        <v>2070</v>
      </c>
    </row>
    <row r="60" spans="1:6" ht="15.75" customHeight="1">
      <c r="A60" t="s">
        <v>220</v>
      </c>
      <c r="B60" t="s">
        <v>221</v>
      </c>
      <c r="C60" t="s">
        <v>136</v>
      </c>
      <c r="D60">
        <v>2800</v>
      </c>
      <c r="E60">
        <v>16</v>
      </c>
      <c r="F60">
        <v>2070</v>
      </c>
    </row>
    <row r="61" spans="1:6" ht="15.75" customHeight="1">
      <c r="A61" t="s">
        <v>222</v>
      </c>
      <c r="B61" t="s">
        <v>221</v>
      </c>
      <c r="C61" t="s">
        <v>143</v>
      </c>
      <c r="D61">
        <v>2800</v>
      </c>
      <c r="E61">
        <v>18</v>
      </c>
      <c r="F61">
        <v>2070</v>
      </c>
    </row>
    <row r="62" spans="1:6" ht="15.75" customHeight="1">
      <c r="A62" t="s">
        <v>223</v>
      </c>
      <c r="B62" t="s">
        <v>224</v>
      </c>
      <c r="C62" t="s">
        <v>143</v>
      </c>
      <c r="D62">
        <v>2800</v>
      </c>
      <c r="E62">
        <v>18</v>
      </c>
      <c r="F62">
        <v>2070</v>
      </c>
    </row>
    <row r="63" spans="1:6" ht="15.75" customHeight="1">
      <c r="A63" t="s">
        <v>225</v>
      </c>
      <c r="B63" t="s">
        <v>226</v>
      </c>
      <c r="C63" t="s">
        <v>143</v>
      </c>
      <c r="D63">
        <v>2800</v>
      </c>
      <c r="E63">
        <v>18</v>
      </c>
      <c r="F63">
        <v>2070</v>
      </c>
    </row>
    <row r="64" spans="1:6" ht="15.75" customHeight="1">
      <c r="A64" t="s">
        <v>227</v>
      </c>
      <c r="B64" t="s">
        <v>228</v>
      </c>
      <c r="C64" t="s">
        <v>143</v>
      </c>
      <c r="D64">
        <v>2800</v>
      </c>
      <c r="E64">
        <v>18</v>
      </c>
      <c r="F64">
        <v>2070</v>
      </c>
    </row>
    <row r="65" spans="1:6" ht="15.75" customHeight="1">
      <c r="A65" t="s">
        <v>229</v>
      </c>
      <c r="B65" t="s">
        <v>230</v>
      </c>
      <c r="C65" t="s">
        <v>143</v>
      </c>
      <c r="D65">
        <v>2800</v>
      </c>
      <c r="E65">
        <v>18</v>
      </c>
      <c r="F65">
        <v>2070</v>
      </c>
    </row>
    <row r="66" spans="1:6" ht="15.75" customHeight="1">
      <c r="A66" t="s">
        <v>231</v>
      </c>
      <c r="B66" t="s">
        <v>232</v>
      </c>
      <c r="C66" t="s">
        <v>143</v>
      </c>
      <c r="D66">
        <v>2800</v>
      </c>
      <c r="E66">
        <v>18</v>
      </c>
      <c r="F66">
        <v>2070</v>
      </c>
    </row>
    <row r="67" spans="1:6" ht="15.75" customHeight="1">
      <c r="A67" t="s">
        <v>233</v>
      </c>
      <c r="B67" t="s">
        <v>234</v>
      </c>
      <c r="C67" t="s">
        <v>143</v>
      </c>
      <c r="D67">
        <v>2800</v>
      </c>
      <c r="E67">
        <v>18</v>
      </c>
      <c r="F67">
        <v>2070</v>
      </c>
    </row>
    <row r="68" spans="1:6" ht="15.75" customHeight="1">
      <c r="A68" t="s">
        <v>235</v>
      </c>
      <c r="B68" t="s">
        <v>236</v>
      </c>
      <c r="C68" t="s">
        <v>136</v>
      </c>
      <c r="D68">
        <v>2800</v>
      </c>
      <c r="E68">
        <v>18</v>
      </c>
      <c r="F68">
        <v>2070</v>
      </c>
    </row>
    <row r="69" spans="1:6" ht="15.75" customHeight="1">
      <c r="A69" t="s">
        <v>237</v>
      </c>
      <c r="B69" t="s">
        <v>236</v>
      </c>
      <c r="C69" t="s">
        <v>136</v>
      </c>
      <c r="D69">
        <v>2800</v>
      </c>
      <c r="E69">
        <v>25</v>
      </c>
      <c r="F69">
        <v>2070</v>
      </c>
    </row>
    <row r="70" spans="1:6" ht="15.75" customHeight="1">
      <c r="A70" t="s">
        <v>238</v>
      </c>
      <c r="B70" t="s">
        <v>239</v>
      </c>
      <c r="C70" t="s">
        <v>136</v>
      </c>
      <c r="D70">
        <v>2800</v>
      </c>
      <c r="E70">
        <v>18</v>
      </c>
      <c r="F70">
        <v>2070</v>
      </c>
    </row>
    <row r="71" spans="1:6" ht="15.75" customHeight="1">
      <c r="A71" t="s">
        <v>240</v>
      </c>
      <c r="B71" t="s">
        <v>241</v>
      </c>
      <c r="C71" t="s">
        <v>143</v>
      </c>
      <c r="D71">
        <v>2800</v>
      </c>
      <c r="E71">
        <v>10</v>
      </c>
      <c r="F71">
        <v>2070</v>
      </c>
    </row>
    <row r="72" spans="1:6" ht="15.75" customHeight="1">
      <c r="A72" t="s">
        <v>242</v>
      </c>
      <c r="B72" t="s">
        <v>241</v>
      </c>
      <c r="C72" t="s">
        <v>143</v>
      </c>
      <c r="D72">
        <v>2800</v>
      </c>
      <c r="E72">
        <v>18</v>
      </c>
      <c r="F72">
        <v>2070</v>
      </c>
    </row>
    <row r="73" spans="1:6" ht="15.75" customHeight="1">
      <c r="A73" t="s">
        <v>243</v>
      </c>
      <c r="B73" t="s">
        <v>244</v>
      </c>
      <c r="C73" t="s">
        <v>143</v>
      </c>
      <c r="D73">
        <v>2800</v>
      </c>
      <c r="E73">
        <v>10</v>
      </c>
      <c r="F73">
        <v>2070</v>
      </c>
    </row>
    <row r="74" spans="1:6" ht="15.75" customHeight="1">
      <c r="A74" t="s">
        <v>245</v>
      </c>
      <c r="B74" t="s">
        <v>244</v>
      </c>
      <c r="C74" t="s">
        <v>143</v>
      </c>
      <c r="D74">
        <v>2800</v>
      </c>
      <c r="E74">
        <v>18</v>
      </c>
      <c r="F74">
        <v>2070</v>
      </c>
    </row>
    <row r="75" spans="1:6" ht="15.75" customHeight="1">
      <c r="A75" t="s">
        <v>246</v>
      </c>
      <c r="B75" t="s">
        <v>244</v>
      </c>
      <c r="C75" t="s">
        <v>143</v>
      </c>
      <c r="D75">
        <v>2800</v>
      </c>
      <c r="E75">
        <v>25</v>
      </c>
      <c r="F75">
        <v>2070</v>
      </c>
    </row>
    <row r="76" spans="1:6" ht="15.75" customHeight="1">
      <c r="A76" t="s">
        <v>247</v>
      </c>
      <c r="B76" t="s">
        <v>248</v>
      </c>
      <c r="C76" t="s">
        <v>143</v>
      </c>
      <c r="D76">
        <v>2800</v>
      </c>
      <c r="E76">
        <v>18</v>
      </c>
      <c r="F76">
        <v>2070</v>
      </c>
    </row>
    <row r="77" spans="1:6" ht="15.75" customHeight="1">
      <c r="A77" t="s">
        <v>249</v>
      </c>
      <c r="B77" t="s">
        <v>250</v>
      </c>
      <c r="C77" t="s">
        <v>136</v>
      </c>
      <c r="D77">
        <v>2800</v>
      </c>
      <c r="E77">
        <v>10</v>
      </c>
      <c r="F77">
        <v>2070</v>
      </c>
    </row>
    <row r="78" spans="1:6" ht="15.75" customHeight="1">
      <c r="A78" t="s">
        <v>251</v>
      </c>
      <c r="B78" t="s">
        <v>250</v>
      </c>
      <c r="C78" t="s">
        <v>136</v>
      </c>
      <c r="D78">
        <v>2800</v>
      </c>
      <c r="E78">
        <v>16</v>
      </c>
      <c r="F78">
        <v>2070</v>
      </c>
    </row>
    <row r="79" spans="1:6" ht="15.75" customHeight="1">
      <c r="A79" t="s">
        <v>252</v>
      </c>
      <c r="B79" t="s">
        <v>250</v>
      </c>
      <c r="C79" t="s">
        <v>136</v>
      </c>
      <c r="D79">
        <v>2800</v>
      </c>
      <c r="E79">
        <v>18</v>
      </c>
      <c r="F79">
        <v>2070</v>
      </c>
    </row>
    <row r="80" spans="1:6" ht="15.75" customHeight="1">
      <c r="A80" t="s">
        <v>253</v>
      </c>
      <c r="B80" t="s">
        <v>250</v>
      </c>
      <c r="C80" t="s">
        <v>136</v>
      </c>
      <c r="D80">
        <v>2800</v>
      </c>
      <c r="E80">
        <v>25</v>
      </c>
      <c r="F80">
        <v>2070</v>
      </c>
    </row>
    <row r="81" spans="1:6" ht="15.75" customHeight="1">
      <c r="A81" t="s">
        <v>254</v>
      </c>
      <c r="B81" t="s">
        <v>255</v>
      </c>
      <c r="C81" t="s">
        <v>136</v>
      </c>
      <c r="D81">
        <v>2800</v>
      </c>
      <c r="E81">
        <v>16</v>
      </c>
      <c r="F81">
        <v>2070</v>
      </c>
    </row>
    <row r="82" spans="1:6" ht="15.75" customHeight="1">
      <c r="A82" t="s">
        <v>256</v>
      </c>
      <c r="B82" t="s">
        <v>255</v>
      </c>
      <c r="C82" t="s">
        <v>136</v>
      </c>
      <c r="D82">
        <v>2800</v>
      </c>
      <c r="E82">
        <v>22</v>
      </c>
      <c r="F82">
        <v>2070</v>
      </c>
    </row>
    <row r="83" spans="1:6" ht="15.75" customHeight="1">
      <c r="A83" t="s">
        <v>257</v>
      </c>
      <c r="B83" t="s">
        <v>258</v>
      </c>
      <c r="C83" t="s">
        <v>143</v>
      </c>
      <c r="D83">
        <v>2800</v>
      </c>
      <c r="E83">
        <v>10</v>
      </c>
      <c r="F83">
        <v>2070</v>
      </c>
    </row>
    <row r="84" spans="1:6" ht="15.75" customHeight="1">
      <c r="A84" t="s">
        <v>259</v>
      </c>
      <c r="B84" t="s">
        <v>258</v>
      </c>
      <c r="C84" t="s">
        <v>143</v>
      </c>
      <c r="D84">
        <v>2800</v>
      </c>
      <c r="E84">
        <v>16</v>
      </c>
      <c r="F84">
        <v>2070</v>
      </c>
    </row>
    <row r="85" spans="1:6" ht="15.75" customHeight="1">
      <c r="A85" t="s">
        <v>260</v>
      </c>
      <c r="B85" t="s">
        <v>258</v>
      </c>
      <c r="C85" t="s">
        <v>143</v>
      </c>
      <c r="D85">
        <v>2800</v>
      </c>
      <c r="E85">
        <v>18</v>
      </c>
      <c r="F85">
        <v>2070</v>
      </c>
    </row>
    <row r="86" spans="1:6" ht="15.75" customHeight="1">
      <c r="A86" t="s">
        <v>261</v>
      </c>
      <c r="B86" t="s">
        <v>258</v>
      </c>
      <c r="C86" t="s">
        <v>143</v>
      </c>
      <c r="D86">
        <v>2800</v>
      </c>
      <c r="E86">
        <v>25</v>
      </c>
      <c r="F86">
        <v>2070</v>
      </c>
    </row>
    <row r="87" spans="1:6" ht="15.75" customHeight="1">
      <c r="A87" t="s">
        <v>262</v>
      </c>
      <c r="B87" t="s">
        <v>263</v>
      </c>
      <c r="C87" t="s">
        <v>143</v>
      </c>
      <c r="D87">
        <v>2800</v>
      </c>
      <c r="E87">
        <v>10</v>
      </c>
      <c r="F87">
        <v>2070</v>
      </c>
    </row>
    <row r="88" spans="1:6" ht="15.75" customHeight="1">
      <c r="A88" t="s">
        <v>264</v>
      </c>
      <c r="B88" t="s">
        <v>263</v>
      </c>
      <c r="C88" t="s">
        <v>143</v>
      </c>
      <c r="D88">
        <v>2800</v>
      </c>
      <c r="E88">
        <v>16</v>
      </c>
      <c r="F88">
        <v>2070</v>
      </c>
    </row>
    <row r="89" spans="1:6" ht="15.75" customHeight="1">
      <c r="A89" t="s">
        <v>265</v>
      </c>
      <c r="B89" t="s">
        <v>263</v>
      </c>
      <c r="C89" t="s">
        <v>143</v>
      </c>
      <c r="D89">
        <v>2800</v>
      </c>
      <c r="E89">
        <v>18</v>
      </c>
      <c r="F89">
        <v>2070</v>
      </c>
    </row>
    <row r="90" spans="1:6" ht="15.75" customHeight="1">
      <c r="A90" t="s">
        <v>266</v>
      </c>
      <c r="B90" t="s">
        <v>263</v>
      </c>
      <c r="C90" t="s">
        <v>143</v>
      </c>
      <c r="D90">
        <v>2800</v>
      </c>
      <c r="E90">
        <v>22</v>
      </c>
      <c r="F90">
        <v>2070</v>
      </c>
    </row>
    <row r="91" spans="1:6" ht="15.75" customHeight="1">
      <c r="A91" t="s">
        <v>267</v>
      </c>
      <c r="B91" t="s">
        <v>263</v>
      </c>
      <c r="C91" t="s">
        <v>143</v>
      </c>
      <c r="D91">
        <v>2800</v>
      </c>
      <c r="E91">
        <v>25</v>
      </c>
      <c r="F91">
        <v>2070</v>
      </c>
    </row>
    <row r="92" spans="1:6" ht="15.75" customHeight="1">
      <c r="A92" t="s">
        <v>268</v>
      </c>
      <c r="B92" t="s">
        <v>269</v>
      </c>
      <c r="C92" t="s">
        <v>136</v>
      </c>
      <c r="D92">
        <v>2800</v>
      </c>
      <c r="E92">
        <v>10</v>
      </c>
      <c r="F92">
        <v>2070</v>
      </c>
    </row>
    <row r="93" spans="1:6" ht="15.75" customHeight="1">
      <c r="A93" t="s">
        <v>270</v>
      </c>
      <c r="B93" t="s">
        <v>269</v>
      </c>
      <c r="C93" t="s">
        <v>136</v>
      </c>
      <c r="D93">
        <v>2800</v>
      </c>
      <c r="E93">
        <v>16</v>
      </c>
      <c r="F93">
        <v>2070</v>
      </c>
    </row>
    <row r="94" spans="1:6" ht="15.75" customHeight="1">
      <c r="A94" t="s">
        <v>271</v>
      </c>
      <c r="B94" t="s">
        <v>269</v>
      </c>
      <c r="C94" t="s">
        <v>136</v>
      </c>
      <c r="D94">
        <v>2800</v>
      </c>
      <c r="E94">
        <v>18</v>
      </c>
      <c r="F94">
        <v>2070</v>
      </c>
    </row>
    <row r="95" spans="1:6" ht="15.75" customHeight="1">
      <c r="A95" t="s">
        <v>272</v>
      </c>
      <c r="B95" t="s">
        <v>269</v>
      </c>
      <c r="C95" t="s">
        <v>136</v>
      </c>
      <c r="D95">
        <v>2800</v>
      </c>
      <c r="E95">
        <v>25</v>
      </c>
      <c r="F95">
        <v>2070</v>
      </c>
    </row>
    <row r="96" spans="1:6" ht="15.75" customHeight="1">
      <c r="A96" t="s">
        <v>273</v>
      </c>
      <c r="B96" t="s">
        <v>274</v>
      </c>
      <c r="C96" t="s">
        <v>143</v>
      </c>
      <c r="D96">
        <v>2800</v>
      </c>
      <c r="E96">
        <v>18</v>
      </c>
      <c r="F96">
        <v>2070</v>
      </c>
    </row>
    <row r="97" spans="1:6" ht="15.75" customHeight="1">
      <c r="A97" t="s">
        <v>275</v>
      </c>
      <c r="B97" t="s">
        <v>276</v>
      </c>
      <c r="C97" t="s">
        <v>136</v>
      </c>
      <c r="D97">
        <v>2800</v>
      </c>
      <c r="E97">
        <v>18</v>
      </c>
      <c r="F97">
        <v>2070</v>
      </c>
    </row>
    <row r="98" spans="1:6" ht="15.75" customHeight="1">
      <c r="A98" t="s">
        <v>277</v>
      </c>
      <c r="B98" t="s">
        <v>278</v>
      </c>
      <c r="C98" t="s">
        <v>136</v>
      </c>
      <c r="D98">
        <v>2800</v>
      </c>
      <c r="E98">
        <v>18</v>
      </c>
      <c r="F98">
        <v>2070</v>
      </c>
    </row>
    <row r="99" spans="1:6" ht="15.75" customHeight="1">
      <c r="A99" t="s">
        <v>279</v>
      </c>
      <c r="B99" t="s">
        <v>280</v>
      </c>
      <c r="C99" t="s">
        <v>136</v>
      </c>
      <c r="D99">
        <v>2800</v>
      </c>
      <c r="E99">
        <v>10</v>
      </c>
      <c r="F99">
        <v>2070</v>
      </c>
    </row>
    <row r="100" spans="1:6" ht="15.75" customHeight="1">
      <c r="A100" t="s">
        <v>281</v>
      </c>
      <c r="B100" t="s">
        <v>280</v>
      </c>
      <c r="C100" t="s">
        <v>136</v>
      </c>
      <c r="D100">
        <v>2800</v>
      </c>
      <c r="E100">
        <v>16</v>
      </c>
      <c r="F100">
        <v>2070</v>
      </c>
    </row>
    <row r="101" spans="1:6" ht="15.75" customHeight="1">
      <c r="A101" t="s">
        <v>282</v>
      </c>
      <c r="B101" t="s">
        <v>280</v>
      </c>
      <c r="C101" t="s">
        <v>136</v>
      </c>
      <c r="D101">
        <v>2800</v>
      </c>
      <c r="E101">
        <v>25</v>
      </c>
      <c r="F101">
        <v>2070</v>
      </c>
    </row>
    <row r="102" spans="1:6" ht="15.75" customHeight="1">
      <c r="A102" t="s">
        <v>283</v>
      </c>
      <c r="B102" t="s">
        <v>284</v>
      </c>
      <c r="C102" t="s">
        <v>136</v>
      </c>
      <c r="D102">
        <v>2800</v>
      </c>
      <c r="E102">
        <v>16</v>
      </c>
      <c r="F102">
        <v>2070</v>
      </c>
    </row>
    <row r="103" spans="1:6" ht="15.75" customHeight="1">
      <c r="A103" t="s">
        <v>285</v>
      </c>
      <c r="B103" t="s">
        <v>286</v>
      </c>
      <c r="C103" t="s">
        <v>136</v>
      </c>
      <c r="D103">
        <v>2800</v>
      </c>
      <c r="E103">
        <v>10</v>
      </c>
      <c r="F103">
        <v>2070</v>
      </c>
    </row>
    <row r="104" spans="1:6" ht="15.75" customHeight="1">
      <c r="A104" t="s">
        <v>287</v>
      </c>
      <c r="B104" t="s">
        <v>286</v>
      </c>
      <c r="C104" t="s">
        <v>136</v>
      </c>
      <c r="D104">
        <v>2800</v>
      </c>
      <c r="E104">
        <v>16</v>
      </c>
      <c r="F104">
        <v>2070</v>
      </c>
    </row>
    <row r="105" spans="1:6" ht="15.75" customHeight="1">
      <c r="A105" t="s">
        <v>288</v>
      </c>
      <c r="B105" t="s">
        <v>289</v>
      </c>
      <c r="C105" t="s">
        <v>143</v>
      </c>
      <c r="D105">
        <v>2800</v>
      </c>
      <c r="E105">
        <v>18</v>
      </c>
      <c r="F105">
        <v>2070</v>
      </c>
    </row>
    <row r="106" spans="1:6" ht="15.75" customHeight="1">
      <c r="A106" t="s">
        <v>290</v>
      </c>
      <c r="B106" t="s">
        <v>291</v>
      </c>
      <c r="C106" t="s">
        <v>143</v>
      </c>
      <c r="D106">
        <v>2800</v>
      </c>
      <c r="E106">
        <v>18</v>
      </c>
      <c r="F106">
        <v>2070</v>
      </c>
    </row>
    <row r="107" spans="1:6" ht="15.75" customHeight="1">
      <c r="A107" t="s">
        <v>292</v>
      </c>
      <c r="B107" t="s">
        <v>293</v>
      </c>
      <c r="C107" t="s">
        <v>136</v>
      </c>
      <c r="D107">
        <v>2800</v>
      </c>
      <c r="E107">
        <v>18</v>
      </c>
      <c r="F107">
        <v>2070</v>
      </c>
    </row>
    <row r="108" spans="1:6" ht="15.75" customHeight="1">
      <c r="A108" t="s">
        <v>294</v>
      </c>
      <c r="B108" t="s">
        <v>295</v>
      </c>
      <c r="C108" t="s">
        <v>136</v>
      </c>
      <c r="D108">
        <v>2800</v>
      </c>
      <c r="E108">
        <v>18</v>
      </c>
      <c r="F108">
        <v>2070</v>
      </c>
    </row>
    <row r="109" spans="1:6" ht="15.75" customHeight="1">
      <c r="A109" t="s">
        <v>296</v>
      </c>
      <c r="B109" t="s">
        <v>297</v>
      </c>
      <c r="C109" t="s">
        <v>143</v>
      </c>
      <c r="D109">
        <v>2070</v>
      </c>
      <c r="E109">
        <v>18</v>
      </c>
      <c r="F109">
        <v>2800</v>
      </c>
    </row>
    <row r="110" spans="1:6" ht="15.75" customHeight="1">
      <c r="A110" t="s">
        <v>298</v>
      </c>
      <c r="B110" t="s">
        <v>299</v>
      </c>
      <c r="C110" t="s">
        <v>143</v>
      </c>
      <c r="D110">
        <v>2800</v>
      </c>
      <c r="E110">
        <v>10</v>
      </c>
      <c r="F110">
        <v>2070</v>
      </c>
    </row>
    <row r="111" spans="1:6" ht="15.75" customHeight="1">
      <c r="A111" t="s">
        <v>300</v>
      </c>
      <c r="B111" t="s">
        <v>299</v>
      </c>
      <c r="C111" t="s">
        <v>143</v>
      </c>
      <c r="D111">
        <v>2800</v>
      </c>
      <c r="E111">
        <v>18</v>
      </c>
      <c r="F111">
        <v>2070</v>
      </c>
    </row>
    <row r="112" spans="1:6" ht="15.75" customHeight="1">
      <c r="A112" t="s">
        <v>301</v>
      </c>
      <c r="B112" t="s">
        <v>302</v>
      </c>
      <c r="C112" t="s">
        <v>136</v>
      </c>
      <c r="D112">
        <v>2800</v>
      </c>
      <c r="E112">
        <v>10</v>
      </c>
      <c r="F112">
        <v>2070</v>
      </c>
    </row>
    <row r="113" spans="1:6" ht="15.75" customHeight="1">
      <c r="A113" t="s">
        <v>303</v>
      </c>
      <c r="B113" t="s">
        <v>302</v>
      </c>
      <c r="C113" t="s">
        <v>136</v>
      </c>
      <c r="D113">
        <v>2800</v>
      </c>
      <c r="E113">
        <v>16</v>
      </c>
      <c r="F113">
        <v>2070</v>
      </c>
    </row>
    <row r="114" spans="1:6" ht="15.75" customHeight="1">
      <c r="A114" t="s">
        <v>304</v>
      </c>
      <c r="B114" t="s">
        <v>302</v>
      </c>
      <c r="C114" t="s">
        <v>136</v>
      </c>
      <c r="D114">
        <v>2800</v>
      </c>
      <c r="E114">
        <v>18</v>
      </c>
      <c r="F114">
        <v>2070</v>
      </c>
    </row>
    <row r="115" spans="1:6" ht="15.75" customHeight="1">
      <c r="A115" t="s">
        <v>305</v>
      </c>
      <c r="B115" t="s">
        <v>302</v>
      </c>
      <c r="C115" t="s">
        <v>136</v>
      </c>
      <c r="D115">
        <v>2800</v>
      </c>
      <c r="E115">
        <v>25</v>
      </c>
      <c r="F115">
        <v>2070</v>
      </c>
    </row>
    <row r="116" spans="1:6" ht="15.75" customHeight="1">
      <c r="A116" t="s">
        <v>306</v>
      </c>
      <c r="B116" t="s">
        <v>307</v>
      </c>
      <c r="C116" t="s">
        <v>143</v>
      </c>
      <c r="D116">
        <v>2800</v>
      </c>
      <c r="E116">
        <v>18</v>
      </c>
      <c r="F116">
        <v>2070</v>
      </c>
    </row>
    <row r="117" spans="1:6" ht="15.75" customHeight="1">
      <c r="A117" t="s">
        <v>308</v>
      </c>
      <c r="B117" t="s">
        <v>309</v>
      </c>
      <c r="C117" t="s">
        <v>143</v>
      </c>
      <c r="D117">
        <v>2800</v>
      </c>
      <c r="E117">
        <v>18</v>
      </c>
      <c r="F117">
        <v>2070</v>
      </c>
    </row>
    <row r="118" spans="1:6" ht="15.75" customHeight="1">
      <c r="A118" t="s">
        <v>310</v>
      </c>
      <c r="B118" t="s">
        <v>311</v>
      </c>
      <c r="C118" t="s">
        <v>143</v>
      </c>
      <c r="D118">
        <v>2800</v>
      </c>
      <c r="E118">
        <v>18</v>
      </c>
      <c r="F118">
        <v>2070</v>
      </c>
    </row>
    <row r="119" spans="1:6" ht="15.75" customHeight="1">
      <c r="A119" t="s">
        <v>312</v>
      </c>
      <c r="B119" t="s">
        <v>313</v>
      </c>
      <c r="C119" t="s">
        <v>143</v>
      </c>
      <c r="D119">
        <v>2800</v>
      </c>
      <c r="E119">
        <v>18</v>
      </c>
      <c r="F119">
        <v>2070</v>
      </c>
    </row>
    <row r="120" spans="1:6" ht="15.75" customHeight="1">
      <c r="A120" t="s">
        <v>314</v>
      </c>
      <c r="B120" t="s">
        <v>315</v>
      </c>
      <c r="C120" t="s">
        <v>136</v>
      </c>
      <c r="D120">
        <v>2800</v>
      </c>
      <c r="E120">
        <v>18.100000000000001</v>
      </c>
      <c r="F120">
        <v>2070</v>
      </c>
    </row>
    <row r="121" spans="1:6" ht="15.75" customHeight="1">
      <c r="A121" t="s">
        <v>316</v>
      </c>
      <c r="B121" t="s">
        <v>317</v>
      </c>
      <c r="C121" t="s">
        <v>136</v>
      </c>
      <c r="D121">
        <v>2800</v>
      </c>
      <c r="E121">
        <v>18.5</v>
      </c>
      <c r="F121">
        <v>2070</v>
      </c>
    </row>
    <row r="122" spans="1:6" ht="15.75" customHeight="1">
      <c r="A122" t="s">
        <v>318</v>
      </c>
      <c r="B122" t="s">
        <v>317</v>
      </c>
      <c r="C122" t="s">
        <v>143</v>
      </c>
      <c r="D122">
        <v>2800</v>
      </c>
      <c r="E122">
        <v>8.5</v>
      </c>
      <c r="F122">
        <v>2070</v>
      </c>
    </row>
    <row r="123" spans="1:6" ht="15.75" customHeight="1">
      <c r="A123" t="s">
        <v>319</v>
      </c>
      <c r="B123" t="s">
        <v>320</v>
      </c>
      <c r="C123" t="s">
        <v>136</v>
      </c>
      <c r="D123">
        <v>2800</v>
      </c>
      <c r="E123">
        <v>18.100000000000001</v>
      </c>
      <c r="F123">
        <v>2070</v>
      </c>
    </row>
    <row r="124" spans="1:6" ht="15.75" customHeight="1">
      <c r="A124" t="s">
        <v>321</v>
      </c>
      <c r="B124" t="s">
        <v>320</v>
      </c>
      <c r="C124" t="s">
        <v>136</v>
      </c>
      <c r="D124">
        <v>2800</v>
      </c>
      <c r="E124">
        <v>25.1</v>
      </c>
      <c r="F124">
        <v>2070</v>
      </c>
    </row>
    <row r="125" spans="1:6" ht="15.75" customHeight="1">
      <c r="A125" t="s">
        <v>322</v>
      </c>
      <c r="B125" t="s">
        <v>320</v>
      </c>
      <c r="C125" t="s">
        <v>136</v>
      </c>
      <c r="D125">
        <v>2800</v>
      </c>
      <c r="E125">
        <v>8.1</v>
      </c>
      <c r="F125">
        <v>2070</v>
      </c>
    </row>
    <row r="126" spans="1:6" ht="15.75" customHeight="1">
      <c r="A126" t="s">
        <v>323</v>
      </c>
      <c r="B126" t="s">
        <v>324</v>
      </c>
      <c r="C126" t="s">
        <v>143</v>
      </c>
      <c r="D126">
        <v>2800</v>
      </c>
      <c r="E126">
        <v>18.100000000000001</v>
      </c>
      <c r="F126">
        <v>2070</v>
      </c>
    </row>
    <row r="127" spans="1:6" ht="15.75" customHeight="1">
      <c r="A127" t="s">
        <v>325</v>
      </c>
      <c r="B127" t="s">
        <v>324</v>
      </c>
      <c r="C127" t="s">
        <v>143</v>
      </c>
      <c r="D127">
        <v>2800</v>
      </c>
      <c r="E127">
        <v>25.1</v>
      </c>
      <c r="F127">
        <v>2070</v>
      </c>
    </row>
    <row r="128" spans="1:6" ht="15.75" customHeight="1">
      <c r="A128" t="s">
        <v>326</v>
      </c>
      <c r="B128" t="s">
        <v>324</v>
      </c>
      <c r="C128" t="s">
        <v>143</v>
      </c>
      <c r="D128">
        <v>2800</v>
      </c>
      <c r="E128">
        <v>8.1</v>
      </c>
      <c r="F128">
        <v>2070</v>
      </c>
    </row>
    <row r="129" spans="1:6" ht="15.75" customHeight="1">
      <c r="A129" t="s">
        <v>327</v>
      </c>
      <c r="B129" t="s">
        <v>328</v>
      </c>
      <c r="C129" t="s">
        <v>136</v>
      </c>
      <c r="D129">
        <v>2800</v>
      </c>
      <c r="E129">
        <v>18.100000000000001</v>
      </c>
      <c r="F129">
        <v>2070</v>
      </c>
    </row>
    <row r="130" spans="1:6" ht="15.75" customHeight="1">
      <c r="A130" t="s">
        <v>329</v>
      </c>
      <c r="B130" t="s">
        <v>328</v>
      </c>
      <c r="C130" t="s">
        <v>136</v>
      </c>
      <c r="D130">
        <v>2800</v>
      </c>
      <c r="E130">
        <v>25.1</v>
      </c>
      <c r="F130">
        <v>2070</v>
      </c>
    </row>
    <row r="131" spans="1:6" ht="15.75" customHeight="1">
      <c r="A131" t="s">
        <v>330</v>
      </c>
      <c r="B131" t="s">
        <v>328</v>
      </c>
      <c r="C131" t="s">
        <v>136</v>
      </c>
      <c r="D131">
        <v>2800</v>
      </c>
      <c r="E131">
        <v>8.1</v>
      </c>
      <c r="F131">
        <v>2070</v>
      </c>
    </row>
    <row r="132" spans="1:6" ht="15.75" customHeight="1">
      <c r="A132" t="s">
        <v>331</v>
      </c>
      <c r="B132" t="s">
        <v>332</v>
      </c>
      <c r="C132" t="s">
        <v>136</v>
      </c>
      <c r="D132">
        <v>2800</v>
      </c>
      <c r="E132">
        <v>18.100000000000001</v>
      </c>
      <c r="F132">
        <v>2070</v>
      </c>
    </row>
    <row r="133" spans="1:6" ht="15.75" customHeight="1">
      <c r="A133" t="s">
        <v>333</v>
      </c>
      <c r="B133" t="s">
        <v>334</v>
      </c>
      <c r="C133" t="s">
        <v>136</v>
      </c>
      <c r="D133">
        <v>2800</v>
      </c>
      <c r="E133">
        <v>18.3</v>
      </c>
      <c r="F133">
        <v>2070</v>
      </c>
    </row>
    <row r="134" spans="1:6" ht="15.75" customHeight="1">
      <c r="A134" t="s">
        <v>335</v>
      </c>
      <c r="B134" t="s">
        <v>336</v>
      </c>
      <c r="C134" t="s">
        <v>143</v>
      </c>
      <c r="D134">
        <v>2800</v>
      </c>
      <c r="E134">
        <v>18.3</v>
      </c>
      <c r="F134">
        <v>2070</v>
      </c>
    </row>
    <row r="135" spans="1:6" ht="15.75" customHeight="1">
      <c r="A135" t="s">
        <v>5550</v>
      </c>
      <c r="B135" t="s">
        <v>5551</v>
      </c>
      <c r="C135" t="s">
        <v>143</v>
      </c>
      <c r="D135">
        <v>2800</v>
      </c>
      <c r="E135">
        <v>18.3</v>
      </c>
      <c r="F135">
        <v>2070</v>
      </c>
    </row>
    <row r="136" spans="1:6" ht="15.75" customHeight="1">
      <c r="A136" t="s">
        <v>337</v>
      </c>
      <c r="B136" t="s">
        <v>338</v>
      </c>
      <c r="C136" t="s">
        <v>143</v>
      </c>
      <c r="D136">
        <v>2800</v>
      </c>
      <c r="E136">
        <v>18.3</v>
      </c>
      <c r="F136">
        <v>2070</v>
      </c>
    </row>
    <row r="137" spans="1:6" ht="15.75" customHeight="1">
      <c r="A137" t="s">
        <v>339</v>
      </c>
      <c r="B137" t="s">
        <v>340</v>
      </c>
      <c r="C137" t="s">
        <v>143</v>
      </c>
      <c r="D137">
        <v>2800</v>
      </c>
      <c r="E137">
        <v>18.5</v>
      </c>
      <c r="F137">
        <v>2070</v>
      </c>
    </row>
    <row r="138" spans="1:6" ht="15.75" customHeight="1">
      <c r="A138" t="s">
        <v>341</v>
      </c>
      <c r="B138" t="s">
        <v>342</v>
      </c>
      <c r="C138" t="s">
        <v>136</v>
      </c>
      <c r="D138">
        <v>2800</v>
      </c>
      <c r="E138">
        <v>18.600000000000001</v>
      </c>
      <c r="F138">
        <v>2070</v>
      </c>
    </row>
    <row r="139" spans="1:6" ht="15.75" customHeight="1">
      <c r="A139" t="s">
        <v>343</v>
      </c>
      <c r="B139" t="s">
        <v>344</v>
      </c>
      <c r="C139" t="s">
        <v>136</v>
      </c>
      <c r="D139">
        <v>2800</v>
      </c>
      <c r="E139">
        <v>18.600000000000001</v>
      </c>
      <c r="F139">
        <v>2070</v>
      </c>
    </row>
    <row r="140" spans="1:6" ht="15.75" customHeight="1">
      <c r="A140" t="s">
        <v>345</v>
      </c>
      <c r="B140" t="s">
        <v>346</v>
      </c>
      <c r="C140" t="s">
        <v>136</v>
      </c>
      <c r="D140">
        <v>2800</v>
      </c>
      <c r="E140">
        <v>18.3</v>
      </c>
      <c r="F140">
        <v>2070</v>
      </c>
    </row>
    <row r="141" spans="1:6" ht="15.75" customHeight="1">
      <c r="A141" t="s">
        <v>347</v>
      </c>
      <c r="B141" t="s">
        <v>348</v>
      </c>
      <c r="C141" t="s">
        <v>143</v>
      </c>
      <c r="D141">
        <v>2800</v>
      </c>
      <c r="E141">
        <v>18.3</v>
      </c>
      <c r="F141">
        <v>2070</v>
      </c>
    </row>
    <row r="142" spans="1:6" ht="15.75" customHeight="1">
      <c r="A142" t="s">
        <v>349</v>
      </c>
      <c r="B142" t="s">
        <v>350</v>
      </c>
      <c r="C142" t="s">
        <v>143</v>
      </c>
      <c r="D142">
        <v>2800</v>
      </c>
      <c r="E142">
        <v>18.3</v>
      </c>
      <c r="F142">
        <v>2070</v>
      </c>
    </row>
    <row r="143" spans="1:6" ht="15.75" customHeight="1">
      <c r="A143" t="s">
        <v>351</v>
      </c>
      <c r="B143" t="s">
        <v>352</v>
      </c>
      <c r="C143" t="s">
        <v>136</v>
      </c>
      <c r="D143">
        <v>2800</v>
      </c>
      <c r="E143">
        <v>18.3</v>
      </c>
      <c r="F143">
        <v>2070</v>
      </c>
    </row>
    <row r="144" spans="1:6" ht="15.75" customHeight="1">
      <c r="A144" t="s">
        <v>353</v>
      </c>
      <c r="B144" t="s">
        <v>354</v>
      </c>
      <c r="C144" t="s">
        <v>143</v>
      </c>
      <c r="D144">
        <v>2800</v>
      </c>
      <c r="E144">
        <v>18.5</v>
      </c>
      <c r="F144">
        <v>2070</v>
      </c>
    </row>
    <row r="145" spans="1:6" ht="15.75" customHeight="1">
      <c r="A145" t="s">
        <v>355</v>
      </c>
      <c r="B145" t="s">
        <v>356</v>
      </c>
      <c r="C145" t="s">
        <v>136</v>
      </c>
      <c r="D145">
        <v>2800</v>
      </c>
      <c r="E145">
        <v>18.3</v>
      </c>
      <c r="F145">
        <v>2070</v>
      </c>
    </row>
    <row r="146" spans="1:6" ht="15.75" customHeight="1">
      <c r="A146" t="s">
        <v>357</v>
      </c>
      <c r="B146" t="s">
        <v>356</v>
      </c>
      <c r="C146" t="s">
        <v>136</v>
      </c>
      <c r="D146">
        <v>2800</v>
      </c>
      <c r="E146">
        <v>8.3000000000000007</v>
      </c>
      <c r="F146">
        <v>2070</v>
      </c>
    </row>
    <row r="147" spans="1:6" ht="15.75" customHeight="1">
      <c r="A147" t="s">
        <v>358</v>
      </c>
      <c r="B147" t="s">
        <v>359</v>
      </c>
      <c r="C147" t="s">
        <v>136</v>
      </c>
      <c r="D147">
        <v>2800</v>
      </c>
      <c r="E147">
        <v>18.3</v>
      </c>
      <c r="F147">
        <v>2070</v>
      </c>
    </row>
    <row r="148" spans="1:6" ht="15.75" customHeight="1">
      <c r="A148" t="s">
        <v>360</v>
      </c>
      <c r="B148" t="s">
        <v>361</v>
      </c>
      <c r="C148" t="s">
        <v>136</v>
      </c>
      <c r="D148">
        <v>2800</v>
      </c>
      <c r="E148">
        <v>18.3</v>
      </c>
      <c r="F148">
        <v>2070</v>
      </c>
    </row>
    <row r="149" spans="1:6" ht="15.75" customHeight="1">
      <c r="A149" t="s">
        <v>362</v>
      </c>
      <c r="B149" t="s">
        <v>363</v>
      </c>
      <c r="C149" t="s">
        <v>136</v>
      </c>
      <c r="D149">
        <v>2800</v>
      </c>
      <c r="E149">
        <v>18.3</v>
      </c>
      <c r="F149">
        <v>2070</v>
      </c>
    </row>
    <row r="150" spans="1:6" ht="15.75" customHeight="1">
      <c r="A150" t="s">
        <v>364</v>
      </c>
      <c r="B150" t="s">
        <v>363</v>
      </c>
      <c r="C150" t="s">
        <v>136</v>
      </c>
      <c r="D150">
        <v>2800</v>
      </c>
      <c r="E150">
        <v>8.3000000000000007</v>
      </c>
      <c r="F150">
        <v>2070</v>
      </c>
    </row>
    <row r="151" spans="1:6" ht="15.75" customHeight="1">
      <c r="A151" t="s">
        <v>365</v>
      </c>
      <c r="B151" t="s">
        <v>366</v>
      </c>
      <c r="C151" t="s">
        <v>143</v>
      </c>
      <c r="D151">
        <v>2800</v>
      </c>
      <c r="E151">
        <v>18.100000000000001</v>
      </c>
      <c r="F151">
        <v>2070</v>
      </c>
    </row>
    <row r="152" spans="1:6" ht="15.75" customHeight="1">
      <c r="A152" t="s">
        <v>367</v>
      </c>
      <c r="B152" t="s">
        <v>368</v>
      </c>
      <c r="C152" t="s">
        <v>143</v>
      </c>
      <c r="D152">
        <v>2800</v>
      </c>
      <c r="E152">
        <v>18.5</v>
      </c>
      <c r="F152">
        <v>2070</v>
      </c>
    </row>
    <row r="153" spans="1:6" ht="15.75" customHeight="1">
      <c r="A153" t="s">
        <v>369</v>
      </c>
      <c r="B153" t="s">
        <v>368</v>
      </c>
      <c r="C153" t="s">
        <v>143</v>
      </c>
      <c r="D153">
        <v>2800</v>
      </c>
      <c r="E153">
        <v>8.5</v>
      </c>
      <c r="F153">
        <v>2070</v>
      </c>
    </row>
    <row r="154" spans="1:6" ht="15.75" customHeight="1">
      <c r="A154" t="s">
        <v>370</v>
      </c>
      <c r="B154" t="s">
        <v>371</v>
      </c>
      <c r="C154" t="s">
        <v>143</v>
      </c>
      <c r="D154">
        <v>2800</v>
      </c>
      <c r="E154">
        <v>18.100000000000001</v>
      </c>
      <c r="F154">
        <v>2070</v>
      </c>
    </row>
    <row r="155" spans="1:6" ht="15.75" customHeight="1">
      <c r="A155" t="s">
        <v>372</v>
      </c>
      <c r="B155" t="s">
        <v>373</v>
      </c>
      <c r="C155" t="s">
        <v>143</v>
      </c>
      <c r="D155">
        <v>2800</v>
      </c>
      <c r="E155">
        <v>18.5</v>
      </c>
      <c r="F155">
        <v>2070</v>
      </c>
    </row>
    <row r="156" spans="1:6" ht="15.75" customHeight="1">
      <c r="A156" t="s">
        <v>374</v>
      </c>
      <c r="B156" t="s">
        <v>375</v>
      </c>
      <c r="C156" t="s">
        <v>143</v>
      </c>
      <c r="D156">
        <v>2800</v>
      </c>
      <c r="E156">
        <v>18.5</v>
      </c>
      <c r="F156">
        <v>2070</v>
      </c>
    </row>
    <row r="157" spans="1:6" ht="15.75" customHeight="1">
      <c r="A157" t="s">
        <v>376</v>
      </c>
      <c r="B157" t="s">
        <v>377</v>
      </c>
      <c r="C157" t="s">
        <v>143</v>
      </c>
      <c r="D157">
        <v>2800</v>
      </c>
      <c r="E157">
        <v>18.5</v>
      </c>
      <c r="F157">
        <v>2070</v>
      </c>
    </row>
    <row r="158" spans="1:6" ht="15.75" customHeight="1">
      <c r="A158" t="s">
        <v>378</v>
      </c>
      <c r="B158" t="s">
        <v>379</v>
      </c>
      <c r="C158" t="s">
        <v>143</v>
      </c>
      <c r="D158">
        <v>2800</v>
      </c>
      <c r="E158">
        <v>18.100000000000001</v>
      </c>
      <c r="F158">
        <v>2070</v>
      </c>
    </row>
    <row r="159" spans="1:6" ht="15.75" customHeight="1">
      <c r="A159" t="s">
        <v>380</v>
      </c>
      <c r="B159" t="s">
        <v>381</v>
      </c>
      <c r="C159" t="s">
        <v>143</v>
      </c>
      <c r="D159">
        <v>2800</v>
      </c>
      <c r="E159">
        <v>18.100000000000001</v>
      </c>
      <c r="F159">
        <v>2070</v>
      </c>
    </row>
    <row r="160" spans="1:6" ht="15.75" customHeight="1">
      <c r="A160" t="s">
        <v>382</v>
      </c>
      <c r="B160" t="s">
        <v>383</v>
      </c>
      <c r="C160" t="s">
        <v>143</v>
      </c>
      <c r="D160">
        <v>2800</v>
      </c>
      <c r="E160">
        <v>18.100000000000001</v>
      </c>
      <c r="F160">
        <v>2070</v>
      </c>
    </row>
    <row r="161" spans="1:6" ht="15.75" customHeight="1">
      <c r="A161" t="s">
        <v>384</v>
      </c>
      <c r="B161" t="s">
        <v>385</v>
      </c>
      <c r="C161" t="s">
        <v>136</v>
      </c>
      <c r="D161">
        <v>2800</v>
      </c>
      <c r="E161">
        <v>18.100000000000001</v>
      </c>
      <c r="F161">
        <v>2070</v>
      </c>
    </row>
    <row r="162" spans="1:6" ht="15.75" customHeight="1">
      <c r="A162" t="s">
        <v>386</v>
      </c>
      <c r="B162" t="s">
        <v>387</v>
      </c>
      <c r="C162" t="s">
        <v>136</v>
      </c>
      <c r="D162">
        <v>2800</v>
      </c>
      <c r="E162">
        <v>18.3</v>
      </c>
      <c r="F162">
        <v>2070</v>
      </c>
    </row>
    <row r="163" spans="1:6" ht="15.75" customHeight="1">
      <c r="A163" t="s">
        <v>388</v>
      </c>
      <c r="B163" t="s">
        <v>389</v>
      </c>
      <c r="C163" t="s">
        <v>136</v>
      </c>
      <c r="D163">
        <v>2800</v>
      </c>
      <c r="E163">
        <v>18.3</v>
      </c>
      <c r="F163">
        <v>2070</v>
      </c>
    </row>
    <row r="164" spans="1:6" ht="15.75" customHeight="1">
      <c r="A164" t="s">
        <v>390</v>
      </c>
      <c r="B164" t="s">
        <v>391</v>
      </c>
      <c r="C164" t="s">
        <v>136</v>
      </c>
      <c r="D164">
        <v>2800</v>
      </c>
      <c r="E164">
        <v>18.3</v>
      </c>
      <c r="F164">
        <v>2070</v>
      </c>
    </row>
    <row r="165" spans="1:6" ht="15.75" customHeight="1">
      <c r="A165" t="s">
        <v>392</v>
      </c>
      <c r="B165" t="s">
        <v>393</v>
      </c>
      <c r="C165" t="s">
        <v>136</v>
      </c>
      <c r="D165">
        <v>2800</v>
      </c>
      <c r="E165">
        <v>18.5</v>
      </c>
      <c r="F165">
        <v>2070</v>
      </c>
    </row>
    <row r="166" spans="1:6" ht="15.75" customHeight="1">
      <c r="A166" t="s">
        <v>394</v>
      </c>
      <c r="B166" t="s">
        <v>395</v>
      </c>
      <c r="C166" t="s">
        <v>136</v>
      </c>
      <c r="D166">
        <v>2800</v>
      </c>
      <c r="E166">
        <v>18.5</v>
      </c>
      <c r="F166">
        <v>2070</v>
      </c>
    </row>
    <row r="167" spans="1:6" ht="15.75" customHeight="1">
      <c r="A167" t="s">
        <v>396</v>
      </c>
      <c r="B167" t="s">
        <v>397</v>
      </c>
      <c r="C167" t="s">
        <v>136</v>
      </c>
      <c r="D167">
        <v>2800</v>
      </c>
      <c r="E167">
        <v>18.5</v>
      </c>
      <c r="F167">
        <v>2070</v>
      </c>
    </row>
    <row r="168" spans="1:6" ht="15.75" customHeight="1">
      <c r="A168" t="s">
        <v>398</v>
      </c>
      <c r="B168" t="s">
        <v>399</v>
      </c>
      <c r="C168" t="s">
        <v>143</v>
      </c>
      <c r="D168">
        <v>2800</v>
      </c>
      <c r="E168">
        <v>18.5</v>
      </c>
      <c r="F168">
        <v>2070</v>
      </c>
    </row>
    <row r="169" spans="1:6" ht="15.75" customHeight="1">
      <c r="A169" t="s">
        <v>400</v>
      </c>
      <c r="B169" t="s">
        <v>401</v>
      </c>
      <c r="C169" t="s">
        <v>143</v>
      </c>
      <c r="D169">
        <v>2800</v>
      </c>
      <c r="E169">
        <v>18.5</v>
      </c>
      <c r="F169">
        <v>2070</v>
      </c>
    </row>
    <row r="170" spans="1:6" ht="15.75" customHeight="1">
      <c r="A170" t="s">
        <v>402</v>
      </c>
      <c r="B170" t="s">
        <v>403</v>
      </c>
      <c r="C170" t="s">
        <v>143</v>
      </c>
      <c r="D170">
        <v>2800</v>
      </c>
      <c r="E170">
        <v>18.5</v>
      </c>
      <c r="F170">
        <v>2070</v>
      </c>
    </row>
    <row r="171" spans="1:6" ht="15.75" customHeight="1">
      <c r="A171" t="s">
        <v>404</v>
      </c>
      <c r="B171" t="s">
        <v>405</v>
      </c>
      <c r="C171" t="s">
        <v>143</v>
      </c>
      <c r="D171">
        <v>2800</v>
      </c>
      <c r="E171">
        <v>18.5</v>
      </c>
      <c r="F171">
        <v>2070</v>
      </c>
    </row>
    <row r="172" spans="1:6" ht="15.75" customHeight="1">
      <c r="A172" t="s">
        <v>5552</v>
      </c>
      <c r="B172" t="s">
        <v>5553</v>
      </c>
      <c r="C172" t="s">
        <v>136</v>
      </c>
      <c r="D172">
        <v>2800</v>
      </c>
      <c r="E172">
        <v>18.3</v>
      </c>
      <c r="F172">
        <v>2070</v>
      </c>
    </row>
    <row r="173" spans="1:6" ht="15.75" customHeight="1">
      <c r="A173" t="s">
        <v>5554</v>
      </c>
      <c r="B173" t="s">
        <v>5555</v>
      </c>
      <c r="C173" t="s">
        <v>136</v>
      </c>
      <c r="D173">
        <v>2800</v>
      </c>
      <c r="E173">
        <v>18.3</v>
      </c>
      <c r="F173">
        <v>2070</v>
      </c>
    </row>
    <row r="174" spans="1:6" ht="15.75" customHeight="1">
      <c r="A174" t="s">
        <v>5556</v>
      </c>
      <c r="B174" t="s">
        <v>5557</v>
      </c>
      <c r="C174" t="s">
        <v>136</v>
      </c>
      <c r="D174">
        <v>2800</v>
      </c>
      <c r="E174">
        <v>18.3</v>
      </c>
      <c r="F174">
        <v>2070</v>
      </c>
    </row>
    <row r="175" spans="1:6" ht="15.75" customHeight="1">
      <c r="A175" t="s">
        <v>5558</v>
      </c>
      <c r="B175" t="s">
        <v>5559</v>
      </c>
      <c r="C175" t="s">
        <v>136</v>
      </c>
      <c r="D175">
        <v>2800</v>
      </c>
      <c r="E175">
        <v>18.3</v>
      </c>
      <c r="F175">
        <v>2070</v>
      </c>
    </row>
    <row r="176" spans="1:6" ht="15.75" customHeight="1">
      <c r="A176" t="s">
        <v>5560</v>
      </c>
      <c r="B176" t="s">
        <v>5561</v>
      </c>
      <c r="C176" t="s">
        <v>136</v>
      </c>
      <c r="D176">
        <v>2800</v>
      </c>
      <c r="E176">
        <v>18.100000000000001</v>
      </c>
      <c r="F176">
        <v>2070</v>
      </c>
    </row>
    <row r="177" spans="1:6" ht="15.75" customHeight="1">
      <c r="A177" t="s">
        <v>5562</v>
      </c>
      <c r="B177" t="s">
        <v>5563</v>
      </c>
      <c r="C177" t="s">
        <v>136</v>
      </c>
      <c r="D177">
        <v>2800</v>
      </c>
      <c r="E177">
        <v>18.100000000000001</v>
      </c>
      <c r="F177">
        <v>2070</v>
      </c>
    </row>
    <row r="178" spans="1:6" ht="15.75" customHeight="1">
      <c r="A178" t="s">
        <v>5564</v>
      </c>
      <c r="B178" t="s">
        <v>5565</v>
      </c>
      <c r="C178" t="s">
        <v>143</v>
      </c>
      <c r="D178">
        <v>2800</v>
      </c>
      <c r="E178">
        <v>18.3</v>
      </c>
      <c r="F178">
        <v>2070</v>
      </c>
    </row>
    <row r="179" spans="1:6" ht="15.75" customHeight="1">
      <c r="A179" t="s">
        <v>5566</v>
      </c>
      <c r="B179" t="s">
        <v>5565</v>
      </c>
      <c r="C179" t="s">
        <v>136</v>
      </c>
      <c r="D179">
        <v>2800</v>
      </c>
      <c r="E179">
        <v>18.899999999999999</v>
      </c>
      <c r="F179">
        <v>2070</v>
      </c>
    </row>
    <row r="180" spans="1:6" ht="15.75" customHeight="1">
      <c r="A180" t="s">
        <v>5567</v>
      </c>
      <c r="B180" t="s">
        <v>5568</v>
      </c>
      <c r="C180" t="s">
        <v>143</v>
      </c>
      <c r="D180">
        <v>2800</v>
      </c>
      <c r="E180">
        <v>18.3</v>
      </c>
      <c r="F180">
        <v>2070</v>
      </c>
    </row>
    <row r="181" spans="1:6" ht="15.75" customHeight="1">
      <c r="A181" t="s">
        <v>5569</v>
      </c>
      <c r="B181" t="s">
        <v>5570</v>
      </c>
      <c r="C181" t="s">
        <v>143</v>
      </c>
      <c r="D181">
        <v>2800</v>
      </c>
      <c r="E181">
        <v>18.3</v>
      </c>
      <c r="F181">
        <v>2070</v>
      </c>
    </row>
    <row r="182" spans="1:6" ht="15.75" customHeight="1">
      <c r="A182" t="s">
        <v>5571</v>
      </c>
      <c r="B182" t="s">
        <v>5572</v>
      </c>
      <c r="C182" t="s">
        <v>136</v>
      </c>
      <c r="D182">
        <v>2800</v>
      </c>
      <c r="E182">
        <v>18.100000000000001</v>
      </c>
      <c r="F182">
        <v>2070</v>
      </c>
    </row>
    <row r="183" spans="1:6" ht="15.75" customHeight="1">
      <c r="A183" t="s">
        <v>5573</v>
      </c>
      <c r="B183" t="s">
        <v>5574</v>
      </c>
      <c r="C183" t="s">
        <v>136</v>
      </c>
      <c r="D183">
        <v>2800</v>
      </c>
      <c r="E183">
        <v>18.100000000000001</v>
      </c>
      <c r="F183">
        <v>2070</v>
      </c>
    </row>
    <row r="184" spans="1:6" ht="15.75" customHeight="1">
      <c r="A184" t="s">
        <v>5575</v>
      </c>
      <c r="B184" t="s">
        <v>5576</v>
      </c>
      <c r="C184" t="s">
        <v>143</v>
      </c>
      <c r="D184">
        <v>2800</v>
      </c>
      <c r="E184">
        <v>18.3</v>
      </c>
      <c r="F184">
        <v>2070</v>
      </c>
    </row>
    <row r="185" spans="1:6" ht="15.75" customHeight="1">
      <c r="A185" t="s">
        <v>406</v>
      </c>
      <c r="B185" t="s">
        <v>173</v>
      </c>
      <c r="C185" t="s">
        <v>136</v>
      </c>
      <c r="D185">
        <v>2800</v>
      </c>
      <c r="E185">
        <v>20</v>
      </c>
      <c r="F185">
        <v>2070</v>
      </c>
    </row>
    <row r="186" spans="1:6" ht="15.75" customHeight="1">
      <c r="A186" t="s">
        <v>407</v>
      </c>
      <c r="B186" t="s">
        <v>176</v>
      </c>
      <c r="C186" t="s">
        <v>136</v>
      </c>
      <c r="D186">
        <v>2800</v>
      </c>
      <c r="E186">
        <v>20</v>
      </c>
      <c r="F186">
        <v>2070</v>
      </c>
    </row>
    <row r="187" spans="1:6" ht="15.75" customHeight="1">
      <c r="A187" t="s">
        <v>408</v>
      </c>
      <c r="B187" t="s">
        <v>178</v>
      </c>
      <c r="C187" t="s">
        <v>136</v>
      </c>
      <c r="D187">
        <v>2800</v>
      </c>
      <c r="E187">
        <v>20</v>
      </c>
      <c r="F187">
        <v>2070</v>
      </c>
    </row>
    <row r="188" spans="1:6" ht="15.75" customHeight="1">
      <c r="A188" t="s">
        <v>409</v>
      </c>
      <c r="B188" t="s">
        <v>410</v>
      </c>
      <c r="C188" t="s">
        <v>136</v>
      </c>
      <c r="D188">
        <v>2800</v>
      </c>
      <c r="E188">
        <v>20</v>
      </c>
      <c r="F188">
        <v>2070</v>
      </c>
    </row>
    <row r="189" spans="1:6" ht="15.75" customHeight="1">
      <c r="A189" t="s">
        <v>411</v>
      </c>
      <c r="B189" t="s">
        <v>185</v>
      </c>
      <c r="C189" t="s">
        <v>136</v>
      </c>
      <c r="D189">
        <v>2800</v>
      </c>
      <c r="E189">
        <v>20</v>
      </c>
      <c r="F189">
        <v>2070</v>
      </c>
    </row>
    <row r="190" spans="1:6" ht="15.75" customHeight="1">
      <c r="A190" t="s">
        <v>412</v>
      </c>
      <c r="B190" t="s">
        <v>187</v>
      </c>
      <c r="C190" t="s">
        <v>136</v>
      </c>
      <c r="D190">
        <v>2800</v>
      </c>
      <c r="E190">
        <v>20</v>
      </c>
      <c r="F190">
        <v>2070</v>
      </c>
    </row>
    <row r="191" spans="1:6" ht="15.75" customHeight="1">
      <c r="A191" t="s">
        <v>413</v>
      </c>
      <c r="B191" t="s">
        <v>414</v>
      </c>
      <c r="C191" t="s">
        <v>143</v>
      </c>
      <c r="D191">
        <v>2800</v>
      </c>
      <c r="E191">
        <v>16</v>
      </c>
      <c r="F191">
        <v>2070</v>
      </c>
    </row>
    <row r="192" spans="1:6" ht="15.75" customHeight="1">
      <c r="A192" t="s">
        <v>415</v>
      </c>
      <c r="B192" t="s">
        <v>414</v>
      </c>
      <c r="C192" t="s">
        <v>143</v>
      </c>
      <c r="D192">
        <v>2800</v>
      </c>
      <c r="E192">
        <v>18</v>
      </c>
      <c r="F192">
        <v>2070</v>
      </c>
    </row>
    <row r="193" spans="1:6" ht="15.75" customHeight="1">
      <c r="A193" t="s">
        <v>416</v>
      </c>
      <c r="B193" t="s">
        <v>414</v>
      </c>
      <c r="C193" t="s">
        <v>143</v>
      </c>
      <c r="D193">
        <v>2800</v>
      </c>
      <c r="E193">
        <v>25</v>
      </c>
      <c r="F193">
        <v>2070</v>
      </c>
    </row>
    <row r="194" spans="1:6" ht="15.75" customHeight="1">
      <c r="A194" t="s">
        <v>417</v>
      </c>
      <c r="B194" t="s">
        <v>418</v>
      </c>
      <c r="C194" t="s">
        <v>143</v>
      </c>
      <c r="D194">
        <v>2800</v>
      </c>
      <c r="E194">
        <v>10</v>
      </c>
      <c r="F194">
        <v>2070</v>
      </c>
    </row>
    <row r="195" spans="1:6" ht="15.75" customHeight="1">
      <c r="A195" t="s">
        <v>419</v>
      </c>
      <c r="B195" t="s">
        <v>418</v>
      </c>
      <c r="C195" t="s">
        <v>143</v>
      </c>
      <c r="D195">
        <v>2800</v>
      </c>
      <c r="E195">
        <v>18</v>
      </c>
      <c r="F195">
        <v>2070</v>
      </c>
    </row>
    <row r="196" spans="1:6" ht="15.75" customHeight="1">
      <c r="A196" t="s">
        <v>420</v>
      </c>
      <c r="B196" t="s">
        <v>418</v>
      </c>
      <c r="C196" t="s">
        <v>143</v>
      </c>
      <c r="D196">
        <v>2800</v>
      </c>
      <c r="E196">
        <v>25</v>
      </c>
      <c r="F196">
        <v>2070</v>
      </c>
    </row>
    <row r="197" spans="1:6" ht="15.75" customHeight="1">
      <c r="A197" t="s">
        <v>421</v>
      </c>
      <c r="B197" t="s">
        <v>422</v>
      </c>
      <c r="C197" t="s">
        <v>143</v>
      </c>
      <c r="D197">
        <v>2800</v>
      </c>
      <c r="E197">
        <v>18</v>
      </c>
      <c r="F197">
        <v>2070</v>
      </c>
    </row>
    <row r="198" spans="1:6" ht="15.75" customHeight="1">
      <c r="A198" t="s">
        <v>423</v>
      </c>
      <c r="B198" t="s">
        <v>424</v>
      </c>
      <c r="C198" t="s">
        <v>143</v>
      </c>
      <c r="D198">
        <v>2800</v>
      </c>
      <c r="E198">
        <v>16</v>
      </c>
      <c r="F198">
        <v>2070</v>
      </c>
    </row>
    <row r="199" spans="1:6" ht="15.75" customHeight="1">
      <c r="A199" t="s">
        <v>425</v>
      </c>
      <c r="B199" t="s">
        <v>424</v>
      </c>
      <c r="C199" t="s">
        <v>143</v>
      </c>
      <c r="D199">
        <v>2800</v>
      </c>
      <c r="E199">
        <v>18</v>
      </c>
      <c r="F199">
        <v>2070</v>
      </c>
    </row>
    <row r="200" spans="1:6" ht="15.75" customHeight="1">
      <c r="A200" t="s">
        <v>426</v>
      </c>
      <c r="B200" t="s">
        <v>427</v>
      </c>
      <c r="C200" t="s">
        <v>143</v>
      </c>
      <c r="D200">
        <v>2800</v>
      </c>
      <c r="E200">
        <v>16</v>
      </c>
      <c r="F200">
        <v>2070</v>
      </c>
    </row>
    <row r="201" spans="1:6" ht="15.75" customHeight="1">
      <c r="A201" t="s">
        <v>428</v>
      </c>
      <c r="B201" t="s">
        <v>427</v>
      </c>
      <c r="C201" t="s">
        <v>143</v>
      </c>
      <c r="D201">
        <v>2800</v>
      </c>
      <c r="E201">
        <v>18</v>
      </c>
      <c r="F201">
        <v>2070</v>
      </c>
    </row>
    <row r="202" spans="1:6" ht="15.75" customHeight="1">
      <c r="A202" t="s">
        <v>429</v>
      </c>
      <c r="B202" t="s">
        <v>427</v>
      </c>
      <c r="C202" t="s">
        <v>143</v>
      </c>
      <c r="D202">
        <v>2800</v>
      </c>
      <c r="E202">
        <v>25</v>
      </c>
      <c r="F202">
        <v>2070</v>
      </c>
    </row>
    <row r="203" spans="1:6" ht="15.75" customHeight="1">
      <c r="A203" t="s">
        <v>430</v>
      </c>
      <c r="B203" t="s">
        <v>431</v>
      </c>
      <c r="C203" t="s">
        <v>143</v>
      </c>
      <c r="D203">
        <v>2800</v>
      </c>
      <c r="E203">
        <v>16</v>
      </c>
      <c r="F203">
        <v>2070</v>
      </c>
    </row>
    <row r="204" spans="1:6" ht="15.75" customHeight="1">
      <c r="A204" t="s">
        <v>432</v>
      </c>
      <c r="B204" t="s">
        <v>431</v>
      </c>
      <c r="C204" t="s">
        <v>143</v>
      </c>
      <c r="D204">
        <v>2800</v>
      </c>
      <c r="E204">
        <v>18</v>
      </c>
      <c r="F204">
        <v>2070</v>
      </c>
    </row>
    <row r="205" spans="1:6" ht="15.75" customHeight="1">
      <c r="A205" t="s">
        <v>433</v>
      </c>
      <c r="B205" t="s">
        <v>431</v>
      </c>
      <c r="C205" t="s">
        <v>143</v>
      </c>
      <c r="D205">
        <v>2800</v>
      </c>
      <c r="E205">
        <v>25</v>
      </c>
      <c r="F205">
        <v>2070</v>
      </c>
    </row>
    <row r="206" spans="1:6" ht="15.75" customHeight="1">
      <c r="A206" t="s">
        <v>434</v>
      </c>
      <c r="B206" t="s">
        <v>435</v>
      </c>
      <c r="C206" t="s">
        <v>143</v>
      </c>
      <c r="D206">
        <v>2800</v>
      </c>
      <c r="E206">
        <v>10</v>
      </c>
      <c r="F206">
        <v>2070</v>
      </c>
    </row>
    <row r="207" spans="1:6" ht="15.75" customHeight="1">
      <c r="A207" t="s">
        <v>436</v>
      </c>
      <c r="B207" t="s">
        <v>435</v>
      </c>
      <c r="C207" t="s">
        <v>143</v>
      </c>
      <c r="D207">
        <v>2800</v>
      </c>
      <c r="E207">
        <v>16</v>
      </c>
      <c r="F207">
        <v>2070</v>
      </c>
    </row>
    <row r="208" spans="1:6" ht="15.75" customHeight="1">
      <c r="A208" t="s">
        <v>437</v>
      </c>
      <c r="B208" t="s">
        <v>435</v>
      </c>
      <c r="C208" t="s">
        <v>143</v>
      </c>
      <c r="D208">
        <v>2800</v>
      </c>
      <c r="E208">
        <v>18</v>
      </c>
      <c r="F208">
        <v>2070</v>
      </c>
    </row>
    <row r="209" spans="1:6" ht="15.75" customHeight="1">
      <c r="A209" t="s">
        <v>438</v>
      </c>
      <c r="B209" t="s">
        <v>435</v>
      </c>
      <c r="C209" t="s">
        <v>143</v>
      </c>
      <c r="D209">
        <v>2800</v>
      </c>
      <c r="E209">
        <v>25</v>
      </c>
      <c r="F209">
        <v>2070</v>
      </c>
    </row>
    <row r="210" spans="1:6" ht="15.75" customHeight="1">
      <c r="A210" t="s">
        <v>439</v>
      </c>
      <c r="B210" t="s">
        <v>440</v>
      </c>
      <c r="C210" t="s">
        <v>143</v>
      </c>
      <c r="D210">
        <v>2800</v>
      </c>
      <c r="E210">
        <v>10</v>
      </c>
      <c r="F210">
        <v>2070</v>
      </c>
    </row>
    <row r="211" spans="1:6" ht="15.75" customHeight="1">
      <c r="A211" t="s">
        <v>441</v>
      </c>
      <c r="B211" t="s">
        <v>440</v>
      </c>
      <c r="C211" t="s">
        <v>143</v>
      </c>
      <c r="D211">
        <v>2800</v>
      </c>
      <c r="E211">
        <v>16</v>
      </c>
      <c r="F211">
        <v>2070</v>
      </c>
    </row>
    <row r="212" spans="1:6" ht="15.75" customHeight="1">
      <c r="A212" t="s">
        <v>442</v>
      </c>
      <c r="B212" t="s">
        <v>440</v>
      </c>
      <c r="C212" t="s">
        <v>143</v>
      </c>
      <c r="D212">
        <v>2800</v>
      </c>
      <c r="E212">
        <v>18</v>
      </c>
      <c r="F212">
        <v>2070</v>
      </c>
    </row>
    <row r="213" spans="1:6" ht="15.75" customHeight="1">
      <c r="A213" t="s">
        <v>443</v>
      </c>
      <c r="B213" t="s">
        <v>440</v>
      </c>
      <c r="C213" t="s">
        <v>143</v>
      </c>
      <c r="D213">
        <v>2800</v>
      </c>
      <c r="E213">
        <v>25</v>
      </c>
      <c r="F213">
        <v>2070</v>
      </c>
    </row>
    <row r="214" spans="1:6" ht="15.75" customHeight="1">
      <c r="A214" t="s">
        <v>444</v>
      </c>
      <c r="B214" t="s">
        <v>445</v>
      </c>
      <c r="C214" t="s">
        <v>143</v>
      </c>
      <c r="D214">
        <v>2800</v>
      </c>
      <c r="E214">
        <v>18.600000000000001</v>
      </c>
      <c r="F214">
        <v>2070</v>
      </c>
    </row>
    <row r="215" spans="1:6" ht="15.75" customHeight="1">
      <c r="A215" t="s">
        <v>446</v>
      </c>
      <c r="B215" t="s">
        <v>447</v>
      </c>
      <c r="C215" t="s">
        <v>143</v>
      </c>
      <c r="D215">
        <v>2800</v>
      </c>
      <c r="E215">
        <v>16</v>
      </c>
      <c r="F215">
        <v>2070</v>
      </c>
    </row>
    <row r="216" spans="1:6" ht="15.75" customHeight="1">
      <c r="A216" t="s">
        <v>448</v>
      </c>
      <c r="B216" t="s">
        <v>447</v>
      </c>
      <c r="C216" t="s">
        <v>143</v>
      </c>
      <c r="D216">
        <v>2800</v>
      </c>
      <c r="E216">
        <v>18</v>
      </c>
      <c r="F216">
        <v>2070</v>
      </c>
    </row>
    <row r="217" spans="1:6" ht="15.75" customHeight="1">
      <c r="A217" t="s">
        <v>449</v>
      </c>
      <c r="B217" t="s">
        <v>447</v>
      </c>
      <c r="C217" t="s">
        <v>143</v>
      </c>
      <c r="D217">
        <v>2800</v>
      </c>
      <c r="E217">
        <v>25</v>
      </c>
      <c r="F217">
        <v>2070</v>
      </c>
    </row>
    <row r="218" spans="1:6" ht="15.75" customHeight="1">
      <c r="A218" t="s">
        <v>450</v>
      </c>
      <c r="B218" t="s">
        <v>451</v>
      </c>
      <c r="C218" t="s">
        <v>143</v>
      </c>
      <c r="D218">
        <v>2800</v>
      </c>
      <c r="E218">
        <v>16</v>
      </c>
      <c r="F218">
        <v>2070</v>
      </c>
    </row>
    <row r="219" spans="1:6" ht="15.75" customHeight="1">
      <c r="A219" t="s">
        <v>452</v>
      </c>
      <c r="B219" t="s">
        <v>451</v>
      </c>
      <c r="C219" t="s">
        <v>143</v>
      </c>
      <c r="D219">
        <v>2800</v>
      </c>
      <c r="E219">
        <v>18</v>
      </c>
      <c r="F219">
        <v>2070</v>
      </c>
    </row>
    <row r="220" spans="1:6" ht="15.75" customHeight="1">
      <c r="A220" t="s">
        <v>453</v>
      </c>
      <c r="B220" t="s">
        <v>451</v>
      </c>
      <c r="C220" t="s">
        <v>143</v>
      </c>
      <c r="D220">
        <v>2800</v>
      </c>
      <c r="E220">
        <v>25</v>
      </c>
      <c r="F220">
        <v>2070</v>
      </c>
    </row>
    <row r="221" spans="1:6" ht="15.75" customHeight="1">
      <c r="A221" t="s">
        <v>454</v>
      </c>
      <c r="B221" t="s">
        <v>455</v>
      </c>
      <c r="C221" t="s">
        <v>143</v>
      </c>
      <c r="D221">
        <v>2800</v>
      </c>
      <c r="E221">
        <v>18</v>
      </c>
      <c r="F221">
        <v>2070</v>
      </c>
    </row>
    <row r="222" spans="1:6" ht="15.75" customHeight="1">
      <c r="A222" t="s">
        <v>456</v>
      </c>
      <c r="B222" t="s">
        <v>457</v>
      </c>
      <c r="C222" t="s">
        <v>143</v>
      </c>
      <c r="D222">
        <v>2800</v>
      </c>
      <c r="E222">
        <v>18.600000000000001</v>
      </c>
      <c r="F222">
        <v>2070</v>
      </c>
    </row>
    <row r="223" spans="1:6" ht="15.75" customHeight="1">
      <c r="A223" t="s">
        <v>458</v>
      </c>
      <c r="B223" t="s">
        <v>459</v>
      </c>
      <c r="C223" t="s">
        <v>143</v>
      </c>
      <c r="D223">
        <v>2800</v>
      </c>
      <c r="E223">
        <v>10.6</v>
      </c>
      <c r="F223">
        <v>2070</v>
      </c>
    </row>
    <row r="224" spans="1:6" ht="15.75" customHeight="1">
      <c r="A224" t="s">
        <v>460</v>
      </c>
      <c r="B224" t="s">
        <v>459</v>
      </c>
      <c r="C224" t="s">
        <v>143</v>
      </c>
      <c r="D224">
        <v>2800</v>
      </c>
      <c r="E224">
        <v>18.600000000000001</v>
      </c>
      <c r="F224">
        <v>2070</v>
      </c>
    </row>
    <row r="225" spans="1:6" ht="15.75" customHeight="1">
      <c r="A225" t="s">
        <v>461</v>
      </c>
      <c r="B225" t="s">
        <v>462</v>
      </c>
      <c r="C225" t="s">
        <v>143</v>
      </c>
      <c r="D225">
        <v>2800</v>
      </c>
      <c r="E225">
        <v>18.600000000000001</v>
      </c>
      <c r="F225">
        <v>2070</v>
      </c>
    </row>
    <row r="226" spans="1:6" ht="15.75" customHeight="1">
      <c r="A226" t="s">
        <v>463</v>
      </c>
      <c r="B226" t="s">
        <v>464</v>
      </c>
      <c r="C226" t="s">
        <v>143</v>
      </c>
      <c r="D226">
        <v>2800</v>
      </c>
      <c r="E226">
        <v>18</v>
      </c>
      <c r="F226">
        <v>2070</v>
      </c>
    </row>
    <row r="227" spans="1:6" ht="15.75" customHeight="1">
      <c r="A227" t="s">
        <v>465</v>
      </c>
      <c r="B227" t="s">
        <v>466</v>
      </c>
      <c r="C227" t="s">
        <v>143</v>
      </c>
      <c r="D227">
        <v>2800</v>
      </c>
      <c r="E227">
        <v>10</v>
      </c>
      <c r="F227">
        <v>2070</v>
      </c>
    </row>
    <row r="228" spans="1:6" ht="15.75" customHeight="1">
      <c r="A228" t="s">
        <v>467</v>
      </c>
      <c r="B228" t="s">
        <v>466</v>
      </c>
      <c r="C228" t="s">
        <v>143</v>
      </c>
      <c r="D228">
        <v>2800</v>
      </c>
      <c r="E228">
        <v>18</v>
      </c>
      <c r="F228">
        <v>2070</v>
      </c>
    </row>
    <row r="229" spans="1:6" ht="15.75" customHeight="1">
      <c r="A229" t="s">
        <v>468</v>
      </c>
      <c r="B229" t="s">
        <v>466</v>
      </c>
      <c r="C229" t="s">
        <v>143</v>
      </c>
      <c r="D229">
        <v>2800</v>
      </c>
      <c r="E229">
        <v>25</v>
      </c>
      <c r="F229">
        <v>2070</v>
      </c>
    </row>
    <row r="230" spans="1:6" ht="15.75" customHeight="1">
      <c r="A230" t="s">
        <v>469</v>
      </c>
      <c r="B230" t="s">
        <v>470</v>
      </c>
      <c r="C230" t="s">
        <v>143</v>
      </c>
      <c r="D230">
        <v>2800</v>
      </c>
      <c r="E230">
        <v>18</v>
      </c>
      <c r="F230">
        <v>2070</v>
      </c>
    </row>
    <row r="231" spans="1:6" ht="15.75" customHeight="1">
      <c r="A231" t="s">
        <v>471</v>
      </c>
      <c r="B231" t="s">
        <v>472</v>
      </c>
      <c r="C231" t="s">
        <v>143</v>
      </c>
      <c r="D231">
        <v>2800</v>
      </c>
      <c r="E231">
        <v>10</v>
      </c>
      <c r="F231">
        <v>2070</v>
      </c>
    </row>
    <row r="232" spans="1:6" ht="15.75" customHeight="1">
      <c r="A232" t="s">
        <v>473</v>
      </c>
      <c r="B232" t="s">
        <v>472</v>
      </c>
      <c r="C232" t="s">
        <v>143</v>
      </c>
      <c r="D232">
        <v>2800</v>
      </c>
      <c r="E232">
        <v>18</v>
      </c>
      <c r="F232">
        <v>2070</v>
      </c>
    </row>
    <row r="233" spans="1:6" ht="15.75" customHeight="1">
      <c r="A233" t="s">
        <v>474</v>
      </c>
      <c r="B233" t="s">
        <v>472</v>
      </c>
      <c r="C233" t="s">
        <v>143</v>
      </c>
      <c r="D233">
        <v>2800</v>
      </c>
      <c r="E233">
        <v>25</v>
      </c>
      <c r="F233">
        <v>2070</v>
      </c>
    </row>
    <row r="234" spans="1:6" ht="15.75" customHeight="1">
      <c r="A234" t="s">
        <v>475</v>
      </c>
      <c r="B234" t="s">
        <v>476</v>
      </c>
      <c r="C234" t="s">
        <v>143</v>
      </c>
      <c r="D234">
        <v>2800</v>
      </c>
      <c r="E234">
        <v>18</v>
      </c>
      <c r="F234">
        <v>2070</v>
      </c>
    </row>
    <row r="235" spans="1:6" ht="15.75" customHeight="1">
      <c r="A235" t="s">
        <v>477</v>
      </c>
      <c r="B235" t="s">
        <v>478</v>
      </c>
      <c r="C235" t="s">
        <v>143</v>
      </c>
      <c r="D235">
        <v>2800</v>
      </c>
      <c r="E235">
        <v>18</v>
      </c>
      <c r="F235">
        <v>2070</v>
      </c>
    </row>
    <row r="236" spans="1:6" ht="15.75" customHeight="1">
      <c r="A236" t="s">
        <v>479</v>
      </c>
      <c r="B236" t="s">
        <v>480</v>
      </c>
      <c r="C236" t="s">
        <v>143</v>
      </c>
      <c r="D236">
        <v>2800</v>
      </c>
      <c r="E236">
        <v>10</v>
      </c>
      <c r="F236">
        <v>2070</v>
      </c>
    </row>
    <row r="237" spans="1:6" ht="15.75" customHeight="1">
      <c r="A237" t="s">
        <v>481</v>
      </c>
      <c r="B237" t="s">
        <v>480</v>
      </c>
      <c r="C237" t="s">
        <v>143</v>
      </c>
      <c r="D237">
        <v>2800</v>
      </c>
      <c r="E237">
        <v>16</v>
      </c>
      <c r="F237">
        <v>2070</v>
      </c>
    </row>
    <row r="238" spans="1:6" ht="15.75" customHeight="1">
      <c r="A238" t="s">
        <v>482</v>
      </c>
      <c r="B238" t="s">
        <v>480</v>
      </c>
      <c r="C238" t="s">
        <v>143</v>
      </c>
      <c r="D238">
        <v>2800</v>
      </c>
      <c r="E238">
        <v>18</v>
      </c>
      <c r="F238">
        <v>2070</v>
      </c>
    </row>
    <row r="239" spans="1:6" ht="15.75" customHeight="1">
      <c r="A239" t="s">
        <v>483</v>
      </c>
      <c r="B239" t="s">
        <v>480</v>
      </c>
      <c r="C239" t="s">
        <v>143</v>
      </c>
      <c r="D239">
        <v>2800</v>
      </c>
      <c r="E239">
        <v>25</v>
      </c>
      <c r="F239">
        <v>2070</v>
      </c>
    </row>
    <row r="240" spans="1:6" ht="15.75" customHeight="1">
      <c r="A240" t="s">
        <v>484</v>
      </c>
      <c r="B240" t="s">
        <v>485</v>
      </c>
      <c r="C240" t="s">
        <v>143</v>
      </c>
      <c r="D240">
        <v>2800</v>
      </c>
      <c r="E240">
        <v>18</v>
      </c>
      <c r="F240">
        <v>2070</v>
      </c>
    </row>
    <row r="241" spans="1:6" ht="15.75" customHeight="1">
      <c r="A241" t="s">
        <v>486</v>
      </c>
      <c r="B241" t="s">
        <v>487</v>
      </c>
      <c r="C241" t="s">
        <v>143</v>
      </c>
      <c r="D241">
        <v>2800</v>
      </c>
      <c r="E241">
        <v>10</v>
      </c>
      <c r="F241">
        <v>2070</v>
      </c>
    </row>
    <row r="242" spans="1:6" ht="15.75" customHeight="1">
      <c r="A242" t="s">
        <v>488</v>
      </c>
      <c r="B242" t="s">
        <v>487</v>
      </c>
      <c r="C242" t="s">
        <v>143</v>
      </c>
      <c r="D242">
        <v>2800</v>
      </c>
      <c r="E242">
        <v>18</v>
      </c>
      <c r="F242">
        <v>2070</v>
      </c>
    </row>
    <row r="243" spans="1:6" ht="15.75" customHeight="1">
      <c r="A243" t="s">
        <v>5577</v>
      </c>
      <c r="B243" t="s">
        <v>487</v>
      </c>
      <c r="C243" t="s">
        <v>143</v>
      </c>
      <c r="D243">
        <v>2800</v>
      </c>
      <c r="E243">
        <v>19</v>
      </c>
      <c r="F243">
        <v>2070</v>
      </c>
    </row>
    <row r="244" spans="1:6" ht="15.75" customHeight="1">
      <c r="A244" t="s">
        <v>489</v>
      </c>
      <c r="B244" t="s">
        <v>490</v>
      </c>
      <c r="C244" t="s">
        <v>143</v>
      </c>
      <c r="D244">
        <v>2800</v>
      </c>
      <c r="E244">
        <v>25</v>
      </c>
      <c r="F244">
        <v>2070</v>
      </c>
    </row>
    <row r="245" spans="1:6" ht="15.75" customHeight="1">
      <c r="A245" t="s">
        <v>491</v>
      </c>
      <c r="B245" t="s">
        <v>492</v>
      </c>
      <c r="C245" t="s">
        <v>143</v>
      </c>
      <c r="D245">
        <v>2800</v>
      </c>
      <c r="E245">
        <v>18</v>
      </c>
      <c r="F245">
        <v>2070</v>
      </c>
    </row>
    <row r="246" spans="1:6" ht="15.75" customHeight="1">
      <c r="A246" t="s">
        <v>493</v>
      </c>
      <c r="B246" t="s">
        <v>494</v>
      </c>
      <c r="C246" t="s">
        <v>143</v>
      </c>
      <c r="D246">
        <v>2800</v>
      </c>
      <c r="E246">
        <v>18.600000000000001</v>
      </c>
      <c r="F246">
        <v>2070</v>
      </c>
    </row>
    <row r="247" spans="1:6" ht="15.75" customHeight="1">
      <c r="A247" t="s">
        <v>495</v>
      </c>
      <c r="B247" t="s">
        <v>496</v>
      </c>
      <c r="C247" t="s">
        <v>143</v>
      </c>
      <c r="D247">
        <v>2800</v>
      </c>
      <c r="E247">
        <v>18</v>
      </c>
      <c r="F247">
        <v>2070</v>
      </c>
    </row>
    <row r="248" spans="1:6" ht="15.75" customHeight="1">
      <c r="A248" t="s">
        <v>497</v>
      </c>
      <c r="B248" t="s">
        <v>498</v>
      </c>
      <c r="C248" t="s">
        <v>143</v>
      </c>
      <c r="D248">
        <v>2800</v>
      </c>
      <c r="E248">
        <v>10</v>
      </c>
      <c r="F248">
        <v>2070</v>
      </c>
    </row>
    <row r="249" spans="1:6" ht="15.75" customHeight="1">
      <c r="A249" t="s">
        <v>499</v>
      </c>
      <c r="B249" t="s">
        <v>498</v>
      </c>
      <c r="C249" t="s">
        <v>143</v>
      </c>
      <c r="D249">
        <v>2800</v>
      </c>
      <c r="E249">
        <v>18</v>
      </c>
      <c r="F249">
        <v>2070</v>
      </c>
    </row>
    <row r="250" spans="1:6" ht="15.75" customHeight="1">
      <c r="A250" t="s">
        <v>500</v>
      </c>
      <c r="B250" t="s">
        <v>498</v>
      </c>
      <c r="C250" t="s">
        <v>143</v>
      </c>
      <c r="D250">
        <v>2800</v>
      </c>
      <c r="E250">
        <v>25</v>
      </c>
      <c r="F250">
        <v>2070</v>
      </c>
    </row>
    <row r="251" spans="1:6" ht="15.75" customHeight="1">
      <c r="A251" t="s">
        <v>501</v>
      </c>
      <c r="B251" t="s">
        <v>498</v>
      </c>
      <c r="C251" t="s">
        <v>143</v>
      </c>
      <c r="D251">
        <v>2800</v>
      </c>
      <c r="E251">
        <v>38</v>
      </c>
      <c r="F251">
        <v>2070</v>
      </c>
    </row>
    <row r="252" spans="1:6" ht="15.75" customHeight="1">
      <c r="A252" t="s">
        <v>502</v>
      </c>
      <c r="B252" t="s">
        <v>503</v>
      </c>
      <c r="C252" t="s">
        <v>143</v>
      </c>
      <c r="D252">
        <v>2800</v>
      </c>
      <c r="E252">
        <v>16</v>
      </c>
      <c r="F252">
        <v>2070</v>
      </c>
    </row>
    <row r="253" spans="1:6" ht="15.75" customHeight="1">
      <c r="A253" t="s">
        <v>504</v>
      </c>
      <c r="B253" t="s">
        <v>505</v>
      </c>
      <c r="C253" t="s">
        <v>143</v>
      </c>
      <c r="D253">
        <v>2800</v>
      </c>
      <c r="E253">
        <v>10</v>
      </c>
      <c r="F253">
        <v>2070</v>
      </c>
    </row>
    <row r="254" spans="1:6" ht="15.75" customHeight="1">
      <c r="A254" t="s">
        <v>506</v>
      </c>
      <c r="B254" t="s">
        <v>505</v>
      </c>
      <c r="C254" t="s">
        <v>143</v>
      </c>
      <c r="D254">
        <v>2800</v>
      </c>
      <c r="E254">
        <v>16</v>
      </c>
      <c r="F254">
        <v>2070</v>
      </c>
    </row>
    <row r="255" spans="1:6" ht="15.75" customHeight="1">
      <c r="A255" t="s">
        <v>507</v>
      </c>
      <c r="B255" t="s">
        <v>505</v>
      </c>
      <c r="C255" t="s">
        <v>143</v>
      </c>
      <c r="D255">
        <v>2800</v>
      </c>
      <c r="E255">
        <v>18</v>
      </c>
      <c r="F255">
        <v>2070</v>
      </c>
    </row>
    <row r="256" spans="1:6" ht="15.75" customHeight="1">
      <c r="A256" t="s">
        <v>508</v>
      </c>
      <c r="B256" t="s">
        <v>505</v>
      </c>
      <c r="C256" t="s">
        <v>143</v>
      </c>
      <c r="D256">
        <v>2800</v>
      </c>
      <c r="E256">
        <v>25</v>
      </c>
      <c r="F256">
        <v>2070</v>
      </c>
    </row>
    <row r="257" spans="1:6" ht="15.75" customHeight="1">
      <c r="A257" t="s">
        <v>509</v>
      </c>
      <c r="B257" t="s">
        <v>510</v>
      </c>
      <c r="C257" t="s">
        <v>143</v>
      </c>
      <c r="D257">
        <v>2800</v>
      </c>
      <c r="E257">
        <v>16</v>
      </c>
      <c r="F257">
        <v>2070</v>
      </c>
    </row>
    <row r="258" spans="1:6" ht="15.75" customHeight="1">
      <c r="A258" t="s">
        <v>511</v>
      </c>
      <c r="B258" t="s">
        <v>512</v>
      </c>
      <c r="C258" t="s">
        <v>143</v>
      </c>
      <c r="D258">
        <v>2800</v>
      </c>
      <c r="E258">
        <v>16</v>
      </c>
      <c r="F258">
        <v>2070</v>
      </c>
    </row>
    <row r="259" spans="1:6" ht="15.75" customHeight="1">
      <c r="A259" t="s">
        <v>513</v>
      </c>
      <c r="B259" t="s">
        <v>514</v>
      </c>
      <c r="C259" t="s">
        <v>143</v>
      </c>
      <c r="D259">
        <v>2800</v>
      </c>
      <c r="E259">
        <v>18</v>
      </c>
      <c r="F259">
        <v>2070</v>
      </c>
    </row>
    <row r="260" spans="1:6" ht="15.75" customHeight="1">
      <c r="A260" t="s">
        <v>515</v>
      </c>
      <c r="B260" t="s">
        <v>516</v>
      </c>
      <c r="C260" t="s">
        <v>143</v>
      </c>
      <c r="D260">
        <v>2800</v>
      </c>
      <c r="E260">
        <v>10</v>
      </c>
      <c r="F260">
        <v>2070</v>
      </c>
    </row>
    <row r="261" spans="1:6" ht="15.75" customHeight="1">
      <c r="A261" t="s">
        <v>517</v>
      </c>
      <c r="B261" t="s">
        <v>516</v>
      </c>
      <c r="C261" t="s">
        <v>143</v>
      </c>
      <c r="D261">
        <v>2800</v>
      </c>
      <c r="E261">
        <v>18</v>
      </c>
      <c r="F261">
        <v>2070</v>
      </c>
    </row>
    <row r="262" spans="1:6" ht="15.75" customHeight="1">
      <c r="A262" t="s">
        <v>518</v>
      </c>
      <c r="B262" t="s">
        <v>516</v>
      </c>
      <c r="C262" t="s">
        <v>143</v>
      </c>
      <c r="D262">
        <v>2800</v>
      </c>
      <c r="E262">
        <v>25</v>
      </c>
      <c r="F262">
        <v>2070</v>
      </c>
    </row>
    <row r="263" spans="1:6" ht="15.75" customHeight="1">
      <c r="A263" t="s">
        <v>519</v>
      </c>
      <c r="B263" t="s">
        <v>520</v>
      </c>
      <c r="C263" t="s">
        <v>143</v>
      </c>
      <c r="D263">
        <v>2800</v>
      </c>
      <c r="E263">
        <v>18</v>
      </c>
      <c r="F263">
        <v>2070</v>
      </c>
    </row>
    <row r="264" spans="1:6" ht="15.75" customHeight="1">
      <c r="A264" t="s">
        <v>521</v>
      </c>
      <c r="B264" t="s">
        <v>522</v>
      </c>
      <c r="C264" t="s">
        <v>143</v>
      </c>
      <c r="D264">
        <v>2800</v>
      </c>
      <c r="E264">
        <v>18</v>
      </c>
      <c r="F264">
        <v>2070</v>
      </c>
    </row>
    <row r="265" spans="1:6" ht="15.75" customHeight="1">
      <c r="A265" t="s">
        <v>5356</v>
      </c>
      <c r="B265" t="s">
        <v>5357</v>
      </c>
      <c r="C265" t="s">
        <v>143</v>
      </c>
      <c r="D265">
        <v>2800</v>
      </c>
      <c r="E265">
        <v>18</v>
      </c>
      <c r="F265">
        <v>2070</v>
      </c>
    </row>
    <row r="266" spans="1:6" ht="15.75" customHeight="1">
      <c r="A266" t="s">
        <v>523</v>
      </c>
      <c r="B266" t="s">
        <v>524</v>
      </c>
      <c r="C266" t="s">
        <v>143</v>
      </c>
      <c r="D266">
        <v>2800</v>
      </c>
      <c r="E266">
        <v>18</v>
      </c>
      <c r="F266">
        <v>2070</v>
      </c>
    </row>
    <row r="267" spans="1:6" ht="15.75" customHeight="1">
      <c r="A267" t="s">
        <v>525</v>
      </c>
      <c r="B267" t="s">
        <v>526</v>
      </c>
      <c r="C267" t="s">
        <v>143</v>
      </c>
      <c r="D267">
        <v>2800</v>
      </c>
      <c r="E267">
        <v>10</v>
      </c>
      <c r="F267">
        <v>2070</v>
      </c>
    </row>
    <row r="268" spans="1:6" ht="15.75" customHeight="1">
      <c r="A268" t="s">
        <v>527</v>
      </c>
      <c r="B268" t="s">
        <v>526</v>
      </c>
      <c r="C268" t="s">
        <v>143</v>
      </c>
      <c r="D268">
        <v>2800</v>
      </c>
      <c r="E268">
        <v>18</v>
      </c>
      <c r="F268">
        <v>2070</v>
      </c>
    </row>
    <row r="269" spans="1:6" ht="15.75" customHeight="1">
      <c r="A269" t="s">
        <v>528</v>
      </c>
      <c r="B269" t="s">
        <v>526</v>
      </c>
      <c r="C269" t="s">
        <v>143</v>
      </c>
      <c r="D269">
        <v>2800</v>
      </c>
      <c r="E269">
        <v>25</v>
      </c>
      <c r="F269">
        <v>2070</v>
      </c>
    </row>
    <row r="270" spans="1:6" ht="15.75" customHeight="1">
      <c r="A270" t="s">
        <v>529</v>
      </c>
      <c r="B270" t="s">
        <v>530</v>
      </c>
      <c r="C270" t="s">
        <v>143</v>
      </c>
      <c r="D270">
        <v>2800</v>
      </c>
      <c r="E270">
        <v>10</v>
      </c>
      <c r="F270">
        <v>2070</v>
      </c>
    </row>
    <row r="271" spans="1:6" ht="15.75" customHeight="1">
      <c r="A271" t="s">
        <v>531</v>
      </c>
      <c r="B271" t="s">
        <v>530</v>
      </c>
      <c r="C271" t="s">
        <v>143</v>
      </c>
      <c r="D271">
        <v>2800</v>
      </c>
      <c r="E271">
        <v>16</v>
      </c>
      <c r="F271">
        <v>2070</v>
      </c>
    </row>
    <row r="272" spans="1:6" ht="15.75" customHeight="1">
      <c r="A272" t="s">
        <v>532</v>
      </c>
      <c r="B272" t="s">
        <v>530</v>
      </c>
      <c r="C272" t="s">
        <v>143</v>
      </c>
      <c r="D272">
        <v>2800</v>
      </c>
      <c r="E272">
        <v>18</v>
      </c>
      <c r="F272">
        <v>2070</v>
      </c>
    </row>
    <row r="273" spans="1:6" ht="15.75" customHeight="1">
      <c r="A273" t="s">
        <v>533</v>
      </c>
      <c r="B273" t="s">
        <v>530</v>
      </c>
      <c r="C273" t="s">
        <v>143</v>
      </c>
      <c r="D273">
        <v>2800</v>
      </c>
      <c r="E273">
        <v>22</v>
      </c>
      <c r="F273">
        <v>2070</v>
      </c>
    </row>
    <row r="274" spans="1:6" ht="15.75" customHeight="1">
      <c r="A274" t="s">
        <v>534</v>
      </c>
      <c r="B274" t="s">
        <v>530</v>
      </c>
      <c r="C274" t="s">
        <v>143</v>
      </c>
      <c r="D274">
        <v>2800</v>
      </c>
      <c r="E274">
        <v>25</v>
      </c>
      <c r="F274">
        <v>2070</v>
      </c>
    </row>
    <row r="275" spans="1:6" ht="15.75" customHeight="1">
      <c r="A275" t="s">
        <v>535</v>
      </c>
      <c r="B275" t="s">
        <v>530</v>
      </c>
      <c r="C275" t="s">
        <v>143</v>
      </c>
      <c r="D275">
        <v>2800</v>
      </c>
      <c r="E275">
        <v>38</v>
      </c>
      <c r="F275">
        <v>2070</v>
      </c>
    </row>
    <row r="276" spans="1:6" ht="15.75" customHeight="1">
      <c r="A276" t="s">
        <v>536</v>
      </c>
      <c r="B276" t="s">
        <v>537</v>
      </c>
      <c r="C276" t="s">
        <v>143</v>
      </c>
      <c r="D276">
        <v>2800</v>
      </c>
      <c r="E276">
        <v>18.600000000000001</v>
      </c>
      <c r="F276">
        <v>2070</v>
      </c>
    </row>
    <row r="277" spans="1:6" ht="15.75" customHeight="1">
      <c r="A277" t="s">
        <v>538</v>
      </c>
      <c r="B277" t="s">
        <v>539</v>
      </c>
      <c r="C277" t="s">
        <v>143</v>
      </c>
      <c r="D277">
        <v>2800</v>
      </c>
      <c r="E277">
        <v>18.600000000000001</v>
      </c>
      <c r="F277">
        <v>2070</v>
      </c>
    </row>
    <row r="278" spans="1:6" ht="15.75" customHeight="1">
      <c r="A278" t="s">
        <v>540</v>
      </c>
      <c r="B278" t="s">
        <v>541</v>
      </c>
      <c r="C278" t="s">
        <v>143</v>
      </c>
      <c r="D278">
        <v>2800</v>
      </c>
      <c r="E278">
        <v>10.6</v>
      </c>
      <c r="F278">
        <v>2070</v>
      </c>
    </row>
    <row r="279" spans="1:6" ht="15.75" customHeight="1">
      <c r="A279" t="s">
        <v>542</v>
      </c>
      <c r="B279" t="s">
        <v>541</v>
      </c>
      <c r="C279" t="s">
        <v>143</v>
      </c>
      <c r="D279">
        <v>2800</v>
      </c>
      <c r="E279">
        <v>18.600000000000001</v>
      </c>
      <c r="F279">
        <v>2070</v>
      </c>
    </row>
    <row r="280" spans="1:6" ht="15.75" customHeight="1">
      <c r="A280" t="s">
        <v>543</v>
      </c>
      <c r="B280" t="s">
        <v>541</v>
      </c>
      <c r="C280" t="s">
        <v>143</v>
      </c>
      <c r="D280">
        <v>2800</v>
      </c>
      <c r="E280">
        <v>25</v>
      </c>
      <c r="F280">
        <v>2070</v>
      </c>
    </row>
    <row r="281" spans="1:6" ht="15.75" customHeight="1">
      <c r="A281" t="s">
        <v>544</v>
      </c>
      <c r="B281" t="s">
        <v>541</v>
      </c>
      <c r="C281" t="s">
        <v>143</v>
      </c>
      <c r="D281">
        <v>2800</v>
      </c>
      <c r="E281">
        <v>38</v>
      </c>
      <c r="F281">
        <v>2070</v>
      </c>
    </row>
    <row r="282" spans="1:6" ht="15.75" customHeight="1">
      <c r="A282" t="s">
        <v>545</v>
      </c>
      <c r="B282" t="s">
        <v>546</v>
      </c>
      <c r="C282" t="s">
        <v>143</v>
      </c>
      <c r="D282">
        <v>2800</v>
      </c>
      <c r="E282">
        <v>18</v>
      </c>
      <c r="F282">
        <v>2070</v>
      </c>
    </row>
    <row r="283" spans="1:6" ht="15.75" customHeight="1">
      <c r="A283" t="s">
        <v>547</v>
      </c>
      <c r="B283" t="s">
        <v>548</v>
      </c>
      <c r="C283" t="s">
        <v>143</v>
      </c>
      <c r="D283">
        <v>2800</v>
      </c>
      <c r="E283">
        <v>18.600000000000001</v>
      </c>
      <c r="F283">
        <v>2070</v>
      </c>
    </row>
    <row r="284" spans="1:6" ht="15.75" customHeight="1">
      <c r="A284" t="s">
        <v>549</v>
      </c>
      <c r="B284" t="s">
        <v>550</v>
      </c>
      <c r="C284" t="s">
        <v>143</v>
      </c>
      <c r="D284">
        <v>2800</v>
      </c>
      <c r="E284">
        <v>10</v>
      </c>
      <c r="F284">
        <v>2070</v>
      </c>
    </row>
    <row r="285" spans="1:6" ht="15.75" customHeight="1">
      <c r="A285" t="s">
        <v>551</v>
      </c>
      <c r="B285" t="s">
        <v>550</v>
      </c>
      <c r="C285" t="s">
        <v>143</v>
      </c>
      <c r="D285">
        <v>2800</v>
      </c>
      <c r="E285">
        <v>18</v>
      </c>
      <c r="F285">
        <v>2070</v>
      </c>
    </row>
    <row r="286" spans="1:6" ht="15.75" customHeight="1">
      <c r="A286" t="s">
        <v>552</v>
      </c>
      <c r="B286" t="s">
        <v>550</v>
      </c>
      <c r="C286" t="s">
        <v>143</v>
      </c>
      <c r="D286">
        <v>2800</v>
      </c>
      <c r="E286">
        <v>25</v>
      </c>
      <c r="F286">
        <v>2070</v>
      </c>
    </row>
    <row r="287" spans="1:6" ht="15.75" customHeight="1">
      <c r="A287" t="s">
        <v>553</v>
      </c>
      <c r="B287" t="s">
        <v>554</v>
      </c>
      <c r="C287" t="s">
        <v>143</v>
      </c>
      <c r="D287">
        <v>2800</v>
      </c>
      <c r="E287">
        <v>16</v>
      </c>
      <c r="F287">
        <v>2070</v>
      </c>
    </row>
    <row r="288" spans="1:6" ht="15.75" customHeight="1">
      <c r="A288" t="s">
        <v>555</v>
      </c>
      <c r="B288" t="s">
        <v>556</v>
      </c>
      <c r="C288" t="s">
        <v>143</v>
      </c>
      <c r="D288">
        <v>2800</v>
      </c>
      <c r="E288">
        <v>16</v>
      </c>
      <c r="F288">
        <v>2070</v>
      </c>
    </row>
    <row r="289" spans="1:6" ht="15.75" customHeight="1">
      <c r="A289" t="s">
        <v>557</v>
      </c>
      <c r="B289" t="s">
        <v>556</v>
      </c>
      <c r="C289" t="s">
        <v>143</v>
      </c>
      <c r="D289">
        <v>2800</v>
      </c>
      <c r="E289">
        <v>25</v>
      </c>
      <c r="F289">
        <v>2070</v>
      </c>
    </row>
    <row r="290" spans="1:6" ht="15.75" customHeight="1">
      <c r="A290" t="s">
        <v>558</v>
      </c>
      <c r="B290" t="s">
        <v>559</v>
      </c>
      <c r="C290" t="s">
        <v>143</v>
      </c>
      <c r="D290">
        <v>2800</v>
      </c>
      <c r="E290">
        <v>10.6</v>
      </c>
      <c r="F290">
        <v>2070</v>
      </c>
    </row>
    <row r="291" spans="1:6" ht="15.75" customHeight="1">
      <c r="A291" t="s">
        <v>560</v>
      </c>
      <c r="B291" t="s">
        <v>559</v>
      </c>
      <c r="C291" t="s">
        <v>143</v>
      </c>
      <c r="D291">
        <v>2800</v>
      </c>
      <c r="E291">
        <v>18.600000000000001</v>
      </c>
      <c r="F291">
        <v>2070</v>
      </c>
    </row>
    <row r="292" spans="1:6" ht="15.75" customHeight="1">
      <c r="A292" t="s">
        <v>561</v>
      </c>
      <c r="B292" t="s">
        <v>559</v>
      </c>
      <c r="C292" t="s">
        <v>143</v>
      </c>
      <c r="D292">
        <v>2800</v>
      </c>
      <c r="E292">
        <v>38.6</v>
      </c>
      <c r="F292">
        <v>2070</v>
      </c>
    </row>
    <row r="293" spans="1:6" ht="15.75" customHeight="1">
      <c r="A293" t="s">
        <v>562</v>
      </c>
      <c r="B293" t="s">
        <v>563</v>
      </c>
      <c r="C293" t="s">
        <v>143</v>
      </c>
      <c r="D293">
        <v>2800</v>
      </c>
      <c r="E293">
        <v>10.6</v>
      </c>
      <c r="F293">
        <v>2070</v>
      </c>
    </row>
    <row r="294" spans="1:6" ht="15.75" customHeight="1">
      <c r="A294" t="s">
        <v>564</v>
      </c>
      <c r="B294" t="s">
        <v>563</v>
      </c>
      <c r="C294" t="s">
        <v>143</v>
      </c>
      <c r="D294">
        <v>2800</v>
      </c>
      <c r="E294">
        <v>18.600000000000001</v>
      </c>
      <c r="F294">
        <v>2070</v>
      </c>
    </row>
    <row r="295" spans="1:6" ht="15.75" customHeight="1">
      <c r="A295" t="s">
        <v>565</v>
      </c>
      <c r="B295" t="s">
        <v>563</v>
      </c>
      <c r="C295" t="s">
        <v>143</v>
      </c>
      <c r="D295">
        <v>2800</v>
      </c>
      <c r="E295">
        <v>25.6</v>
      </c>
      <c r="F295">
        <v>2070</v>
      </c>
    </row>
    <row r="296" spans="1:6" ht="15.75" customHeight="1">
      <c r="A296" t="s">
        <v>566</v>
      </c>
      <c r="B296" t="s">
        <v>563</v>
      </c>
      <c r="C296" t="s">
        <v>143</v>
      </c>
      <c r="D296">
        <v>2700</v>
      </c>
      <c r="E296">
        <v>8.6</v>
      </c>
      <c r="F296">
        <v>2070</v>
      </c>
    </row>
    <row r="297" spans="1:6" ht="15.75" customHeight="1">
      <c r="A297" t="s">
        <v>567</v>
      </c>
      <c r="B297" t="s">
        <v>563</v>
      </c>
      <c r="C297" t="s">
        <v>143</v>
      </c>
      <c r="D297">
        <v>2900</v>
      </c>
      <c r="E297">
        <v>8.6</v>
      </c>
      <c r="F297">
        <v>2070</v>
      </c>
    </row>
    <row r="298" spans="1:6" ht="15.75" customHeight="1">
      <c r="A298" t="s">
        <v>568</v>
      </c>
      <c r="B298" t="s">
        <v>569</v>
      </c>
      <c r="C298" t="s">
        <v>143</v>
      </c>
      <c r="D298">
        <v>2800</v>
      </c>
      <c r="E298">
        <v>10</v>
      </c>
      <c r="F298">
        <v>2070</v>
      </c>
    </row>
    <row r="299" spans="1:6" ht="15.75" customHeight="1">
      <c r="A299" t="s">
        <v>570</v>
      </c>
      <c r="B299" t="s">
        <v>569</v>
      </c>
      <c r="C299" t="s">
        <v>143</v>
      </c>
      <c r="D299">
        <v>2800</v>
      </c>
      <c r="E299">
        <v>18</v>
      </c>
      <c r="F299">
        <v>2070</v>
      </c>
    </row>
    <row r="300" spans="1:6" ht="15.75" customHeight="1">
      <c r="A300" t="s">
        <v>571</v>
      </c>
      <c r="B300" t="s">
        <v>569</v>
      </c>
      <c r="C300" t="s">
        <v>143</v>
      </c>
      <c r="D300">
        <v>2800</v>
      </c>
      <c r="E300">
        <v>25</v>
      </c>
      <c r="F300">
        <v>2070</v>
      </c>
    </row>
    <row r="301" spans="1:6" ht="15.75" customHeight="1">
      <c r="A301" t="s">
        <v>572</v>
      </c>
      <c r="B301" t="s">
        <v>573</v>
      </c>
      <c r="C301" t="s">
        <v>143</v>
      </c>
      <c r="D301">
        <v>2800</v>
      </c>
      <c r="E301">
        <v>10</v>
      </c>
      <c r="F301">
        <v>2070</v>
      </c>
    </row>
    <row r="302" spans="1:6" ht="15.75" customHeight="1">
      <c r="A302" t="s">
        <v>574</v>
      </c>
      <c r="B302" t="s">
        <v>573</v>
      </c>
      <c r="C302" t="s">
        <v>143</v>
      </c>
      <c r="D302">
        <v>2800</v>
      </c>
      <c r="E302">
        <v>16</v>
      </c>
      <c r="F302">
        <v>2070</v>
      </c>
    </row>
    <row r="303" spans="1:6" ht="15.75" customHeight="1">
      <c r="A303" t="s">
        <v>575</v>
      </c>
      <c r="B303" t="s">
        <v>573</v>
      </c>
      <c r="C303" t="s">
        <v>143</v>
      </c>
      <c r="D303">
        <v>2800</v>
      </c>
      <c r="E303">
        <v>18</v>
      </c>
      <c r="F303">
        <v>2070</v>
      </c>
    </row>
    <row r="304" spans="1:6" ht="15.75" customHeight="1">
      <c r="A304" t="s">
        <v>576</v>
      </c>
      <c r="B304" t="s">
        <v>573</v>
      </c>
      <c r="C304" t="s">
        <v>143</v>
      </c>
      <c r="D304">
        <v>2800</v>
      </c>
      <c r="E304">
        <v>25</v>
      </c>
      <c r="F304">
        <v>2070</v>
      </c>
    </row>
    <row r="305" spans="1:6" ht="15.75" customHeight="1">
      <c r="A305" t="s">
        <v>577</v>
      </c>
      <c r="B305" t="s">
        <v>578</v>
      </c>
      <c r="C305" t="s">
        <v>143</v>
      </c>
      <c r="D305">
        <v>2800</v>
      </c>
      <c r="E305">
        <v>10</v>
      </c>
      <c r="F305">
        <v>2070</v>
      </c>
    </row>
    <row r="306" spans="1:6" ht="15.75" customHeight="1">
      <c r="A306" t="s">
        <v>579</v>
      </c>
      <c r="B306" t="s">
        <v>578</v>
      </c>
      <c r="C306" t="s">
        <v>143</v>
      </c>
      <c r="D306">
        <v>2800</v>
      </c>
      <c r="E306">
        <v>18</v>
      </c>
      <c r="F306">
        <v>2070</v>
      </c>
    </row>
    <row r="307" spans="1:6" ht="15.75" customHeight="1">
      <c r="A307" t="s">
        <v>580</v>
      </c>
      <c r="B307" t="s">
        <v>578</v>
      </c>
      <c r="C307" t="s">
        <v>143</v>
      </c>
      <c r="D307">
        <v>2800</v>
      </c>
      <c r="E307">
        <v>25</v>
      </c>
      <c r="F307">
        <v>2070</v>
      </c>
    </row>
    <row r="308" spans="1:6" ht="15.75" customHeight="1">
      <c r="A308" t="s">
        <v>581</v>
      </c>
      <c r="B308" t="s">
        <v>582</v>
      </c>
      <c r="C308" t="s">
        <v>143</v>
      </c>
      <c r="D308">
        <v>2800</v>
      </c>
      <c r="E308">
        <v>18</v>
      </c>
      <c r="F308">
        <v>2070</v>
      </c>
    </row>
    <row r="309" spans="1:6" ht="15.75" customHeight="1">
      <c r="A309" t="s">
        <v>583</v>
      </c>
      <c r="B309" t="s">
        <v>584</v>
      </c>
      <c r="C309" t="s">
        <v>143</v>
      </c>
      <c r="D309">
        <v>2800</v>
      </c>
      <c r="E309">
        <v>18</v>
      </c>
      <c r="F309">
        <v>2070</v>
      </c>
    </row>
    <row r="310" spans="1:6" ht="15.75" customHeight="1">
      <c r="A310" t="s">
        <v>585</v>
      </c>
      <c r="B310" t="s">
        <v>586</v>
      </c>
      <c r="C310" t="s">
        <v>143</v>
      </c>
      <c r="D310">
        <v>2800</v>
      </c>
      <c r="E310">
        <v>10</v>
      </c>
      <c r="F310">
        <v>2070</v>
      </c>
    </row>
    <row r="311" spans="1:6" ht="15.75" customHeight="1">
      <c r="A311" t="s">
        <v>587</v>
      </c>
      <c r="B311" t="s">
        <v>586</v>
      </c>
      <c r="C311" t="s">
        <v>143</v>
      </c>
      <c r="D311">
        <v>2800</v>
      </c>
      <c r="E311">
        <v>16</v>
      </c>
      <c r="F311">
        <v>2070</v>
      </c>
    </row>
    <row r="312" spans="1:6" ht="15.75" customHeight="1">
      <c r="A312" t="s">
        <v>588</v>
      </c>
      <c r="B312" t="s">
        <v>586</v>
      </c>
      <c r="C312" t="s">
        <v>143</v>
      </c>
      <c r="D312">
        <v>2800</v>
      </c>
      <c r="E312">
        <v>18</v>
      </c>
      <c r="F312">
        <v>2070</v>
      </c>
    </row>
    <row r="313" spans="1:6" ht="15.75" customHeight="1">
      <c r="A313" t="s">
        <v>589</v>
      </c>
      <c r="B313" t="s">
        <v>586</v>
      </c>
      <c r="C313" t="s">
        <v>143</v>
      </c>
      <c r="D313">
        <v>2800</v>
      </c>
      <c r="E313">
        <v>25</v>
      </c>
      <c r="F313">
        <v>2070</v>
      </c>
    </row>
    <row r="314" spans="1:6" ht="15.75" customHeight="1">
      <c r="A314" t="s">
        <v>590</v>
      </c>
      <c r="B314" t="s">
        <v>586</v>
      </c>
      <c r="C314" t="s">
        <v>143</v>
      </c>
      <c r="D314">
        <v>2800</v>
      </c>
      <c r="E314">
        <v>38</v>
      </c>
      <c r="F314">
        <v>2070</v>
      </c>
    </row>
    <row r="315" spans="1:6" ht="15.75" customHeight="1">
      <c r="A315" t="s">
        <v>591</v>
      </c>
      <c r="B315" t="s">
        <v>592</v>
      </c>
      <c r="C315" t="s">
        <v>143</v>
      </c>
      <c r="D315">
        <v>2800</v>
      </c>
      <c r="E315">
        <v>16</v>
      </c>
      <c r="F315">
        <v>2070</v>
      </c>
    </row>
    <row r="316" spans="1:6" ht="15.75" customHeight="1">
      <c r="A316" t="s">
        <v>593</v>
      </c>
      <c r="B316" t="s">
        <v>592</v>
      </c>
      <c r="C316" t="s">
        <v>143</v>
      </c>
      <c r="D316">
        <v>2800</v>
      </c>
      <c r="E316">
        <v>18</v>
      </c>
      <c r="F316">
        <v>2070</v>
      </c>
    </row>
    <row r="317" spans="1:6" ht="15.75" customHeight="1">
      <c r="A317" t="s">
        <v>594</v>
      </c>
      <c r="B317" t="s">
        <v>592</v>
      </c>
      <c r="C317" t="s">
        <v>143</v>
      </c>
      <c r="D317">
        <v>2800</v>
      </c>
      <c r="E317">
        <v>25</v>
      </c>
      <c r="F317">
        <v>2070</v>
      </c>
    </row>
    <row r="318" spans="1:6" ht="15.75" customHeight="1">
      <c r="A318" t="s">
        <v>595</v>
      </c>
      <c r="B318" t="s">
        <v>596</v>
      </c>
      <c r="C318" t="s">
        <v>143</v>
      </c>
      <c r="D318">
        <v>2800</v>
      </c>
      <c r="E318">
        <v>18</v>
      </c>
      <c r="F318">
        <v>2070</v>
      </c>
    </row>
    <row r="319" spans="1:6" ht="15.75" customHeight="1">
      <c r="A319" t="s">
        <v>597</v>
      </c>
      <c r="B319" t="s">
        <v>598</v>
      </c>
      <c r="C319" t="s">
        <v>143</v>
      </c>
      <c r="D319">
        <v>2800</v>
      </c>
      <c r="E319">
        <v>16</v>
      </c>
      <c r="F319">
        <v>2070</v>
      </c>
    </row>
    <row r="320" spans="1:6" ht="15.75" customHeight="1">
      <c r="A320" t="s">
        <v>599</v>
      </c>
      <c r="B320" t="s">
        <v>600</v>
      </c>
      <c r="C320" t="s">
        <v>143</v>
      </c>
      <c r="D320">
        <v>2800</v>
      </c>
      <c r="E320">
        <v>25</v>
      </c>
      <c r="F320">
        <v>2070</v>
      </c>
    </row>
    <row r="321" spans="1:6" ht="15.75" customHeight="1">
      <c r="A321" t="s">
        <v>601</v>
      </c>
      <c r="B321" t="s">
        <v>602</v>
      </c>
      <c r="C321" t="s">
        <v>143</v>
      </c>
      <c r="D321">
        <v>2800</v>
      </c>
      <c r="E321">
        <v>16</v>
      </c>
      <c r="F321">
        <v>2070</v>
      </c>
    </row>
    <row r="322" spans="1:6" ht="15.75" customHeight="1">
      <c r="A322" t="s">
        <v>603</v>
      </c>
      <c r="B322" t="s">
        <v>602</v>
      </c>
      <c r="C322" t="s">
        <v>143</v>
      </c>
      <c r="D322">
        <v>2800</v>
      </c>
      <c r="E322">
        <v>25</v>
      </c>
      <c r="F322">
        <v>2070</v>
      </c>
    </row>
    <row r="323" spans="1:6" ht="15.75" customHeight="1">
      <c r="A323" t="s">
        <v>604</v>
      </c>
      <c r="B323" t="s">
        <v>605</v>
      </c>
      <c r="C323" t="s">
        <v>143</v>
      </c>
      <c r="D323">
        <v>2800</v>
      </c>
      <c r="E323">
        <v>18.600000000000001</v>
      </c>
      <c r="F323">
        <v>2070</v>
      </c>
    </row>
    <row r="324" spans="1:6" ht="15.75" customHeight="1">
      <c r="A324" t="s">
        <v>606</v>
      </c>
      <c r="B324" t="s">
        <v>607</v>
      </c>
      <c r="C324" t="s">
        <v>143</v>
      </c>
      <c r="D324">
        <v>2800</v>
      </c>
      <c r="E324">
        <v>16</v>
      </c>
      <c r="F324">
        <v>2070</v>
      </c>
    </row>
    <row r="325" spans="1:6" ht="15.75" customHeight="1">
      <c r="A325" t="s">
        <v>608</v>
      </c>
      <c r="B325" t="s">
        <v>607</v>
      </c>
      <c r="C325" t="s">
        <v>143</v>
      </c>
      <c r="D325">
        <v>2800</v>
      </c>
      <c r="E325">
        <v>18</v>
      </c>
      <c r="F325">
        <v>2070</v>
      </c>
    </row>
    <row r="326" spans="1:6" ht="15.75" customHeight="1">
      <c r="A326" t="s">
        <v>609</v>
      </c>
      <c r="B326" t="s">
        <v>607</v>
      </c>
      <c r="C326" t="s">
        <v>143</v>
      </c>
      <c r="D326">
        <v>2800</v>
      </c>
      <c r="E326">
        <v>25</v>
      </c>
      <c r="F326">
        <v>2070</v>
      </c>
    </row>
    <row r="327" spans="1:6" ht="15.75" customHeight="1">
      <c r="A327" t="s">
        <v>610</v>
      </c>
      <c r="B327" t="s">
        <v>611</v>
      </c>
      <c r="C327" t="s">
        <v>143</v>
      </c>
      <c r="D327">
        <v>2800</v>
      </c>
      <c r="E327">
        <v>18</v>
      </c>
      <c r="F327">
        <v>2070</v>
      </c>
    </row>
    <row r="328" spans="1:6" ht="15.75" customHeight="1">
      <c r="A328" t="s">
        <v>612</v>
      </c>
      <c r="B328" t="s">
        <v>613</v>
      </c>
      <c r="C328" t="s">
        <v>143</v>
      </c>
      <c r="D328">
        <v>2800</v>
      </c>
      <c r="E328">
        <v>16</v>
      </c>
      <c r="F328">
        <v>2070</v>
      </c>
    </row>
    <row r="329" spans="1:6" ht="15.75" customHeight="1">
      <c r="A329" t="s">
        <v>614</v>
      </c>
      <c r="B329" t="s">
        <v>615</v>
      </c>
      <c r="C329" t="s">
        <v>143</v>
      </c>
      <c r="D329">
        <v>2800</v>
      </c>
      <c r="E329">
        <v>10</v>
      </c>
      <c r="F329">
        <v>2070</v>
      </c>
    </row>
    <row r="330" spans="1:6" ht="15.75" customHeight="1">
      <c r="A330" t="s">
        <v>616</v>
      </c>
      <c r="B330" t="s">
        <v>615</v>
      </c>
      <c r="C330" t="s">
        <v>143</v>
      </c>
      <c r="D330">
        <v>2800</v>
      </c>
      <c r="E330">
        <v>16</v>
      </c>
      <c r="F330">
        <v>2070</v>
      </c>
    </row>
    <row r="331" spans="1:6" ht="15.75" customHeight="1">
      <c r="A331" t="s">
        <v>617</v>
      </c>
      <c r="B331" t="s">
        <v>615</v>
      </c>
      <c r="C331" t="s">
        <v>143</v>
      </c>
      <c r="D331">
        <v>2800</v>
      </c>
      <c r="E331">
        <v>18</v>
      </c>
      <c r="F331">
        <v>2070</v>
      </c>
    </row>
    <row r="332" spans="1:6" ht="15.75" customHeight="1">
      <c r="A332" t="s">
        <v>618</v>
      </c>
      <c r="B332" t="s">
        <v>615</v>
      </c>
      <c r="C332" t="s">
        <v>143</v>
      </c>
      <c r="D332">
        <v>2800</v>
      </c>
      <c r="E332">
        <v>25</v>
      </c>
      <c r="F332">
        <v>2070</v>
      </c>
    </row>
    <row r="333" spans="1:6" ht="15.75" customHeight="1">
      <c r="A333" t="s">
        <v>619</v>
      </c>
      <c r="B333" t="s">
        <v>620</v>
      </c>
      <c r="C333" t="s">
        <v>143</v>
      </c>
      <c r="D333">
        <v>2800</v>
      </c>
      <c r="E333">
        <v>10</v>
      </c>
      <c r="F333">
        <v>2070</v>
      </c>
    </row>
    <row r="334" spans="1:6" ht="15.75" customHeight="1">
      <c r="A334" t="s">
        <v>621</v>
      </c>
      <c r="B334" t="s">
        <v>620</v>
      </c>
      <c r="C334" t="s">
        <v>143</v>
      </c>
      <c r="D334">
        <v>2800</v>
      </c>
      <c r="E334">
        <v>16</v>
      </c>
      <c r="F334">
        <v>2070</v>
      </c>
    </row>
    <row r="335" spans="1:6" ht="15.75" customHeight="1">
      <c r="A335" t="s">
        <v>622</v>
      </c>
      <c r="B335" t="s">
        <v>620</v>
      </c>
      <c r="C335" t="s">
        <v>143</v>
      </c>
      <c r="D335">
        <v>2800</v>
      </c>
      <c r="E335">
        <v>18</v>
      </c>
      <c r="F335">
        <v>2070</v>
      </c>
    </row>
    <row r="336" spans="1:6" ht="15.75" customHeight="1">
      <c r="A336" t="s">
        <v>623</v>
      </c>
      <c r="B336" t="s">
        <v>620</v>
      </c>
      <c r="C336" t="s">
        <v>143</v>
      </c>
      <c r="D336">
        <v>2800</v>
      </c>
      <c r="E336">
        <v>25</v>
      </c>
      <c r="F336">
        <v>2070</v>
      </c>
    </row>
    <row r="337" spans="1:6" ht="15.75" customHeight="1">
      <c r="A337" t="s">
        <v>624</v>
      </c>
      <c r="B337" t="s">
        <v>625</v>
      </c>
      <c r="C337" t="s">
        <v>143</v>
      </c>
      <c r="D337">
        <v>2800</v>
      </c>
      <c r="E337">
        <v>16</v>
      </c>
      <c r="F337">
        <v>2070</v>
      </c>
    </row>
    <row r="338" spans="1:6" ht="15.75" customHeight="1">
      <c r="A338" t="s">
        <v>626</v>
      </c>
      <c r="B338" t="s">
        <v>625</v>
      </c>
      <c r="C338" t="s">
        <v>143</v>
      </c>
      <c r="D338">
        <v>2800</v>
      </c>
      <c r="E338">
        <v>25</v>
      </c>
      <c r="F338">
        <v>2070</v>
      </c>
    </row>
    <row r="339" spans="1:6" ht="15.75" customHeight="1">
      <c r="A339" t="s">
        <v>627</v>
      </c>
      <c r="B339" t="s">
        <v>628</v>
      </c>
      <c r="C339" t="s">
        <v>143</v>
      </c>
      <c r="D339">
        <v>2800</v>
      </c>
      <c r="E339">
        <v>10</v>
      </c>
      <c r="F339">
        <v>2070</v>
      </c>
    </row>
    <row r="340" spans="1:6" ht="15.75" customHeight="1">
      <c r="A340" t="s">
        <v>629</v>
      </c>
      <c r="B340" t="s">
        <v>628</v>
      </c>
      <c r="C340" t="s">
        <v>143</v>
      </c>
      <c r="D340">
        <v>2800</v>
      </c>
      <c r="E340">
        <v>16</v>
      </c>
      <c r="F340">
        <v>2070</v>
      </c>
    </row>
    <row r="341" spans="1:6" ht="15.75" customHeight="1">
      <c r="A341" t="s">
        <v>630</v>
      </c>
      <c r="B341" t="s">
        <v>628</v>
      </c>
      <c r="C341" t="s">
        <v>143</v>
      </c>
      <c r="D341">
        <v>2800</v>
      </c>
      <c r="E341">
        <v>18</v>
      </c>
      <c r="F341">
        <v>2070</v>
      </c>
    </row>
    <row r="342" spans="1:6" ht="15.75" customHeight="1">
      <c r="A342" t="s">
        <v>631</v>
      </c>
      <c r="B342" t="s">
        <v>628</v>
      </c>
      <c r="C342" t="s">
        <v>143</v>
      </c>
      <c r="D342">
        <v>2800</v>
      </c>
      <c r="E342">
        <v>25</v>
      </c>
      <c r="F342">
        <v>2070</v>
      </c>
    </row>
    <row r="343" spans="1:6" ht="15.75" customHeight="1">
      <c r="A343" t="s">
        <v>632</v>
      </c>
      <c r="B343" t="s">
        <v>633</v>
      </c>
      <c r="C343" t="s">
        <v>143</v>
      </c>
      <c r="D343">
        <v>2800</v>
      </c>
      <c r="E343">
        <v>18</v>
      </c>
      <c r="F343">
        <v>2070</v>
      </c>
    </row>
    <row r="344" spans="1:6" ht="15.75" customHeight="1">
      <c r="A344" t="s">
        <v>634</v>
      </c>
      <c r="B344" t="s">
        <v>635</v>
      </c>
      <c r="C344" t="s">
        <v>143</v>
      </c>
      <c r="D344">
        <v>2800</v>
      </c>
      <c r="E344">
        <v>10</v>
      </c>
      <c r="F344">
        <v>2070</v>
      </c>
    </row>
    <row r="345" spans="1:6" ht="15.75" customHeight="1">
      <c r="A345" t="s">
        <v>636</v>
      </c>
      <c r="B345" t="s">
        <v>635</v>
      </c>
      <c r="C345" t="s">
        <v>143</v>
      </c>
      <c r="D345">
        <v>2800</v>
      </c>
      <c r="E345">
        <v>18</v>
      </c>
      <c r="F345">
        <v>2070</v>
      </c>
    </row>
    <row r="346" spans="1:6" ht="15.75" customHeight="1">
      <c r="A346" t="s">
        <v>637</v>
      </c>
      <c r="B346" t="s">
        <v>635</v>
      </c>
      <c r="C346" t="s">
        <v>143</v>
      </c>
      <c r="D346">
        <v>2800</v>
      </c>
      <c r="E346">
        <v>25</v>
      </c>
      <c r="F346">
        <v>2070</v>
      </c>
    </row>
    <row r="347" spans="1:6" ht="15.75" customHeight="1">
      <c r="A347" t="s">
        <v>638</v>
      </c>
      <c r="B347" t="s">
        <v>639</v>
      </c>
      <c r="C347" t="s">
        <v>143</v>
      </c>
      <c r="D347">
        <v>2800</v>
      </c>
      <c r="E347">
        <v>16</v>
      </c>
      <c r="F347">
        <v>2070</v>
      </c>
    </row>
    <row r="348" spans="1:6" ht="15.75" customHeight="1">
      <c r="A348" t="s">
        <v>640</v>
      </c>
      <c r="B348" t="s">
        <v>641</v>
      </c>
      <c r="C348" t="s">
        <v>143</v>
      </c>
      <c r="D348">
        <v>2800</v>
      </c>
      <c r="E348">
        <v>16</v>
      </c>
      <c r="F348">
        <v>2070</v>
      </c>
    </row>
    <row r="349" spans="1:6" ht="15.75" customHeight="1">
      <c r="A349" t="s">
        <v>5358</v>
      </c>
      <c r="B349" t="s">
        <v>5359</v>
      </c>
      <c r="C349" t="s">
        <v>143</v>
      </c>
      <c r="D349">
        <v>2800</v>
      </c>
      <c r="E349">
        <v>18</v>
      </c>
      <c r="F349">
        <v>2070</v>
      </c>
    </row>
    <row r="350" spans="1:6" ht="15.75" customHeight="1">
      <c r="A350" t="s">
        <v>642</v>
      </c>
      <c r="B350" t="s">
        <v>643</v>
      </c>
      <c r="C350" t="s">
        <v>143</v>
      </c>
      <c r="D350">
        <v>2800</v>
      </c>
      <c r="E350">
        <v>16</v>
      </c>
      <c r="F350">
        <v>2070</v>
      </c>
    </row>
    <row r="351" spans="1:6" ht="15.75" customHeight="1">
      <c r="A351" t="s">
        <v>644</v>
      </c>
      <c r="B351" t="s">
        <v>645</v>
      </c>
      <c r="C351" t="s">
        <v>143</v>
      </c>
      <c r="D351">
        <v>2800</v>
      </c>
      <c r="E351">
        <v>18</v>
      </c>
      <c r="F351">
        <v>2070</v>
      </c>
    </row>
    <row r="352" spans="1:6" ht="15.75" customHeight="1">
      <c r="A352" t="s">
        <v>646</v>
      </c>
      <c r="B352" t="s">
        <v>647</v>
      </c>
      <c r="C352" t="s">
        <v>143</v>
      </c>
      <c r="D352">
        <v>2800</v>
      </c>
      <c r="E352">
        <v>18</v>
      </c>
      <c r="F352">
        <v>2070</v>
      </c>
    </row>
    <row r="353" spans="1:6" ht="15.75" customHeight="1">
      <c r="A353" t="s">
        <v>648</v>
      </c>
      <c r="B353" t="s">
        <v>647</v>
      </c>
      <c r="C353" t="s">
        <v>143</v>
      </c>
      <c r="D353">
        <v>2800</v>
      </c>
      <c r="E353">
        <v>25</v>
      </c>
      <c r="F353">
        <v>2070</v>
      </c>
    </row>
    <row r="354" spans="1:6" ht="15.75" customHeight="1">
      <c r="A354" t="s">
        <v>649</v>
      </c>
      <c r="B354" t="s">
        <v>650</v>
      </c>
      <c r="C354" t="s">
        <v>143</v>
      </c>
      <c r="D354">
        <v>2800</v>
      </c>
      <c r="E354">
        <v>18</v>
      </c>
      <c r="F354">
        <v>2070</v>
      </c>
    </row>
    <row r="355" spans="1:6" ht="15.75" customHeight="1">
      <c r="A355" t="s">
        <v>651</v>
      </c>
      <c r="B355" t="s">
        <v>650</v>
      </c>
      <c r="C355" t="s">
        <v>143</v>
      </c>
      <c r="D355">
        <v>2800</v>
      </c>
      <c r="E355">
        <v>25</v>
      </c>
      <c r="F355">
        <v>2070</v>
      </c>
    </row>
    <row r="356" spans="1:6" ht="15.75" customHeight="1">
      <c r="A356" t="s">
        <v>652</v>
      </c>
      <c r="B356" t="s">
        <v>653</v>
      </c>
      <c r="C356" t="s">
        <v>143</v>
      </c>
      <c r="D356">
        <v>2800</v>
      </c>
      <c r="E356">
        <v>10</v>
      </c>
      <c r="F356">
        <v>2070</v>
      </c>
    </row>
    <row r="357" spans="1:6" ht="15.75" customHeight="1">
      <c r="A357" t="s">
        <v>654</v>
      </c>
      <c r="B357" t="s">
        <v>653</v>
      </c>
      <c r="C357" t="s">
        <v>143</v>
      </c>
      <c r="D357">
        <v>2800</v>
      </c>
      <c r="E357">
        <v>16</v>
      </c>
      <c r="F357">
        <v>2070</v>
      </c>
    </row>
    <row r="358" spans="1:6" ht="15.75" customHeight="1">
      <c r="A358" t="s">
        <v>655</v>
      </c>
      <c r="B358" t="s">
        <v>653</v>
      </c>
      <c r="C358" t="s">
        <v>143</v>
      </c>
      <c r="D358">
        <v>2800</v>
      </c>
      <c r="E358">
        <v>18</v>
      </c>
      <c r="F358">
        <v>2070</v>
      </c>
    </row>
    <row r="359" spans="1:6" ht="15.75" customHeight="1">
      <c r="A359" t="s">
        <v>656</v>
      </c>
      <c r="B359" t="s">
        <v>653</v>
      </c>
      <c r="C359" t="s">
        <v>143</v>
      </c>
      <c r="D359">
        <v>2800</v>
      </c>
      <c r="E359">
        <v>25</v>
      </c>
      <c r="F359">
        <v>2070</v>
      </c>
    </row>
    <row r="360" spans="1:6" ht="15.75" customHeight="1">
      <c r="A360" t="s">
        <v>657</v>
      </c>
      <c r="B360" t="s">
        <v>658</v>
      </c>
      <c r="C360" t="s">
        <v>143</v>
      </c>
      <c r="D360">
        <v>2800</v>
      </c>
      <c r="E360">
        <v>10</v>
      </c>
      <c r="F360">
        <v>2070</v>
      </c>
    </row>
    <row r="361" spans="1:6" ht="15.75" customHeight="1">
      <c r="A361" t="s">
        <v>659</v>
      </c>
      <c r="B361" t="s">
        <v>658</v>
      </c>
      <c r="C361" t="s">
        <v>143</v>
      </c>
      <c r="D361">
        <v>2800</v>
      </c>
      <c r="E361">
        <v>16</v>
      </c>
      <c r="F361">
        <v>2070</v>
      </c>
    </row>
    <row r="362" spans="1:6" ht="15.75" customHeight="1">
      <c r="A362" t="s">
        <v>660</v>
      </c>
      <c r="B362" t="s">
        <v>658</v>
      </c>
      <c r="C362" t="s">
        <v>143</v>
      </c>
      <c r="D362">
        <v>2800</v>
      </c>
      <c r="E362">
        <v>18</v>
      </c>
      <c r="F362">
        <v>2070</v>
      </c>
    </row>
    <row r="363" spans="1:6" ht="15.75" customHeight="1">
      <c r="A363" t="s">
        <v>661</v>
      </c>
      <c r="B363" t="s">
        <v>658</v>
      </c>
      <c r="C363" t="s">
        <v>143</v>
      </c>
      <c r="D363">
        <v>2800</v>
      </c>
      <c r="E363">
        <v>25</v>
      </c>
      <c r="F363">
        <v>2070</v>
      </c>
    </row>
    <row r="364" spans="1:6" ht="15.75" customHeight="1">
      <c r="A364" t="s">
        <v>662</v>
      </c>
      <c r="B364" t="s">
        <v>658</v>
      </c>
      <c r="C364" t="s">
        <v>143</v>
      </c>
      <c r="D364">
        <v>2800</v>
      </c>
      <c r="E364">
        <v>38</v>
      </c>
      <c r="F364">
        <v>2070</v>
      </c>
    </row>
    <row r="365" spans="1:6" ht="15.75" customHeight="1">
      <c r="A365" t="s">
        <v>663</v>
      </c>
      <c r="B365" t="s">
        <v>664</v>
      </c>
      <c r="C365" t="s">
        <v>143</v>
      </c>
      <c r="D365">
        <v>2800</v>
      </c>
      <c r="E365">
        <v>18.600000000000001</v>
      </c>
      <c r="F365">
        <v>2070</v>
      </c>
    </row>
    <row r="366" spans="1:6" ht="15.75" customHeight="1">
      <c r="A366" t="s">
        <v>665</v>
      </c>
      <c r="B366" t="s">
        <v>666</v>
      </c>
      <c r="C366" t="s">
        <v>143</v>
      </c>
      <c r="D366">
        <v>2800</v>
      </c>
      <c r="E366">
        <v>16</v>
      </c>
      <c r="F366">
        <v>2070</v>
      </c>
    </row>
    <row r="367" spans="1:6" ht="15.75" customHeight="1">
      <c r="A367" t="s">
        <v>667</v>
      </c>
      <c r="B367" t="s">
        <v>668</v>
      </c>
      <c r="C367" t="s">
        <v>143</v>
      </c>
      <c r="D367">
        <v>2800</v>
      </c>
      <c r="E367">
        <v>18</v>
      </c>
      <c r="F367">
        <v>2070</v>
      </c>
    </row>
    <row r="368" spans="1:6" ht="15.75" customHeight="1">
      <c r="A368" t="s">
        <v>669</v>
      </c>
      <c r="B368" t="s">
        <v>668</v>
      </c>
      <c r="C368" t="s">
        <v>143</v>
      </c>
      <c r="D368">
        <v>2800</v>
      </c>
      <c r="E368">
        <v>25</v>
      </c>
      <c r="F368">
        <v>2070</v>
      </c>
    </row>
    <row r="369" spans="1:6" ht="15.75" customHeight="1">
      <c r="A369" t="s">
        <v>670</v>
      </c>
      <c r="B369" t="s">
        <v>671</v>
      </c>
      <c r="C369" t="s">
        <v>143</v>
      </c>
      <c r="D369">
        <v>2800</v>
      </c>
      <c r="E369">
        <v>18</v>
      </c>
      <c r="F369">
        <v>2070</v>
      </c>
    </row>
    <row r="370" spans="1:6" ht="15.75" customHeight="1">
      <c r="A370" t="s">
        <v>672</v>
      </c>
      <c r="B370" t="s">
        <v>673</v>
      </c>
      <c r="C370" t="s">
        <v>143</v>
      </c>
      <c r="D370">
        <v>2800</v>
      </c>
      <c r="E370">
        <v>18</v>
      </c>
      <c r="F370">
        <v>2070</v>
      </c>
    </row>
    <row r="371" spans="1:6" ht="15.75" customHeight="1">
      <c r="A371" t="s">
        <v>674</v>
      </c>
      <c r="B371" t="s">
        <v>675</v>
      </c>
      <c r="C371" t="s">
        <v>143</v>
      </c>
      <c r="D371">
        <v>2800</v>
      </c>
      <c r="E371">
        <v>16</v>
      </c>
      <c r="F371">
        <v>2070</v>
      </c>
    </row>
    <row r="372" spans="1:6" ht="15.75" customHeight="1">
      <c r="A372" t="s">
        <v>676</v>
      </c>
      <c r="B372" t="s">
        <v>677</v>
      </c>
      <c r="C372" t="s">
        <v>143</v>
      </c>
      <c r="D372">
        <v>2800</v>
      </c>
      <c r="E372">
        <v>16</v>
      </c>
      <c r="F372">
        <v>2070</v>
      </c>
    </row>
    <row r="373" spans="1:6" ht="15.75" customHeight="1">
      <c r="A373" t="s">
        <v>678</v>
      </c>
      <c r="B373" t="s">
        <v>677</v>
      </c>
      <c r="C373" t="s">
        <v>143</v>
      </c>
      <c r="D373">
        <v>2800</v>
      </c>
      <c r="E373">
        <v>18</v>
      </c>
      <c r="F373">
        <v>2070</v>
      </c>
    </row>
    <row r="374" spans="1:6" ht="15.75" customHeight="1">
      <c r="A374" t="s">
        <v>679</v>
      </c>
      <c r="B374" t="s">
        <v>677</v>
      </c>
      <c r="C374" t="s">
        <v>143</v>
      </c>
      <c r="D374">
        <v>2800</v>
      </c>
      <c r="E374">
        <v>22</v>
      </c>
      <c r="F374">
        <v>2070</v>
      </c>
    </row>
    <row r="375" spans="1:6" ht="15.75" customHeight="1">
      <c r="A375" t="s">
        <v>680</v>
      </c>
      <c r="B375" t="s">
        <v>677</v>
      </c>
      <c r="C375" t="s">
        <v>143</v>
      </c>
      <c r="D375">
        <v>2800</v>
      </c>
      <c r="E375">
        <v>25</v>
      </c>
      <c r="F375">
        <v>2070</v>
      </c>
    </row>
    <row r="376" spans="1:6" ht="15.75" customHeight="1">
      <c r="A376" t="s">
        <v>681</v>
      </c>
      <c r="B376" t="s">
        <v>682</v>
      </c>
      <c r="C376" t="s">
        <v>143</v>
      </c>
      <c r="D376">
        <v>2800</v>
      </c>
      <c r="E376">
        <v>16</v>
      </c>
      <c r="F376">
        <v>2070</v>
      </c>
    </row>
    <row r="377" spans="1:6" ht="15.75" customHeight="1">
      <c r="A377" t="s">
        <v>683</v>
      </c>
      <c r="B377" t="s">
        <v>682</v>
      </c>
      <c r="C377" t="s">
        <v>143</v>
      </c>
      <c r="D377">
        <v>2800</v>
      </c>
      <c r="E377">
        <v>18</v>
      </c>
      <c r="F377">
        <v>2070</v>
      </c>
    </row>
    <row r="378" spans="1:6" ht="15.75" customHeight="1">
      <c r="A378" t="s">
        <v>684</v>
      </c>
      <c r="B378" t="s">
        <v>682</v>
      </c>
      <c r="C378" t="s">
        <v>143</v>
      </c>
      <c r="D378">
        <v>2800</v>
      </c>
      <c r="E378">
        <v>25</v>
      </c>
      <c r="F378">
        <v>2070</v>
      </c>
    </row>
    <row r="379" spans="1:6" ht="15.75" customHeight="1">
      <c r="A379" t="s">
        <v>685</v>
      </c>
      <c r="B379" t="s">
        <v>686</v>
      </c>
      <c r="C379" t="s">
        <v>143</v>
      </c>
      <c r="D379">
        <v>2800</v>
      </c>
      <c r="E379">
        <v>16</v>
      </c>
      <c r="F379">
        <v>2070</v>
      </c>
    </row>
    <row r="380" spans="1:6" ht="15.75" customHeight="1">
      <c r="A380" t="s">
        <v>687</v>
      </c>
      <c r="B380" t="s">
        <v>688</v>
      </c>
      <c r="C380" t="s">
        <v>143</v>
      </c>
      <c r="D380">
        <v>2800</v>
      </c>
      <c r="E380">
        <v>18</v>
      </c>
      <c r="F380">
        <v>2070</v>
      </c>
    </row>
    <row r="381" spans="1:6" ht="15.75" customHeight="1">
      <c r="A381" t="s">
        <v>5578</v>
      </c>
      <c r="B381" t="s">
        <v>688</v>
      </c>
      <c r="C381" t="s">
        <v>143</v>
      </c>
      <c r="D381">
        <v>2800</v>
      </c>
      <c r="E381">
        <v>19</v>
      </c>
      <c r="F381">
        <v>2070</v>
      </c>
    </row>
    <row r="382" spans="1:6" ht="15.75" customHeight="1">
      <c r="A382" t="s">
        <v>689</v>
      </c>
      <c r="B382" t="s">
        <v>690</v>
      </c>
      <c r="C382" t="s">
        <v>143</v>
      </c>
      <c r="D382">
        <v>2800</v>
      </c>
      <c r="E382">
        <v>16</v>
      </c>
      <c r="F382">
        <v>2070</v>
      </c>
    </row>
    <row r="383" spans="1:6" ht="15.75" customHeight="1">
      <c r="A383" t="s">
        <v>691</v>
      </c>
      <c r="B383" t="s">
        <v>690</v>
      </c>
      <c r="C383" t="s">
        <v>143</v>
      </c>
      <c r="D383">
        <v>2800</v>
      </c>
      <c r="E383">
        <v>18</v>
      </c>
      <c r="F383">
        <v>2070</v>
      </c>
    </row>
    <row r="384" spans="1:6" ht="15.75" customHeight="1">
      <c r="A384" t="s">
        <v>692</v>
      </c>
      <c r="B384" t="s">
        <v>690</v>
      </c>
      <c r="C384" t="s">
        <v>136</v>
      </c>
      <c r="D384">
        <v>2800</v>
      </c>
      <c r="E384">
        <v>25</v>
      </c>
      <c r="F384">
        <v>2070</v>
      </c>
    </row>
    <row r="385" spans="1:6" ht="15.75" customHeight="1">
      <c r="A385" t="s">
        <v>693</v>
      </c>
      <c r="B385" t="s">
        <v>694</v>
      </c>
      <c r="C385" t="s">
        <v>143</v>
      </c>
      <c r="D385">
        <v>2800</v>
      </c>
      <c r="E385">
        <v>16</v>
      </c>
      <c r="F385">
        <v>2070</v>
      </c>
    </row>
    <row r="386" spans="1:6" ht="15.75" customHeight="1">
      <c r="A386" t="s">
        <v>695</v>
      </c>
      <c r="B386" t="s">
        <v>694</v>
      </c>
      <c r="C386" t="s">
        <v>143</v>
      </c>
      <c r="D386">
        <v>2800</v>
      </c>
      <c r="E386">
        <v>18</v>
      </c>
      <c r="F386">
        <v>2070</v>
      </c>
    </row>
    <row r="387" spans="1:6" ht="15.75" customHeight="1">
      <c r="A387" t="s">
        <v>696</v>
      </c>
      <c r="B387" t="s">
        <v>697</v>
      </c>
      <c r="C387" t="s">
        <v>143</v>
      </c>
      <c r="D387">
        <v>2800</v>
      </c>
      <c r="E387">
        <v>16</v>
      </c>
      <c r="F387">
        <v>2070</v>
      </c>
    </row>
    <row r="388" spans="1:6" ht="15.75" customHeight="1">
      <c r="A388" t="s">
        <v>698</v>
      </c>
      <c r="B388" t="s">
        <v>697</v>
      </c>
      <c r="C388" t="s">
        <v>143</v>
      </c>
      <c r="D388">
        <v>2800</v>
      </c>
      <c r="E388">
        <v>18</v>
      </c>
      <c r="F388">
        <v>2070</v>
      </c>
    </row>
    <row r="389" spans="1:6" ht="15.75" customHeight="1">
      <c r="A389" t="s">
        <v>699</v>
      </c>
      <c r="B389" t="s">
        <v>700</v>
      </c>
      <c r="C389" t="s">
        <v>143</v>
      </c>
      <c r="D389">
        <v>2800</v>
      </c>
      <c r="E389">
        <v>10</v>
      </c>
      <c r="F389">
        <v>2070</v>
      </c>
    </row>
    <row r="390" spans="1:6" ht="15.75" customHeight="1">
      <c r="A390" t="s">
        <v>701</v>
      </c>
      <c r="B390" t="s">
        <v>700</v>
      </c>
      <c r="C390" t="s">
        <v>143</v>
      </c>
      <c r="D390">
        <v>2800</v>
      </c>
      <c r="E390">
        <v>18</v>
      </c>
      <c r="F390">
        <v>2070</v>
      </c>
    </row>
    <row r="391" spans="1:6" ht="15.75" customHeight="1">
      <c r="A391" t="s">
        <v>702</v>
      </c>
      <c r="B391" t="s">
        <v>700</v>
      </c>
      <c r="C391" t="s">
        <v>143</v>
      </c>
      <c r="D391">
        <v>2800</v>
      </c>
      <c r="E391">
        <v>25</v>
      </c>
      <c r="F391">
        <v>2070</v>
      </c>
    </row>
    <row r="392" spans="1:6" ht="15.75" customHeight="1">
      <c r="A392" t="s">
        <v>703</v>
      </c>
      <c r="B392" t="s">
        <v>704</v>
      </c>
      <c r="C392" t="s">
        <v>143</v>
      </c>
      <c r="D392">
        <v>2800</v>
      </c>
      <c r="E392">
        <v>16</v>
      </c>
      <c r="F392">
        <v>2070</v>
      </c>
    </row>
    <row r="393" spans="1:6" ht="15.75" customHeight="1">
      <c r="A393" t="s">
        <v>705</v>
      </c>
      <c r="B393" t="s">
        <v>704</v>
      </c>
      <c r="C393" t="s">
        <v>143</v>
      </c>
      <c r="D393">
        <v>2800</v>
      </c>
      <c r="E393">
        <v>18</v>
      </c>
      <c r="F393">
        <v>2070</v>
      </c>
    </row>
    <row r="394" spans="1:6" ht="15.75" customHeight="1">
      <c r="A394" t="s">
        <v>706</v>
      </c>
      <c r="B394" t="s">
        <v>704</v>
      </c>
      <c r="C394" t="s">
        <v>143</v>
      </c>
      <c r="D394">
        <v>2800</v>
      </c>
      <c r="E394">
        <v>19</v>
      </c>
      <c r="F394">
        <v>2070</v>
      </c>
    </row>
    <row r="395" spans="1:6" ht="15.75" customHeight="1">
      <c r="A395" t="s">
        <v>707</v>
      </c>
      <c r="B395" t="s">
        <v>704</v>
      </c>
      <c r="C395" t="s">
        <v>143</v>
      </c>
      <c r="D395">
        <v>2800</v>
      </c>
      <c r="E395">
        <v>22</v>
      </c>
      <c r="F395">
        <v>2070</v>
      </c>
    </row>
    <row r="396" spans="1:6" ht="15.75" customHeight="1">
      <c r="A396" t="s">
        <v>708</v>
      </c>
      <c r="B396" t="s">
        <v>704</v>
      </c>
      <c r="C396" t="s">
        <v>143</v>
      </c>
      <c r="D396">
        <v>2800</v>
      </c>
      <c r="E396">
        <v>25</v>
      </c>
      <c r="F396">
        <v>2070</v>
      </c>
    </row>
    <row r="397" spans="1:6" ht="15.75" customHeight="1">
      <c r="A397" t="s">
        <v>709</v>
      </c>
      <c r="B397" t="s">
        <v>710</v>
      </c>
      <c r="C397" t="s">
        <v>143</v>
      </c>
      <c r="D397">
        <v>2800</v>
      </c>
      <c r="E397">
        <v>10</v>
      </c>
      <c r="F397">
        <v>2070</v>
      </c>
    </row>
    <row r="398" spans="1:6" ht="15.75" customHeight="1">
      <c r="A398" t="s">
        <v>711</v>
      </c>
      <c r="B398" t="s">
        <v>710</v>
      </c>
      <c r="C398" t="s">
        <v>143</v>
      </c>
      <c r="D398">
        <v>2800</v>
      </c>
      <c r="E398">
        <v>16</v>
      </c>
      <c r="F398">
        <v>2070</v>
      </c>
    </row>
    <row r="399" spans="1:6" ht="15.75" customHeight="1">
      <c r="A399" t="s">
        <v>712</v>
      </c>
      <c r="B399" t="s">
        <v>710</v>
      </c>
      <c r="C399" t="s">
        <v>143</v>
      </c>
      <c r="D399">
        <v>2800</v>
      </c>
      <c r="E399">
        <v>18</v>
      </c>
      <c r="F399">
        <v>2070</v>
      </c>
    </row>
    <row r="400" spans="1:6" ht="15.75" customHeight="1">
      <c r="A400" t="s">
        <v>713</v>
      </c>
      <c r="B400" t="s">
        <v>710</v>
      </c>
      <c r="C400" t="s">
        <v>143</v>
      </c>
      <c r="D400">
        <v>2800</v>
      </c>
      <c r="E400">
        <v>25</v>
      </c>
      <c r="F400">
        <v>2070</v>
      </c>
    </row>
    <row r="401" spans="1:6" ht="15.75" customHeight="1">
      <c r="A401" t="s">
        <v>714</v>
      </c>
      <c r="B401" t="s">
        <v>710</v>
      </c>
      <c r="C401" t="s">
        <v>143</v>
      </c>
      <c r="D401">
        <v>2800</v>
      </c>
      <c r="E401">
        <v>38</v>
      </c>
      <c r="F401">
        <v>2070</v>
      </c>
    </row>
    <row r="402" spans="1:6" ht="15.75" customHeight="1">
      <c r="A402" t="s">
        <v>715</v>
      </c>
      <c r="B402" t="s">
        <v>716</v>
      </c>
      <c r="C402" t="s">
        <v>143</v>
      </c>
      <c r="D402">
        <v>2800</v>
      </c>
      <c r="E402">
        <v>10</v>
      </c>
      <c r="F402">
        <v>2070</v>
      </c>
    </row>
    <row r="403" spans="1:6" ht="15.75" customHeight="1">
      <c r="A403" t="s">
        <v>717</v>
      </c>
      <c r="B403" t="s">
        <v>716</v>
      </c>
      <c r="C403" t="s">
        <v>143</v>
      </c>
      <c r="D403">
        <v>2800</v>
      </c>
      <c r="E403">
        <v>16</v>
      </c>
      <c r="F403">
        <v>2070</v>
      </c>
    </row>
    <row r="404" spans="1:6" ht="15.75" customHeight="1">
      <c r="A404" t="s">
        <v>718</v>
      </c>
      <c r="B404" t="s">
        <v>716</v>
      </c>
      <c r="C404" t="s">
        <v>143</v>
      </c>
      <c r="D404">
        <v>2800</v>
      </c>
      <c r="E404">
        <v>25</v>
      </c>
      <c r="F404">
        <v>2070</v>
      </c>
    </row>
    <row r="405" spans="1:6" ht="15.75" customHeight="1">
      <c r="A405" t="s">
        <v>719</v>
      </c>
      <c r="B405" t="s">
        <v>720</v>
      </c>
      <c r="C405" t="s">
        <v>143</v>
      </c>
      <c r="D405">
        <v>2800</v>
      </c>
      <c r="E405">
        <v>18</v>
      </c>
      <c r="F405">
        <v>2070</v>
      </c>
    </row>
    <row r="406" spans="1:6" ht="15.75" customHeight="1">
      <c r="A406" t="s">
        <v>721</v>
      </c>
      <c r="B406" t="s">
        <v>722</v>
      </c>
      <c r="C406" t="s">
        <v>143</v>
      </c>
      <c r="D406">
        <v>2800</v>
      </c>
      <c r="E406">
        <v>10</v>
      </c>
      <c r="F406">
        <v>2070</v>
      </c>
    </row>
    <row r="407" spans="1:6" ht="15.75" customHeight="1">
      <c r="A407" t="s">
        <v>723</v>
      </c>
      <c r="B407" t="s">
        <v>722</v>
      </c>
      <c r="C407" t="s">
        <v>143</v>
      </c>
      <c r="D407">
        <v>2800</v>
      </c>
      <c r="E407">
        <v>16</v>
      </c>
      <c r="F407">
        <v>2070</v>
      </c>
    </row>
    <row r="408" spans="1:6" ht="15.75" customHeight="1">
      <c r="A408" t="s">
        <v>724</v>
      </c>
      <c r="B408" t="s">
        <v>722</v>
      </c>
      <c r="C408" t="s">
        <v>143</v>
      </c>
      <c r="D408">
        <v>2800</v>
      </c>
      <c r="E408">
        <v>18</v>
      </c>
      <c r="F408">
        <v>2070</v>
      </c>
    </row>
    <row r="409" spans="1:6" ht="15.75" customHeight="1">
      <c r="A409" t="s">
        <v>725</v>
      </c>
      <c r="B409" t="s">
        <v>722</v>
      </c>
      <c r="C409" t="s">
        <v>143</v>
      </c>
      <c r="D409">
        <v>2800</v>
      </c>
      <c r="E409">
        <v>25</v>
      </c>
      <c r="F409">
        <v>2070</v>
      </c>
    </row>
    <row r="410" spans="1:6" ht="15.75" customHeight="1">
      <c r="A410" t="s">
        <v>726</v>
      </c>
      <c r="B410" t="s">
        <v>722</v>
      </c>
      <c r="C410" t="s">
        <v>143</v>
      </c>
      <c r="D410">
        <v>2800</v>
      </c>
      <c r="E410">
        <v>38</v>
      </c>
      <c r="F410">
        <v>2070</v>
      </c>
    </row>
    <row r="411" spans="1:6" ht="15.75" customHeight="1">
      <c r="A411" t="s">
        <v>727</v>
      </c>
      <c r="B411" t="s">
        <v>728</v>
      </c>
      <c r="C411" t="s">
        <v>143</v>
      </c>
      <c r="D411">
        <v>2800</v>
      </c>
      <c r="E411">
        <v>10</v>
      </c>
      <c r="F411">
        <v>2070</v>
      </c>
    </row>
    <row r="412" spans="1:6" ht="15.75" customHeight="1">
      <c r="A412" t="s">
        <v>729</v>
      </c>
      <c r="B412" t="s">
        <v>728</v>
      </c>
      <c r="C412" t="s">
        <v>143</v>
      </c>
      <c r="D412">
        <v>2800</v>
      </c>
      <c r="E412">
        <v>12</v>
      </c>
      <c r="F412">
        <v>2070</v>
      </c>
    </row>
    <row r="413" spans="1:6" ht="15.75" customHeight="1">
      <c r="A413" t="s">
        <v>730</v>
      </c>
      <c r="B413" t="s">
        <v>728</v>
      </c>
      <c r="C413" t="s">
        <v>143</v>
      </c>
      <c r="D413">
        <v>2800</v>
      </c>
      <c r="E413">
        <v>16</v>
      </c>
      <c r="F413">
        <v>2070</v>
      </c>
    </row>
    <row r="414" spans="1:6" ht="15.75" customHeight="1">
      <c r="A414" t="s">
        <v>731</v>
      </c>
      <c r="B414" t="s">
        <v>728</v>
      </c>
      <c r="C414" t="s">
        <v>143</v>
      </c>
      <c r="D414">
        <v>2800</v>
      </c>
      <c r="E414">
        <v>18</v>
      </c>
      <c r="F414">
        <v>2070</v>
      </c>
    </row>
    <row r="415" spans="1:6" ht="15.75" customHeight="1">
      <c r="A415" t="s">
        <v>732</v>
      </c>
      <c r="B415" t="s">
        <v>733</v>
      </c>
      <c r="C415" t="s">
        <v>143</v>
      </c>
      <c r="D415">
        <v>2800</v>
      </c>
      <c r="E415">
        <v>18</v>
      </c>
      <c r="F415">
        <v>2070</v>
      </c>
    </row>
    <row r="416" spans="1:6" ht="15.75" customHeight="1">
      <c r="A416" t="s">
        <v>734</v>
      </c>
      <c r="B416" t="s">
        <v>735</v>
      </c>
      <c r="C416" t="s">
        <v>143</v>
      </c>
      <c r="D416">
        <v>2800</v>
      </c>
      <c r="E416">
        <v>10</v>
      </c>
      <c r="F416">
        <v>2070</v>
      </c>
    </row>
    <row r="417" spans="1:6" ht="15.75" customHeight="1">
      <c r="A417" t="s">
        <v>736</v>
      </c>
      <c r="B417" t="s">
        <v>735</v>
      </c>
      <c r="C417" t="s">
        <v>143</v>
      </c>
      <c r="D417">
        <v>2800</v>
      </c>
      <c r="E417">
        <v>16</v>
      </c>
      <c r="F417">
        <v>2070</v>
      </c>
    </row>
    <row r="418" spans="1:6" ht="15.75" customHeight="1">
      <c r="A418" t="s">
        <v>737</v>
      </c>
      <c r="B418" t="s">
        <v>735</v>
      </c>
      <c r="C418" t="s">
        <v>143</v>
      </c>
      <c r="D418">
        <v>2800</v>
      </c>
      <c r="E418">
        <v>18</v>
      </c>
      <c r="F418">
        <v>2070</v>
      </c>
    </row>
    <row r="419" spans="1:6" ht="15.75" customHeight="1">
      <c r="A419" t="s">
        <v>738</v>
      </c>
      <c r="B419" t="s">
        <v>739</v>
      </c>
      <c r="C419" t="s">
        <v>143</v>
      </c>
      <c r="D419">
        <v>2800</v>
      </c>
      <c r="E419">
        <v>18</v>
      </c>
      <c r="F419">
        <v>2070</v>
      </c>
    </row>
    <row r="420" spans="1:6" ht="15.75" customHeight="1">
      <c r="A420" t="s">
        <v>740</v>
      </c>
      <c r="B420" t="s">
        <v>741</v>
      </c>
      <c r="C420" t="s">
        <v>143</v>
      </c>
      <c r="D420">
        <v>2800</v>
      </c>
      <c r="E420">
        <v>16</v>
      </c>
      <c r="F420">
        <v>2070</v>
      </c>
    </row>
    <row r="421" spans="1:6" ht="15.75" customHeight="1">
      <c r="A421" t="s">
        <v>742</v>
      </c>
      <c r="B421" t="s">
        <v>743</v>
      </c>
      <c r="C421" t="s">
        <v>143</v>
      </c>
      <c r="D421">
        <v>2800</v>
      </c>
      <c r="E421">
        <v>16</v>
      </c>
      <c r="F421">
        <v>2070</v>
      </c>
    </row>
    <row r="422" spans="1:6" ht="15.75" customHeight="1">
      <c r="A422" t="s">
        <v>744</v>
      </c>
      <c r="B422" t="s">
        <v>743</v>
      </c>
      <c r="C422" t="s">
        <v>143</v>
      </c>
      <c r="D422">
        <v>2800</v>
      </c>
      <c r="E422">
        <v>18</v>
      </c>
      <c r="F422">
        <v>2070</v>
      </c>
    </row>
    <row r="423" spans="1:6" ht="15.75" customHeight="1">
      <c r="A423" t="s">
        <v>745</v>
      </c>
      <c r="B423" t="s">
        <v>746</v>
      </c>
      <c r="C423" t="s">
        <v>143</v>
      </c>
      <c r="D423">
        <v>2800</v>
      </c>
      <c r="E423">
        <v>18</v>
      </c>
      <c r="F423">
        <v>2070</v>
      </c>
    </row>
    <row r="424" spans="1:6" ht="15.75" customHeight="1">
      <c r="A424" t="s">
        <v>747</v>
      </c>
      <c r="B424" t="s">
        <v>746</v>
      </c>
      <c r="C424" t="s">
        <v>143</v>
      </c>
      <c r="D424">
        <v>2800</v>
      </c>
      <c r="E424">
        <v>25</v>
      </c>
      <c r="F424">
        <v>2070</v>
      </c>
    </row>
    <row r="425" spans="1:6" ht="15.75" customHeight="1">
      <c r="A425" t="s">
        <v>748</v>
      </c>
      <c r="B425" t="s">
        <v>749</v>
      </c>
      <c r="C425" t="s">
        <v>143</v>
      </c>
      <c r="D425">
        <v>2800</v>
      </c>
      <c r="E425">
        <v>18</v>
      </c>
      <c r="F425">
        <v>2070</v>
      </c>
    </row>
    <row r="426" spans="1:6" ht="15.75" customHeight="1">
      <c r="A426" t="s">
        <v>750</v>
      </c>
      <c r="B426" t="s">
        <v>751</v>
      </c>
      <c r="C426" t="s">
        <v>143</v>
      </c>
      <c r="D426">
        <v>2800</v>
      </c>
      <c r="E426">
        <v>18</v>
      </c>
      <c r="F426">
        <v>2070</v>
      </c>
    </row>
    <row r="427" spans="1:6" ht="15.75" customHeight="1">
      <c r="A427" t="s">
        <v>752</v>
      </c>
      <c r="B427" t="s">
        <v>753</v>
      </c>
      <c r="C427" t="s">
        <v>143</v>
      </c>
      <c r="D427">
        <v>2800</v>
      </c>
      <c r="E427">
        <v>10</v>
      </c>
      <c r="F427">
        <v>2070</v>
      </c>
    </row>
    <row r="428" spans="1:6" ht="15.75" customHeight="1">
      <c r="A428" t="s">
        <v>754</v>
      </c>
      <c r="B428" t="s">
        <v>753</v>
      </c>
      <c r="C428" t="s">
        <v>143</v>
      </c>
      <c r="D428">
        <v>2800</v>
      </c>
      <c r="E428">
        <v>18</v>
      </c>
      <c r="F428">
        <v>2070</v>
      </c>
    </row>
    <row r="429" spans="1:6" ht="15.75" customHeight="1">
      <c r="A429" t="s">
        <v>755</v>
      </c>
      <c r="B429" t="s">
        <v>753</v>
      </c>
      <c r="C429" t="s">
        <v>143</v>
      </c>
      <c r="D429">
        <v>2800</v>
      </c>
      <c r="E429">
        <v>25</v>
      </c>
      <c r="F429">
        <v>2070</v>
      </c>
    </row>
    <row r="430" spans="1:6" ht="15.75" customHeight="1">
      <c r="A430" t="s">
        <v>756</v>
      </c>
      <c r="B430" t="s">
        <v>757</v>
      </c>
      <c r="C430" t="s">
        <v>143</v>
      </c>
      <c r="D430">
        <v>2800</v>
      </c>
      <c r="E430">
        <v>10</v>
      </c>
      <c r="F430">
        <v>2070</v>
      </c>
    </row>
    <row r="431" spans="1:6" ht="15.75" customHeight="1">
      <c r="A431" t="s">
        <v>758</v>
      </c>
      <c r="B431" t="s">
        <v>757</v>
      </c>
      <c r="C431" t="s">
        <v>143</v>
      </c>
      <c r="D431">
        <v>2800</v>
      </c>
      <c r="E431">
        <v>18.600000000000001</v>
      </c>
      <c r="F431">
        <v>2070</v>
      </c>
    </row>
    <row r="432" spans="1:6" ht="15.75" customHeight="1">
      <c r="A432" t="s">
        <v>759</v>
      </c>
      <c r="B432" t="s">
        <v>757</v>
      </c>
      <c r="C432" t="s">
        <v>143</v>
      </c>
      <c r="D432">
        <v>2800</v>
      </c>
      <c r="E432">
        <v>25.6</v>
      </c>
      <c r="F432">
        <v>2070</v>
      </c>
    </row>
    <row r="433" spans="1:6" ht="15.75" customHeight="1">
      <c r="A433" t="s">
        <v>760</v>
      </c>
      <c r="B433" t="s">
        <v>757</v>
      </c>
      <c r="C433" t="s">
        <v>143</v>
      </c>
      <c r="D433">
        <v>2800</v>
      </c>
      <c r="E433">
        <v>38</v>
      </c>
      <c r="F433">
        <v>2070</v>
      </c>
    </row>
    <row r="434" spans="1:6" ht="15.75" customHeight="1">
      <c r="A434" t="s">
        <v>761</v>
      </c>
      <c r="B434" t="s">
        <v>762</v>
      </c>
      <c r="C434" t="s">
        <v>143</v>
      </c>
      <c r="D434">
        <v>2800</v>
      </c>
      <c r="E434">
        <v>10</v>
      </c>
      <c r="F434">
        <v>2070</v>
      </c>
    </row>
    <row r="435" spans="1:6" ht="15.75" customHeight="1">
      <c r="A435" t="s">
        <v>763</v>
      </c>
      <c r="B435" t="s">
        <v>762</v>
      </c>
      <c r="C435" t="s">
        <v>143</v>
      </c>
      <c r="D435">
        <v>2800</v>
      </c>
      <c r="E435">
        <v>18</v>
      </c>
      <c r="F435">
        <v>2070</v>
      </c>
    </row>
    <row r="436" spans="1:6" ht="15.75" customHeight="1">
      <c r="A436" t="s">
        <v>764</v>
      </c>
      <c r="B436" t="s">
        <v>762</v>
      </c>
      <c r="C436" t="s">
        <v>143</v>
      </c>
      <c r="D436">
        <v>2800</v>
      </c>
      <c r="E436">
        <v>25</v>
      </c>
      <c r="F436">
        <v>2070</v>
      </c>
    </row>
    <row r="437" spans="1:6" ht="15.75" customHeight="1">
      <c r="A437" t="s">
        <v>765</v>
      </c>
      <c r="B437" t="s">
        <v>766</v>
      </c>
      <c r="C437" t="s">
        <v>143</v>
      </c>
      <c r="D437">
        <v>2800</v>
      </c>
      <c r="E437">
        <v>10</v>
      </c>
      <c r="F437">
        <v>2070</v>
      </c>
    </row>
    <row r="438" spans="1:6" ht="15.75" customHeight="1">
      <c r="A438" t="s">
        <v>767</v>
      </c>
      <c r="B438" t="s">
        <v>766</v>
      </c>
      <c r="C438" t="s">
        <v>143</v>
      </c>
      <c r="D438">
        <v>2800</v>
      </c>
      <c r="E438">
        <v>16</v>
      </c>
      <c r="F438">
        <v>2070</v>
      </c>
    </row>
    <row r="439" spans="1:6" ht="15.75" customHeight="1">
      <c r="A439" t="s">
        <v>768</v>
      </c>
      <c r="B439" t="s">
        <v>766</v>
      </c>
      <c r="C439" t="s">
        <v>143</v>
      </c>
      <c r="D439">
        <v>2800</v>
      </c>
      <c r="E439">
        <v>18</v>
      </c>
      <c r="F439">
        <v>2070</v>
      </c>
    </row>
    <row r="440" spans="1:6" ht="15.75" customHeight="1">
      <c r="A440" t="s">
        <v>769</v>
      </c>
      <c r="B440" t="s">
        <v>766</v>
      </c>
      <c r="C440" t="s">
        <v>143</v>
      </c>
      <c r="D440">
        <v>2800</v>
      </c>
      <c r="E440">
        <v>25</v>
      </c>
      <c r="F440">
        <v>2070</v>
      </c>
    </row>
    <row r="441" spans="1:6" ht="15.75" customHeight="1">
      <c r="A441" t="s">
        <v>770</v>
      </c>
      <c r="B441" t="s">
        <v>771</v>
      </c>
      <c r="C441" t="s">
        <v>143</v>
      </c>
      <c r="D441">
        <v>2800</v>
      </c>
      <c r="E441">
        <v>10</v>
      </c>
      <c r="F441">
        <v>2070</v>
      </c>
    </row>
    <row r="442" spans="1:6" ht="15.75" customHeight="1">
      <c r="A442" t="s">
        <v>772</v>
      </c>
      <c r="B442" t="s">
        <v>771</v>
      </c>
      <c r="C442" t="s">
        <v>143</v>
      </c>
      <c r="D442">
        <v>2800</v>
      </c>
      <c r="E442">
        <v>16</v>
      </c>
      <c r="F442">
        <v>2070</v>
      </c>
    </row>
    <row r="443" spans="1:6" ht="15.75" customHeight="1">
      <c r="A443" t="s">
        <v>773</v>
      </c>
      <c r="B443" t="s">
        <v>771</v>
      </c>
      <c r="C443" t="s">
        <v>143</v>
      </c>
      <c r="D443">
        <v>2800</v>
      </c>
      <c r="E443">
        <v>18</v>
      </c>
      <c r="F443">
        <v>2070</v>
      </c>
    </row>
    <row r="444" spans="1:6" ht="15.75" customHeight="1">
      <c r="A444" t="s">
        <v>774</v>
      </c>
      <c r="B444" t="s">
        <v>771</v>
      </c>
      <c r="C444" t="s">
        <v>143</v>
      </c>
      <c r="D444">
        <v>2800</v>
      </c>
      <c r="E444">
        <v>25</v>
      </c>
      <c r="F444">
        <v>2070</v>
      </c>
    </row>
    <row r="445" spans="1:6" ht="15.75" customHeight="1">
      <c r="A445" t="s">
        <v>775</v>
      </c>
      <c r="B445" t="s">
        <v>776</v>
      </c>
      <c r="C445" t="s">
        <v>143</v>
      </c>
      <c r="D445">
        <v>2800</v>
      </c>
      <c r="E445">
        <v>18.600000000000001</v>
      </c>
      <c r="F445">
        <v>2070</v>
      </c>
    </row>
    <row r="446" spans="1:6" ht="15.75" customHeight="1">
      <c r="A446" t="s">
        <v>777</v>
      </c>
      <c r="B446" t="s">
        <v>778</v>
      </c>
      <c r="C446" t="s">
        <v>143</v>
      </c>
      <c r="D446">
        <v>2800</v>
      </c>
      <c r="E446">
        <v>18.600000000000001</v>
      </c>
      <c r="F446">
        <v>2070</v>
      </c>
    </row>
    <row r="447" spans="1:6" ht="15.75" customHeight="1">
      <c r="A447" t="s">
        <v>779</v>
      </c>
      <c r="B447" t="s">
        <v>780</v>
      </c>
      <c r="C447" t="s">
        <v>143</v>
      </c>
      <c r="D447">
        <v>2800</v>
      </c>
      <c r="E447">
        <v>18.600000000000001</v>
      </c>
      <c r="F447">
        <v>2070</v>
      </c>
    </row>
    <row r="448" spans="1:6" ht="15.75" customHeight="1">
      <c r="A448" t="s">
        <v>781</v>
      </c>
      <c r="B448" t="s">
        <v>782</v>
      </c>
      <c r="C448" t="s">
        <v>136</v>
      </c>
      <c r="D448">
        <v>2800</v>
      </c>
      <c r="E448">
        <v>10</v>
      </c>
      <c r="F448">
        <v>2070</v>
      </c>
    </row>
    <row r="449" spans="1:6" ht="15.75" customHeight="1">
      <c r="A449" t="s">
        <v>783</v>
      </c>
      <c r="B449" t="s">
        <v>782</v>
      </c>
      <c r="C449" t="s">
        <v>143</v>
      </c>
      <c r="D449">
        <v>2800</v>
      </c>
      <c r="E449">
        <v>18</v>
      </c>
      <c r="F449">
        <v>2070</v>
      </c>
    </row>
    <row r="450" spans="1:6" ht="15.75" customHeight="1">
      <c r="A450" t="s">
        <v>784</v>
      </c>
      <c r="B450" t="s">
        <v>785</v>
      </c>
      <c r="C450" t="s">
        <v>143</v>
      </c>
      <c r="D450">
        <v>2800</v>
      </c>
      <c r="E450">
        <v>10</v>
      </c>
      <c r="F450">
        <v>2070</v>
      </c>
    </row>
    <row r="451" spans="1:6" ht="15.75" customHeight="1">
      <c r="A451" t="s">
        <v>786</v>
      </c>
      <c r="B451" t="s">
        <v>785</v>
      </c>
      <c r="C451" t="s">
        <v>143</v>
      </c>
      <c r="D451">
        <v>2800</v>
      </c>
      <c r="E451">
        <v>18</v>
      </c>
      <c r="F451">
        <v>2070</v>
      </c>
    </row>
    <row r="452" spans="1:6" ht="15.75" customHeight="1">
      <c r="A452" t="s">
        <v>787</v>
      </c>
      <c r="B452" t="s">
        <v>785</v>
      </c>
      <c r="C452" t="s">
        <v>143</v>
      </c>
      <c r="D452">
        <v>2800</v>
      </c>
      <c r="E452">
        <v>25</v>
      </c>
      <c r="F452">
        <v>2070</v>
      </c>
    </row>
    <row r="453" spans="1:6" ht="15.75" customHeight="1">
      <c r="A453" t="s">
        <v>788</v>
      </c>
      <c r="B453" t="s">
        <v>785</v>
      </c>
      <c r="C453" t="s">
        <v>143</v>
      </c>
      <c r="D453">
        <v>2800</v>
      </c>
      <c r="E453">
        <v>38</v>
      </c>
      <c r="F453">
        <v>2070</v>
      </c>
    </row>
    <row r="454" spans="1:6" ht="15.75" customHeight="1">
      <c r="A454" t="s">
        <v>789</v>
      </c>
      <c r="B454" t="s">
        <v>790</v>
      </c>
      <c r="C454" t="s">
        <v>143</v>
      </c>
      <c r="D454">
        <v>2800</v>
      </c>
      <c r="E454">
        <v>18</v>
      </c>
      <c r="F454">
        <v>2070</v>
      </c>
    </row>
    <row r="455" spans="1:6" ht="15.75" customHeight="1">
      <c r="A455" t="s">
        <v>791</v>
      </c>
      <c r="B455" t="s">
        <v>792</v>
      </c>
      <c r="C455" t="s">
        <v>143</v>
      </c>
      <c r="D455">
        <v>2800</v>
      </c>
      <c r="E455">
        <v>18</v>
      </c>
      <c r="F455">
        <v>2070</v>
      </c>
    </row>
    <row r="456" spans="1:6" ht="15.75" customHeight="1">
      <c r="A456" t="s">
        <v>793</v>
      </c>
      <c r="B456" t="s">
        <v>794</v>
      </c>
      <c r="C456" t="s">
        <v>143</v>
      </c>
      <c r="D456">
        <v>2800</v>
      </c>
      <c r="E456">
        <v>18</v>
      </c>
      <c r="F456">
        <v>2070</v>
      </c>
    </row>
    <row r="457" spans="1:6" ht="15.75" customHeight="1">
      <c r="A457" t="s">
        <v>795</v>
      </c>
      <c r="B457" t="s">
        <v>796</v>
      </c>
      <c r="C457" t="s">
        <v>143</v>
      </c>
      <c r="D457">
        <v>2800</v>
      </c>
      <c r="E457">
        <v>10</v>
      </c>
      <c r="F457">
        <v>2070</v>
      </c>
    </row>
    <row r="458" spans="1:6" ht="15.75" customHeight="1">
      <c r="A458" t="s">
        <v>797</v>
      </c>
      <c r="B458" t="s">
        <v>796</v>
      </c>
      <c r="C458" t="s">
        <v>143</v>
      </c>
      <c r="D458">
        <v>2800</v>
      </c>
      <c r="E458">
        <v>16</v>
      </c>
      <c r="F458">
        <v>2070</v>
      </c>
    </row>
    <row r="459" spans="1:6" ht="15.75" customHeight="1">
      <c r="A459" t="s">
        <v>798</v>
      </c>
      <c r="B459" t="s">
        <v>796</v>
      </c>
      <c r="C459" t="s">
        <v>143</v>
      </c>
      <c r="D459">
        <v>2800</v>
      </c>
      <c r="E459">
        <v>18</v>
      </c>
      <c r="F459">
        <v>2070</v>
      </c>
    </row>
    <row r="460" spans="1:6" ht="15.75" customHeight="1">
      <c r="A460" t="s">
        <v>799</v>
      </c>
      <c r="B460" t="s">
        <v>796</v>
      </c>
      <c r="C460" t="s">
        <v>143</v>
      </c>
      <c r="D460">
        <v>2800</v>
      </c>
      <c r="E460">
        <v>25</v>
      </c>
      <c r="F460">
        <v>2070</v>
      </c>
    </row>
    <row r="461" spans="1:6" ht="15.75" customHeight="1">
      <c r="A461" t="s">
        <v>800</v>
      </c>
      <c r="B461" t="s">
        <v>801</v>
      </c>
      <c r="C461" t="s">
        <v>143</v>
      </c>
      <c r="D461">
        <v>2800</v>
      </c>
      <c r="E461">
        <v>10</v>
      </c>
      <c r="F461">
        <v>2070</v>
      </c>
    </row>
    <row r="462" spans="1:6" ht="15.75" customHeight="1">
      <c r="A462" t="s">
        <v>802</v>
      </c>
      <c r="B462" t="s">
        <v>801</v>
      </c>
      <c r="C462" t="s">
        <v>143</v>
      </c>
      <c r="D462">
        <v>2800</v>
      </c>
      <c r="E462">
        <v>16</v>
      </c>
      <c r="F462">
        <v>2070</v>
      </c>
    </row>
    <row r="463" spans="1:6" ht="15.75" customHeight="1">
      <c r="A463" t="s">
        <v>803</v>
      </c>
      <c r="B463" t="s">
        <v>801</v>
      </c>
      <c r="C463" t="s">
        <v>143</v>
      </c>
      <c r="D463">
        <v>2800</v>
      </c>
      <c r="E463">
        <v>18</v>
      </c>
      <c r="F463">
        <v>2070</v>
      </c>
    </row>
    <row r="464" spans="1:6" ht="15.75" customHeight="1">
      <c r="A464" t="s">
        <v>804</v>
      </c>
      <c r="B464" t="s">
        <v>801</v>
      </c>
      <c r="C464" t="s">
        <v>143</v>
      </c>
      <c r="D464">
        <v>2800</v>
      </c>
      <c r="E464">
        <v>25</v>
      </c>
      <c r="F464">
        <v>2070</v>
      </c>
    </row>
    <row r="465" spans="1:6" ht="15.75" customHeight="1">
      <c r="A465" t="s">
        <v>805</v>
      </c>
      <c r="B465" t="s">
        <v>806</v>
      </c>
      <c r="C465" t="s">
        <v>143</v>
      </c>
      <c r="D465">
        <v>2800</v>
      </c>
      <c r="E465">
        <v>10</v>
      </c>
      <c r="F465">
        <v>2070</v>
      </c>
    </row>
    <row r="466" spans="1:6" ht="15.75" customHeight="1">
      <c r="A466" t="s">
        <v>807</v>
      </c>
      <c r="B466" t="s">
        <v>806</v>
      </c>
      <c r="C466" t="s">
        <v>143</v>
      </c>
      <c r="D466">
        <v>2800</v>
      </c>
      <c r="E466">
        <v>16</v>
      </c>
      <c r="F466">
        <v>2070</v>
      </c>
    </row>
    <row r="467" spans="1:6" ht="15.75" customHeight="1">
      <c r="A467" t="s">
        <v>808</v>
      </c>
      <c r="B467" t="s">
        <v>806</v>
      </c>
      <c r="C467" t="s">
        <v>143</v>
      </c>
      <c r="D467">
        <v>2800</v>
      </c>
      <c r="E467">
        <v>18</v>
      </c>
      <c r="F467">
        <v>2070</v>
      </c>
    </row>
    <row r="468" spans="1:6" ht="15.75" customHeight="1">
      <c r="A468" t="s">
        <v>809</v>
      </c>
      <c r="B468" t="s">
        <v>806</v>
      </c>
      <c r="C468" t="s">
        <v>143</v>
      </c>
      <c r="D468">
        <v>2800</v>
      </c>
      <c r="E468">
        <v>25</v>
      </c>
      <c r="F468">
        <v>2070</v>
      </c>
    </row>
    <row r="469" spans="1:6" ht="15.75" customHeight="1">
      <c r="A469" t="s">
        <v>810</v>
      </c>
      <c r="B469" t="s">
        <v>806</v>
      </c>
      <c r="C469" t="s">
        <v>143</v>
      </c>
      <c r="D469">
        <v>2800</v>
      </c>
      <c r="E469">
        <v>38</v>
      </c>
      <c r="F469">
        <v>2070</v>
      </c>
    </row>
    <row r="470" spans="1:6" ht="15.75" customHeight="1">
      <c r="A470" t="s">
        <v>811</v>
      </c>
      <c r="B470" t="s">
        <v>812</v>
      </c>
      <c r="C470" t="s">
        <v>143</v>
      </c>
      <c r="D470">
        <v>2800</v>
      </c>
      <c r="E470">
        <v>18.600000000000001</v>
      </c>
      <c r="F470">
        <v>2070</v>
      </c>
    </row>
    <row r="471" spans="1:6" ht="15.75" customHeight="1">
      <c r="A471" t="s">
        <v>813</v>
      </c>
      <c r="B471" t="s">
        <v>814</v>
      </c>
      <c r="C471" t="s">
        <v>143</v>
      </c>
      <c r="D471">
        <v>2800</v>
      </c>
      <c r="E471">
        <v>18.600000000000001</v>
      </c>
      <c r="F471">
        <v>2070</v>
      </c>
    </row>
    <row r="472" spans="1:6" ht="15.75" customHeight="1">
      <c r="A472" t="s">
        <v>815</v>
      </c>
      <c r="B472" t="s">
        <v>816</v>
      </c>
      <c r="C472" t="s">
        <v>143</v>
      </c>
      <c r="D472">
        <v>2800</v>
      </c>
      <c r="E472">
        <v>18.600000000000001</v>
      </c>
      <c r="F472">
        <v>2070</v>
      </c>
    </row>
    <row r="473" spans="1:6" ht="15.75" customHeight="1">
      <c r="A473" t="s">
        <v>5360</v>
      </c>
      <c r="B473" t="s">
        <v>5361</v>
      </c>
      <c r="C473" t="s">
        <v>143</v>
      </c>
      <c r="D473">
        <v>2800</v>
      </c>
      <c r="E473">
        <v>18</v>
      </c>
      <c r="F473">
        <v>2070</v>
      </c>
    </row>
    <row r="474" spans="1:6" ht="15.75" customHeight="1">
      <c r="A474" t="s">
        <v>817</v>
      </c>
      <c r="B474" t="s">
        <v>818</v>
      </c>
      <c r="C474" t="s">
        <v>143</v>
      </c>
      <c r="D474">
        <v>2800</v>
      </c>
      <c r="E474">
        <v>16</v>
      </c>
      <c r="F474">
        <v>2070</v>
      </c>
    </row>
    <row r="475" spans="1:6" ht="15.75" customHeight="1">
      <c r="A475" t="s">
        <v>819</v>
      </c>
      <c r="B475" t="s">
        <v>818</v>
      </c>
      <c r="C475" t="s">
        <v>143</v>
      </c>
      <c r="D475">
        <v>2800</v>
      </c>
      <c r="E475">
        <v>18.600000000000001</v>
      </c>
      <c r="F475">
        <v>2070</v>
      </c>
    </row>
    <row r="476" spans="1:6" ht="15.75" customHeight="1">
      <c r="A476" t="s">
        <v>820</v>
      </c>
      <c r="B476" t="s">
        <v>821</v>
      </c>
      <c r="C476" t="s">
        <v>143</v>
      </c>
      <c r="D476">
        <v>2800</v>
      </c>
      <c r="E476">
        <v>10</v>
      </c>
      <c r="F476">
        <v>2070</v>
      </c>
    </row>
    <row r="477" spans="1:6" ht="15.75" customHeight="1">
      <c r="A477" t="s">
        <v>822</v>
      </c>
      <c r="B477" t="s">
        <v>821</v>
      </c>
      <c r="C477" t="s">
        <v>143</v>
      </c>
      <c r="D477">
        <v>2800</v>
      </c>
      <c r="E477">
        <v>16</v>
      </c>
      <c r="F477">
        <v>2070</v>
      </c>
    </row>
    <row r="478" spans="1:6" ht="15.75" customHeight="1">
      <c r="A478" t="s">
        <v>823</v>
      </c>
      <c r="B478" t="s">
        <v>821</v>
      </c>
      <c r="C478" t="s">
        <v>143</v>
      </c>
      <c r="D478">
        <v>2800</v>
      </c>
      <c r="E478">
        <v>18.600000000000001</v>
      </c>
      <c r="F478">
        <v>2070</v>
      </c>
    </row>
    <row r="479" spans="1:6" ht="15.75" customHeight="1">
      <c r="A479" t="s">
        <v>824</v>
      </c>
      <c r="B479" t="s">
        <v>821</v>
      </c>
      <c r="C479" t="s">
        <v>143</v>
      </c>
      <c r="D479">
        <v>2800</v>
      </c>
      <c r="E479">
        <v>25</v>
      </c>
      <c r="F479">
        <v>2070</v>
      </c>
    </row>
    <row r="480" spans="1:6" ht="15.75" customHeight="1">
      <c r="A480" t="s">
        <v>825</v>
      </c>
      <c r="B480" t="s">
        <v>826</v>
      </c>
      <c r="C480" t="s">
        <v>143</v>
      </c>
      <c r="D480">
        <v>2800</v>
      </c>
      <c r="E480">
        <v>18.600000000000001</v>
      </c>
      <c r="F480">
        <v>2070</v>
      </c>
    </row>
    <row r="481" spans="1:6" ht="15.75" customHeight="1">
      <c r="A481" t="s">
        <v>827</v>
      </c>
      <c r="B481" t="s">
        <v>828</v>
      </c>
      <c r="C481" t="s">
        <v>143</v>
      </c>
      <c r="D481">
        <v>2800</v>
      </c>
      <c r="E481">
        <v>16</v>
      </c>
      <c r="F481">
        <v>2070</v>
      </c>
    </row>
    <row r="482" spans="1:6" ht="15.75" customHeight="1">
      <c r="A482" t="s">
        <v>829</v>
      </c>
      <c r="B482" t="s">
        <v>828</v>
      </c>
      <c r="C482" t="s">
        <v>143</v>
      </c>
      <c r="D482">
        <v>2800</v>
      </c>
      <c r="E482">
        <v>18</v>
      </c>
      <c r="F482">
        <v>2070</v>
      </c>
    </row>
    <row r="483" spans="1:6" ht="15.75" customHeight="1">
      <c r="A483" t="s">
        <v>830</v>
      </c>
      <c r="B483" t="s">
        <v>828</v>
      </c>
      <c r="C483" t="s">
        <v>143</v>
      </c>
      <c r="D483">
        <v>2800</v>
      </c>
      <c r="E483">
        <v>25</v>
      </c>
      <c r="F483">
        <v>2070</v>
      </c>
    </row>
    <row r="484" spans="1:6" ht="15.75" customHeight="1">
      <c r="A484" t="s">
        <v>831</v>
      </c>
      <c r="B484" t="s">
        <v>832</v>
      </c>
      <c r="C484" t="s">
        <v>143</v>
      </c>
      <c r="D484">
        <v>2800</v>
      </c>
      <c r="E484">
        <v>16</v>
      </c>
      <c r="F484">
        <v>2070</v>
      </c>
    </row>
    <row r="485" spans="1:6" ht="15.75" customHeight="1">
      <c r="A485" t="s">
        <v>833</v>
      </c>
      <c r="B485" t="s">
        <v>834</v>
      </c>
      <c r="C485" t="s">
        <v>143</v>
      </c>
      <c r="D485">
        <v>2800</v>
      </c>
      <c r="E485">
        <v>10</v>
      </c>
      <c r="F485">
        <v>2070</v>
      </c>
    </row>
    <row r="486" spans="1:6" ht="15.75" customHeight="1">
      <c r="A486" t="s">
        <v>835</v>
      </c>
      <c r="B486" t="s">
        <v>834</v>
      </c>
      <c r="C486" t="s">
        <v>143</v>
      </c>
      <c r="D486">
        <v>2800</v>
      </c>
      <c r="E486">
        <v>18</v>
      </c>
      <c r="F486">
        <v>2070</v>
      </c>
    </row>
    <row r="487" spans="1:6" ht="15.75" customHeight="1">
      <c r="A487" t="s">
        <v>836</v>
      </c>
      <c r="B487" t="s">
        <v>834</v>
      </c>
      <c r="C487" t="s">
        <v>143</v>
      </c>
      <c r="D487">
        <v>2800</v>
      </c>
      <c r="E487">
        <v>25</v>
      </c>
      <c r="F487">
        <v>2070</v>
      </c>
    </row>
    <row r="488" spans="1:6" ht="15.75" customHeight="1">
      <c r="A488" t="s">
        <v>837</v>
      </c>
      <c r="B488" t="s">
        <v>838</v>
      </c>
      <c r="C488" t="s">
        <v>143</v>
      </c>
      <c r="D488">
        <v>2800</v>
      </c>
      <c r="E488">
        <v>10</v>
      </c>
      <c r="F488">
        <v>2070</v>
      </c>
    </row>
    <row r="489" spans="1:6" ht="15.75" customHeight="1">
      <c r="A489" t="s">
        <v>839</v>
      </c>
      <c r="B489" t="s">
        <v>838</v>
      </c>
      <c r="C489" t="s">
        <v>143</v>
      </c>
      <c r="D489">
        <v>2800</v>
      </c>
      <c r="E489">
        <v>18.600000000000001</v>
      </c>
      <c r="F489">
        <v>2070</v>
      </c>
    </row>
    <row r="490" spans="1:6" ht="15.75" customHeight="1">
      <c r="A490" t="s">
        <v>840</v>
      </c>
      <c r="B490" t="s">
        <v>841</v>
      </c>
      <c r="C490" t="s">
        <v>143</v>
      </c>
      <c r="D490">
        <v>2800</v>
      </c>
      <c r="E490">
        <v>16</v>
      </c>
      <c r="F490">
        <v>2070</v>
      </c>
    </row>
    <row r="491" spans="1:6" ht="15.75" customHeight="1">
      <c r="A491" t="s">
        <v>842</v>
      </c>
      <c r="B491" t="s">
        <v>843</v>
      </c>
      <c r="C491" t="s">
        <v>143</v>
      </c>
      <c r="D491">
        <v>2800</v>
      </c>
      <c r="E491">
        <v>10.6</v>
      </c>
      <c r="F491">
        <v>2070</v>
      </c>
    </row>
    <row r="492" spans="1:6" ht="15.75" customHeight="1">
      <c r="A492" t="s">
        <v>844</v>
      </c>
      <c r="B492" t="s">
        <v>843</v>
      </c>
      <c r="C492" t="s">
        <v>143</v>
      </c>
      <c r="D492">
        <v>2800</v>
      </c>
      <c r="E492">
        <v>18.600000000000001</v>
      </c>
      <c r="F492">
        <v>2070</v>
      </c>
    </row>
    <row r="493" spans="1:6" ht="15.75" customHeight="1">
      <c r="A493" t="s">
        <v>845</v>
      </c>
      <c r="B493" t="s">
        <v>846</v>
      </c>
      <c r="C493" t="s">
        <v>143</v>
      </c>
      <c r="D493">
        <v>2800</v>
      </c>
      <c r="E493">
        <v>10</v>
      </c>
      <c r="F493">
        <v>2070</v>
      </c>
    </row>
    <row r="494" spans="1:6" ht="15.75" customHeight="1">
      <c r="A494" t="s">
        <v>847</v>
      </c>
      <c r="B494" t="s">
        <v>848</v>
      </c>
      <c r="C494" t="s">
        <v>143</v>
      </c>
      <c r="D494">
        <v>2800</v>
      </c>
      <c r="E494">
        <v>10</v>
      </c>
      <c r="F494">
        <v>2070</v>
      </c>
    </row>
    <row r="495" spans="1:6" ht="15.75" customHeight="1">
      <c r="A495" t="s">
        <v>849</v>
      </c>
      <c r="B495" t="s">
        <v>848</v>
      </c>
      <c r="C495" t="s">
        <v>143</v>
      </c>
      <c r="D495">
        <v>2800</v>
      </c>
      <c r="E495">
        <v>25</v>
      </c>
      <c r="F495">
        <v>2070</v>
      </c>
    </row>
    <row r="496" spans="1:6" ht="15.75" customHeight="1">
      <c r="A496" t="s">
        <v>850</v>
      </c>
      <c r="B496" t="s">
        <v>851</v>
      </c>
      <c r="C496" t="s">
        <v>143</v>
      </c>
      <c r="D496">
        <v>2800</v>
      </c>
      <c r="E496">
        <v>16</v>
      </c>
      <c r="F496">
        <v>2070</v>
      </c>
    </row>
    <row r="497" spans="1:6" ht="15.75" customHeight="1">
      <c r="A497" t="s">
        <v>852</v>
      </c>
      <c r="B497" t="s">
        <v>853</v>
      </c>
      <c r="C497" t="s">
        <v>143</v>
      </c>
      <c r="D497">
        <v>2800</v>
      </c>
      <c r="E497">
        <v>16</v>
      </c>
      <c r="F497">
        <v>2070</v>
      </c>
    </row>
    <row r="498" spans="1:6" ht="15.75" customHeight="1">
      <c r="A498" t="s">
        <v>854</v>
      </c>
      <c r="B498" t="s">
        <v>855</v>
      </c>
      <c r="C498" t="s">
        <v>143</v>
      </c>
      <c r="D498">
        <v>2800</v>
      </c>
      <c r="E498">
        <v>10</v>
      </c>
      <c r="F498">
        <v>2070</v>
      </c>
    </row>
    <row r="499" spans="1:6" ht="15.75" customHeight="1">
      <c r="A499" t="s">
        <v>856</v>
      </c>
      <c r="B499" t="s">
        <v>855</v>
      </c>
      <c r="C499" t="s">
        <v>143</v>
      </c>
      <c r="D499">
        <v>2800</v>
      </c>
      <c r="E499">
        <v>16</v>
      </c>
      <c r="F499">
        <v>2070</v>
      </c>
    </row>
    <row r="500" spans="1:6" ht="15.75" customHeight="1">
      <c r="A500" t="s">
        <v>857</v>
      </c>
      <c r="B500" t="s">
        <v>855</v>
      </c>
      <c r="C500" t="s">
        <v>143</v>
      </c>
      <c r="D500">
        <v>2800</v>
      </c>
      <c r="E500">
        <v>18</v>
      </c>
      <c r="F500">
        <v>2070</v>
      </c>
    </row>
    <row r="501" spans="1:6" ht="15.75" customHeight="1">
      <c r="A501" t="s">
        <v>858</v>
      </c>
      <c r="B501" t="s">
        <v>855</v>
      </c>
      <c r="C501" t="s">
        <v>143</v>
      </c>
      <c r="D501">
        <v>2800</v>
      </c>
      <c r="E501">
        <v>25</v>
      </c>
      <c r="F501">
        <v>2070</v>
      </c>
    </row>
    <row r="502" spans="1:6" ht="15.75" customHeight="1">
      <c r="A502" t="s">
        <v>859</v>
      </c>
      <c r="B502" t="s">
        <v>855</v>
      </c>
      <c r="C502" t="s">
        <v>143</v>
      </c>
      <c r="D502">
        <v>2800</v>
      </c>
      <c r="E502">
        <v>38</v>
      </c>
      <c r="F502">
        <v>2070</v>
      </c>
    </row>
    <row r="503" spans="1:6" ht="15.75" customHeight="1">
      <c r="A503" t="s">
        <v>860</v>
      </c>
      <c r="B503" t="s">
        <v>861</v>
      </c>
      <c r="C503" t="s">
        <v>143</v>
      </c>
      <c r="D503">
        <v>2800</v>
      </c>
      <c r="E503">
        <v>10</v>
      </c>
      <c r="F503">
        <v>2070</v>
      </c>
    </row>
    <row r="504" spans="1:6" ht="15.75" customHeight="1">
      <c r="A504" t="s">
        <v>862</v>
      </c>
      <c r="B504" t="s">
        <v>861</v>
      </c>
      <c r="C504" t="s">
        <v>143</v>
      </c>
      <c r="D504">
        <v>2800</v>
      </c>
      <c r="E504">
        <v>16</v>
      </c>
      <c r="F504">
        <v>2070</v>
      </c>
    </row>
    <row r="505" spans="1:6" ht="15.75" customHeight="1">
      <c r="A505" t="s">
        <v>863</v>
      </c>
      <c r="B505" t="s">
        <v>861</v>
      </c>
      <c r="C505" t="s">
        <v>143</v>
      </c>
      <c r="D505">
        <v>2800</v>
      </c>
      <c r="E505">
        <v>18</v>
      </c>
      <c r="F505">
        <v>2070</v>
      </c>
    </row>
    <row r="506" spans="1:6" ht="15.75" customHeight="1">
      <c r="A506" t="s">
        <v>864</v>
      </c>
      <c r="B506" t="s">
        <v>861</v>
      </c>
      <c r="C506" t="s">
        <v>143</v>
      </c>
      <c r="D506">
        <v>2800</v>
      </c>
      <c r="E506">
        <v>25</v>
      </c>
      <c r="F506">
        <v>2070</v>
      </c>
    </row>
    <row r="507" spans="1:6" ht="15.75" customHeight="1">
      <c r="A507" t="s">
        <v>865</v>
      </c>
      <c r="B507" t="s">
        <v>866</v>
      </c>
      <c r="C507" t="s">
        <v>143</v>
      </c>
      <c r="D507">
        <v>2800</v>
      </c>
      <c r="E507">
        <v>16</v>
      </c>
      <c r="F507">
        <v>2070</v>
      </c>
    </row>
    <row r="508" spans="1:6" ht="15.75" customHeight="1">
      <c r="A508" t="s">
        <v>867</v>
      </c>
      <c r="B508" t="s">
        <v>866</v>
      </c>
      <c r="C508" t="s">
        <v>143</v>
      </c>
      <c r="D508">
        <v>2800</v>
      </c>
      <c r="E508">
        <v>18</v>
      </c>
      <c r="F508">
        <v>2070</v>
      </c>
    </row>
    <row r="509" spans="1:6" ht="15.75" customHeight="1">
      <c r="A509" t="s">
        <v>868</v>
      </c>
      <c r="B509" t="s">
        <v>866</v>
      </c>
      <c r="C509" t="s">
        <v>143</v>
      </c>
      <c r="D509">
        <v>2800</v>
      </c>
      <c r="E509">
        <v>25</v>
      </c>
      <c r="F509">
        <v>2070</v>
      </c>
    </row>
    <row r="510" spans="1:6" ht="15.75" customHeight="1">
      <c r="A510" t="s">
        <v>869</v>
      </c>
      <c r="B510" t="s">
        <v>870</v>
      </c>
      <c r="C510" t="s">
        <v>143</v>
      </c>
      <c r="D510">
        <v>2800</v>
      </c>
      <c r="E510">
        <v>16</v>
      </c>
      <c r="F510">
        <v>2070</v>
      </c>
    </row>
    <row r="511" spans="1:6" ht="15.75" customHeight="1">
      <c r="A511" t="s">
        <v>871</v>
      </c>
      <c r="B511" t="s">
        <v>870</v>
      </c>
      <c r="C511" t="s">
        <v>143</v>
      </c>
      <c r="D511">
        <v>2800</v>
      </c>
      <c r="E511">
        <v>25</v>
      </c>
      <c r="F511">
        <v>2070</v>
      </c>
    </row>
    <row r="512" spans="1:6" ht="15.75" customHeight="1">
      <c r="A512" t="s">
        <v>872</v>
      </c>
      <c r="B512" t="s">
        <v>873</v>
      </c>
      <c r="C512" t="s">
        <v>143</v>
      </c>
      <c r="D512">
        <v>2800</v>
      </c>
      <c r="E512">
        <v>18.600000000000001</v>
      </c>
      <c r="F512">
        <v>2070</v>
      </c>
    </row>
    <row r="513" spans="1:6" ht="15.75" customHeight="1">
      <c r="A513" t="s">
        <v>874</v>
      </c>
      <c r="B513" t="s">
        <v>875</v>
      </c>
      <c r="C513" t="s">
        <v>143</v>
      </c>
      <c r="D513">
        <v>2800</v>
      </c>
      <c r="E513">
        <v>16</v>
      </c>
      <c r="F513">
        <v>2070</v>
      </c>
    </row>
    <row r="514" spans="1:6" ht="15.75" customHeight="1">
      <c r="A514" t="s">
        <v>876</v>
      </c>
      <c r="B514" t="s">
        <v>875</v>
      </c>
      <c r="C514" t="s">
        <v>143</v>
      </c>
      <c r="D514">
        <v>2800</v>
      </c>
      <c r="E514">
        <v>18</v>
      </c>
      <c r="F514">
        <v>2070</v>
      </c>
    </row>
    <row r="515" spans="1:6" ht="15.75" customHeight="1">
      <c r="A515" t="s">
        <v>877</v>
      </c>
      <c r="B515" t="s">
        <v>875</v>
      </c>
      <c r="C515" t="s">
        <v>143</v>
      </c>
      <c r="D515">
        <v>2800</v>
      </c>
      <c r="E515">
        <v>25</v>
      </c>
      <c r="F515">
        <v>2070</v>
      </c>
    </row>
    <row r="516" spans="1:6" ht="15.75" customHeight="1">
      <c r="A516" t="s">
        <v>878</v>
      </c>
      <c r="B516" t="s">
        <v>879</v>
      </c>
      <c r="C516" t="s">
        <v>143</v>
      </c>
      <c r="D516">
        <v>2800</v>
      </c>
      <c r="E516">
        <v>25</v>
      </c>
      <c r="F516">
        <v>2070</v>
      </c>
    </row>
    <row r="517" spans="1:6" ht="15.75" customHeight="1">
      <c r="A517" t="s">
        <v>880</v>
      </c>
      <c r="B517" t="s">
        <v>881</v>
      </c>
      <c r="C517" t="s">
        <v>143</v>
      </c>
      <c r="D517">
        <v>2800</v>
      </c>
      <c r="E517">
        <v>16</v>
      </c>
      <c r="F517">
        <v>2070</v>
      </c>
    </row>
    <row r="518" spans="1:6" ht="15.75" customHeight="1">
      <c r="A518" t="s">
        <v>882</v>
      </c>
      <c r="B518" t="s">
        <v>883</v>
      </c>
      <c r="C518" t="s">
        <v>143</v>
      </c>
      <c r="D518">
        <v>2800</v>
      </c>
      <c r="E518">
        <v>16</v>
      </c>
      <c r="F518">
        <v>2070</v>
      </c>
    </row>
    <row r="519" spans="1:6" ht="15.75" customHeight="1">
      <c r="A519" t="s">
        <v>884</v>
      </c>
      <c r="B519" t="s">
        <v>883</v>
      </c>
      <c r="C519" t="s">
        <v>143</v>
      </c>
      <c r="D519">
        <v>2800</v>
      </c>
      <c r="E519">
        <v>18</v>
      </c>
      <c r="F519">
        <v>2070</v>
      </c>
    </row>
    <row r="520" spans="1:6" ht="15.75" customHeight="1">
      <c r="A520" t="s">
        <v>885</v>
      </c>
      <c r="B520" t="s">
        <v>883</v>
      </c>
      <c r="C520" t="s">
        <v>143</v>
      </c>
      <c r="D520">
        <v>2800</v>
      </c>
      <c r="E520">
        <v>25</v>
      </c>
      <c r="F520">
        <v>2070</v>
      </c>
    </row>
    <row r="521" spans="1:6" ht="15.75" customHeight="1">
      <c r="A521" t="s">
        <v>886</v>
      </c>
      <c r="B521" t="s">
        <v>887</v>
      </c>
      <c r="C521" t="s">
        <v>143</v>
      </c>
      <c r="D521">
        <v>2800</v>
      </c>
      <c r="E521">
        <v>18</v>
      </c>
      <c r="F521">
        <v>2070</v>
      </c>
    </row>
    <row r="522" spans="1:6" ht="15.75" customHeight="1">
      <c r="A522" t="s">
        <v>888</v>
      </c>
      <c r="B522" t="s">
        <v>887</v>
      </c>
      <c r="C522" t="s">
        <v>143</v>
      </c>
      <c r="D522">
        <v>2800</v>
      </c>
      <c r="E522">
        <v>25</v>
      </c>
      <c r="F522">
        <v>2070</v>
      </c>
    </row>
    <row r="523" spans="1:6" ht="15.75" customHeight="1">
      <c r="A523" t="s">
        <v>889</v>
      </c>
      <c r="B523" t="s">
        <v>890</v>
      </c>
      <c r="C523" t="s">
        <v>143</v>
      </c>
      <c r="D523">
        <v>2800</v>
      </c>
      <c r="E523">
        <v>10</v>
      </c>
      <c r="F523">
        <v>2070</v>
      </c>
    </row>
    <row r="524" spans="1:6" ht="15.75" customHeight="1">
      <c r="A524" t="s">
        <v>891</v>
      </c>
      <c r="B524" t="s">
        <v>890</v>
      </c>
      <c r="C524" t="s">
        <v>143</v>
      </c>
      <c r="D524">
        <v>2800</v>
      </c>
      <c r="E524">
        <v>16</v>
      </c>
      <c r="F524">
        <v>2070</v>
      </c>
    </row>
    <row r="525" spans="1:6" ht="15.75" customHeight="1">
      <c r="A525" t="s">
        <v>892</v>
      </c>
      <c r="B525" t="s">
        <v>890</v>
      </c>
      <c r="C525" t="s">
        <v>143</v>
      </c>
      <c r="D525">
        <v>2800</v>
      </c>
      <c r="E525">
        <v>18</v>
      </c>
      <c r="F525">
        <v>2070</v>
      </c>
    </row>
    <row r="526" spans="1:6" ht="15.75" customHeight="1">
      <c r="A526" t="s">
        <v>893</v>
      </c>
      <c r="B526" t="s">
        <v>890</v>
      </c>
      <c r="C526" t="s">
        <v>143</v>
      </c>
      <c r="D526">
        <v>2800</v>
      </c>
      <c r="E526">
        <v>25</v>
      </c>
      <c r="F526">
        <v>2070</v>
      </c>
    </row>
    <row r="527" spans="1:6" ht="15.75" customHeight="1">
      <c r="A527" t="s">
        <v>894</v>
      </c>
      <c r="C527" t="s">
        <v>136</v>
      </c>
      <c r="D527">
        <v>2800</v>
      </c>
      <c r="E527">
        <v>25</v>
      </c>
      <c r="F527">
        <v>2070</v>
      </c>
    </row>
    <row r="528" spans="1:6" ht="15.75" customHeight="1">
      <c r="A528" t="s">
        <v>895</v>
      </c>
      <c r="B528" t="s">
        <v>896</v>
      </c>
      <c r="C528" t="s">
        <v>143</v>
      </c>
      <c r="D528">
        <v>2800</v>
      </c>
      <c r="E528">
        <v>16</v>
      </c>
      <c r="F528">
        <v>2070</v>
      </c>
    </row>
    <row r="529" spans="1:6" ht="15.75" customHeight="1">
      <c r="A529" t="s">
        <v>897</v>
      </c>
      <c r="B529" t="s">
        <v>896</v>
      </c>
      <c r="C529" t="s">
        <v>143</v>
      </c>
      <c r="D529">
        <v>2800</v>
      </c>
      <c r="E529">
        <v>18</v>
      </c>
      <c r="F529">
        <v>2070</v>
      </c>
    </row>
    <row r="530" spans="1:6" ht="15.75" customHeight="1">
      <c r="A530" t="s">
        <v>898</v>
      </c>
      <c r="B530" t="s">
        <v>896</v>
      </c>
      <c r="C530" t="s">
        <v>143</v>
      </c>
      <c r="D530">
        <v>2800</v>
      </c>
      <c r="E530">
        <v>25</v>
      </c>
      <c r="F530">
        <v>2070</v>
      </c>
    </row>
    <row r="531" spans="1:6" ht="15.75" customHeight="1">
      <c r="A531" t="s">
        <v>899</v>
      </c>
      <c r="B531" t="s">
        <v>900</v>
      </c>
      <c r="C531" t="s">
        <v>143</v>
      </c>
      <c r="D531">
        <v>2800</v>
      </c>
      <c r="E531">
        <v>16</v>
      </c>
      <c r="F531">
        <v>2070</v>
      </c>
    </row>
    <row r="532" spans="1:6" ht="15.75" customHeight="1">
      <c r="A532" t="s">
        <v>901</v>
      </c>
      <c r="B532" t="s">
        <v>900</v>
      </c>
      <c r="C532" t="s">
        <v>143</v>
      </c>
      <c r="D532">
        <v>2800</v>
      </c>
      <c r="E532">
        <v>18</v>
      </c>
      <c r="F532">
        <v>2070</v>
      </c>
    </row>
    <row r="533" spans="1:6" ht="15.75" customHeight="1">
      <c r="A533" t="s">
        <v>902</v>
      </c>
      <c r="B533" t="s">
        <v>900</v>
      </c>
      <c r="C533" t="s">
        <v>143</v>
      </c>
      <c r="D533">
        <v>2800</v>
      </c>
      <c r="E533">
        <v>25</v>
      </c>
      <c r="F533">
        <v>2070</v>
      </c>
    </row>
    <row r="534" spans="1:6" ht="15.75" customHeight="1">
      <c r="A534" t="s">
        <v>903</v>
      </c>
      <c r="B534" t="s">
        <v>904</v>
      </c>
      <c r="C534" t="s">
        <v>143</v>
      </c>
      <c r="D534">
        <v>2800</v>
      </c>
      <c r="E534">
        <v>16</v>
      </c>
      <c r="F534">
        <v>2070</v>
      </c>
    </row>
    <row r="535" spans="1:6" ht="15.75" customHeight="1">
      <c r="A535" t="s">
        <v>905</v>
      </c>
      <c r="B535" t="s">
        <v>904</v>
      </c>
      <c r="C535" t="s">
        <v>143</v>
      </c>
      <c r="D535">
        <v>2800</v>
      </c>
      <c r="E535">
        <v>18</v>
      </c>
      <c r="F535">
        <v>2070</v>
      </c>
    </row>
    <row r="536" spans="1:6" ht="15.75" customHeight="1">
      <c r="A536" t="s">
        <v>906</v>
      </c>
      <c r="B536" t="s">
        <v>904</v>
      </c>
      <c r="C536" t="s">
        <v>143</v>
      </c>
      <c r="D536">
        <v>2800</v>
      </c>
      <c r="E536">
        <v>25</v>
      </c>
      <c r="F536">
        <v>2070</v>
      </c>
    </row>
    <row r="537" spans="1:6" ht="15.75" customHeight="1">
      <c r="A537" t="s">
        <v>907</v>
      </c>
      <c r="B537" t="s">
        <v>908</v>
      </c>
      <c r="C537" t="s">
        <v>143</v>
      </c>
      <c r="D537">
        <v>2800</v>
      </c>
      <c r="E537">
        <v>18</v>
      </c>
      <c r="F537">
        <v>2070</v>
      </c>
    </row>
    <row r="538" spans="1:6" ht="15.75" customHeight="1">
      <c r="A538" t="s">
        <v>909</v>
      </c>
      <c r="B538" t="s">
        <v>908</v>
      </c>
      <c r="C538" t="s">
        <v>143</v>
      </c>
      <c r="D538">
        <v>2800</v>
      </c>
      <c r="E538">
        <v>25</v>
      </c>
      <c r="F538">
        <v>2070</v>
      </c>
    </row>
    <row r="539" spans="1:6" ht="15.75" customHeight="1">
      <c r="A539" t="s">
        <v>910</v>
      </c>
      <c r="B539" t="s">
        <v>911</v>
      </c>
      <c r="C539" t="s">
        <v>143</v>
      </c>
      <c r="D539">
        <v>2800</v>
      </c>
      <c r="E539">
        <v>10</v>
      </c>
      <c r="F539">
        <v>2070</v>
      </c>
    </row>
    <row r="540" spans="1:6" ht="15.75" customHeight="1">
      <c r="A540" t="s">
        <v>912</v>
      </c>
      <c r="B540" t="s">
        <v>911</v>
      </c>
      <c r="C540" t="s">
        <v>143</v>
      </c>
      <c r="D540">
        <v>2800</v>
      </c>
      <c r="E540">
        <v>16</v>
      </c>
      <c r="F540">
        <v>2070</v>
      </c>
    </row>
    <row r="541" spans="1:6" ht="15.75" customHeight="1">
      <c r="A541" t="s">
        <v>913</v>
      </c>
      <c r="B541" t="s">
        <v>911</v>
      </c>
      <c r="C541" t="s">
        <v>143</v>
      </c>
      <c r="D541">
        <v>2800</v>
      </c>
      <c r="E541">
        <v>18</v>
      </c>
      <c r="F541">
        <v>2070</v>
      </c>
    </row>
    <row r="542" spans="1:6" ht="15.75" customHeight="1">
      <c r="A542" t="s">
        <v>914</v>
      </c>
      <c r="B542" t="s">
        <v>911</v>
      </c>
      <c r="C542" t="s">
        <v>143</v>
      </c>
      <c r="D542">
        <v>2800</v>
      </c>
      <c r="E542">
        <v>25</v>
      </c>
      <c r="F542">
        <v>2070</v>
      </c>
    </row>
    <row r="543" spans="1:6" ht="15.75" customHeight="1">
      <c r="A543" t="s">
        <v>915</v>
      </c>
      <c r="B543" t="s">
        <v>911</v>
      </c>
      <c r="C543" t="s">
        <v>143</v>
      </c>
      <c r="D543">
        <v>2800</v>
      </c>
      <c r="E543">
        <v>38</v>
      </c>
      <c r="F543">
        <v>2070</v>
      </c>
    </row>
    <row r="544" spans="1:6" ht="15.75" customHeight="1">
      <c r="A544" t="s">
        <v>916</v>
      </c>
      <c r="B544" t="s">
        <v>917</v>
      </c>
      <c r="C544" t="s">
        <v>143</v>
      </c>
      <c r="D544">
        <v>2800</v>
      </c>
      <c r="E544">
        <v>18</v>
      </c>
      <c r="F544">
        <v>2070</v>
      </c>
    </row>
    <row r="545" spans="1:6" ht="15.75" customHeight="1">
      <c r="A545" t="s">
        <v>918</v>
      </c>
      <c r="B545" t="s">
        <v>917</v>
      </c>
      <c r="C545" t="s">
        <v>143</v>
      </c>
      <c r="D545">
        <v>2800</v>
      </c>
      <c r="E545">
        <v>25</v>
      </c>
      <c r="F545">
        <v>2070</v>
      </c>
    </row>
    <row r="546" spans="1:6" ht="15.75" customHeight="1">
      <c r="A546" t="s">
        <v>919</v>
      </c>
      <c r="B546" t="s">
        <v>920</v>
      </c>
      <c r="C546" t="s">
        <v>143</v>
      </c>
      <c r="D546">
        <v>2800</v>
      </c>
      <c r="E546">
        <v>18</v>
      </c>
      <c r="F546">
        <v>2070</v>
      </c>
    </row>
    <row r="547" spans="1:6" ht="15.75" customHeight="1">
      <c r="A547" t="s">
        <v>921</v>
      </c>
      <c r="B547" t="s">
        <v>922</v>
      </c>
      <c r="C547" t="s">
        <v>143</v>
      </c>
      <c r="D547">
        <v>2800</v>
      </c>
      <c r="E547">
        <v>10</v>
      </c>
      <c r="F547">
        <v>2070</v>
      </c>
    </row>
    <row r="548" spans="1:6" ht="15.75" customHeight="1">
      <c r="A548" t="s">
        <v>923</v>
      </c>
      <c r="B548" t="s">
        <v>922</v>
      </c>
      <c r="C548" t="s">
        <v>143</v>
      </c>
      <c r="D548">
        <v>2800</v>
      </c>
      <c r="E548">
        <v>16</v>
      </c>
      <c r="F548">
        <v>2070</v>
      </c>
    </row>
    <row r="549" spans="1:6" ht="15.75" customHeight="1">
      <c r="A549" t="s">
        <v>924</v>
      </c>
      <c r="B549" t="s">
        <v>922</v>
      </c>
      <c r="C549" t="s">
        <v>143</v>
      </c>
      <c r="D549">
        <v>2800</v>
      </c>
      <c r="E549">
        <v>18</v>
      </c>
      <c r="F549">
        <v>2070</v>
      </c>
    </row>
    <row r="550" spans="1:6" ht="15.75" customHeight="1">
      <c r="A550" t="s">
        <v>925</v>
      </c>
      <c r="B550" t="s">
        <v>922</v>
      </c>
      <c r="C550" t="s">
        <v>143</v>
      </c>
      <c r="D550">
        <v>2800</v>
      </c>
      <c r="E550">
        <v>25</v>
      </c>
      <c r="F550">
        <v>2070</v>
      </c>
    </row>
    <row r="551" spans="1:6" ht="15.75" customHeight="1">
      <c r="A551" t="s">
        <v>926</v>
      </c>
      <c r="B551" t="s">
        <v>922</v>
      </c>
      <c r="C551" t="s">
        <v>143</v>
      </c>
      <c r="D551">
        <v>2800</v>
      </c>
      <c r="E551">
        <v>38</v>
      </c>
      <c r="F551">
        <v>2070</v>
      </c>
    </row>
    <row r="552" spans="1:6" ht="15.75" customHeight="1">
      <c r="A552" t="s">
        <v>927</v>
      </c>
      <c r="B552" t="s">
        <v>928</v>
      </c>
      <c r="C552" t="s">
        <v>143</v>
      </c>
      <c r="D552">
        <v>2800</v>
      </c>
      <c r="E552">
        <v>18</v>
      </c>
      <c r="F552">
        <v>2070</v>
      </c>
    </row>
    <row r="553" spans="1:6" ht="15.75" customHeight="1">
      <c r="A553" t="s">
        <v>929</v>
      </c>
      <c r="B553" t="s">
        <v>930</v>
      </c>
      <c r="C553" t="s">
        <v>143</v>
      </c>
      <c r="D553">
        <v>2800</v>
      </c>
      <c r="E553">
        <v>10</v>
      </c>
      <c r="F553">
        <v>2070</v>
      </c>
    </row>
    <row r="554" spans="1:6" ht="15.75" customHeight="1">
      <c r="A554" t="s">
        <v>931</v>
      </c>
      <c r="B554" t="s">
        <v>930</v>
      </c>
      <c r="C554" t="s">
        <v>143</v>
      </c>
      <c r="D554">
        <v>2800</v>
      </c>
      <c r="E554">
        <v>16</v>
      </c>
      <c r="F554">
        <v>2070</v>
      </c>
    </row>
    <row r="555" spans="1:6" ht="15.75" customHeight="1">
      <c r="A555" t="s">
        <v>932</v>
      </c>
      <c r="B555" t="s">
        <v>930</v>
      </c>
      <c r="C555" t="s">
        <v>143</v>
      </c>
      <c r="D555">
        <v>2800</v>
      </c>
      <c r="E555">
        <v>18</v>
      </c>
      <c r="F555">
        <v>2070</v>
      </c>
    </row>
    <row r="556" spans="1:6" ht="15.75" customHeight="1">
      <c r="A556" t="s">
        <v>933</v>
      </c>
      <c r="B556" t="s">
        <v>930</v>
      </c>
      <c r="C556" t="s">
        <v>143</v>
      </c>
      <c r="D556">
        <v>2800</v>
      </c>
      <c r="E556">
        <v>25</v>
      </c>
      <c r="F556">
        <v>2070</v>
      </c>
    </row>
    <row r="557" spans="1:6" ht="15.75" customHeight="1">
      <c r="A557" t="s">
        <v>934</v>
      </c>
      <c r="B557" t="s">
        <v>935</v>
      </c>
      <c r="C557" t="s">
        <v>143</v>
      </c>
      <c r="D557">
        <v>2800</v>
      </c>
      <c r="E557">
        <v>16</v>
      </c>
      <c r="F557">
        <v>2070</v>
      </c>
    </row>
    <row r="558" spans="1:6" ht="15.75" customHeight="1">
      <c r="A558" t="s">
        <v>936</v>
      </c>
      <c r="B558" t="s">
        <v>935</v>
      </c>
      <c r="C558" t="s">
        <v>143</v>
      </c>
      <c r="D558">
        <v>2800</v>
      </c>
      <c r="E558">
        <v>18.600000000000001</v>
      </c>
      <c r="F558">
        <v>2070</v>
      </c>
    </row>
    <row r="559" spans="1:6" ht="15.75" customHeight="1">
      <c r="A559" t="s">
        <v>937</v>
      </c>
      <c r="B559" t="s">
        <v>938</v>
      </c>
      <c r="C559" t="s">
        <v>143</v>
      </c>
      <c r="D559">
        <v>2800</v>
      </c>
      <c r="E559">
        <v>16</v>
      </c>
      <c r="F559">
        <v>2070</v>
      </c>
    </row>
    <row r="560" spans="1:6" ht="15.75" customHeight="1">
      <c r="A560" t="s">
        <v>939</v>
      </c>
      <c r="B560" t="s">
        <v>940</v>
      </c>
      <c r="C560" t="s">
        <v>143</v>
      </c>
      <c r="D560">
        <v>2800</v>
      </c>
      <c r="E560">
        <v>16</v>
      </c>
      <c r="F560">
        <v>2070</v>
      </c>
    </row>
    <row r="561" spans="1:6" ht="15.75" customHeight="1">
      <c r="A561" t="s">
        <v>941</v>
      </c>
      <c r="B561" t="s">
        <v>940</v>
      </c>
      <c r="C561" t="s">
        <v>143</v>
      </c>
      <c r="D561">
        <v>2800</v>
      </c>
      <c r="E561">
        <v>18</v>
      </c>
      <c r="F561">
        <v>2070</v>
      </c>
    </row>
    <row r="562" spans="1:6" ht="15.75" customHeight="1">
      <c r="A562" t="s">
        <v>942</v>
      </c>
      <c r="B562" t="s">
        <v>943</v>
      </c>
      <c r="C562" t="s">
        <v>143</v>
      </c>
      <c r="D562">
        <v>2800</v>
      </c>
      <c r="E562">
        <v>16</v>
      </c>
      <c r="F562">
        <v>2070</v>
      </c>
    </row>
    <row r="563" spans="1:6" ht="15.75" customHeight="1">
      <c r="A563" t="s">
        <v>944</v>
      </c>
      <c r="B563" t="s">
        <v>943</v>
      </c>
      <c r="C563" t="s">
        <v>143</v>
      </c>
      <c r="D563">
        <v>2800</v>
      </c>
      <c r="E563">
        <v>25</v>
      </c>
      <c r="F563">
        <v>2070</v>
      </c>
    </row>
    <row r="564" spans="1:6" ht="15.75" customHeight="1">
      <c r="A564" t="s">
        <v>5362</v>
      </c>
      <c r="B564" t="s">
        <v>5363</v>
      </c>
      <c r="C564" t="s">
        <v>143</v>
      </c>
      <c r="D564">
        <v>2800</v>
      </c>
      <c r="E564">
        <v>18</v>
      </c>
      <c r="F564">
        <v>2070</v>
      </c>
    </row>
    <row r="565" spans="1:6" ht="15.75" customHeight="1">
      <c r="A565" t="s">
        <v>5364</v>
      </c>
      <c r="B565" t="s">
        <v>5365</v>
      </c>
      <c r="C565" t="s">
        <v>143</v>
      </c>
      <c r="D565">
        <v>2800</v>
      </c>
      <c r="E565">
        <v>18</v>
      </c>
      <c r="F565">
        <v>2070</v>
      </c>
    </row>
    <row r="566" spans="1:6" ht="15.75" customHeight="1">
      <c r="A566" t="s">
        <v>945</v>
      </c>
      <c r="B566" t="s">
        <v>946</v>
      </c>
      <c r="C566" t="s">
        <v>143</v>
      </c>
      <c r="D566">
        <v>2800</v>
      </c>
      <c r="E566">
        <v>10</v>
      </c>
      <c r="F566">
        <v>2070</v>
      </c>
    </row>
    <row r="567" spans="1:6" ht="15.75" customHeight="1">
      <c r="A567" t="s">
        <v>947</v>
      </c>
      <c r="B567" t="s">
        <v>946</v>
      </c>
      <c r="C567" t="s">
        <v>143</v>
      </c>
      <c r="D567">
        <v>2800</v>
      </c>
      <c r="E567">
        <v>16</v>
      </c>
      <c r="F567">
        <v>2070</v>
      </c>
    </row>
    <row r="568" spans="1:6" ht="15.75" customHeight="1">
      <c r="A568" t="s">
        <v>948</v>
      </c>
      <c r="B568" t="s">
        <v>946</v>
      </c>
      <c r="C568" t="s">
        <v>143</v>
      </c>
      <c r="D568">
        <v>2800</v>
      </c>
      <c r="E568">
        <v>18</v>
      </c>
      <c r="F568">
        <v>2070</v>
      </c>
    </row>
    <row r="569" spans="1:6" ht="15.75" customHeight="1">
      <c r="A569" t="s">
        <v>949</v>
      </c>
      <c r="B569" t="s">
        <v>946</v>
      </c>
      <c r="C569" t="s">
        <v>143</v>
      </c>
      <c r="D569">
        <v>2800</v>
      </c>
      <c r="E569">
        <v>25</v>
      </c>
      <c r="F569">
        <v>2070</v>
      </c>
    </row>
    <row r="570" spans="1:6" ht="15.75" customHeight="1">
      <c r="A570" t="s">
        <v>950</v>
      </c>
      <c r="B570" t="s">
        <v>951</v>
      </c>
      <c r="C570" t="s">
        <v>143</v>
      </c>
      <c r="D570">
        <v>2800</v>
      </c>
      <c r="E570">
        <v>18</v>
      </c>
      <c r="F570">
        <v>2070</v>
      </c>
    </row>
    <row r="571" spans="1:6" ht="15.75" customHeight="1">
      <c r="A571" t="s">
        <v>952</v>
      </c>
      <c r="B571" t="s">
        <v>953</v>
      </c>
      <c r="C571" t="s">
        <v>143</v>
      </c>
      <c r="D571">
        <v>2800</v>
      </c>
      <c r="E571">
        <v>18</v>
      </c>
      <c r="F571">
        <v>2070</v>
      </c>
    </row>
    <row r="572" spans="1:6" ht="15.75" customHeight="1">
      <c r="A572" t="s">
        <v>5366</v>
      </c>
      <c r="B572" t="s">
        <v>5367</v>
      </c>
      <c r="C572" t="s">
        <v>143</v>
      </c>
      <c r="D572">
        <v>2800</v>
      </c>
      <c r="E572">
        <v>18</v>
      </c>
      <c r="F572">
        <v>2070</v>
      </c>
    </row>
    <row r="573" spans="1:6" ht="15.75" customHeight="1">
      <c r="A573" t="s">
        <v>954</v>
      </c>
      <c r="B573" t="s">
        <v>955</v>
      </c>
      <c r="C573" t="s">
        <v>136</v>
      </c>
      <c r="D573">
        <v>3050</v>
      </c>
      <c r="E573">
        <v>19</v>
      </c>
      <c r="F573">
        <v>1300</v>
      </c>
    </row>
    <row r="574" spans="1:6" ht="15.75" customHeight="1">
      <c r="A574" t="s">
        <v>956</v>
      </c>
      <c r="B574" t="s">
        <v>957</v>
      </c>
      <c r="C574" t="s">
        <v>136</v>
      </c>
      <c r="D574">
        <v>3050</v>
      </c>
      <c r="E574">
        <v>19</v>
      </c>
      <c r="F574">
        <v>1300</v>
      </c>
    </row>
    <row r="575" spans="1:6" ht="15.75" customHeight="1">
      <c r="A575" t="s">
        <v>958</v>
      </c>
      <c r="B575" t="s">
        <v>959</v>
      </c>
      <c r="C575" t="s">
        <v>136</v>
      </c>
      <c r="D575">
        <v>3050</v>
      </c>
      <c r="E575">
        <v>19</v>
      </c>
      <c r="F575">
        <v>1300</v>
      </c>
    </row>
    <row r="576" spans="1:6" ht="15.75" customHeight="1">
      <c r="A576" t="s">
        <v>960</v>
      </c>
      <c r="B576" t="s">
        <v>961</v>
      </c>
      <c r="C576" t="s">
        <v>136</v>
      </c>
      <c r="D576">
        <v>3050</v>
      </c>
      <c r="E576">
        <v>19</v>
      </c>
      <c r="F576">
        <v>1300</v>
      </c>
    </row>
    <row r="577" spans="1:6" ht="15.75" customHeight="1">
      <c r="A577" t="s">
        <v>962</v>
      </c>
      <c r="B577" t="s">
        <v>963</v>
      </c>
      <c r="C577" t="s">
        <v>136</v>
      </c>
      <c r="D577">
        <v>3050</v>
      </c>
      <c r="E577">
        <v>19</v>
      </c>
      <c r="F577">
        <v>1300</v>
      </c>
    </row>
    <row r="578" spans="1:6" ht="15.75" customHeight="1">
      <c r="A578" t="s">
        <v>964</v>
      </c>
      <c r="B578" t="s">
        <v>965</v>
      </c>
      <c r="C578" t="s">
        <v>136</v>
      </c>
      <c r="D578">
        <v>3050</v>
      </c>
      <c r="E578">
        <v>19</v>
      </c>
      <c r="F578">
        <v>1300</v>
      </c>
    </row>
    <row r="579" spans="1:6" ht="15.75" customHeight="1">
      <c r="A579" t="s">
        <v>966</v>
      </c>
      <c r="B579" t="s">
        <v>967</v>
      </c>
      <c r="C579" t="s">
        <v>136</v>
      </c>
      <c r="D579">
        <v>3050</v>
      </c>
      <c r="E579">
        <v>19</v>
      </c>
      <c r="F579">
        <v>1300</v>
      </c>
    </row>
    <row r="580" spans="1:6" ht="15.75" customHeight="1">
      <c r="A580" t="s">
        <v>968</v>
      </c>
      <c r="B580" t="s">
        <v>969</v>
      </c>
      <c r="C580" t="s">
        <v>136</v>
      </c>
      <c r="D580">
        <v>3050</v>
      </c>
      <c r="E580">
        <v>19</v>
      </c>
      <c r="F580">
        <v>1300</v>
      </c>
    </row>
    <row r="581" spans="1:6" ht="15.75" customHeight="1">
      <c r="A581" t="s">
        <v>970</v>
      </c>
      <c r="B581" t="s">
        <v>971</v>
      </c>
      <c r="C581" t="s">
        <v>136</v>
      </c>
      <c r="D581">
        <v>3050</v>
      </c>
      <c r="E581">
        <v>19</v>
      </c>
      <c r="F581">
        <v>1300</v>
      </c>
    </row>
    <row r="582" spans="1:6" ht="15.75" customHeight="1">
      <c r="A582" t="s">
        <v>5579</v>
      </c>
      <c r="B582" t="s">
        <v>5580</v>
      </c>
      <c r="C582" t="s">
        <v>136</v>
      </c>
      <c r="D582">
        <v>3050</v>
      </c>
      <c r="E582">
        <v>19</v>
      </c>
      <c r="F582">
        <v>1300</v>
      </c>
    </row>
    <row r="583" spans="1:6" ht="15.75" customHeight="1">
      <c r="A583" t="s">
        <v>5581</v>
      </c>
      <c r="B583" t="s">
        <v>5582</v>
      </c>
      <c r="C583" t="s">
        <v>136</v>
      </c>
      <c r="D583">
        <v>3050</v>
      </c>
      <c r="E583">
        <v>19</v>
      </c>
      <c r="F583">
        <v>1300</v>
      </c>
    </row>
    <row r="584" spans="1:6" ht="15.75" customHeight="1">
      <c r="A584" t="s">
        <v>5583</v>
      </c>
      <c r="B584" t="s">
        <v>5584</v>
      </c>
      <c r="C584" t="s">
        <v>136</v>
      </c>
      <c r="D584">
        <v>3050</v>
      </c>
      <c r="E584">
        <v>19</v>
      </c>
      <c r="F584">
        <v>1300</v>
      </c>
    </row>
    <row r="585" spans="1:6" ht="15.75" customHeight="1">
      <c r="A585" t="s">
        <v>5585</v>
      </c>
      <c r="B585" t="s">
        <v>5586</v>
      </c>
      <c r="C585" t="s">
        <v>136</v>
      </c>
      <c r="D585">
        <v>3050</v>
      </c>
      <c r="E585">
        <v>19</v>
      </c>
      <c r="F585">
        <v>1300</v>
      </c>
    </row>
    <row r="586" spans="1:6" ht="15.75" customHeight="1">
      <c r="A586" t="s">
        <v>972</v>
      </c>
      <c r="B586" t="s">
        <v>973</v>
      </c>
      <c r="C586" t="s">
        <v>143</v>
      </c>
      <c r="D586">
        <v>2800</v>
      </c>
      <c r="E586">
        <v>18.5</v>
      </c>
      <c r="F586">
        <v>2070</v>
      </c>
    </row>
    <row r="587" spans="1:6" ht="15.75" customHeight="1">
      <c r="A587" t="s">
        <v>974</v>
      </c>
      <c r="B587" t="s">
        <v>975</v>
      </c>
      <c r="C587" t="s">
        <v>143</v>
      </c>
      <c r="D587">
        <v>2800</v>
      </c>
      <c r="E587">
        <v>18.5</v>
      </c>
      <c r="F587">
        <v>2070</v>
      </c>
    </row>
    <row r="588" spans="1:6" ht="15.75" customHeight="1">
      <c r="A588" t="s">
        <v>976</v>
      </c>
      <c r="B588" t="s">
        <v>977</v>
      </c>
      <c r="C588" t="s">
        <v>143</v>
      </c>
      <c r="D588">
        <v>2800</v>
      </c>
      <c r="E588">
        <v>18.5</v>
      </c>
      <c r="F588">
        <v>2070</v>
      </c>
    </row>
    <row r="589" spans="1:6" ht="15.75" customHeight="1">
      <c r="A589" t="s">
        <v>978</v>
      </c>
      <c r="B589" t="s">
        <v>979</v>
      </c>
      <c r="C589" t="s">
        <v>136</v>
      </c>
      <c r="D589">
        <v>2800</v>
      </c>
      <c r="E589">
        <v>18.5</v>
      </c>
      <c r="F589">
        <v>2070</v>
      </c>
    </row>
    <row r="590" spans="1:6" ht="15.75" customHeight="1">
      <c r="A590" t="s">
        <v>980</v>
      </c>
      <c r="B590" t="s">
        <v>981</v>
      </c>
      <c r="C590" t="s">
        <v>136</v>
      </c>
      <c r="D590">
        <v>2800</v>
      </c>
      <c r="E590">
        <v>18.899999999999999</v>
      </c>
      <c r="F590">
        <v>2070</v>
      </c>
    </row>
    <row r="591" spans="1:6" ht="15.75" customHeight="1">
      <c r="A591" t="s">
        <v>982</v>
      </c>
      <c r="B591" t="s">
        <v>983</v>
      </c>
      <c r="C591" t="s">
        <v>136</v>
      </c>
      <c r="D591">
        <v>2800</v>
      </c>
      <c r="E591">
        <v>18.5</v>
      </c>
      <c r="F591">
        <v>2070</v>
      </c>
    </row>
    <row r="592" spans="1:6" ht="15.75" customHeight="1">
      <c r="A592" t="s">
        <v>984</v>
      </c>
      <c r="B592" t="s">
        <v>985</v>
      </c>
      <c r="C592" t="s">
        <v>143</v>
      </c>
      <c r="D592">
        <v>2800</v>
      </c>
      <c r="E592">
        <v>18.100000000000001</v>
      </c>
      <c r="F592">
        <v>2070</v>
      </c>
    </row>
    <row r="593" spans="1:6" ht="15.75" customHeight="1">
      <c r="A593" t="s">
        <v>986</v>
      </c>
      <c r="B593" t="s">
        <v>987</v>
      </c>
      <c r="C593" t="s">
        <v>143</v>
      </c>
      <c r="D593">
        <v>2800</v>
      </c>
      <c r="E593">
        <v>18.5</v>
      </c>
      <c r="F593">
        <v>2070</v>
      </c>
    </row>
    <row r="594" spans="1:6" ht="15.75" customHeight="1">
      <c r="A594" t="s">
        <v>988</v>
      </c>
      <c r="B594" t="s">
        <v>989</v>
      </c>
      <c r="C594" t="s">
        <v>143</v>
      </c>
      <c r="D594">
        <v>2800</v>
      </c>
      <c r="E594">
        <v>18.3</v>
      </c>
      <c r="F594">
        <v>2070</v>
      </c>
    </row>
    <row r="595" spans="1:6" ht="15.75" customHeight="1">
      <c r="A595" t="s">
        <v>990</v>
      </c>
      <c r="B595" t="s">
        <v>991</v>
      </c>
      <c r="C595" t="s">
        <v>143</v>
      </c>
      <c r="D595">
        <v>2800</v>
      </c>
      <c r="E595">
        <v>18.5</v>
      </c>
      <c r="F595">
        <v>2070</v>
      </c>
    </row>
    <row r="596" spans="1:6" ht="15.75" customHeight="1">
      <c r="A596" t="s">
        <v>992</v>
      </c>
      <c r="B596" t="s">
        <v>991</v>
      </c>
      <c r="C596" t="s">
        <v>136</v>
      </c>
      <c r="D596">
        <v>2800</v>
      </c>
      <c r="E596">
        <v>8.5</v>
      </c>
      <c r="F596">
        <v>2070</v>
      </c>
    </row>
    <row r="597" spans="1:6" ht="15.75" customHeight="1">
      <c r="A597" t="s">
        <v>993</v>
      </c>
      <c r="B597" t="s">
        <v>994</v>
      </c>
      <c r="C597" t="s">
        <v>143</v>
      </c>
      <c r="D597">
        <v>2800</v>
      </c>
      <c r="E597">
        <v>18.3</v>
      </c>
      <c r="F597">
        <v>2070</v>
      </c>
    </row>
    <row r="598" spans="1:6" ht="15.75" customHeight="1">
      <c r="A598" t="s">
        <v>995</v>
      </c>
      <c r="B598" t="s">
        <v>996</v>
      </c>
      <c r="C598" t="s">
        <v>143</v>
      </c>
      <c r="D598">
        <v>2800</v>
      </c>
      <c r="E598">
        <v>18.5</v>
      </c>
      <c r="F598">
        <v>2070</v>
      </c>
    </row>
    <row r="599" spans="1:6" ht="15.75" customHeight="1">
      <c r="A599" t="s">
        <v>997</v>
      </c>
      <c r="B599" t="s">
        <v>996</v>
      </c>
      <c r="C599" t="s">
        <v>136</v>
      </c>
      <c r="D599">
        <v>2800</v>
      </c>
      <c r="E599">
        <v>8.5</v>
      </c>
      <c r="F599">
        <v>2070</v>
      </c>
    </row>
    <row r="600" spans="1:6" ht="15.75" customHeight="1">
      <c r="A600" t="s">
        <v>5587</v>
      </c>
      <c r="B600" t="s">
        <v>5588</v>
      </c>
      <c r="C600" t="s">
        <v>143</v>
      </c>
      <c r="D600">
        <v>2800</v>
      </c>
      <c r="E600">
        <v>18.3</v>
      </c>
      <c r="F600">
        <v>2070</v>
      </c>
    </row>
    <row r="601" spans="1:6" ht="15.75" customHeight="1">
      <c r="A601" t="s">
        <v>5589</v>
      </c>
      <c r="B601" t="s">
        <v>5590</v>
      </c>
      <c r="C601" t="s">
        <v>143</v>
      </c>
      <c r="D601">
        <v>2800</v>
      </c>
      <c r="E601">
        <v>18.3</v>
      </c>
      <c r="F601">
        <v>2070</v>
      </c>
    </row>
    <row r="602" spans="1:6" ht="15.75" customHeight="1">
      <c r="A602" t="s">
        <v>998</v>
      </c>
      <c r="B602" t="s">
        <v>999</v>
      </c>
      <c r="C602" t="s">
        <v>136</v>
      </c>
      <c r="D602">
        <v>2800</v>
      </c>
      <c r="E602">
        <v>18.5</v>
      </c>
      <c r="F602">
        <v>2070</v>
      </c>
    </row>
    <row r="603" spans="1:6" ht="15.75" customHeight="1">
      <c r="A603" t="s">
        <v>1000</v>
      </c>
      <c r="B603" t="s">
        <v>1001</v>
      </c>
      <c r="C603" t="s">
        <v>136</v>
      </c>
      <c r="D603">
        <v>2800</v>
      </c>
      <c r="E603">
        <v>18.5</v>
      </c>
      <c r="F603">
        <v>2070</v>
      </c>
    </row>
    <row r="604" spans="1:6" ht="15.75" customHeight="1">
      <c r="A604" t="s">
        <v>1002</v>
      </c>
      <c r="B604" t="s">
        <v>1003</v>
      </c>
      <c r="C604" t="s">
        <v>143</v>
      </c>
      <c r="D604">
        <v>2800</v>
      </c>
      <c r="E604">
        <v>18.5</v>
      </c>
      <c r="F604">
        <v>2070</v>
      </c>
    </row>
    <row r="605" spans="1:6" ht="15.75" customHeight="1">
      <c r="A605" t="s">
        <v>1004</v>
      </c>
      <c r="B605" t="s">
        <v>1005</v>
      </c>
      <c r="C605" t="s">
        <v>136</v>
      </c>
      <c r="D605">
        <v>2800</v>
      </c>
      <c r="E605">
        <v>18.5</v>
      </c>
      <c r="F605">
        <v>2070</v>
      </c>
    </row>
    <row r="606" spans="1:6" ht="15.75" customHeight="1">
      <c r="A606" t="s">
        <v>1006</v>
      </c>
      <c r="B606" t="s">
        <v>1005</v>
      </c>
      <c r="C606" t="s">
        <v>136</v>
      </c>
      <c r="D606">
        <v>2800</v>
      </c>
      <c r="E606">
        <v>8.5</v>
      </c>
      <c r="F606">
        <v>2070</v>
      </c>
    </row>
    <row r="607" spans="1:6" ht="15.75" customHeight="1">
      <c r="A607" t="s">
        <v>1007</v>
      </c>
      <c r="B607" t="s">
        <v>1008</v>
      </c>
      <c r="C607" t="s">
        <v>136</v>
      </c>
      <c r="D607">
        <v>2800</v>
      </c>
      <c r="E607">
        <v>18.5</v>
      </c>
      <c r="F607">
        <v>2070</v>
      </c>
    </row>
    <row r="608" spans="1:6" ht="15.75" customHeight="1">
      <c r="A608" t="s">
        <v>1009</v>
      </c>
      <c r="B608" t="s">
        <v>1010</v>
      </c>
      <c r="C608" t="s">
        <v>136</v>
      </c>
      <c r="D608">
        <v>2800</v>
      </c>
      <c r="E608">
        <v>18.5</v>
      </c>
      <c r="F608">
        <v>2070</v>
      </c>
    </row>
    <row r="609" spans="1:6" ht="15.75" customHeight="1">
      <c r="A609" t="s">
        <v>1011</v>
      </c>
      <c r="B609" t="s">
        <v>1012</v>
      </c>
      <c r="C609" t="s">
        <v>136</v>
      </c>
      <c r="D609">
        <v>2800</v>
      </c>
      <c r="E609">
        <v>18.5</v>
      </c>
      <c r="F609">
        <v>2070</v>
      </c>
    </row>
    <row r="610" spans="1:6" ht="15.75" customHeight="1">
      <c r="A610" t="s">
        <v>1013</v>
      </c>
      <c r="B610" t="s">
        <v>1014</v>
      </c>
      <c r="C610" t="s">
        <v>136</v>
      </c>
      <c r="D610">
        <v>2800</v>
      </c>
      <c r="E610">
        <v>18.399999999999999</v>
      </c>
      <c r="F610">
        <v>2070</v>
      </c>
    </row>
    <row r="611" spans="1:6" ht="15.75" customHeight="1">
      <c r="A611" t="s">
        <v>1015</v>
      </c>
      <c r="B611" t="s">
        <v>1016</v>
      </c>
      <c r="C611" t="s">
        <v>143</v>
      </c>
      <c r="D611">
        <v>2800</v>
      </c>
      <c r="E611">
        <v>18.399999999999999</v>
      </c>
      <c r="F611">
        <v>2070</v>
      </c>
    </row>
    <row r="612" spans="1:6" ht="15.75" customHeight="1">
      <c r="A612" t="s">
        <v>1017</v>
      </c>
      <c r="B612" t="s">
        <v>1018</v>
      </c>
      <c r="C612" t="s">
        <v>136</v>
      </c>
      <c r="D612">
        <v>2800</v>
      </c>
      <c r="E612">
        <v>18.399999999999999</v>
      </c>
      <c r="F612">
        <v>2070</v>
      </c>
    </row>
    <row r="613" spans="1:6" ht="15.75" customHeight="1">
      <c r="A613" t="s">
        <v>1019</v>
      </c>
      <c r="B613" t="s">
        <v>1020</v>
      </c>
      <c r="C613" t="s">
        <v>136</v>
      </c>
      <c r="D613">
        <v>2800</v>
      </c>
      <c r="E613">
        <v>18.399999999999999</v>
      </c>
      <c r="F613">
        <v>2070</v>
      </c>
    </row>
    <row r="614" spans="1:6" ht="15.75" customHeight="1">
      <c r="A614" t="s">
        <v>1021</v>
      </c>
      <c r="B614" t="s">
        <v>1022</v>
      </c>
      <c r="C614" t="s">
        <v>136</v>
      </c>
      <c r="D614">
        <v>2800</v>
      </c>
      <c r="E614">
        <v>18.5</v>
      </c>
      <c r="F614">
        <v>2070</v>
      </c>
    </row>
    <row r="615" spans="1:6" ht="15.75" customHeight="1">
      <c r="A615" t="s">
        <v>1023</v>
      </c>
      <c r="B615" t="s">
        <v>1022</v>
      </c>
      <c r="C615" t="s">
        <v>136</v>
      </c>
      <c r="D615">
        <v>2800</v>
      </c>
      <c r="E615">
        <v>8.5</v>
      </c>
      <c r="F615">
        <v>2070</v>
      </c>
    </row>
    <row r="616" spans="1:6" ht="15.75" customHeight="1">
      <c r="A616" t="s">
        <v>1024</v>
      </c>
      <c r="B616" t="s">
        <v>1025</v>
      </c>
      <c r="C616" t="s">
        <v>143</v>
      </c>
      <c r="D616">
        <v>2800</v>
      </c>
      <c r="E616">
        <v>18.5</v>
      </c>
      <c r="F616">
        <v>2070</v>
      </c>
    </row>
    <row r="617" spans="1:6" ht="15.75" customHeight="1">
      <c r="A617" t="s">
        <v>1026</v>
      </c>
      <c r="B617" t="s">
        <v>1027</v>
      </c>
      <c r="C617" t="s">
        <v>136</v>
      </c>
      <c r="D617">
        <v>2800</v>
      </c>
      <c r="E617">
        <v>18.5</v>
      </c>
      <c r="F617">
        <v>2070</v>
      </c>
    </row>
    <row r="618" spans="1:6" ht="15.75" customHeight="1">
      <c r="A618" t="s">
        <v>1028</v>
      </c>
      <c r="B618" t="s">
        <v>1029</v>
      </c>
      <c r="C618" t="s">
        <v>136</v>
      </c>
      <c r="D618">
        <v>2800</v>
      </c>
      <c r="E618">
        <v>18.5</v>
      </c>
      <c r="F618">
        <v>2070</v>
      </c>
    </row>
    <row r="619" spans="1:6" ht="15.75" customHeight="1">
      <c r="A619" t="s">
        <v>1030</v>
      </c>
      <c r="B619" t="s">
        <v>1031</v>
      </c>
      <c r="C619" t="s">
        <v>136</v>
      </c>
      <c r="D619">
        <v>2800</v>
      </c>
      <c r="E619">
        <v>18.5</v>
      </c>
      <c r="F619">
        <v>2070</v>
      </c>
    </row>
    <row r="620" spans="1:6" ht="15.75" customHeight="1">
      <c r="A620" t="s">
        <v>1032</v>
      </c>
      <c r="B620" t="s">
        <v>1033</v>
      </c>
      <c r="C620" t="s">
        <v>136</v>
      </c>
      <c r="D620">
        <v>2800</v>
      </c>
      <c r="E620">
        <v>18.5</v>
      </c>
      <c r="F620">
        <v>2070</v>
      </c>
    </row>
    <row r="621" spans="1:6" ht="15.75" customHeight="1">
      <c r="A621" t="s">
        <v>1034</v>
      </c>
      <c r="B621" t="s">
        <v>1035</v>
      </c>
      <c r="C621" t="s">
        <v>136</v>
      </c>
      <c r="D621">
        <v>2800</v>
      </c>
      <c r="E621">
        <v>18.5</v>
      </c>
      <c r="F621">
        <v>2070</v>
      </c>
    </row>
    <row r="622" spans="1:6" ht="15.75" customHeight="1">
      <c r="A622" t="s">
        <v>1036</v>
      </c>
      <c r="B622" t="s">
        <v>1037</v>
      </c>
      <c r="C622" t="s">
        <v>136</v>
      </c>
      <c r="D622">
        <v>2800</v>
      </c>
      <c r="E622">
        <v>18.5</v>
      </c>
      <c r="F622">
        <v>2070</v>
      </c>
    </row>
    <row r="623" spans="1:6" ht="15.75" customHeight="1">
      <c r="A623" t="s">
        <v>1038</v>
      </c>
      <c r="B623" t="s">
        <v>1039</v>
      </c>
      <c r="C623" t="s">
        <v>136</v>
      </c>
      <c r="D623">
        <v>2800</v>
      </c>
      <c r="E623">
        <v>18.5</v>
      </c>
      <c r="F623">
        <v>2070</v>
      </c>
    </row>
    <row r="624" spans="1:6" ht="15.75" customHeight="1">
      <c r="A624" t="s">
        <v>1040</v>
      </c>
      <c r="B624" t="s">
        <v>1041</v>
      </c>
      <c r="C624" t="s">
        <v>136</v>
      </c>
      <c r="D624">
        <v>2800</v>
      </c>
      <c r="E624">
        <v>18.5</v>
      </c>
      <c r="F624">
        <v>2070</v>
      </c>
    </row>
    <row r="625" spans="1:6" ht="15.75" customHeight="1">
      <c r="A625" t="s">
        <v>1042</v>
      </c>
      <c r="B625" t="s">
        <v>1043</v>
      </c>
      <c r="C625" t="s">
        <v>136</v>
      </c>
      <c r="D625">
        <v>2800</v>
      </c>
      <c r="E625">
        <v>18.5</v>
      </c>
      <c r="F625">
        <v>2070</v>
      </c>
    </row>
    <row r="626" spans="1:6" ht="15.75" customHeight="1">
      <c r="A626" t="s">
        <v>1044</v>
      </c>
      <c r="B626" t="s">
        <v>1045</v>
      </c>
      <c r="C626" t="s">
        <v>136</v>
      </c>
      <c r="D626">
        <v>2800</v>
      </c>
      <c r="E626">
        <v>18.5</v>
      </c>
      <c r="F626">
        <v>2070</v>
      </c>
    </row>
    <row r="627" spans="1:6" ht="15.75" customHeight="1">
      <c r="A627" t="s">
        <v>1046</v>
      </c>
      <c r="B627" t="s">
        <v>1047</v>
      </c>
      <c r="C627" t="s">
        <v>136</v>
      </c>
      <c r="D627">
        <v>2800</v>
      </c>
      <c r="E627">
        <v>18.5</v>
      </c>
      <c r="F627">
        <v>2070</v>
      </c>
    </row>
    <row r="628" spans="1:6" ht="15.75" customHeight="1">
      <c r="A628" t="s">
        <v>1048</v>
      </c>
      <c r="B628" t="s">
        <v>1049</v>
      </c>
      <c r="C628" t="s">
        <v>136</v>
      </c>
      <c r="D628">
        <v>2800</v>
      </c>
      <c r="E628">
        <v>18.5</v>
      </c>
      <c r="F628">
        <v>2070</v>
      </c>
    </row>
    <row r="629" spans="1:6" ht="15.75" customHeight="1">
      <c r="A629" t="s">
        <v>1050</v>
      </c>
      <c r="B629" t="s">
        <v>1051</v>
      </c>
      <c r="C629" t="s">
        <v>136</v>
      </c>
      <c r="D629">
        <v>2800</v>
      </c>
      <c r="E629">
        <v>18.5</v>
      </c>
      <c r="F629">
        <v>2070</v>
      </c>
    </row>
    <row r="630" spans="1:6" ht="15.75" customHeight="1">
      <c r="A630" t="s">
        <v>1052</v>
      </c>
      <c r="B630" t="s">
        <v>1053</v>
      </c>
      <c r="C630" t="s">
        <v>136</v>
      </c>
      <c r="D630">
        <v>2800</v>
      </c>
      <c r="E630">
        <v>18.899999999999999</v>
      </c>
      <c r="F630">
        <v>2070</v>
      </c>
    </row>
    <row r="631" spans="1:6" ht="15.75" customHeight="1">
      <c r="A631" t="s">
        <v>1054</v>
      </c>
      <c r="B631" t="s">
        <v>1055</v>
      </c>
      <c r="C631" t="s">
        <v>136</v>
      </c>
      <c r="D631">
        <v>2800</v>
      </c>
      <c r="E631">
        <v>18.899999999999999</v>
      </c>
      <c r="F631">
        <v>2070</v>
      </c>
    </row>
    <row r="632" spans="1:6" ht="15.75" customHeight="1">
      <c r="A632" t="s">
        <v>1056</v>
      </c>
      <c r="B632" t="s">
        <v>1057</v>
      </c>
      <c r="C632" t="s">
        <v>136</v>
      </c>
      <c r="D632">
        <v>2800</v>
      </c>
      <c r="E632">
        <v>18.899999999999999</v>
      </c>
      <c r="F632">
        <v>2070</v>
      </c>
    </row>
    <row r="633" spans="1:6" ht="15.75" customHeight="1">
      <c r="A633" t="s">
        <v>1058</v>
      </c>
      <c r="B633" t="s">
        <v>1059</v>
      </c>
      <c r="C633" t="s">
        <v>136</v>
      </c>
      <c r="D633">
        <v>2800</v>
      </c>
      <c r="E633">
        <v>18.5</v>
      </c>
      <c r="F633">
        <v>2070</v>
      </c>
    </row>
    <row r="634" spans="1:6" ht="15.75" customHeight="1">
      <c r="A634" t="s">
        <v>1060</v>
      </c>
      <c r="B634" t="s">
        <v>1061</v>
      </c>
      <c r="C634" t="s">
        <v>136</v>
      </c>
      <c r="D634">
        <v>2800</v>
      </c>
      <c r="E634">
        <v>18.5</v>
      </c>
      <c r="F634">
        <v>2070</v>
      </c>
    </row>
    <row r="635" spans="1:6" ht="15.75" customHeight="1">
      <c r="A635" t="s">
        <v>1062</v>
      </c>
      <c r="B635" t="s">
        <v>1063</v>
      </c>
      <c r="C635" t="s">
        <v>136</v>
      </c>
      <c r="D635">
        <v>2800</v>
      </c>
      <c r="E635">
        <v>18.600000000000001</v>
      </c>
      <c r="F635">
        <v>2070</v>
      </c>
    </row>
    <row r="636" spans="1:6" ht="15.75" customHeight="1">
      <c r="A636" t="s">
        <v>5591</v>
      </c>
      <c r="B636" t="s">
        <v>5592</v>
      </c>
      <c r="C636" t="s">
        <v>143</v>
      </c>
      <c r="D636">
        <v>2800</v>
      </c>
      <c r="E636">
        <v>18.3</v>
      </c>
      <c r="F636">
        <v>2070</v>
      </c>
    </row>
    <row r="637" spans="1:6" ht="15.75" customHeight="1">
      <c r="A637" t="s">
        <v>5593</v>
      </c>
      <c r="B637" t="s">
        <v>5594</v>
      </c>
      <c r="C637" t="s">
        <v>143</v>
      </c>
      <c r="D637">
        <v>2800</v>
      </c>
      <c r="E637">
        <v>18.3</v>
      </c>
      <c r="F637">
        <v>2070</v>
      </c>
    </row>
    <row r="638" spans="1:6" ht="15.75" customHeight="1">
      <c r="A638" t="s">
        <v>1064</v>
      </c>
      <c r="B638" t="s">
        <v>1065</v>
      </c>
      <c r="C638" t="s">
        <v>136</v>
      </c>
      <c r="D638">
        <v>2800</v>
      </c>
      <c r="E638">
        <v>18.3</v>
      </c>
      <c r="F638">
        <v>2070</v>
      </c>
    </row>
    <row r="639" spans="1:6" ht="15.75" customHeight="1">
      <c r="A639" t="s">
        <v>1066</v>
      </c>
      <c r="B639" t="s">
        <v>1067</v>
      </c>
      <c r="C639" t="s">
        <v>136</v>
      </c>
      <c r="D639">
        <v>2800</v>
      </c>
      <c r="E639">
        <v>18.3</v>
      </c>
      <c r="F639">
        <v>2070</v>
      </c>
    </row>
    <row r="640" spans="1:6" ht="15.75" customHeight="1">
      <c r="A640" t="s">
        <v>1068</v>
      </c>
      <c r="B640" t="s">
        <v>1067</v>
      </c>
      <c r="C640" t="s">
        <v>136</v>
      </c>
      <c r="D640">
        <v>2800</v>
      </c>
      <c r="E640">
        <v>8.3000000000000007</v>
      </c>
      <c r="F640">
        <v>2070</v>
      </c>
    </row>
    <row r="641" spans="1:6" ht="15.75" customHeight="1">
      <c r="A641" t="s">
        <v>1069</v>
      </c>
      <c r="B641" t="s">
        <v>1070</v>
      </c>
      <c r="C641" t="s">
        <v>136</v>
      </c>
      <c r="D641">
        <v>2800</v>
      </c>
      <c r="E641">
        <v>18.3</v>
      </c>
      <c r="F641">
        <v>2070</v>
      </c>
    </row>
    <row r="642" spans="1:6" ht="15.75" customHeight="1">
      <c r="A642" t="s">
        <v>1071</v>
      </c>
      <c r="B642" t="s">
        <v>1072</v>
      </c>
      <c r="C642" t="s">
        <v>143</v>
      </c>
      <c r="D642">
        <v>2800</v>
      </c>
      <c r="E642">
        <v>18.3</v>
      </c>
      <c r="F642">
        <v>2070</v>
      </c>
    </row>
    <row r="643" spans="1:6" ht="15.75" customHeight="1">
      <c r="A643" t="s">
        <v>1073</v>
      </c>
      <c r="B643" t="s">
        <v>1074</v>
      </c>
      <c r="C643" t="s">
        <v>143</v>
      </c>
      <c r="D643">
        <v>2800</v>
      </c>
      <c r="E643">
        <v>18.3</v>
      </c>
      <c r="F643">
        <v>2070</v>
      </c>
    </row>
    <row r="644" spans="1:6" ht="15.75" customHeight="1">
      <c r="A644" t="s">
        <v>1075</v>
      </c>
      <c r="B644" t="s">
        <v>1076</v>
      </c>
      <c r="C644" t="s">
        <v>143</v>
      </c>
      <c r="D644">
        <v>2800</v>
      </c>
      <c r="E644">
        <v>18.3</v>
      </c>
      <c r="F644">
        <v>2070</v>
      </c>
    </row>
    <row r="645" spans="1:6" ht="15.75" customHeight="1">
      <c r="A645" t="s">
        <v>1077</v>
      </c>
      <c r="B645" t="s">
        <v>1078</v>
      </c>
      <c r="C645" t="s">
        <v>143</v>
      </c>
      <c r="D645">
        <v>2800</v>
      </c>
      <c r="E645">
        <v>18.3</v>
      </c>
      <c r="F645">
        <v>2070</v>
      </c>
    </row>
    <row r="646" spans="1:6" ht="15.75" customHeight="1">
      <c r="A646" t="s">
        <v>1079</v>
      </c>
      <c r="B646" t="s">
        <v>1080</v>
      </c>
      <c r="C646" t="s">
        <v>143</v>
      </c>
      <c r="D646">
        <v>2800</v>
      </c>
      <c r="E646">
        <v>18.3</v>
      </c>
      <c r="F646">
        <v>2070</v>
      </c>
    </row>
    <row r="647" spans="1:6" ht="15.75" customHeight="1">
      <c r="A647" t="s">
        <v>1081</v>
      </c>
      <c r="B647" t="s">
        <v>1080</v>
      </c>
      <c r="C647" t="s">
        <v>143</v>
      </c>
      <c r="D647">
        <v>2800</v>
      </c>
      <c r="E647">
        <v>8.3000000000000007</v>
      </c>
      <c r="F647">
        <v>2070</v>
      </c>
    </row>
    <row r="648" spans="1:6" ht="15.75" customHeight="1">
      <c r="A648" t="s">
        <v>1082</v>
      </c>
      <c r="B648" t="s">
        <v>1083</v>
      </c>
      <c r="C648" t="s">
        <v>143</v>
      </c>
      <c r="D648">
        <v>2800</v>
      </c>
      <c r="E648">
        <v>18.3</v>
      </c>
      <c r="F648">
        <v>2070</v>
      </c>
    </row>
    <row r="649" spans="1:6" ht="15.75" customHeight="1">
      <c r="A649" t="s">
        <v>5595</v>
      </c>
      <c r="B649" t="s">
        <v>5596</v>
      </c>
      <c r="C649" t="s">
        <v>143</v>
      </c>
      <c r="D649">
        <v>2800</v>
      </c>
      <c r="E649">
        <v>18.3</v>
      </c>
      <c r="F649">
        <v>2070</v>
      </c>
    </row>
    <row r="650" spans="1:6" ht="15.75" customHeight="1">
      <c r="A650" t="s">
        <v>1084</v>
      </c>
      <c r="B650" t="s">
        <v>1085</v>
      </c>
      <c r="C650" t="s">
        <v>136</v>
      </c>
      <c r="D650">
        <v>2800</v>
      </c>
      <c r="E650">
        <v>10</v>
      </c>
      <c r="F650">
        <v>2070</v>
      </c>
    </row>
    <row r="651" spans="1:6" ht="15.75" customHeight="1">
      <c r="A651" t="s">
        <v>1086</v>
      </c>
      <c r="B651" t="s">
        <v>1085</v>
      </c>
      <c r="C651" t="s">
        <v>136</v>
      </c>
      <c r="D651">
        <v>2800</v>
      </c>
      <c r="E651">
        <v>16</v>
      </c>
      <c r="F651">
        <v>2070</v>
      </c>
    </row>
    <row r="652" spans="1:6" ht="15.75" customHeight="1">
      <c r="A652" t="s">
        <v>1087</v>
      </c>
      <c r="B652" t="s">
        <v>1085</v>
      </c>
      <c r="C652" t="s">
        <v>136</v>
      </c>
      <c r="D652">
        <v>2800</v>
      </c>
      <c r="E652">
        <v>18</v>
      </c>
      <c r="F652">
        <v>2070</v>
      </c>
    </row>
    <row r="653" spans="1:6" ht="15.75" customHeight="1">
      <c r="A653" t="s">
        <v>1088</v>
      </c>
      <c r="B653" t="s">
        <v>1085</v>
      </c>
      <c r="C653" t="s">
        <v>136</v>
      </c>
      <c r="D653">
        <v>2800</v>
      </c>
      <c r="E653">
        <v>25</v>
      </c>
      <c r="F653">
        <v>2070</v>
      </c>
    </row>
    <row r="654" spans="1:6" ht="15.75" customHeight="1">
      <c r="A654" t="s">
        <v>1089</v>
      </c>
      <c r="B654" t="s">
        <v>1085</v>
      </c>
      <c r="C654" t="s">
        <v>136</v>
      </c>
      <c r="D654">
        <v>2800</v>
      </c>
      <c r="E654">
        <v>18</v>
      </c>
      <c r="F654">
        <v>2070</v>
      </c>
    </row>
    <row r="655" spans="1:6" ht="15.75" customHeight="1">
      <c r="A655" t="s">
        <v>1090</v>
      </c>
      <c r="B655" t="s">
        <v>1085</v>
      </c>
      <c r="C655" t="s">
        <v>136</v>
      </c>
      <c r="D655">
        <v>2800</v>
      </c>
      <c r="E655">
        <v>10</v>
      </c>
      <c r="F655">
        <v>2070</v>
      </c>
    </row>
    <row r="656" spans="1:6" ht="15.75" customHeight="1">
      <c r="A656" t="s">
        <v>1091</v>
      </c>
      <c r="B656" t="s">
        <v>1085</v>
      </c>
      <c r="C656" t="s">
        <v>136</v>
      </c>
      <c r="D656">
        <v>2800</v>
      </c>
      <c r="E656">
        <v>16</v>
      </c>
      <c r="F656">
        <v>2070</v>
      </c>
    </row>
    <row r="657" spans="1:6" ht="15.75" customHeight="1">
      <c r="A657" t="s">
        <v>1092</v>
      </c>
      <c r="B657" t="s">
        <v>1085</v>
      </c>
      <c r="C657" t="s">
        <v>136</v>
      </c>
      <c r="D657">
        <v>2800</v>
      </c>
      <c r="E657">
        <v>25</v>
      </c>
      <c r="F657">
        <v>2070</v>
      </c>
    </row>
    <row r="658" spans="1:6" ht="15.75" customHeight="1">
      <c r="A658" t="s">
        <v>1093</v>
      </c>
      <c r="B658" t="s">
        <v>1094</v>
      </c>
      <c r="C658" t="s">
        <v>136</v>
      </c>
      <c r="D658">
        <v>2800</v>
      </c>
      <c r="E658">
        <v>16</v>
      </c>
      <c r="F658">
        <v>2070</v>
      </c>
    </row>
    <row r="659" spans="1:6" ht="15.75" customHeight="1">
      <c r="A659" t="s">
        <v>1095</v>
      </c>
      <c r="B659" t="s">
        <v>1094</v>
      </c>
      <c r="C659" t="s">
        <v>136</v>
      </c>
      <c r="D659">
        <v>2800</v>
      </c>
      <c r="E659">
        <v>18</v>
      </c>
      <c r="F659">
        <v>2070</v>
      </c>
    </row>
    <row r="660" spans="1:6" ht="15.75" customHeight="1">
      <c r="A660" t="s">
        <v>1096</v>
      </c>
      <c r="B660" t="s">
        <v>1097</v>
      </c>
      <c r="C660" t="s">
        <v>136</v>
      </c>
      <c r="D660">
        <v>2800</v>
      </c>
      <c r="E660">
        <v>16</v>
      </c>
      <c r="F660">
        <v>2070</v>
      </c>
    </row>
    <row r="661" spans="1:6" ht="15.75" customHeight="1">
      <c r="A661" t="s">
        <v>1098</v>
      </c>
      <c r="B661" t="s">
        <v>1097</v>
      </c>
      <c r="C661" t="s">
        <v>136</v>
      </c>
      <c r="D661">
        <v>2800</v>
      </c>
      <c r="E661">
        <v>18</v>
      </c>
      <c r="F661">
        <v>2070</v>
      </c>
    </row>
    <row r="662" spans="1:6" ht="15.75" customHeight="1">
      <c r="A662" t="s">
        <v>1099</v>
      </c>
      <c r="B662" t="s">
        <v>1097</v>
      </c>
      <c r="C662" t="s">
        <v>136</v>
      </c>
      <c r="D662">
        <v>2800</v>
      </c>
      <c r="E662">
        <v>25</v>
      </c>
      <c r="F662">
        <v>2070</v>
      </c>
    </row>
    <row r="663" spans="1:6" ht="15.75" customHeight="1">
      <c r="A663" t="s">
        <v>1100</v>
      </c>
      <c r="B663" t="s">
        <v>1101</v>
      </c>
      <c r="C663" t="s">
        <v>136</v>
      </c>
      <c r="D663">
        <v>2800</v>
      </c>
      <c r="E663">
        <v>16</v>
      </c>
      <c r="F663">
        <v>2070</v>
      </c>
    </row>
    <row r="664" spans="1:6" ht="15.75" customHeight="1">
      <c r="A664" t="s">
        <v>1102</v>
      </c>
      <c r="B664" t="s">
        <v>1101</v>
      </c>
      <c r="C664" t="s">
        <v>136</v>
      </c>
      <c r="D664">
        <v>2800</v>
      </c>
      <c r="E664">
        <v>18</v>
      </c>
      <c r="F664">
        <v>2070</v>
      </c>
    </row>
    <row r="665" spans="1:6" ht="15.75" customHeight="1">
      <c r="A665" t="s">
        <v>1103</v>
      </c>
      <c r="B665" t="s">
        <v>1101</v>
      </c>
      <c r="C665" t="s">
        <v>136</v>
      </c>
      <c r="D665">
        <v>2800</v>
      </c>
      <c r="E665">
        <v>16</v>
      </c>
      <c r="F665">
        <v>2070</v>
      </c>
    </row>
    <row r="666" spans="1:6" ht="15.75" customHeight="1">
      <c r="A666" t="s">
        <v>1104</v>
      </c>
      <c r="B666" t="s">
        <v>1101</v>
      </c>
      <c r="C666" t="s">
        <v>136</v>
      </c>
      <c r="D666">
        <v>2800</v>
      </c>
      <c r="E666">
        <v>18</v>
      </c>
      <c r="F666">
        <v>2070</v>
      </c>
    </row>
    <row r="667" spans="1:6" ht="15.75" customHeight="1">
      <c r="A667" t="s">
        <v>1105</v>
      </c>
      <c r="B667" t="s">
        <v>1106</v>
      </c>
      <c r="C667" t="s">
        <v>136</v>
      </c>
      <c r="D667">
        <v>2800</v>
      </c>
      <c r="E667">
        <v>10</v>
      </c>
      <c r="F667">
        <v>2070</v>
      </c>
    </row>
    <row r="668" spans="1:6" ht="15.75" customHeight="1">
      <c r="A668" t="s">
        <v>1107</v>
      </c>
      <c r="B668" t="s">
        <v>1106</v>
      </c>
      <c r="C668" t="s">
        <v>136</v>
      </c>
      <c r="D668">
        <v>2800</v>
      </c>
      <c r="E668">
        <v>18</v>
      </c>
      <c r="F668">
        <v>2070</v>
      </c>
    </row>
    <row r="669" spans="1:6" ht="15.75" customHeight="1">
      <c r="A669" t="s">
        <v>1108</v>
      </c>
      <c r="B669" t="s">
        <v>1106</v>
      </c>
      <c r="C669" t="s">
        <v>136</v>
      </c>
      <c r="D669">
        <v>2800</v>
      </c>
      <c r="E669">
        <v>25</v>
      </c>
      <c r="F669">
        <v>2070</v>
      </c>
    </row>
    <row r="670" spans="1:6" ht="15.75" customHeight="1">
      <c r="A670" t="s">
        <v>1109</v>
      </c>
      <c r="B670" t="s">
        <v>1110</v>
      </c>
      <c r="C670" t="s">
        <v>136</v>
      </c>
      <c r="D670">
        <v>2800</v>
      </c>
      <c r="E670">
        <v>16</v>
      </c>
      <c r="F670">
        <v>2070</v>
      </c>
    </row>
    <row r="671" spans="1:6" ht="15.75" customHeight="1">
      <c r="A671" t="s">
        <v>1111</v>
      </c>
      <c r="B671" t="s">
        <v>1110</v>
      </c>
      <c r="C671" t="s">
        <v>136</v>
      </c>
      <c r="D671">
        <v>2800</v>
      </c>
      <c r="E671">
        <v>18</v>
      </c>
      <c r="F671">
        <v>2070</v>
      </c>
    </row>
    <row r="672" spans="1:6" ht="15.75" customHeight="1">
      <c r="A672" t="s">
        <v>1112</v>
      </c>
      <c r="B672" t="s">
        <v>1110</v>
      </c>
      <c r="C672" t="s">
        <v>136</v>
      </c>
      <c r="D672">
        <v>2800</v>
      </c>
      <c r="E672">
        <v>25</v>
      </c>
      <c r="F672">
        <v>2070</v>
      </c>
    </row>
    <row r="673" spans="1:6" ht="15.75" customHeight="1">
      <c r="A673" t="s">
        <v>1113</v>
      </c>
      <c r="B673" t="s">
        <v>1114</v>
      </c>
      <c r="C673" t="s">
        <v>136</v>
      </c>
      <c r="D673">
        <v>2800</v>
      </c>
      <c r="E673">
        <v>10</v>
      </c>
      <c r="F673">
        <v>2070</v>
      </c>
    </row>
    <row r="674" spans="1:6" ht="15.75" customHeight="1">
      <c r="A674" t="s">
        <v>1115</v>
      </c>
      <c r="B674" t="s">
        <v>1114</v>
      </c>
      <c r="C674" t="s">
        <v>136</v>
      </c>
      <c r="D674">
        <v>2800</v>
      </c>
      <c r="E674">
        <v>18</v>
      </c>
      <c r="F674">
        <v>2070</v>
      </c>
    </row>
    <row r="675" spans="1:6" ht="15.75" customHeight="1">
      <c r="A675" t="s">
        <v>1116</v>
      </c>
      <c r="B675" t="s">
        <v>1114</v>
      </c>
      <c r="C675" t="s">
        <v>136</v>
      </c>
      <c r="D675">
        <v>2800</v>
      </c>
      <c r="E675">
        <v>25</v>
      </c>
      <c r="F675">
        <v>2070</v>
      </c>
    </row>
    <row r="676" spans="1:6" ht="15.75" customHeight="1">
      <c r="A676" t="s">
        <v>1117</v>
      </c>
      <c r="B676" t="s">
        <v>1118</v>
      </c>
      <c r="C676" t="s">
        <v>143</v>
      </c>
      <c r="D676">
        <v>2800</v>
      </c>
      <c r="E676">
        <v>18.600000000000001</v>
      </c>
      <c r="F676">
        <v>2070</v>
      </c>
    </row>
    <row r="677" spans="1:6" ht="15.75" customHeight="1">
      <c r="A677" t="s">
        <v>1119</v>
      </c>
      <c r="B677" t="s">
        <v>1120</v>
      </c>
      <c r="C677" t="s">
        <v>136</v>
      </c>
      <c r="D677">
        <v>2800</v>
      </c>
      <c r="E677">
        <v>18.899999999999999</v>
      </c>
      <c r="F677">
        <v>2070</v>
      </c>
    </row>
    <row r="678" spans="1:6" ht="15.75" customHeight="1">
      <c r="A678" t="s">
        <v>1121</v>
      </c>
      <c r="B678" t="s">
        <v>1120</v>
      </c>
      <c r="C678" t="s">
        <v>143</v>
      </c>
      <c r="D678">
        <v>2800</v>
      </c>
      <c r="E678">
        <v>8.9</v>
      </c>
      <c r="F678">
        <v>2070</v>
      </c>
    </row>
    <row r="679" spans="1:6" ht="15.75" customHeight="1">
      <c r="A679" t="s">
        <v>1122</v>
      </c>
      <c r="B679" t="s">
        <v>1123</v>
      </c>
      <c r="C679" t="s">
        <v>143</v>
      </c>
      <c r="D679">
        <v>2800</v>
      </c>
      <c r="E679">
        <v>18.5</v>
      </c>
      <c r="F679">
        <v>2070</v>
      </c>
    </row>
    <row r="680" spans="1:6" ht="15.75" customHeight="1">
      <c r="A680" t="s">
        <v>1124</v>
      </c>
      <c r="B680" t="s">
        <v>1125</v>
      </c>
      <c r="C680" t="s">
        <v>143</v>
      </c>
      <c r="D680">
        <v>2800</v>
      </c>
      <c r="E680">
        <v>18.399999999999999</v>
      </c>
      <c r="F680">
        <v>2070</v>
      </c>
    </row>
    <row r="681" spans="1:6" ht="15.75" customHeight="1">
      <c r="A681" t="s">
        <v>1126</v>
      </c>
      <c r="B681" t="s">
        <v>1127</v>
      </c>
      <c r="C681" t="s">
        <v>136</v>
      </c>
      <c r="D681">
        <v>2800</v>
      </c>
      <c r="E681">
        <v>18</v>
      </c>
      <c r="F681">
        <v>2070</v>
      </c>
    </row>
    <row r="682" spans="1:6" ht="15.75" customHeight="1">
      <c r="A682" t="s">
        <v>1128</v>
      </c>
      <c r="B682" t="s">
        <v>1129</v>
      </c>
      <c r="C682" t="s">
        <v>136</v>
      </c>
      <c r="D682">
        <v>2800</v>
      </c>
      <c r="E682">
        <v>16</v>
      </c>
      <c r="F682">
        <v>2070</v>
      </c>
    </row>
    <row r="683" spans="1:6" ht="15.75" customHeight="1">
      <c r="A683" t="s">
        <v>1130</v>
      </c>
      <c r="B683" t="s">
        <v>1129</v>
      </c>
      <c r="C683" t="s">
        <v>136</v>
      </c>
      <c r="D683">
        <v>2800</v>
      </c>
      <c r="E683">
        <v>18</v>
      </c>
      <c r="F683">
        <v>2070</v>
      </c>
    </row>
    <row r="684" spans="1:6" ht="15.75" customHeight="1">
      <c r="A684" t="s">
        <v>1131</v>
      </c>
      <c r="B684" t="s">
        <v>1132</v>
      </c>
      <c r="C684" t="s">
        <v>136</v>
      </c>
      <c r="D684">
        <v>2800</v>
      </c>
      <c r="E684">
        <v>10</v>
      </c>
      <c r="F684">
        <v>2070</v>
      </c>
    </row>
    <row r="685" spans="1:6" ht="15.75" customHeight="1">
      <c r="A685" t="s">
        <v>1133</v>
      </c>
      <c r="B685" t="s">
        <v>1132</v>
      </c>
      <c r="C685" t="s">
        <v>136</v>
      </c>
      <c r="D685">
        <v>2800</v>
      </c>
      <c r="E685">
        <v>16</v>
      </c>
      <c r="F685">
        <v>2070</v>
      </c>
    </row>
    <row r="686" spans="1:6" ht="15.75" customHeight="1">
      <c r="A686" t="s">
        <v>1134</v>
      </c>
      <c r="B686" t="s">
        <v>1132</v>
      </c>
      <c r="C686" t="s">
        <v>136</v>
      </c>
      <c r="D686">
        <v>2800</v>
      </c>
      <c r="E686">
        <v>18</v>
      </c>
      <c r="F686">
        <v>2070</v>
      </c>
    </row>
    <row r="687" spans="1:6" ht="15.75" customHeight="1">
      <c r="A687" t="s">
        <v>1135</v>
      </c>
      <c r="B687" t="s">
        <v>1132</v>
      </c>
      <c r="C687" t="s">
        <v>136</v>
      </c>
      <c r="D687">
        <v>2800</v>
      </c>
      <c r="E687">
        <v>25</v>
      </c>
      <c r="F687">
        <v>2070</v>
      </c>
    </row>
    <row r="688" spans="1:6" ht="15.75" customHeight="1">
      <c r="A688" t="s">
        <v>1136</v>
      </c>
      <c r="B688" t="s">
        <v>1137</v>
      </c>
      <c r="C688" t="s">
        <v>136</v>
      </c>
      <c r="D688">
        <v>2800</v>
      </c>
      <c r="E688">
        <v>18</v>
      </c>
      <c r="F688">
        <v>2070</v>
      </c>
    </row>
    <row r="689" spans="1:6" ht="15.75" customHeight="1">
      <c r="A689" t="s">
        <v>1138</v>
      </c>
      <c r="B689" t="s">
        <v>1139</v>
      </c>
      <c r="C689" t="s">
        <v>136</v>
      </c>
      <c r="D689">
        <v>2800</v>
      </c>
      <c r="E689">
        <v>18</v>
      </c>
      <c r="F689">
        <v>2070</v>
      </c>
    </row>
    <row r="690" spans="1:6" ht="15.75" customHeight="1">
      <c r="A690" t="s">
        <v>1140</v>
      </c>
      <c r="B690" t="s">
        <v>1141</v>
      </c>
      <c r="C690" t="s">
        <v>136</v>
      </c>
      <c r="D690">
        <v>2800</v>
      </c>
      <c r="E690">
        <v>10</v>
      </c>
      <c r="F690">
        <v>2070</v>
      </c>
    </row>
    <row r="691" spans="1:6" ht="15.75" customHeight="1">
      <c r="A691" t="s">
        <v>1142</v>
      </c>
      <c r="B691" t="s">
        <v>1141</v>
      </c>
      <c r="C691" t="s">
        <v>136</v>
      </c>
      <c r="D691">
        <v>2800</v>
      </c>
      <c r="E691">
        <v>18</v>
      </c>
      <c r="F691">
        <v>2070</v>
      </c>
    </row>
    <row r="692" spans="1:6" ht="15.75" customHeight="1">
      <c r="A692" t="s">
        <v>1143</v>
      </c>
      <c r="B692" t="s">
        <v>1144</v>
      </c>
      <c r="C692" t="s">
        <v>136</v>
      </c>
      <c r="D692">
        <v>2800</v>
      </c>
      <c r="E692">
        <v>10</v>
      </c>
      <c r="F692">
        <v>2070</v>
      </c>
    </row>
    <row r="693" spans="1:6" ht="15.75" customHeight="1">
      <c r="A693" t="s">
        <v>1145</v>
      </c>
      <c r="B693" t="s">
        <v>1144</v>
      </c>
      <c r="C693" t="s">
        <v>136</v>
      </c>
      <c r="D693">
        <v>2800</v>
      </c>
      <c r="E693">
        <v>18</v>
      </c>
      <c r="F693">
        <v>2070</v>
      </c>
    </row>
    <row r="694" spans="1:6" ht="15.75" customHeight="1">
      <c r="A694" t="s">
        <v>5597</v>
      </c>
      <c r="B694" t="s">
        <v>1144</v>
      </c>
      <c r="C694" t="s">
        <v>136</v>
      </c>
      <c r="D694">
        <v>2800</v>
      </c>
      <c r="E694">
        <v>19</v>
      </c>
      <c r="F694">
        <v>2070</v>
      </c>
    </row>
    <row r="695" spans="1:6" ht="15.75" customHeight="1">
      <c r="A695" t="s">
        <v>1146</v>
      </c>
      <c r="B695" t="s">
        <v>1147</v>
      </c>
      <c r="C695" t="s">
        <v>143</v>
      </c>
      <c r="D695">
        <v>2800</v>
      </c>
      <c r="E695">
        <v>10</v>
      </c>
      <c r="F695">
        <v>2070</v>
      </c>
    </row>
    <row r="696" spans="1:6" ht="15.75" customHeight="1">
      <c r="A696" t="s">
        <v>1148</v>
      </c>
      <c r="B696" t="s">
        <v>1147</v>
      </c>
      <c r="C696" t="s">
        <v>143</v>
      </c>
      <c r="D696">
        <v>2800</v>
      </c>
      <c r="E696">
        <v>18</v>
      </c>
      <c r="F696">
        <v>2070</v>
      </c>
    </row>
    <row r="697" spans="1:6" ht="15.75" customHeight="1">
      <c r="A697" t="s">
        <v>1149</v>
      </c>
      <c r="B697" t="s">
        <v>1150</v>
      </c>
      <c r="C697" t="s">
        <v>136</v>
      </c>
      <c r="D697">
        <v>2800</v>
      </c>
      <c r="E697">
        <v>18</v>
      </c>
      <c r="F697">
        <v>2070</v>
      </c>
    </row>
    <row r="698" spans="1:6" ht="15.75" customHeight="1">
      <c r="A698" t="s">
        <v>1151</v>
      </c>
      <c r="B698" t="s">
        <v>1152</v>
      </c>
      <c r="C698" t="s">
        <v>136</v>
      </c>
      <c r="D698">
        <v>2800</v>
      </c>
      <c r="E698">
        <v>10</v>
      </c>
      <c r="F698">
        <v>2070</v>
      </c>
    </row>
    <row r="699" spans="1:6" ht="15.75" customHeight="1">
      <c r="A699" t="s">
        <v>1153</v>
      </c>
      <c r="B699" t="s">
        <v>1152</v>
      </c>
      <c r="C699" t="s">
        <v>136</v>
      </c>
      <c r="D699">
        <v>2800</v>
      </c>
      <c r="E699">
        <v>25</v>
      </c>
      <c r="F699">
        <v>2070</v>
      </c>
    </row>
    <row r="700" spans="1:6" ht="15.75" customHeight="1">
      <c r="A700" t="s">
        <v>1154</v>
      </c>
      <c r="B700" t="s">
        <v>1155</v>
      </c>
      <c r="C700" t="s">
        <v>136</v>
      </c>
      <c r="D700">
        <v>2800</v>
      </c>
      <c r="E700">
        <v>10</v>
      </c>
      <c r="F700">
        <v>2070</v>
      </c>
    </row>
    <row r="701" spans="1:6" ht="15.75" customHeight="1">
      <c r="A701" t="s">
        <v>1156</v>
      </c>
      <c r="B701" t="s">
        <v>1155</v>
      </c>
      <c r="C701" t="s">
        <v>136</v>
      </c>
      <c r="D701">
        <v>2800</v>
      </c>
      <c r="E701">
        <v>18</v>
      </c>
      <c r="F701">
        <v>2070</v>
      </c>
    </row>
    <row r="702" spans="1:6" ht="15.75" customHeight="1">
      <c r="A702" t="s">
        <v>1157</v>
      </c>
      <c r="B702" t="s">
        <v>1155</v>
      </c>
      <c r="C702" t="s">
        <v>136</v>
      </c>
      <c r="D702">
        <v>2800</v>
      </c>
      <c r="E702">
        <v>25</v>
      </c>
      <c r="F702">
        <v>2070</v>
      </c>
    </row>
    <row r="703" spans="1:6" ht="15.75" customHeight="1">
      <c r="A703" t="s">
        <v>1158</v>
      </c>
      <c r="B703" t="s">
        <v>1159</v>
      </c>
      <c r="C703" t="s">
        <v>136</v>
      </c>
      <c r="D703">
        <v>2800</v>
      </c>
      <c r="E703">
        <v>10</v>
      </c>
      <c r="F703">
        <v>2070</v>
      </c>
    </row>
    <row r="704" spans="1:6" ht="15.75" customHeight="1">
      <c r="A704" t="s">
        <v>1160</v>
      </c>
      <c r="B704" t="s">
        <v>1159</v>
      </c>
      <c r="C704" t="s">
        <v>136</v>
      </c>
      <c r="D704">
        <v>2800</v>
      </c>
      <c r="E704">
        <v>18</v>
      </c>
      <c r="F704">
        <v>2070</v>
      </c>
    </row>
    <row r="705" spans="1:6" ht="15.75" customHeight="1">
      <c r="A705" t="s">
        <v>5598</v>
      </c>
      <c r="B705" t="s">
        <v>1159</v>
      </c>
      <c r="C705" t="s">
        <v>136</v>
      </c>
      <c r="D705">
        <v>2800</v>
      </c>
      <c r="E705">
        <v>19</v>
      </c>
      <c r="F705">
        <v>2070</v>
      </c>
    </row>
    <row r="706" spans="1:6" ht="15.75" customHeight="1">
      <c r="A706" t="s">
        <v>1161</v>
      </c>
      <c r="B706" t="s">
        <v>1162</v>
      </c>
      <c r="C706" t="s">
        <v>136</v>
      </c>
      <c r="D706">
        <v>2800</v>
      </c>
      <c r="E706">
        <v>18</v>
      </c>
      <c r="F706">
        <v>2070</v>
      </c>
    </row>
    <row r="707" spans="1:6" ht="15.75" customHeight="1">
      <c r="A707" t="s">
        <v>1163</v>
      </c>
      <c r="B707" t="s">
        <v>1162</v>
      </c>
      <c r="C707" t="s">
        <v>136</v>
      </c>
      <c r="D707">
        <v>2800</v>
      </c>
      <c r="E707">
        <v>25</v>
      </c>
      <c r="F707">
        <v>2070</v>
      </c>
    </row>
    <row r="708" spans="1:6" ht="15.75" customHeight="1">
      <c r="A708" t="s">
        <v>5368</v>
      </c>
      <c r="B708" t="s">
        <v>5369</v>
      </c>
      <c r="C708" t="s">
        <v>136</v>
      </c>
      <c r="D708">
        <v>2800</v>
      </c>
      <c r="E708">
        <v>18</v>
      </c>
      <c r="F708">
        <v>2070</v>
      </c>
    </row>
    <row r="709" spans="1:6" ht="15.75" customHeight="1">
      <c r="A709" t="s">
        <v>1164</v>
      </c>
      <c r="B709" t="s">
        <v>1165</v>
      </c>
      <c r="C709" t="s">
        <v>136</v>
      </c>
      <c r="D709">
        <v>2800</v>
      </c>
      <c r="E709">
        <v>10</v>
      </c>
      <c r="F709">
        <v>2070</v>
      </c>
    </row>
    <row r="710" spans="1:6" ht="15.75" customHeight="1">
      <c r="A710" t="s">
        <v>1166</v>
      </c>
      <c r="B710" t="s">
        <v>1165</v>
      </c>
      <c r="C710" t="s">
        <v>136</v>
      </c>
      <c r="D710">
        <v>2800</v>
      </c>
      <c r="E710">
        <v>16</v>
      </c>
      <c r="F710">
        <v>2070</v>
      </c>
    </row>
    <row r="711" spans="1:6" ht="15.75" customHeight="1">
      <c r="A711" t="s">
        <v>1167</v>
      </c>
      <c r="B711" t="s">
        <v>1165</v>
      </c>
      <c r="C711" t="s">
        <v>136</v>
      </c>
      <c r="D711">
        <v>2800</v>
      </c>
      <c r="E711">
        <v>18</v>
      </c>
      <c r="F711">
        <v>2070</v>
      </c>
    </row>
    <row r="712" spans="1:6" ht="15.75" customHeight="1">
      <c r="A712" t="s">
        <v>1168</v>
      </c>
      <c r="B712" t="s">
        <v>1165</v>
      </c>
      <c r="C712" t="s">
        <v>136</v>
      </c>
      <c r="D712">
        <v>2800</v>
      </c>
      <c r="E712">
        <v>25</v>
      </c>
      <c r="F712">
        <v>2070</v>
      </c>
    </row>
    <row r="713" spans="1:6" ht="15.75" customHeight="1">
      <c r="A713" t="s">
        <v>1169</v>
      </c>
      <c r="B713" t="s">
        <v>1165</v>
      </c>
      <c r="C713" t="s">
        <v>136</v>
      </c>
      <c r="D713">
        <v>2800</v>
      </c>
      <c r="E713">
        <v>18</v>
      </c>
      <c r="F713">
        <v>2070</v>
      </c>
    </row>
    <row r="714" spans="1:6" ht="15.75" customHeight="1">
      <c r="A714" t="s">
        <v>1170</v>
      </c>
      <c r="B714" t="s">
        <v>1171</v>
      </c>
      <c r="C714" t="s">
        <v>136</v>
      </c>
      <c r="D714">
        <v>2800</v>
      </c>
      <c r="E714">
        <v>18</v>
      </c>
      <c r="F714">
        <v>2070</v>
      </c>
    </row>
    <row r="715" spans="1:6" ht="15.75" customHeight="1">
      <c r="A715" t="s">
        <v>5370</v>
      </c>
      <c r="B715" t="s">
        <v>5371</v>
      </c>
      <c r="C715" t="s">
        <v>136</v>
      </c>
      <c r="D715">
        <v>2800</v>
      </c>
      <c r="E715">
        <v>18</v>
      </c>
      <c r="F715">
        <v>2070</v>
      </c>
    </row>
    <row r="716" spans="1:6" ht="15.75" customHeight="1">
      <c r="A716" t="s">
        <v>5372</v>
      </c>
      <c r="C716" t="s">
        <v>136</v>
      </c>
      <c r="D716">
        <v>2800</v>
      </c>
      <c r="E716">
        <v>10</v>
      </c>
      <c r="F716">
        <v>2070</v>
      </c>
    </row>
    <row r="717" spans="1:6" ht="15.75" customHeight="1">
      <c r="A717" t="s">
        <v>5374</v>
      </c>
      <c r="B717" t="s">
        <v>5373</v>
      </c>
      <c r="C717" t="s">
        <v>136</v>
      </c>
      <c r="D717">
        <v>2800</v>
      </c>
      <c r="E717">
        <v>19</v>
      </c>
      <c r="F717">
        <v>2070</v>
      </c>
    </row>
    <row r="718" spans="1:6" ht="15.75" customHeight="1">
      <c r="A718" t="s">
        <v>1172</v>
      </c>
      <c r="B718" t="s">
        <v>1173</v>
      </c>
      <c r="C718" t="s">
        <v>136</v>
      </c>
      <c r="D718">
        <v>2800</v>
      </c>
      <c r="E718">
        <v>18</v>
      </c>
      <c r="F718">
        <v>2070</v>
      </c>
    </row>
    <row r="719" spans="1:6" ht="15.75" customHeight="1">
      <c r="A719" t="s">
        <v>1174</v>
      </c>
      <c r="B719" t="s">
        <v>1173</v>
      </c>
      <c r="C719" t="s">
        <v>136</v>
      </c>
      <c r="D719">
        <v>2800</v>
      </c>
      <c r="E719">
        <v>16</v>
      </c>
      <c r="F719">
        <v>2070</v>
      </c>
    </row>
    <row r="720" spans="1:6" ht="15.75" customHeight="1">
      <c r="A720" t="s">
        <v>1175</v>
      </c>
      <c r="B720" t="s">
        <v>1176</v>
      </c>
      <c r="C720" t="s">
        <v>136</v>
      </c>
      <c r="D720">
        <v>2800</v>
      </c>
      <c r="E720">
        <v>18</v>
      </c>
      <c r="F720">
        <v>2070</v>
      </c>
    </row>
    <row r="721" spans="1:6" ht="15.75" customHeight="1">
      <c r="A721" t="s">
        <v>1177</v>
      </c>
      <c r="B721" t="s">
        <v>1178</v>
      </c>
      <c r="C721" t="s">
        <v>136</v>
      </c>
      <c r="D721">
        <v>2800</v>
      </c>
      <c r="E721">
        <v>16</v>
      </c>
      <c r="F721">
        <v>2070</v>
      </c>
    </row>
    <row r="722" spans="1:6" ht="15.75" customHeight="1">
      <c r="A722" t="s">
        <v>1179</v>
      </c>
      <c r="B722" t="s">
        <v>1178</v>
      </c>
      <c r="C722" t="s">
        <v>136</v>
      </c>
      <c r="D722">
        <v>2800</v>
      </c>
      <c r="E722">
        <v>18</v>
      </c>
      <c r="F722">
        <v>2070</v>
      </c>
    </row>
    <row r="723" spans="1:6" ht="15.75" customHeight="1">
      <c r="A723" t="s">
        <v>1180</v>
      </c>
      <c r="B723" t="s">
        <v>1178</v>
      </c>
      <c r="C723" t="s">
        <v>136</v>
      </c>
      <c r="D723">
        <v>2800</v>
      </c>
      <c r="E723">
        <v>25</v>
      </c>
      <c r="F723">
        <v>2070</v>
      </c>
    </row>
    <row r="724" spans="1:6" ht="15.75" customHeight="1">
      <c r="A724" t="s">
        <v>1181</v>
      </c>
      <c r="B724" t="s">
        <v>1178</v>
      </c>
      <c r="C724" t="s">
        <v>136</v>
      </c>
      <c r="D724">
        <v>2800</v>
      </c>
      <c r="E724">
        <v>18</v>
      </c>
      <c r="F724">
        <v>2070</v>
      </c>
    </row>
    <row r="725" spans="1:6" ht="15.75" customHeight="1">
      <c r="A725" t="s">
        <v>1182</v>
      </c>
      <c r="B725" t="s">
        <v>1178</v>
      </c>
      <c r="C725" t="s">
        <v>136</v>
      </c>
      <c r="D725">
        <v>2800</v>
      </c>
      <c r="E725">
        <v>25</v>
      </c>
      <c r="F725">
        <v>2070</v>
      </c>
    </row>
    <row r="726" spans="1:6" ht="15.75" customHeight="1">
      <c r="A726" t="s">
        <v>1183</v>
      </c>
      <c r="B726" t="s">
        <v>1184</v>
      </c>
      <c r="C726" t="s">
        <v>136</v>
      </c>
      <c r="D726">
        <v>2800</v>
      </c>
      <c r="E726">
        <v>18</v>
      </c>
      <c r="F726">
        <v>2070</v>
      </c>
    </row>
    <row r="727" spans="1:6" ht="15.75" customHeight="1">
      <c r="A727" t="s">
        <v>1185</v>
      </c>
      <c r="B727" t="s">
        <v>1184</v>
      </c>
      <c r="C727" t="s">
        <v>136</v>
      </c>
      <c r="D727">
        <v>2800</v>
      </c>
      <c r="E727">
        <v>18</v>
      </c>
      <c r="F727">
        <v>2070</v>
      </c>
    </row>
    <row r="728" spans="1:6" ht="15.75" customHeight="1">
      <c r="A728" t="s">
        <v>1186</v>
      </c>
      <c r="B728" t="s">
        <v>1187</v>
      </c>
      <c r="C728" t="s">
        <v>136</v>
      </c>
      <c r="D728">
        <v>2800</v>
      </c>
      <c r="E728">
        <v>10</v>
      </c>
      <c r="F728">
        <v>2070</v>
      </c>
    </row>
    <row r="729" spans="1:6" ht="15.75" customHeight="1">
      <c r="A729" t="s">
        <v>1188</v>
      </c>
      <c r="B729" t="s">
        <v>1187</v>
      </c>
      <c r="C729" t="s">
        <v>136</v>
      </c>
      <c r="D729">
        <v>2800</v>
      </c>
      <c r="E729">
        <v>18</v>
      </c>
      <c r="F729">
        <v>2070</v>
      </c>
    </row>
    <row r="730" spans="1:6" ht="15.75" customHeight="1">
      <c r="A730" t="s">
        <v>1189</v>
      </c>
      <c r="B730" t="s">
        <v>1190</v>
      </c>
      <c r="C730" t="s">
        <v>136</v>
      </c>
      <c r="D730">
        <v>2800</v>
      </c>
      <c r="E730">
        <v>10</v>
      </c>
      <c r="F730">
        <v>2070</v>
      </c>
    </row>
    <row r="731" spans="1:6" ht="15.75" customHeight="1">
      <c r="A731" t="s">
        <v>1191</v>
      </c>
      <c r="B731" t="s">
        <v>1192</v>
      </c>
      <c r="C731" t="s">
        <v>136</v>
      </c>
      <c r="D731">
        <v>2800</v>
      </c>
      <c r="E731">
        <v>18</v>
      </c>
      <c r="F731">
        <v>2070</v>
      </c>
    </row>
    <row r="732" spans="1:6" ht="15.75" customHeight="1">
      <c r="A732" t="s">
        <v>1193</v>
      </c>
      <c r="B732" t="s">
        <v>1194</v>
      </c>
      <c r="C732" t="s">
        <v>136</v>
      </c>
      <c r="D732">
        <v>2800</v>
      </c>
      <c r="E732">
        <v>10</v>
      </c>
      <c r="F732">
        <v>2070</v>
      </c>
    </row>
    <row r="733" spans="1:6" ht="15.75" customHeight="1">
      <c r="A733" t="s">
        <v>1195</v>
      </c>
      <c r="B733" t="s">
        <v>1194</v>
      </c>
      <c r="C733" t="s">
        <v>136</v>
      </c>
      <c r="D733">
        <v>2800</v>
      </c>
      <c r="E733">
        <v>18</v>
      </c>
      <c r="F733">
        <v>2070</v>
      </c>
    </row>
    <row r="734" spans="1:6" ht="15.75" customHeight="1">
      <c r="A734" t="s">
        <v>1196</v>
      </c>
      <c r="B734" t="s">
        <v>1194</v>
      </c>
      <c r="C734" t="s">
        <v>136</v>
      </c>
      <c r="D734">
        <v>2800</v>
      </c>
      <c r="E734">
        <v>25</v>
      </c>
      <c r="F734">
        <v>2070</v>
      </c>
    </row>
    <row r="735" spans="1:6" ht="15.75" customHeight="1">
      <c r="A735" t="s">
        <v>5375</v>
      </c>
      <c r="C735" t="s">
        <v>136</v>
      </c>
      <c r="D735">
        <v>2800</v>
      </c>
      <c r="E735">
        <v>10</v>
      </c>
      <c r="F735">
        <v>2070</v>
      </c>
    </row>
    <row r="736" spans="1:6" ht="15.75" customHeight="1">
      <c r="A736" t="s">
        <v>5377</v>
      </c>
      <c r="B736" t="s">
        <v>5376</v>
      </c>
      <c r="C736" t="s">
        <v>136</v>
      </c>
      <c r="D736">
        <v>2800</v>
      </c>
      <c r="E736">
        <v>19</v>
      </c>
      <c r="F736">
        <v>2070</v>
      </c>
    </row>
    <row r="737" spans="1:6" ht="15.75" customHeight="1">
      <c r="A737" t="s">
        <v>1197</v>
      </c>
      <c r="B737" t="s">
        <v>1198</v>
      </c>
      <c r="C737" t="s">
        <v>136</v>
      </c>
      <c r="D737">
        <v>2800</v>
      </c>
      <c r="E737">
        <v>18</v>
      </c>
      <c r="F737">
        <v>2070</v>
      </c>
    </row>
    <row r="738" spans="1:6" ht="15.75" customHeight="1">
      <c r="A738" t="s">
        <v>1199</v>
      </c>
      <c r="B738" t="s">
        <v>1200</v>
      </c>
      <c r="C738" t="s">
        <v>136</v>
      </c>
      <c r="D738">
        <v>2800</v>
      </c>
      <c r="E738">
        <v>18</v>
      </c>
      <c r="F738">
        <v>2070</v>
      </c>
    </row>
    <row r="739" spans="1:6" ht="15.75" customHeight="1">
      <c r="A739" t="s">
        <v>1201</v>
      </c>
      <c r="B739" t="s">
        <v>1202</v>
      </c>
      <c r="C739" t="s">
        <v>136</v>
      </c>
      <c r="D739">
        <v>2800</v>
      </c>
      <c r="E739">
        <v>18</v>
      </c>
      <c r="F739">
        <v>2070</v>
      </c>
    </row>
    <row r="740" spans="1:6" ht="15.75" customHeight="1">
      <c r="A740" t="s">
        <v>5378</v>
      </c>
      <c r="C740" t="s">
        <v>136</v>
      </c>
      <c r="D740">
        <v>2800</v>
      </c>
      <c r="E740">
        <v>10</v>
      </c>
      <c r="F740">
        <v>2070</v>
      </c>
    </row>
    <row r="741" spans="1:6" ht="15.75" customHeight="1">
      <c r="A741" t="s">
        <v>5380</v>
      </c>
      <c r="B741" t="s">
        <v>5379</v>
      </c>
      <c r="C741" t="s">
        <v>136</v>
      </c>
      <c r="D741">
        <v>2800</v>
      </c>
      <c r="E741">
        <v>19</v>
      </c>
      <c r="F741">
        <v>2070</v>
      </c>
    </row>
    <row r="742" spans="1:6" ht="15.75" customHeight="1">
      <c r="A742" t="s">
        <v>1203</v>
      </c>
      <c r="B742" t="s">
        <v>1204</v>
      </c>
      <c r="C742" t="s">
        <v>136</v>
      </c>
      <c r="D742">
        <v>2800</v>
      </c>
      <c r="E742">
        <v>10</v>
      </c>
      <c r="F742">
        <v>2070</v>
      </c>
    </row>
    <row r="743" spans="1:6" ht="15.75" customHeight="1">
      <c r="A743" t="s">
        <v>1205</v>
      </c>
      <c r="B743" t="s">
        <v>1204</v>
      </c>
      <c r="C743" t="s">
        <v>136</v>
      </c>
      <c r="D743">
        <v>2800</v>
      </c>
      <c r="E743">
        <v>18</v>
      </c>
      <c r="F743">
        <v>2070</v>
      </c>
    </row>
    <row r="744" spans="1:6" ht="15.75" customHeight="1">
      <c r="A744" t="s">
        <v>1206</v>
      </c>
      <c r="B744" t="s">
        <v>1207</v>
      </c>
      <c r="C744" t="s">
        <v>136</v>
      </c>
      <c r="D744">
        <v>2800</v>
      </c>
      <c r="E744">
        <v>10</v>
      </c>
      <c r="F744">
        <v>2070</v>
      </c>
    </row>
    <row r="745" spans="1:6" ht="15.75" customHeight="1">
      <c r="A745" t="s">
        <v>1208</v>
      </c>
      <c r="B745" t="s">
        <v>1207</v>
      </c>
      <c r="C745" t="s">
        <v>136</v>
      </c>
      <c r="D745">
        <v>2800</v>
      </c>
      <c r="E745">
        <v>18</v>
      </c>
      <c r="F745">
        <v>2070</v>
      </c>
    </row>
    <row r="746" spans="1:6" ht="15.75" customHeight="1">
      <c r="A746" t="s">
        <v>1209</v>
      </c>
      <c r="B746" t="s">
        <v>1207</v>
      </c>
      <c r="C746" t="s">
        <v>136</v>
      </c>
      <c r="D746">
        <v>2800</v>
      </c>
      <c r="E746">
        <v>25</v>
      </c>
      <c r="F746">
        <v>2070</v>
      </c>
    </row>
    <row r="747" spans="1:6" ht="15.75" customHeight="1">
      <c r="A747" t="s">
        <v>1210</v>
      </c>
      <c r="B747" t="s">
        <v>1211</v>
      </c>
      <c r="C747" t="s">
        <v>136</v>
      </c>
      <c r="D747">
        <v>2800</v>
      </c>
      <c r="E747">
        <v>10</v>
      </c>
      <c r="F747">
        <v>2070</v>
      </c>
    </row>
    <row r="748" spans="1:6" ht="15.75" customHeight="1">
      <c r="A748" t="s">
        <v>1212</v>
      </c>
      <c r="B748" t="s">
        <v>1211</v>
      </c>
      <c r="C748" t="s">
        <v>136</v>
      </c>
      <c r="D748">
        <v>2800</v>
      </c>
      <c r="E748">
        <v>18</v>
      </c>
      <c r="F748">
        <v>2070</v>
      </c>
    </row>
    <row r="749" spans="1:6" ht="15.75" customHeight="1">
      <c r="A749" t="s">
        <v>1213</v>
      </c>
      <c r="B749" t="s">
        <v>1214</v>
      </c>
      <c r="C749" t="s">
        <v>136</v>
      </c>
      <c r="D749">
        <v>2800</v>
      </c>
      <c r="E749">
        <v>18</v>
      </c>
      <c r="F749">
        <v>2070</v>
      </c>
    </row>
    <row r="750" spans="1:6" ht="15.75" customHeight="1">
      <c r="A750" t="s">
        <v>1215</v>
      </c>
      <c r="B750" t="s">
        <v>1216</v>
      </c>
      <c r="C750" t="s">
        <v>136</v>
      </c>
      <c r="D750">
        <v>2800</v>
      </c>
      <c r="E750">
        <v>18</v>
      </c>
      <c r="F750">
        <v>2070</v>
      </c>
    </row>
    <row r="751" spans="1:6" ht="15.75" customHeight="1">
      <c r="A751" t="s">
        <v>1217</v>
      </c>
      <c r="B751" t="s">
        <v>1218</v>
      </c>
      <c r="C751" t="s">
        <v>136</v>
      </c>
      <c r="D751">
        <v>2800</v>
      </c>
      <c r="E751">
        <v>18</v>
      </c>
      <c r="F751">
        <v>2070</v>
      </c>
    </row>
    <row r="752" spans="1:6" ht="15.75" customHeight="1">
      <c r="A752" t="s">
        <v>1219</v>
      </c>
      <c r="B752" t="s">
        <v>1220</v>
      </c>
      <c r="C752" t="s">
        <v>136</v>
      </c>
      <c r="D752">
        <v>2800</v>
      </c>
      <c r="E752">
        <v>18</v>
      </c>
      <c r="F752">
        <v>2070</v>
      </c>
    </row>
    <row r="753" spans="1:6" ht="15.75" customHeight="1">
      <c r="A753" t="s">
        <v>5381</v>
      </c>
      <c r="C753" t="s">
        <v>136</v>
      </c>
      <c r="D753">
        <v>2800</v>
      </c>
      <c r="E753">
        <v>10</v>
      </c>
      <c r="F753">
        <v>2070</v>
      </c>
    </row>
    <row r="754" spans="1:6" ht="15.75" customHeight="1">
      <c r="A754" t="s">
        <v>5383</v>
      </c>
      <c r="B754" t="s">
        <v>5382</v>
      </c>
      <c r="C754" t="s">
        <v>136</v>
      </c>
      <c r="D754">
        <v>2800</v>
      </c>
      <c r="E754">
        <v>19</v>
      </c>
      <c r="F754">
        <v>2070</v>
      </c>
    </row>
    <row r="755" spans="1:6" ht="15.75" customHeight="1">
      <c r="A755" t="s">
        <v>1221</v>
      </c>
      <c r="B755" t="s">
        <v>1222</v>
      </c>
      <c r="C755" t="s">
        <v>136</v>
      </c>
      <c r="D755">
        <v>2800</v>
      </c>
      <c r="E755">
        <v>18</v>
      </c>
      <c r="F755">
        <v>2070</v>
      </c>
    </row>
    <row r="756" spans="1:6" ht="15.75" customHeight="1">
      <c r="A756" t="s">
        <v>1223</v>
      </c>
      <c r="B756" t="s">
        <v>1222</v>
      </c>
      <c r="C756" t="s">
        <v>136</v>
      </c>
      <c r="D756">
        <v>0</v>
      </c>
      <c r="E756">
        <v>0</v>
      </c>
      <c r="F756">
        <v>0</v>
      </c>
    </row>
    <row r="757" spans="1:6" ht="15.75" customHeight="1">
      <c r="A757" t="s">
        <v>1224</v>
      </c>
      <c r="B757" t="s">
        <v>1225</v>
      </c>
      <c r="C757" t="s">
        <v>136</v>
      </c>
      <c r="D757">
        <v>2800</v>
      </c>
      <c r="E757">
        <v>10</v>
      </c>
      <c r="F757">
        <v>2070</v>
      </c>
    </row>
    <row r="758" spans="1:6" ht="15.75" customHeight="1">
      <c r="A758" t="s">
        <v>1226</v>
      </c>
      <c r="B758" t="s">
        <v>1225</v>
      </c>
      <c r="C758" t="s">
        <v>136</v>
      </c>
      <c r="D758">
        <v>2800</v>
      </c>
      <c r="E758">
        <v>18</v>
      </c>
      <c r="F758">
        <v>2070</v>
      </c>
    </row>
    <row r="759" spans="1:6" ht="15.75" customHeight="1">
      <c r="A759" t="s">
        <v>1227</v>
      </c>
      <c r="B759" t="s">
        <v>1228</v>
      </c>
      <c r="C759" t="s">
        <v>136</v>
      </c>
      <c r="D759">
        <v>2800</v>
      </c>
      <c r="E759">
        <v>18</v>
      </c>
      <c r="F759">
        <v>2070</v>
      </c>
    </row>
    <row r="760" spans="1:6" ht="15.75" customHeight="1">
      <c r="A760" t="s">
        <v>1229</v>
      </c>
      <c r="B760" t="s">
        <v>1230</v>
      </c>
      <c r="C760" t="s">
        <v>136</v>
      </c>
      <c r="D760">
        <v>2800</v>
      </c>
      <c r="E760">
        <v>10</v>
      </c>
      <c r="F760">
        <v>2070</v>
      </c>
    </row>
    <row r="761" spans="1:6" ht="15.75" customHeight="1">
      <c r="A761" t="s">
        <v>1231</v>
      </c>
      <c r="B761" t="s">
        <v>1230</v>
      </c>
      <c r="C761" t="s">
        <v>136</v>
      </c>
      <c r="D761">
        <v>2800</v>
      </c>
      <c r="E761">
        <v>18</v>
      </c>
      <c r="F761">
        <v>2070</v>
      </c>
    </row>
    <row r="762" spans="1:6" ht="15.75" customHeight="1">
      <c r="A762" t="s">
        <v>1232</v>
      </c>
      <c r="B762" t="s">
        <v>1230</v>
      </c>
      <c r="C762" t="s">
        <v>136</v>
      </c>
      <c r="D762">
        <v>2800</v>
      </c>
      <c r="E762">
        <v>25</v>
      </c>
      <c r="F762">
        <v>2070</v>
      </c>
    </row>
    <row r="763" spans="1:6" ht="15.75" customHeight="1">
      <c r="A763" t="s">
        <v>1233</v>
      </c>
      <c r="B763" t="s">
        <v>1234</v>
      </c>
      <c r="C763" t="s">
        <v>136</v>
      </c>
      <c r="D763">
        <v>2800</v>
      </c>
      <c r="E763">
        <v>10</v>
      </c>
      <c r="F763">
        <v>2070</v>
      </c>
    </row>
    <row r="764" spans="1:6" ht="15.75" customHeight="1">
      <c r="A764" t="s">
        <v>1235</v>
      </c>
      <c r="B764" t="s">
        <v>1234</v>
      </c>
      <c r="C764" t="s">
        <v>136</v>
      </c>
      <c r="D764">
        <v>2800</v>
      </c>
      <c r="E764">
        <v>18</v>
      </c>
      <c r="F764">
        <v>2070</v>
      </c>
    </row>
    <row r="765" spans="1:6" ht="15.75" customHeight="1">
      <c r="A765" t="s">
        <v>5599</v>
      </c>
      <c r="B765" t="s">
        <v>1234</v>
      </c>
      <c r="C765" t="s">
        <v>136</v>
      </c>
      <c r="D765">
        <v>2800</v>
      </c>
      <c r="E765">
        <v>19</v>
      </c>
      <c r="F765">
        <v>2070</v>
      </c>
    </row>
    <row r="766" spans="1:6" ht="15.75" customHeight="1">
      <c r="A766" t="s">
        <v>1236</v>
      </c>
      <c r="B766" t="s">
        <v>1237</v>
      </c>
      <c r="C766" t="s">
        <v>136</v>
      </c>
      <c r="D766">
        <v>2800</v>
      </c>
      <c r="E766">
        <v>18</v>
      </c>
      <c r="F766">
        <v>2070</v>
      </c>
    </row>
    <row r="767" spans="1:6" ht="15.75" customHeight="1">
      <c r="A767" t="s">
        <v>1238</v>
      </c>
      <c r="B767" t="s">
        <v>1239</v>
      </c>
      <c r="C767" t="s">
        <v>136</v>
      </c>
      <c r="D767">
        <v>2800</v>
      </c>
      <c r="E767">
        <v>18</v>
      </c>
      <c r="F767">
        <v>2070</v>
      </c>
    </row>
    <row r="768" spans="1:6" ht="15.75" customHeight="1">
      <c r="A768" t="s">
        <v>1240</v>
      </c>
      <c r="B768" t="s">
        <v>1241</v>
      </c>
      <c r="C768" t="s">
        <v>136</v>
      </c>
      <c r="D768">
        <v>2800</v>
      </c>
      <c r="E768">
        <v>16</v>
      </c>
      <c r="F768">
        <v>2070</v>
      </c>
    </row>
    <row r="769" spans="1:6" ht="15.75" customHeight="1">
      <c r="A769" t="s">
        <v>1242</v>
      </c>
      <c r="B769" t="s">
        <v>1241</v>
      </c>
      <c r="C769" t="s">
        <v>136</v>
      </c>
      <c r="D769">
        <v>2800</v>
      </c>
      <c r="E769">
        <v>18</v>
      </c>
      <c r="F769">
        <v>2070</v>
      </c>
    </row>
    <row r="770" spans="1:6" ht="15.75" customHeight="1">
      <c r="A770" t="s">
        <v>1243</v>
      </c>
      <c r="B770" t="s">
        <v>1244</v>
      </c>
      <c r="C770" t="s">
        <v>136</v>
      </c>
      <c r="D770">
        <v>2800</v>
      </c>
      <c r="E770">
        <v>10</v>
      </c>
      <c r="F770">
        <v>2070</v>
      </c>
    </row>
    <row r="771" spans="1:6" ht="15.75" customHeight="1">
      <c r="A771" t="s">
        <v>1245</v>
      </c>
      <c r="B771" t="s">
        <v>1244</v>
      </c>
      <c r="C771" t="s">
        <v>136</v>
      </c>
      <c r="D771">
        <v>2800</v>
      </c>
      <c r="E771">
        <v>16</v>
      </c>
      <c r="F771">
        <v>2070</v>
      </c>
    </row>
    <row r="772" spans="1:6" ht="15.75" customHeight="1">
      <c r="A772" t="s">
        <v>1246</v>
      </c>
      <c r="B772" t="s">
        <v>1247</v>
      </c>
      <c r="C772" t="s">
        <v>136</v>
      </c>
      <c r="D772">
        <v>2800</v>
      </c>
      <c r="E772">
        <v>10</v>
      </c>
      <c r="F772">
        <v>2070</v>
      </c>
    </row>
    <row r="773" spans="1:6" ht="15.75" customHeight="1">
      <c r="A773" t="s">
        <v>1248</v>
      </c>
      <c r="B773" t="s">
        <v>1247</v>
      </c>
      <c r="C773" t="s">
        <v>136</v>
      </c>
      <c r="D773">
        <v>2800</v>
      </c>
      <c r="E773">
        <v>18</v>
      </c>
      <c r="F773">
        <v>2070</v>
      </c>
    </row>
    <row r="774" spans="1:6" ht="15.75" customHeight="1">
      <c r="A774" t="s">
        <v>1249</v>
      </c>
      <c r="B774" t="s">
        <v>1250</v>
      </c>
      <c r="C774" t="s">
        <v>136</v>
      </c>
      <c r="D774">
        <v>2800</v>
      </c>
      <c r="E774">
        <v>16</v>
      </c>
      <c r="F774">
        <v>2070</v>
      </c>
    </row>
    <row r="775" spans="1:6" ht="15.75" customHeight="1">
      <c r="A775" t="s">
        <v>1251</v>
      </c>
      <c r="B775" t="s">
        <v>1250</v>
      </c>
      <c r="C775" t="s">
        <v>136</v>
      </c>
      <c r="D775">
        <v>2800</v>
      </c>
      <c r="E775">
        <v>18</v>
      </c>
      <c r="F775">
        <v>2070</v>
      </c>
    </row>
    <row r="776" spans="1:6" ht="15.75" customHeight="1">
      <c r="A776" t="s">
        <v>1252</v>
      </c>
      <c r="B776" t="s">
        <v>1253</v>
      </c>
      <c r="C776" t="s">
        <v>136</v>
      </c>
      <c r="D776">
        <v>2800</v>
      </c>
      <c r="E776">
        <v>18</v>
      </c>
      <c r="F776">
        <v>2070</v>
      </c>
    </row>
    <row r="777" spans="1:6" ht="15.75" customHeight="1">
      <c r="A777" t="s">
        <v>1254</v>
      </c>
      <c r="B777" t="s">
        <v>1255</v>
      </c>
      <c r="C777" t="s">
        <v>136</v>
      </c>
      <c r="D777">
        <v>2800</v>
      </c>
      <c r="E777">
        <v>18</v>
      </c>
      <c r="F777">
        <v>2070</v>
      </c>
    </row>
    <row r="778" spans="1:6" ht="15.75" customHeight="1">
      <c r="A778" t="s">
        <v>1256</v>
      </c>
      <c r="B778" t="s">
        <v>1257</v>
      </c>
      <c r="C778" t="s">
        <v>136</v>
      </c>
      <c r="D778">
        <v>2800</v>
      </c>
      <c r="E778">
        <v>10</v>
      </c>
      <c r="F778">
        <v>2070</v>
      </c>
    </row>
    <row r="779" spans="1:6" ht="15.75" customHeight="1">
      <c r="A779" t="s">
        <v>1258</v>
      </c>
      <c r="B779" t="s">
        <v>1257</v>
      </c>
      <c r="C779" t="s">
        <v>136</v>
      </c>
      <c r="D779">
        <v>2800</v>
      </c>
      <c r="E779">
        <v>18</v>
      </c>
      <c r="F779">
        <v>2070</v>
      </c>
    </row>
    <row r="780" spans="1:6" ht="15.75" customHeight="1">
      <c r="A780" t="s">
        <v>1259</v>
      </c>
      <c r="B780" t="s">
        <v>1260</v>
      </c>
      <c r="C780" t="s">
        <v>136</v>
      </c>
      <c r="D780">
        <v>2800</v>
      </c>
      <c r="E780">
        <v>10</v>
      </c>
      <c r="F780">
        <v>2070</v>
      </c>
    </row>
    <row r="781" spans="1:6" ht="15.75" customHeight="1">
      <c r="A781" t="s">
        <v>1261</v>
      </c>
      <c r="B781" t="s">
        <v>1260</v>
      </c>
      <c r="C781" t="s">
        <v>136</v>
      </c>
      <c r="D781">
        <v>2800</v>
      </c>
      <c r="E781">
        <v>18</v>
      </c>
      <c r="F781">
        <v>2070</v>
      </c>
    </row>
    <row r="782" spans="1:6" ht="15.75" customHeight="1">
      <c r="A782" t="s">
        <v>1262</v>
      </c>
      <c r="B782" t="s">
        <v>1263</v>
      </c>
      <c r="C782" t="s">
        <v>136</v>
      </c>
      <c r="D782">
        <v>2800</v>
      </c>
      <c r="E782">
        <v>10</v>
      </c>
      <c r="F782">
        <v>2070</v>
      </c>
    </row>
    <row r="783" spans="1:6" ht="15.75" customHeight="1">
      <c r="A783" t="s">
        <v>1264</v>
      </c>
      <c r="B783" t="s">
        <v>1263</v>
      </c>
      <c r="C783" t="s">
        <v>136</v>
      </c>
      <c r="D783">
        <v>2800</v>
      </c>
      <c r="E783">
        <v>18</v>
      </c>
      <c r="F783">
        <v>2070</v>
      </c>
    </row>
    <row r="784" spans="1:6" ht="15.75" customHeight="1">
      <c r="A784" t="s">
        <v>1265</v>
      </c>
      <c r="B784" t="s">
        <v>1266</v>
      </c>
      <c r="C784" t="s">
        <v>136</v>
      </c>
      <c r="D784">
        <v>2800</v>
      </c>
      <c r="E784">
        <v>16</v>
      </c>
      <c r="F784">
        <v>2070</v>
      </c>
    </row>
    <row r="785" spans="1:6" ht="15.75" customHeight="1">
      <c r="A785" t="s">
        <v>1267</v>
      </c>
      <c r="B785" t="s">
        <v>1266</v>
      </c>
      <c r="C785" t="s">
        <v>136</v>
      </c>
      <c r="D785">
        <v>2800</v>
      </c>
      <c r="E785">
        <v>18</v>
      </c>
      <c r="F785">
        <v>2070</v>
      </c>
    </row>
    <row r="786" spans="1:6" ht="15.75" customHeight="1">
      <c r="A786" t="s">
        <v>1268</v>
      </c>
      <c r="B786" t="s">
        <v>1269</v>
      </c>
      <c r="C786" t="s">
        <v>136</v>
      </c>
      <c r="D786">
        <v>2800</v>
      </c>
      <c r="E786">
        <v>18</v>
      </c>
      <c r="F786">
        <v>2070</v>
      </c>
    </row>
    <row r="787" spans="1:6" ht="15.75" customHeight="1">
      <c r="A787" t="s">
        <v>1270</v>
      </c>
      <c r="B787" t="s">
        <v>1271</v>
      </c>
      <c r="C787" t="s">
        <v>136</v>
      </c>
      <c r="D787">
        <v>2800</v>
      </c>
      <c r="E787">
        <v>10</v>
      </c>
      <c r="F787">
        <v>2070</v>
      </c>
    </row>
    <row r="788" spans="1:6" ht="15.75" customHeight="1">
      <c r="A788" t="s">
        <v>1272</v>
      </c>
      <c r="B788" t="s">
        <v>1271</v>
      </c>
      <c r="C788" t="s">
        <v>136</v>
      </c>
      <c r="D788">
        <v>2800</v>
      </c>
      <c r="E788">
        <v>18</v>
      </c>
      <c r="F788">
        <v>2070</v>
      </c>
    </row>
    <row r="789" spans="1:6" ht="15.75" customHeight="1">
      <c r="A789" t="s">
        <v>1273</v>
      </c>
      <c r="B789" t="s">
        <v>1271</v>
      </c>
      <c r="C789" t="s">
        <v>136</v>
      </c>
      <c r="D789">
        <v>2800</v>
      </c>
      <c r="E789">
        <v>25</v>
      </c>
      <c r="F789">
        <v>2070</v>
      </c>
    </row>
    <row r="790" spans="1:6" ht="15.75" customHeight="1">
      <c r="A790" t="s">
        <v>1274</v>
      </c>
      <c r="B790" t="s">
        <v>1275</v>
      </c>
      <c r="C790" t="s">
        <v>136</v>
      </c>
      <c r="D790">
        <v>2800</v>
      </c>
      <c r="E790">
        <v>10</v>
      </c>
      <c r="F790">
        <v>2070</v>
      </c>
    </row>
    <row r="791" spans="1:6" ht="15.75" customHeight="1">
      <c r="A791" t="s">
        <v>1276</v>
      </c>
      <c r="B791" t="s">
        <v>1275</v>
      </c>
      <c r="C791" t="s">
        <v>136</v>
      </c>
      <c r="D791">
        <v>2800</v>
      </c>
      <c r="E791">
        <v>18</v>
      </c>
      <c r="F791">
        <v>2070</v>
      </c>
    </row>
    <row r="792" spans="1:6" ht="15.75" customHeight="1">
      <c r="A792" t="s">
        <v>5600</v>
      </c>
      <c r="B792" t="s">
        <v>1275</v>
      </c>
      <c r="C792" t="s">
        <v>136</v>
      </c>
      <c r="D792">
        <v>2800</v>
      </c>
      <c r="E792">
        <v>19</v>
      </c>
      <c r="F792">
        <v>2070</v>
      </c>
    </row>
    <row r="793" spans="1:6" ht="15.75" customHeight="1">
      <c r="A793" t="s">
        <v>5384</v>
      </c>
      <c r="B793" t="s">
        <v>5385</v>
      </c>
      <c r="C793" t="s">
        <v>136</v>
      </c>
      <c r="D793">
        <v>2800</v>
      </c>
      <c r="E793">
        <v>18</v>
      </c>
      <c r="F793">
        <v>2070</v>
      </c>
    </row>
    <row r="794" spans="1:6" ht="15.75" customHeight="1">
      <c r="A794" t="s">
        <v>5386</v>
      </c>
      <c r="C794" t="s">
        <v>136</v>
      </c>
      <c r="D794">
        <v>2800</v>
      </c>
      <c r="E794">
        <v>10</v>
      </c>
      <c r="F794">
        <v>2070</v>
      </c>
    </row>
    <row r="795" spans="1:6" ht="15.75" customHeight="1">
      <c r="A795" t="s">
        <v>5388</v>
      </c>
      <c r="B795" t="s">
        <v>5387</v>
      </c>
      <c r="C795" t="s">
        <v>136</v>
      </c>
      <c r="D795">
        <v>2800</v>
      </c>
      <c r="E795">
        <v>19</v>
      </c>
      <c r="F795">
        <v>2070</v>
      </c>
    </row>
    <row r="796" spans="1:6" ht="15.75" customHeight="1">
      <c r="A796" t="s">
        <v>1277</v>
      </c>
      <c r="B796" t="s">
        <v>1278</v>
      </c>
      <c r="C796" t="s">
        <v>136</v>
      </c>
      <c r="D796">
        <v>2800</v>
      </c>
      <c r="E796">
        <v>18</v>
      </c>
      <c r="F796">
        <v>2070</v>
      </c>
    </row>
    <row r="797" spans="1:6" ht="15.75" customHeight="1">
      <c r="A797" t="s">
        <v>1279</v>
      </c>
      <c r="B797" t="s">
        <v>1280</v>
      </c>
      <c r="C797" t="s">
        <v>136</v>
      </c>
      <c r="D797">
        <v>2800</v>
      </c>
      <c r="E797">
        <v>10</v>
      </c>
      <c r="F797">
        <v>2070</v>
      </c>
    </row>
    <row r="798" spans="1:6" ht="15.75" customHeight="1">
      <c r="A798" t="s">
        <v>1281</v>
      </c>
      <c r="B798" t="s">
        <v>1280</v>
      </c>
      <c r="C798" t="s">
        <v>136</v>
      </c>
      <c r="D798">
        <v>2800</v>
      </c>
      <c r="E798">
        <v>16</v>
      </c>
      <c r="F798">
        <v>2070</v>
      </c>
    </row>
    <row r="799" spans="1:6" ht="15.75" customHeight="1">
      <c r="A799" t="s">
        <v>1282</v>
      </c>
      <c r="B799" t="s">
        <v>1280</v>
      </c>
      <c r="C799" t="s">
        <v>136</v>
      </c>
      <c r="D799">
        <v>2800</v>
      </c>
      <c r="E799">
        <v>18</v>
      </c>
      <c r="F799">
        <v>2070</v>
      </c>
    </row>
    <row r="800" spans="1:6" ht="15.75" customHeight="1">
      <c r="A800" t="s">
        <v>1283</v>
      </c>
      <c r="B800" t="s">
        <v>1280</v>
      </c>
      <c r="C800" t="s">
        <v>136</v>
      </c>
      <c r="D800">
        <v>2800</v>
      </c>
      <c r="E800">
        <v>25</v>
      </c>
      <c r="F800">
        <v>2070</v>
      </c>
    </row>
    <row r="801" spans="1:6" ht="15.75" customHeight="1">
      <c r="A801" t="s">
        <v>1284</v>
      </c>
      <c r="B801" t="s">
        <v>1285</v>
      </c>
      <c r="C801" t="s">
        <v>136</v>
      </c>
      <c r="D801">
        <v>2800</v>
      </c>
      <c r="E801">
        <v>10</v>
      </c>
      <c r="F801">
        <v>2070</v>
      </c>
    </row>
    <row r="802" spans="1:6" ht="15.75" customHeight="1">
      <c r="A802" t="s">
        <v>1286</v>
      </c>
      <c r="B802" t="s">
        <v>1285</v>
      </c>
      <c r="C802" t="s">
        <v>136</v>
      </c>
      <c r="D802">
        <v>2800</v>
      </c>
      <c r="E802">
        <v>18</v>
      </c>
      <c r="F802">
        <v>2070</v>
      </c>
    </row>
    <row r="803" spans="1:6" ht="15.75" customHeight="1">
      <c r="A803" t="s">
        <v>1287</v>
      </c>
      <c r="B803" t="s">
        <v>1285</v>
      </c>
      <c r="C803" t="s">
        <v>136</v>
      </c>
      <c r="D803">
        <v>2800</v>
      </c>
      <c r="E803">
        <v>19</v>
      </c>
      <c r="F803">
        <v>2070</v>
      </c>
    </row>
    <row r="804" spans="1:6" ht="15.75" customHeight="1">
      <c r="A804" t="s">
        <v>1288</v>
      </c>
      <c r="B804" t="s">
        <v>1289</v>
      </c>
      <c r="C804" t="s">
        <v>136</v>
      </c>
      <c r="D804">
        <v>2800</v>
      </c>
      <c r="E804">
        <v>18</v>
      </c>
      <c r="F804">
        <v>2070</v>
      </c>
    </row>
    <row r="805" spans="1:6" ht="15.75" customHeight="1">
      <c r="A805" t="s">
        <v>1290</v>
      </c>
      <c r="B805" t="s">
        <v>1291</v>
      </c>
      <c r="C805" t="s">
        <v>136</v>
      </c>
      <c r="D805">
        <v>2800</v>
      </c>
      <c r="E805">
        <v>16</v>
      </c>
      <c r="F805">
        <v>2070</v>
      </c>
    </row>
    <row r="806" spans="1:6" ht="15.75" customHeight="1">
      <c r="A806" t="s">
        <v>1292</v>
      </c>
      <c r="B806" t="s">
        <v>1291</v>
      </c>
      <c r="C806" t="s">
        <v>136</v>
      </c>
      <c r="D806">
        <v>2800</v>
      </c>
      <c r="E806">
        <v>18</v>
      </c>
      <c r="F806">
        <v>2070</v>
      </c>
    </row>
    <row r="807" spans="1:6" ht="15.75" customHeight="1">
      <c r="A807" t="s">
        <v>1293</v>
      </c>
      <c r="B807" t="s">
        <v>1294</v>
      </c>
      <c r="C807" t="s">
        <v>136</v>
      </c>
      <c r="D807">
        <v>2800</v>
      </c>
      <c r="E807">
        <v>10</v>
      </c>
      <c r="F807">
        <v>2070</v>
      </c>
    </row>
    <row r="808" spans="1:6" ht="15.75" customHeight="1">
      <c r="A808" t="s">
        <v>1295</v>
      </c>
      <c r="B808" t="s">
        <v>1294</v>
      </c>
      <c r="C808" t="s">
        <v>136</v>
      </c>
      <c r="D808">
        <v>2800</v>
      </c>
      <c r="E808">
        <v>18</v>
      </c>
      <c r="F808">
        <v>2070</v>
      </c>
    </row>
    <row r="809" spans="1:6" ht="15.75" customHeight="1">
      <c r="A809" t="s">
        <v>5601</v>
      </c>
      <c r="B809" t="s">
        <v>1294</v>
      </c>
      <c r="C809" t="s">
        <v>136</v>
      </c>
      <c r="D809">
        <v>2800</v>
      </c>
      <c r="E809">
        <v>19</v>
      </c>
      <c r="F809">
        <v>2070</v>
      </c>
    </row>
    <row r="810" spans="1:6" ht="15.75" customHeight="1">
      <c r="A810" t="s">
        <v>1296</v>
      </c>
      <c r="B810" t="s">
        <v>1297</v>
      </c>
      <c r="C810" t="s">
        <v>136</v>
      </c>
      <c r="D810">
        <v>2800</v>
      </c>
      <c r="E810">
        <v>18</v>
      </c>
      <c r="F810">
        <v>2070</v>
      </c>
    </row>
    <row r="811" spans="1:6" ht="15.75" customHeight="1">
      <c r="A811" t="s">
        <v>1298</v>
      </c>
      <c r="B811" t="s">
        <v>1299</v>
      </c>
      <c r="C811" t="s">
        <v>136</v>
      </c>
      <c r="D811">
        <v>2800</v>
      </c>
      <c r="E811">
        <v>10</v>
      </c>
      <c r="F811">
        <v>2070</v>
      </c>
    </row>
    <row r="812" spans="1:6" ht="15.75" customHeight="1">
      <c r="A812" t="s">
        <v>1300</v>
      </c>
      <c r="B812" t="s">
        <v>1299</v>
      </c>
      <c r="C812" t="s">
        <v>136</v>
      </c>
      <c r="D812">
        <v>2800</v>
      </c>
      <c r="E812">
        <v>16</v>
      </c>
      <c r="F812">
        <v>2070</v>
      </c>
    </row>
    <row r="813" spans="1:6" ht="15.75" customHeight="1">
      <c r="A813" t="s">
        <v>1301</v>
      </c>
      <c r="B813" t="s">
        <v>1299</v>
      </c>
      <c r="C813" t="s">
        <v>136</v>
      </c>
      <c r="D813">
        <v>2800</v>
      </c>
      <c r="E813">
        <v>18</v>
      </c>
      <c r="F813">
        <v>2070</v>
      </c>
    </row>
    <row r="814" spans="1:6" ht="15.75" customHeight="1">
      <c r="A814" t="s">
        <v>1302</v>
      </c>
      <c r="B814" t="s">
        <v>1299</v>
      </c>
      <c r="C814" t="s">
        <v>136</v>
      </c>
      <c r="D814">
        <v>2800</v>
      </c>
      <c r="E814">
        <v>25</v>
      </c>
      <c r="F814">
        <v>2070</v>
      </c>
    </row>
    <row r="815" spans="1:6" ht="15.75" customHeight="1">
      <c r="A815" t="s">
        <v>1303</v>
      </c>
      <c r="B815" t="s">
        <v>1299</v>
      </c>
      <c r="C815" t="s">
        <v>136</v>
      </c>
      <c r="D815">
        <v>2800</v>
      </c>
      <c r="E815">
        <v>16</v>
      </c>
      <c r="F815">
        <v>2070</v>
      </c>
    </row>
    <row r="816" spans="1:6" ht="15.75" customHeight="1">
      <c r="A816" t="s">
        <v>1304</v>
      </c>
      <c r="B816" t="s">
        <v>1299</v>
      </c>
      <c r="C816" t="s">
        <v>136</v>
      </c>
      <c r="D816">
        <v>2800</v>
      </c>
      <c r="E816">
        <v>18</v>
      </c>
      <c r="F816">
        <v>2070</v>
      </c>
    </row>
    <row r="817" spans="1:6" ht="15.75" customHeight="1">
      <c r="A817" t="s">
        <v>1305</v>
      </c>
      <c r="B817" t="s">
        <v>1299</v>
      </c>
      <c r="C817" t="s">
        <v>136</v>
      </c>
      <c r="D817">
        <v>2800</v>
      </c>
      <c r="E817">
        <v>16</v>
      </c>
      <c r="F817">
        <v>2070</v>
      </c>
    </row>
    <row r="818" spans="1:6" ht="15.75" customHeight="1">
      <c r="A818" t="s">
        <v>1306</v>
      </c>
      <c r="B818" t="s">
        <v>1307</v>
      </c>
      <c r="C818" t="s">
        <v>136</v>
      </c>
      <c r="D818">
        <v>2800</v>
      </c>
      <c r="E818">
        <v>10</v>
      </c>
      <c r="F818">
        <v>2070</v>
      </c>
    </row>
    <row r="819" spans="1:6" ht="15.75" customHeight="1">
      <c r="A819" t="s">
        <v>1308</v>
      </c>
      <c r="B819" t="s">
        <v>1307</v>
      </c>
      <c r="C819" t="s">
        <v>136</v>
      </c>
      <c r="D819">
        <v>2800</v>
      </c>
      <c r="E819">
        <v>18</v>
      </c>
      <c r="F819">
        <v>2070</v>
      </c>
    </row>
    <row r="820" spans="1:6" ht="15.75" customHeight="1">
      <c r="A820" t="s">
        <v>5389</v>
      </c>
      <c r="B820" t="s">
        <v>1299</v>
      </c>
      <c r="C820" t="s">
        <v>136</v>
      </c>
      <c r="D820">
        <v>2800</v>
      </c>
      <c r="E820">
        <v>19</v>
      </c>
      <c r="F820">
        <v>2070</v>
      </c>
    </row>
    <row r="821" spans="1:6" ht="15.75" customHeight="1">
      <c r="A821" t="s">
        <v>1309</v>
      </c>
      <c r="B821" t="s">
        <v>1310</v>
      </c>
      <c r="C821" t="s">
        <v>136</v>
      </c>
      <c r="D821">
        <v>2800</v>
      </c>
      <c r="E821">
        <v>10</v>
      </c>
      <c r="F821">
        <v>2070</v>
      </c>
    </row>
    <row r="822" spans="1:6" ht="15.75" customHeight="1">
      <c r="A822" t="s">
        <v>1311</v>
      </c>
      <c r="B822" t="s">
        <v>1312</v>
      </c>
      <c r="C822" t="s">
        <v>136</v>
      </c>
      <c r="D822">
        <v>2800</v>
      </c>
      <c r="E822">
        <v>10</v>
      </c>
      <c r="F822">
        <v>2070</v>
      </c>
    </row>
    <row r="823" spans="1:6" ht="15.75" customHeight="1">
      <c r="A823" t="s">
        <v>1313</v>
      </c>
      <c r="B823" t="s">
        <v>1312</v>
      </c>
      <c r="C823" t="s">
        <v>136</v>
      </c>
      <c r="D823">
        <v>2800</v>
      </c>
      <c r="E823">
        <v>16</v>
      </c>
      <c r="F823">
        <v>2070</v>
      </c>
    </row>
    <row r="824" spans="1:6" ht="15.75" customHeight="1">
      <c r="A824" t="s">
        <v>1314</v>
      </c>
      <c r="B824" t="s">
        <v>1312</v>
      </c>
      <c r="C824" t="s">
        <v>136</v>
      </c>
      <c r="D824">
        <v>2800</v>
      </c>
      <c r="E824">
        <v>18</v>
      </c>
      <c r="F824">
        <v>2070</v>
      </c>
    </row>
    <row r="825" spans="1:6" ht="15.75" customHeight="1">
      <c r="A825" t="s">
        <v>1315</v>
      </c>
      <c r="B825" t="s">
        <v>1312</v>
      </c>
      <c r="C825" t="s">
        <v>136</v>
      </c>
      <c r="D825">
        <v>2800</v>
      </c>
      <c r="E825">
        <v>25</v>
      </c>
      <c r="F825">
        <v>2070</v>
      </c>
    </row>
    <row r="826" spans="1:6" ht="15.75" customHeight="1">
      <c r="A826" t="s">
        <v>1316</v>
      </c>
      <c r="B826" t="s">
        <v>1317</v>
      </c>
      <c r="C826" t="s">
        <v>136</v>
      </c>
      <c r="D826">
        <v>2800</v>
      </c>
      <c r="E826">
        <v>10</v>
      </c>
      <c r="F826">
        <v>2070</v>
      </c>
    </row>
    <row r="827" spans="1:6" ht="15.75" customHeight="1">
      <c r="A827" t="s">
        <v>1318</v>
      </c>
      <c r="B827" t="s">
        <v>1317</v>
      </c>
      <c r="C827" t="s">
        <v>136</v>
      </c>
      <c r="D827">
        <v>2800</v>
      </c>
      <c r="E827">
        <v>18</v>
      </c>
      <c r="F827">
        <v>2070</v>
      </c>
    </row>
    <row r="828" spans="1:6" ht="15.75" customHeight="1">
      <c r="A828" t="s">
        <v>5602</v>
      </c>
      <c r="B828" t="s">
        <v>1317</v>
      </c>
      <c r="C828" t="s">
        <v>136</v>
      </c>
      <c r="D828">
        <v>2800</v>
      </c>
      <c r="E828">
        <v>19</v>
      </c>
      <c r="F828">
        <v>2070</v>
      </c>
    </row>
    <row r="829" spans="1:6" ht="15.75" customHeight="1">
      <c r="A829" t="s">
        <v>1319</v>
      </c>
      <c r="B829" t="s">
        <v>1320</v>
      </c>
      <c r="C829" t="s">
        <v>136</v>
      </c>
      <c r="D829">
        <v>2800</v>
      </c>
      <c r="E829">
        <v>10</v>
      </c>
      <c r="F829">
        <v>2070</v>
      </c>
    </row>
    <row r="830" spans="1:6" ht="15.75" customHeight="1">
      <c r="A830" t="s">
        <v>1321</v>
      </c>
      <c r="B830" t="s">
        <v>1320</v>
      </c>
      <c r="C830" t="s">
        <v>136</v>
      </c>
      <c r="D830">
        <v>2800</v>
      </c>
      <c r="E830">
        <v>16</v>
      </c>
      <c r="F830">
        <v>2070</v>
      </c>
    </row>
    <row r="831" spans="1:6" ht="15.75" customHeight="1">
      <c r="A831" t="s">
        <v>1322</v>
      </c>
      <c r="B831" t="s">
        <v>1320</v>
      </c>
      <c r="C831" t="s">
        <v>136</v>
      </c>
      <c r="D831">
        <v>2800</v>
      </c>
      <c r="E831">
        <v>18</v>
      </c>
      <c r="F831">
        <v>2070</v>
      </c>
    </row>
    <row r="832" spans="1:6" ht="15.75" customHeight="1">
      <c r="A832" t="s">
        <v>1323</v>
      </c>
      <c r="B832" t="s">
        <v>1320</v>
      </c>
      <c r="C832" t="s">
        <v>136</v>
      </c>
      <c r="D832">
        <v>2800</v>
      </c>
      <c r="E832">
        <v>25</v>
      </c>
      <c r="F832">
        <v>2070</v>
      </c>
    </row>
    <row r="833" spans="1:6" ht="15.75" customHeight="1">
      <c r="A833" t="s">
        <v>1324</v>
      </c>
      <c r="C833" t="s">
        <v>136</v>
      </c>
      <c r="D833">
        <v>2800</v>
      </c>
      <c r="E833">
        <v>25</v>
      </c>
      <c r="F833">
        <v>2070</v>
      </c>
    </row>
    <row r="834" spans="1:6" ht="15.75" customHeight="1">
      <c r="A834" t="s">
        <v>1325</v>
      </c>
      <c r="B834" t="s">
        <v>1326</v>
      </c>
      <c r="C834" t="s">
        <v>136</v>
      </c>
      <c r="D834">
        <v>2800</v>
      </c>
      <c r="E834">
        <v>10</v>
      </c>
      <c r="F834">
        <v>2070</v>
      </c>
    </row>
    <row r="835" spans="1:6" ht="15.75" customHeight="1">
      <c r="A835" t="s">
        <v>1327</v>
      </c>
      <c r="B835" t="s">
        <v>1326</v>
      </c>
      <c r="C835" t="s">
        <v>136</v>
      </c>
      <c r="D835">
        <v>2800</v>
      </c>
      <c r="E835">
        <v>18</v>
      </c>
      <c r="F835">
        <v>2070</v>
      </c>
    </row>
    <row r="836" spans="1:6" ht="15.75" customHeight="1">
      <c r="A836" t="s">
        <v>5390</v>
      </c>
      <c r="B836" t="s">
        <v>1320</v>
      </c>
      <c r="C836" t="s">
        <v>136</v>
      </c>
      <c r="D836">
        <v>2800</v>
      </c>
      <c r="E836">
        <v>19</v>
      </c>
      <c r="F836">
        <v>2070</v>
      </c>
    </row>
    <row r="837" spans="1:6" ht="15.75" customHeight="1">
      <c r="A837" t="s">
        <v>1328</v>
      </c>
      <c r="B837" t="s">
        <v>1329</v>
      </c>
      <c r="C837" t="s">
        <v>136</v>
      </c>
      <c r="D837">
        <v>2800</v>
      </c>
      <c r="E837">
        <v>16</v>
      </c>
      <c r="F837">
        <v>2070</v>
      </c>
    </row>
    <row r="838" spans="1:6" ht="15.75" customHeight="1">
      <c r="A838" t="s">
        <v>1330</v>
      </c>
      <c r="B838" t="s">
        <v>1329</v>
      </c>
      <c r="C838" t="s">
        <v>136</v>
      </c>
      <c r="D838">
        <v>2800</v>
      </c>
      <c r="E838">
        <v>18</v>
      </c>
      <c r="F838">
        <v>2070</v>
      </c>
    </row>
    <row r="839" spans="1:6" ht="15.75" customHeight="1">
      <c r="A839" t="s">
        <v>1331</v>
      </c>
      <c r="B839" t="s">
        <v>1332</v>
      </c>
      <c r="C839" t="s">
        <v>136</v>
      </c>
      <c r="D839">
        <v>2800</v>
      </c>
      <c r="E839">
        <v>18</v>
      </c>
      <c r="F839">
        <v>2070</v>
      </c>
    </row>
    <row r="840" spans="1:6" ht="15.75" customHeight="1">
      <c r="A840" t="s">
        <v>1333</v>
      </c>
      <c r="B840" t="s">
        <v>1334</v>
      </c>
      <c r="C840" t="s">
        <v>136</v>
      </c>
      <c r="D840">
        <v>2800</v>
      </c>
      <c r="E840">
        <v>10</v>
      </c>
      <c r="F840">
        <v>2070</v>
      </c>
    </row>
    <row r="841" spans="1:6" ht="15.75" customHeight="1">
      <c r="A841" t="s">
        <v>1335</v>
      </c>
      <c r="B841" t="s">
        <v>1334</v>
      </c>
      <c r="C841" t="s">
        <v>136</v>
      </c>
      <c r="D841">
        <v>2800</v>
      </c>
      <c r="E841">
        <v>18</v>
      </c>
      <c r="F841">
        <v>2070</v>
      </c>
    </row>
    <row r="842" spans="1:6" ht="15.75" customHeight="1">
      <c r="A842" t="s">
        <v>1336</v>
      </c>
      <c r="B842" t="s">
        <v>1334</v>
      </c>
      <c r="C842" t="s">
        <v>136</v>
      </c>
      <c r="D842">
        <v>2800</v>
      </c>
      <c r="E842">
        <v>25</v>
      </c>
      <c r="F842">
        <v>2070</v>
      </c>
    </row>
    <row r="843" spans="1:6" ht="15.75" customHeight="1">
      <c r="A843" t="s">
        <v>5391</v>
      </c>
      <c r="C843" t="s">
        <v>136</v>
      </c>
      <c r="D843">
        <v>2800</v>
      </c>
      <c r="E843">
        <v>10</v>
      </c>
      <c r="F843">
        <v>2070</v>
      </c>
    </row>
    <row r="844" spans="1:6" ht="15.75" customHeight="1">
      <c r="A844" t="s">
        <v>5393</v>
      </c>
      <c r="B844" t="s">
        <v>5392</v>
      </c>
      <c r="C844" t="s">
        <v>136</v>
      </c>
      <c r="D844">
        <v>2800</v>
      </c>
      <c r="E844">
        <v>19</v>
      </c>
      <c r="F844">
        <v>2070</v>
      </c>
    </row>
    <row r="845" spans="1:6" ht="15.75" customHeight="1">
      <c r="A845" t="s">
        <v>1337</v>
      </c>
      <c r="B845" t="s">
        <v>1338</v>
      </c>
      <c r="C845" t="s">
        <v>136</v>
      </c>
      <c r="D845">
        <v>2800</v>
      </c>
      <c r="E845">
        <v>18</v>
      </c>
      <c r="F845">
        <v>2070</v>
      </c>
    </row>
    <row r="846" spans="1:6" ht="15.75" customHeight="1">
      <c r="A846" t="s">
        <v>1339</v>
      </c>
      <c r="B846" t="s">
        <v>1340</v>
      </c>
      <c r="C846" t="s">
        <v>136</v>
      </c>
      <c r="D846">
        <v>2800</v>
      </c>
      <c r="E846">
        <v>16</v>
      </c>
      <c r="F846">
        <v>2070</v>
      </c>
    </row>
    <row r="847" spans="1:6" ht="15.75" customHeight="1">
      <c r="A847" t="s">
        <v>1341</v>
      </c>
      <c r="B847" t="s">
        <v>1340</v>
      </c>
      <c r="C847" t="s">
        <v>136</v>
      </c>
      <c r="D847">
        <v>2800</v>
      </c>
      <c r="E847">
        <v>18</v>
      </c>
      <c r="F847">
        <v>2070</v>
      </c>
    </row>
    <row r="848" spans="1:6" ht="15.75" customHeight="1">
      <c r="A848" t="s">
        <v>1342</v>
      </c>
      <c r="B848" t="s">
        <v>1340</v>
      </c>
      <c r="C848" t="s">
        <v>136</v>
      </c>
      <c r="D848">
        <v>2800</v>
      </c>
      <c r="E848">
        <v>25</v>
      </c>
      <c r="F848">
        <v>2070</v>
      </c>
    </row>
    <row r="849" spans="1:6" ht="15.75" customHeight="1">
      <c r="A849" t="s">
        <v>1343</v>
      </c>
      <c r="B849" t="s">
        <v>1344</v>
      </c>
      <c r="C849" t="s">
        <v>136</v>
      </c>
      <c r="D849">
        <v>2800</v>
      </c>
      <c r="E849">
        <v>10</v>
      </c>
      <c r="F849">
        <v>2070</v>
      </c>
    </row>
    <row r="850" spans="1:6" ht="15.75" customHeight="1">
      <c r="A850" t="s">
        <v>1345</v>
      </c>
      <c r="B850" t="s">
        <v>1344</v>
      </c>
      <c r="C850" t="s">
        <v>136</v>
      </c>
      <c r="D850">
        <v>2800</v>
      </c>
      <c r="E850">
        <v>18</v>
      </c>
      <c r="F850">
        <v>2070</v>
      </c>
    </row>
    <row r="851" spans="1:6" ht="15.75" customHeight="1">
      <c r="A851" t="s">
        <v>1346</v>
      </c>
      <c r="B851" t="s">
        <v>1344</v>
      </c>
      <c r="C851" t="s">
        <v>136</v>
      </c>
      <c r="D851">
        <v>2800</v>
      </c>
      <c r="E851">
        <v>25</v>
      </c>
      <c r="F851">
        <v>2070</v>
      </c>
    </row>
    <row r="852" spans="1:6" ht="15.75" customHeight="1">
      <c r="A852" t="s">
        <v>1347</v>
      </c>
      <c r="B852" t="s">
        <v>1348</v>
      </c>
      <c r="C852" t="s">
        <v>136</v>
      </c>
      <c r="D852">
        <v>2800</v>
      </c>
      <c r="E852">
        <v>10</v>
      </c>
      <c r="F852">
        <v>2070</v>
      </c>
    </row>
    <row r="853" spans="1:6" ht="15.75" customHeight="1">
      <c r="A853" t="s">
        <v>1349</v>
      </c>
      <c r="B853" t="s">
        <v>1348</v>
      </c>
      <c r="C853" t="s">
        <v>136</v>
      </c>
      <c r="D853">
        <v>2800</v>
      </c>
      <c r="E853">
        <v>16</v>
      </c>
      <c r="F853">
        <v>2070</v>
      </c>
    </row>
    <row r="854" spans="1:6" ht="15.75" customHeight="1">
      <c r="A854" t="s">
        <v>1350</v>
      </c>
      <c r="B854" t="s">
        <v>1348</v>
      </c>
      <c r="C854" t="s">
        <v>136</v>
      </c>
      <c r="D854">
        <v>2800</v>
      </c>
      <c r="E854">
        <v>18</v>
      </c>
      <c r="F854">
        <v>2070</v>
      </c>
    </row>
    <row r="855" spans="1:6" ht="15.75" customHeight="1">
      <c r="A855" t="s">
        <v>1351</v>
      </c>
      <c r="B855" t="s">
        <v>1348</v>
      </c>
      <c r="C855" t="s">
        <v>136</v>
      </c>
      <c r="D855">
        <v>2800</v>
      </c>
      <c r="E855">
        <v>25</v>
      </c>
      <c r="F855">
        <v>2070</v>
      </c>
    </row>
    <row r="856" spans="1:6" ht="15.75" customHeight="1">
      <c r="A856" t="s">
        <v>5394</v>
      </c>
      <c r="C856" t="s">
        <v>136</v>
      </c>
      <c r="D856">
        <v>2800</v>
      </c>
      <c r="E856">
        <v>10</v>
      </c>
      <c r="F856">
        <v>2070</v>
      </c>
    </row>
    <row r="857" spans="1:6" ht="15.75" customHeight="1">
      <c r="A857" t="s">
        <v>5396</v>
      </c>
      <c r="B857" t="s">
        <v>5395</v>
      </c>
      <c r="C857" t="s">
        <v>136</v>
      </c>
      <c r="D857">
        <v>2800</v>
      </c>
      <c r="E857">
        <v>19</v>
      </c>
      <c r="F857">
        <v>2070</v>
      </c>
    </row>
    <row r="858" spans="1:6" ht="15.75" customHeight="1">
      <c r="A858" t="s">
        <v>5397</v>
      </c>
      <c r="B858" t="s">
        <v>5398</v>
      </c>
      <c r="C858" t="s">
        <v>136</v>
      </c>
      <c r="D858">
        <v>2800</v>
      </c>
      <c r="E858">
        <v>18</v>
      </c>
      <c r="F858">
        <v>2070</v>
      </c>
    </row>
    <row r="859" spans="1:6" ht="15.75" customHeight="1">
      <c r="A859" t="s">
        <v>5399</v>
      </c>
      <c r="C859" t="s">
        <v>136</v>
      </c>
      <c r="D859">
        <v>2800</v>
      </c>
      <c r="E859">
        <v>10</v>
      </c>
      <c r="F859">
        <v>2070</v>
      </c>
    </row>
    <row r="860" spans="1:6" ht="15.75" customHeight="1">
      <c r="A860" t="s">
        <v>5401</v>
      </c>
      <c r="B860" t="s">
        <v>5400</v>
      </c>
      <c r="C860" t="s">
        <v>136</v>
      </c>
      <c r="D860">
        <v>2800</v>
      </c>
      <c r="E860">
        <v>19</v>
      </c>
      <c r="F860">
        <v>2070</v>
      </c>
    </row>
    <row r="861" spans="1:6" ht="15.75" customHeight="1">
      <c r="A861" t="s">
        <v>1352</v>
      </c>
      <c r="B861" t="s">
        <v>1353</v>
      </c>
      <c r="C861" t="s">
        <v>136</v>
      </c>
      <c r="D861">
        <v>2800</v>
      </c>
      <c r="E861">
        <v>10</v>
      </c>
      <c r="F861">
        <v>2070</v>
      </c>
    </row>
    <row r="862" spans="1:6" ht="15.75" customHeight="1">
      <c r="A862" t="s">
        <v>1354</v>
      </c>
      <c r="B862" t="s">
        <v>1353</v>
      </c>
      <c r="C862" t="s">
        <v>136</v>
      </c>
      <c r="D862">
        <v>2800</v>
      </c>
      <c r="E862">
        <v>16</v>
      </c>
      <c r="F862">
        <v>2070</v>
      </c>
    </row>
    <row r="863" spans="1:6" ht="15.75" customHeight="1">
      <c r="A863" t="s">
        <v>1355</v>
      </c>
      <c r="B863" t="s">
        <v>1353</v>
      </c>
      <c r="C863" t="s">
        <v>136</v>
      </c>
      <c r="D863">
        <v>2800</v>
      </c>
      <c r="E863">
        <v>18</v>
      </c>
      <c r="F863">
        <v>2070</v>
      </c>
    </row>
    <row r="864" spans="1:6" ht="15.75" customHeight="1">
      <c r="A864" t="s">
        <v>1356</v>
      </c>
      <c r="B864" t="s">
        <v>1353</v>
      </c>
      <c r="C864" t="s">
        <v>136</v>
      </c>
      <c r="D864">
        <v>2800</v>
      </c>
      <c r="E864">
        <v>25</v>
      </c>
      <c r="F864">
        <v>2070</v>
      </c>
    </row>
    <row r="865" spans="1:6" ht="15.75" customHeight="1">
      <c r="A865" t="s">
        <v>1357</v>
      </c>
      <c r="B865" t="s">
        <v>1358</v>
      </c>
      <c r="C865" t="s">
        <v>136</v>
      </c>
      <c r="D865">
        <v>2800</v>
      </c>
      <c r="E865">
        <v>18</v>
      </c>
      <c r="F865">
        <v>2070</v>
      </c>
    </row>
    <row r="866" spans="1:6" ht="15.75" customHeight="1">
      <c r="A866" t="s">
        <v>1359</v>
      </c>
      <c r="B866" t="s">
        <v>1360</v>
      </c>
      <c r="C866" t="s">
        <v>136</v>
      </c>
      <c r="D866">
        <v>2800</v>
      </c>
      <c r="E866">
        <v>10</v>
      </c>
      <c r="F866">
        <v>2070</v>
      </c>
    </row>
    <row r="867" spans="1:6" ht="15.75" customHeight="1">
      <c r="A867" t="s">
        <v>1361</v>
      </c>
      <c r="B867" t="s">
        <v>1360</v>
      </c>
      <c r="C867" t="s">
        <v>136</v>
      </c>
      <c r="D867">
        <v>2800</v>
      </c>
      <c r="E867">
        <v>18</v>
      </c>
      <c r="F867">
        <v>2070</v>
      </c>
    </row>
    <row r="868" spans="1:6" ht="15.75" customHeight="1">
      <c r="A868" t="s">
        <v>1362</v>
      </c>
      <c r="B868" t="s">
        <v>1360</v>
      </c>
      <c r="C868" t="s">
        <v>136</v>
      </c>
      <c r="D868">
        <v>2800</v>
      </c>
      <c r="E868">
        <v>25</v>
      </c>
      <c r="F868">
        <v>2070</v>
      </c>
    </row>
    <row r="869" spans="1:6" ht="15.75" customHeight="1">
      <c r="A869" t="s">
        <v>1363</v>
      </c>
      <c r="B869" t="s">
        <v>1360</v>
      </c>
      <c r="C869" t="s">
        <v>136</v>
      </c>
      <c r="D869">
        <v>2800</v>
      </c>
      <c r="E869">
        <v>38</v>
      </c>
      <c r="F869">
        <v>2070</v>
      </c>
    </row>
    <row r="870" spans="1:6" ht="15.75" customHeight="1">
      <c r="A870" t="s">
        <v>1364</v>
      </c>
      <c r="B870" t="s">
        <v>1365</v>
      </c>
      <c r="C870" t="s">
        <v>136</v>
      </c>
      <c r="D870">
        <v>2800</v>
      </c>
      <c r="E870">
        <v>10</v>
      </c>
      <c r="F870">
        <v>2070</v>
      </c>
    </row>
    <row r="871" spans="1:6" ht="15.75" customHeight="1">
      <c r="A871" t="s">
        <v>1366</v>
      </c>
      <c r="B871" t="s">
        <v>1365</v>
      </c>
      <c r="C871" t="s">
        <v>136</v>
      </c>
      <c r="D871">
        <v>2800</v>
      </c>
      <c r="E871">
        <v>18</v>
      </c>
      <c r="F871">
        <v>2070</v>
      </c>
    </row>
    <row r="872" spans="1:6" ht="15.75" customHeight="1">
      <c r="A872" t="s">
        <v>5603</v>
      </c>
      <c r="B872" t="s">
        <v>1365</v>
      </c>
      <c r="C872" t="s">
        <v>136</v>
      </c>
      <c r="D872">
        <v>2800</v>
      </c>
      <c r="E872">
        <v>19</v>
      </c>
      <c r="F872">
        <v>2070</v>
      </c>
    </row>
    <row r="873" spans="1:6" ht="15.75" customHeight="1">
      <c r="A873" t="s">
        <v>1367</v>
      </c>
      <c r="B873" t="s">
        <v>1368</v>
      </c>
      <c r="C873" t="s">
        <v>136</v>
      </c>
      <c r="D873">
        <v>2800</v>
      </c>
      <c r="E873">
        <v>16</v>
      </c>
      <c r="F873">
        <v>2070</v>
      </c>
    </row>
    <row r="874" spans="1:6" ht="15.75" customHeight="1">
      <c r="A874" t="s">
        <v>1369</v>
      </c>
      <c r="B874" t="s">
        <v>1368</v>
      </c>
      <c r="C874" t="s">
        <v>136</v>
      </c>
      <c r="D874">
        <v>2800</v>
      </c>
      <c r="E874">
        <v>18</v>
      </c>
      <c r="F874">
        <v>2070</v>
      </c>
    </row>
    <row r="875" spans="1:6" ht="15.75" customHeight="1">
      <c r="A875" t="s">
        <v>1370</v>
      </c>
      <c r="B875" t="s">
        <v>1371</v>
      </c>
      <c r="C875" t="s">
        <v>136</v>
      </c>
      <c r="D875">
        <v>2800</v>
      </c>
      <c r="E875">
        <v>10</v>
      </c>
      <c r="F875">
        <v>2070</v>
      </c>
    </row>
    <row r="876" spans="1:6" ht="15.75" customHeight="1">
      <c r="A876" t="s">
        <v>1372</v>
      </c>
      <c r="B876" t="s">
        <v>1371</v>
      </c>
      <c r="C876" t="s">
        <v>136</v>
      </c>
      <c r="D876">
        <v>2800</v>
      </c>
      <c r="E876">
        <v>18</v>
      </c>
      <c r="F876">
        <v>2070</v>
      </c>
    </row>
    <row r="877" spans="1:6" ht="15.75" customHeight="1">
      <c r="A877" t="s">
        <v>5402</v>
      </c>
      <c r="C877" t="s">
        <v>136</v>
      </c>
      <c r="D877">
        <v>2800</v>
      </c>
      <c r="E877">
        <v>10</v>
      </c>
      <c r="F877">
        <v>2070</v>
      </c>
    </row>
    <row r="878" spans="1:6" ht="15.75" customHeight="1">
      <c r="A878" t="s">
        <v>5404</v>
      </c>
      <c r="B878" t="s">
        <v>5403</v>
      </c>
      <c r="C878" t="s">
        <v>136</v>
      </c>
      <c r="D878">
        <v>2800</v>
      </c>
      <c r="E878">
        <v>19</v>
      </c>
      <c r="F878">
        <v>2070</v>
      </c>
    </row>
    <row r="879" spans="1:6" ht="15.75" customHeight="1">
      <c r="A879" t="s">
        <v>1373</v>
      </c>
      <c r="B879" t="s">
        <v>1374</v>
      </c>
      <c r="C879" t="s">
        <v>136</v>
      </c>
      <c r="D879">
        <v>2800</v>
      </c>
      <c r="E879">
        <v>18</v>
      </c>
      <c r="F879">
        <v>2070</v>
      </c>
    </row>
    <row r="880" spans="1:6" ht="15.75" customHeight="1">
      <c r="A880" t="s">
        <v>1375</v>
      </c>
      <c r="B880" t="s">
        <v>1376</v>
      </c>
      <c r="C880" t="s">
        <v>136</v>
      </c>
      <c r="D880">
        <v>2800</v>
      </c>
      <c r="E880">
        <v>18</v>
      </c>
      <c r="F880">
        <v>2070</v>
      </c>
    </row>
    <row r="881" spans="1:6" ht="15.75" customHeight="1">
      <c r="A881" t="s">
        <v>1377</v>
      </c>
      <c r="B881" t="s">
        <v>1378</v>
      </c>
      <c r="C881" t="s">
        <v>136</v>
      </c>
      <c r="D881">
        <v>2800</v>
      </c>
      <c r="E881">
        <v>16</v>
      </c>
      <c r="F881">
        <v>2070</v>
      </c>
    </row>
    <row r="882" spans="1:6" ht="15.75" customHeight="1">
      <c r="A882" t="s">
        <v>1379</v>
      </c>
      <c r="B882" t="s">
        <v>1378</v>
      </c>
      <c r="C882" t="s">
        <v>136</v>
      </c>
      <c r="D882">
        <v>2800</v>
      </c>
      <c r="E882">
        <v>18</v>
      </c>
      <c r="F882">
        <v>2070</v>
      </c>
    </row>
    <row r="883" spans="1:6" ht="15.75" customHeight="1">
      <c r="A883" t="s">
        <v>1380</v>
      </c>
      <c r="B883" t="s">
        <v>1378</v>
      </c>
      <c r="C883" t="s">
        <v>136</v>
      </c>
      <c r="D883">
        <v>2800</v>
      </c>
      <c r="E883">
        <v>38</v>
      </c>
      <c r="F883">
        <v>2070</v>
      </c>
    </row>
    <row r="884" spans="1:6" ht="15.75" customHeight="1">
      <c r="A884" t="s">
        <v>5405</v>
      </c>
      <c r="C884" t="s">
        <v>136</v>
      </c>
      <c r="D884">
        <v>2800</v>
      </c>
      <c r="E884">
        <v>10</v>
      </c>
      <c r="F884">
        <v>2070</v>
      </c>
    </row>
    <row r="885" spans="1:6" ht="15.75" customHeight="1">
      <c r="A885" t="s">
        <v>5407</v>
      </c>
      <c r="B885" t="s">
        <v>5406</v>
      </c>
      <c r="C885" t="s">
        <v>136</v>
      </c>
      <c r="D885">
        <v>2800</v>
      </c>
      <c r="E885">
        <v>19</v>
      </c>
      <c r="F885">
        <v>2070</v>
      </c>
    </row>
    <row r="886" spans="1:6" ht="15.75" customHeight="1">
      <c r="A886" t="s">
        <v>1381</v>
      </c>
      <c r="B886" t="s">
        <v>1382</v>
      </c>
      <c r="C886" t="s">
        <v>136</v>
      </c>
      <c r="D886">
        <v>2800</v>
      </c>
      <c r="E886">
        <v>16</v>
      </c>
      <c r="F886">
        <v>2070</v>
      </c>
    </row>
    <row r="887" spans="1:6" ht="15.75" customHeight="1">
      <c r="A887" t="s">
        <v>1383</v>
      </c>
      <c r="B887" t="s">
        <v>1384</v>
      </c>
      <c r="C887" t="s">
        <v>136</v>
      </c>
      <c r="D887">
        <v>2800</v>
      </c>
      <c r="E887">
        <v>18</v>
      </c>
      <c r="F887">
        <v>2070</v>
      </c>
    </row>
    <row r="888" spans="1:6" ht="15.75" customHeight="1">
      <c r="A888" t="s">
        <v>1385</v>
      </c>
      <c r="B888" t="s">
        <v>1386</v>
      </c>
      <c r="C888" t="s">
        <v>136</v>
      </c>
      <c r="D888">
        <v>2800</v>
      </c>
      <c r="E888">
        <v>10</v>
      </c>
      <c r="F888">
        <v>2070</v>
      </c>
    </row>
    <row r="889" spans="1:6" ht="15.75" customHeight="1">
      <c r="A889" t="s">
        <v>1387</v>
      </c>
      <c r="B889" t="s">
        <v>1386</v>
      </c>
      <c r="C889" t="s">
        <v>136</v>
      </c>
      <c r="D889">
        <v>2800</v>
      </c>
      <c r="E889">
        <v>18</v>
      </c>
      <c r="F889">
        <v>2070</v>
      </c>
    </row>
    <row r="890" spans="1:6" ht="15.75" customHeight="1">
      <c r="A890" t="s">
        <v>1388</v>
      </c>
      <c r="B890" t="s">
        <v>1389</v>
      </c>
      <c r="C890" t="s">
        <v>136</v>
      </c>
      <c r="D890">
        <v>2800</v>
      </c>
      <c r="E890">
        <v>16</v>
      </c>
      <c r="F890">
        <v>2070</v>
      </c>
    </row>
    <row r="891" spans="1:6" ht="15.75" customHeight="1">
      <c r="A891" t="s">
        <v>1390</v>
      </c>
      <c r="B891" t="s">
        <v>1389</v>
      </c>
      <c r="C891" t="s">
        <v>136</v>
      </c>
      <c r="D891">
        <v>2800</v>
      </c>
      <c r="E891">
        <v>18</v>
      </c>
      <c r="F891">
        <v>2070</v>
      </c>
    </row>
    <row r="892" spans="1:6" ht="15.75" customHeight="1">
      <c r="A892" t="s">
        <v>1391</v>
      </c>
      <c r="B892" t="s">
        <v>1389</v>
      </c>
      <c r="C892" t="s">
        <v>136</v>
      </c>
      <c r="D892">
        <v>2800</v>
      </c>
      <c r="E892">
        <v>25</v>
      </c>
      <c r="F892">
        <v>2070</v>
      </c>
    </row>
    <row r="893" spans="1:6" ht="15.75" customHeight="1">
      <c r="A893" t="s">
        <v>1392</v>
      </c>
      <c r="B893" t="s">
        <v>1393</v>
      </c>
      <c r="C893" t="s">
        <v>136</v>
      </c>
      <c r="D893">
        <v>2800</v>
      </c>
      <c r="E893">
        <v>10</v>
      </c>
      <c r="F893">
        <v>2070</v>
      </c>
    </row>
    <row r="894" spans="1:6" ht="15.75" customHeight="1">
      <c r="A894" t="s">
        <v>1394</v>
      </c>
      <c r="B894" t="s">
        <v>1393</v>
      </c>
      <c r="C894" t="s">
        <v>136</v>
      </c>
      <c r="D894">
        <v>2800</v>
      </c>
      <c r="E894">
        <v>16</v>
      </c>
      <c r="F894">
        <v>2070</v>
      </c>
    </row>
    <row r="895" spans="1:6" ht="15.75" customHeight="1">
      <c r="A895" t="s">
        <v>1395</v>
      </c>
      <c r="B895" t="s">
        <v>1393</v>
      </c>
      <c r="C895" t="s">
        <v>136</v>
      </c>
      <c r="D895">
        <v>2800</v>
      </c>
      <c r="E895">
        <v>18</v>
      </c>
      <c r="F895">
        <v>2070</v>
      </c>
    </row>
    <row r="896" spans="1:6" ht="15.75" customHeight="1">
      <c r="A896" t="s">
        <v>1396</v>
      </c>
      <c r="B896" t="s">
        <v>1393</v>
      </c>
      <c r="C896" t="s">
        <v>136</v>
      </c>
      <c r="D896">
        <v>2800</v>
      </c>
      <c r="E896">
        <v>25</v>
      </c>
      <c r="F896">
        <v>2070</v>
      </c>
    </row>
    <row r="897" spans="1:6" ht="15.75" customHeight="1">
      <c r="A897" t="s">
        <v>1397</v>
      </c>
      <c r="B897" t="s">
        <v>1398</v>
      </c>
      <c r="C897" t="s">
        <v>136</v>
      </c>
      <c r="D897">
        <v>2800</v>
      </c>
      <c r="E897">
        <v>10</v>
      </c>
      <c r="F897">
        <v>2070</v>
      </c>
    </row>
    <row r="898" spans="1:6" ht="15.75" customHeight="1">
      <c r="A898" t="s">
        <v>1399</v>
      </c>
      <c r="B898" t="s">
        <v>1398</v>
      </c>
      <c r="C898" t="s">
        <v>136</v>
      </c>
      <c r="D898">
        <v>2800</v>
      </c>
      <c r="E898">
        <v>18</v>
      </c>
      <c r="F898">
        <v>2070</v>
      </c>
    </row>
    <row r="899" spans="1:6" ht="15.75" customHeight="1">
      <c r="A899" t="s">
        <v>5604</v>
      </c>
      <c r="B899" t="s">
        <v>1398</v>
      </c>
      <c r="C899" t="s">
        <v>136</v>
      </c>
      <c r="D899">
        <v>2800</v>
      </c>
      <c r="E899">
        <v>19</v>
      </c>
      <c r="F899">
        <v>2070</v>
      </c>
    </row>
    <row r="900" spans="1:6" ht="15.75" customHeight="1">
      <c r="A900" t="s">
        <v>1400</v>
      </c>
      <c r="B900" t="s">
        <v>1401</v>
      </c>
      <c r="C900" t="s">
        <v>136</v>
      </c>
      <c r="D900">
        <v>2800</v>
      </c>
      <c r="E900">
        <v>18</v>
      </c>
      <c r="F900">
        <v>2070</v>
      </c>
    </row>
    <row r="901" spans="1:6" ht="15.75" customHeight="1">
      <c r="A901" t="s">
        <v>1402</v>
      </c>
      <c r="B901" t="s">
        <v>1403</v>
      </c>
      <c r="C901" t="s">
        <v>136</v>
      </c>
      <c r="D901">
        <v>2800</v>
      </c>
      <c r="E901">
        <v>10</v>
      </c>
      <c r="F901">
        <v>2070</v>
      </c>
    </row>
    <row r="902" spans="1:6" ht="15.75" customHeight="1">
      <c r="A902" t="s">
        <v>1404</v>
      </c>
      <c r="B902" t="s">
        <v>1403</v>
      </c>
      <c r="C902" t="s">
        <v>136</v>
      </c>
      <c r="D902">
        <v>2800</v>
      </c>
      <c r="E902">
        <v>25</v>
      </c>
      <c r="F902">
        <v>2070</v>
      </c>
    </row>
    <row r="903" spans="1:6" ht="15.75" customHeight="1">
      <c r="A903" t="s">
        <v>1405</v>
      </c>
      <c r="B903" t="s">
        <v>1406</v>
      </c>
      <c r="C903" t="s">
        <v>136</v>
      </c>
      <c r="D903">
        <v>2800</v>
      </c>
      <c r="E903">
        <v>10</v>
      </c>
      <c r="F903">
        <v>2070</v>
      </c>
    </row>
    <row r="904" spans="1:6" ht="15.75" customHeight="1">
      <c r="A904" t="s">
        <v>1407</v>
      </c>
      <c r="B904" t="s">
        <v>1406</v>
      </c>
      <c r="C904" t="s">
        <v>136</v>
      </c>
      <c r="D904">
        <v>2800</v>
      </c>
      <c r="E904">
        <v>18</v>
      </c>
      <c r="F904">
        <v>2070</v>
      </c>
    </row>
    <row r="905" spans="1:6" ht="15.75" customHeight="1">
      <c r="A905" t="s">
        <v>5408</v>
      </c>
      <c r="B905" t="s">
        <v>1406</v>
      </c>
      <c r="C905" t="s">
        <v>136</v>
      </c>
      <c r="D905">
        <v>2800</v>
      </c>
      <c r="E905">
        <v>19</v>
      </c>
      <c r="F905">
        <v>2070</v>
      </c>
    </row>
    <row r="906" spans="1:6" ht="15.75" customHeight="1">
      <c r="A906" t="s">
        <v>1408</v>
      </c>
      <c r="B906" t="s">
        <v>1409</v>
      </c>
      <c r="C906" t="s">
        <v>143</v>
      </c>
      <c r="D906">
        <v>2800</v>
      </c>
      <c r="E906">
        <v>18</v>
      </c>
      <c r="F906">
        <v>2070</v>
      </c>
    </row>
    <row r="907" spans="1:6" ht="15.75" customHeight="1">
      <c r="A907" t="s">
        <v>1410</v>
      </c>
      <c r="B907" t="s">
        <v>1411</v>
      </c>
      <c r="C907" t="s">
        <v>136</v>
      </c>
      <c r="D907">
        <v>2800</v>
      </c>
      <c r="E907">
        <v>10</v>
      </c>
      <c r="F907">
        <v>2070</v>
      </c>
    </row>
    <row r="908" spans="1:6" ht="15.75" customHeight="1">
      <c r="A908" t="s">
        <v>1412</v>
      </c>
      <c r="B908" t="s">
        <v>1411</v>
      </c>
      <c r="C908" t="s">
        <v>136</v>
      </c>
      <c r="D908">
        <v>2800</v>
      </c>
      <c r="E908">
        <v>16</v>
      </c>
      <c r="F908">
        <v>2070</v>
      </c>
    </row>
    <row r="909" spans="1:6" ht="15.75" customHeight="1">
      <c r="A909" t="s">
        <v>1413</v>
      </c>
      <c r="B909" t="s">
        <v>1411</v>
      </c>
      <c r="C909" t="s">
        <v>136</v>
      </c>
      <c r="D909">
        <v>2800</v>
      </c>
      <c r="E909">
        <v>18</v>
      </c>
      <c r="F909">
        <v>2070</v>
      </c>
    </row>
    <row r="910" spans="1:6" ht="15.75" customHeight="1">
      <c r="A910" t="s">
        <v>1414</v>
      </c>
      <c r="B910" t="s">
        <v>1411</v>
      </c>
      <c r="C910" t="s">
        <v>136</v>
      </c>
      <c r="D910">
        <v>2800</v>
      </c>
      <c r="E910">
        <v>25</v>
      </c>
      <c r="F910">
        <v>2070</v>
      </c>
    </row>
    <row r="911" spans="1:6" ht="15.75" customHeight="1">
      <c r="A911" t="s">
        <v>1415</v>
      </c>
      <c r="B911" t="s">
        <v>1416</v>
      </c>
      <c r="C911" t="s">
        <v>136</v>
      </c>
      <c r="D911">
        <v>2800</v>
      </c>
      <c r="E911">
        <v>16</v>
      </c>
      <c r="F911">
        <v>2070</v>
      </c>
    </row>
    <row r="912" spans="1:6" ht="15.75" customHeight="1">
      <c r="A912" t="s">
        <v>1417</v>
      </c>
      <c r="B912" t="s">
        <v>1416</v>
      </c>
      <c r="C912" t="s">
        <v>136</v>
      </c>
      <c r="D912">
        <v>2800</v>
      </c>
      <c r="E912">
        <v>18</v>
      </c>
      <c r="F912">
        <v>2070</v>
      </c>
    </row>
    <row r="913" spans="1:6" ht="15.75" customHeight="1">
      <c r="A913" t="s">
        <v>1418</v>
      </c>
      <c r="B913" t="s">
        <v>1416</v>
      </c>
      <c r="C913" t="s">
        <v>136</v>
      </c>
      <c r="D913">
        <v>2800</v>
      </c>
      <c r="E913">
        <v>25</v>
      </c>
      <c r="F913">
        <v>2070</v>
      </c>
    </row>
    <row r="914" spans="1:6" ht="15.75" customHeight="1">
      <c r="A914" t="s">
        <v>5605</v>
      </c>
      <c r="B914" t="s">
        <v>1416</v>
      </c>
      <c r="C914" t="s">
        <v>136</v>
      </c>
      <c r="D914">
        <v>2800</v>
      </c>
      <c r="E914">
        <v>16</v>
      </c>
      <c r="F914">
        <v>2070</v>
      </c>
    </row>
    <row r="915" spans="1:6" ht="15.75" customHeight="1">
      <c r="A915" t="s">
        <v>1419</v>
      </c>
      <c r="B915" t="s">
        <v>1416</v>
      </c>
      <c r="C915" t="s">
        <v>136</v>
      </c>
      <c r="D915">
        <v>2800</v>
      </c>
      <c r="E915">
        <v>16</v>
      </c>
      <c r="F915">
        <v>2070</v>
      </c>
    </row>
    <row r="916" spans="1:6" ht="15.75" customHeight="1">
      <c r="A916" t="s">
        <v>1420</v>
      </c>
      <c r="B916" t="s">
        <v>1421</v>
      </c>
      <c r="C916" t="s">
        <v>136</v>
      </c>
      <c r="D916">
        <v>2800</v>
      </c>
      <c r="E916">
        <v>18</v>
      </c>
      <c r="F916">
        <v>2070</v>
      </c>
    </row>
    <row r="917" spans="1:6" ht="15.75" customHeight="1">
      <c r="A917" t="s">
        <v>5409</v>
      </c>
      <c r="C917" t="s">
        <v>136</v>
      </c>
      <c r="D917">
        <v>2800</v>
      </c>
      <c r="E917">
        <v>10</v>
      </c>
      <c r="F917">
        <v>2070</v>
      </c>
    </row>
    <row r="918" spans="1:6" ht="15.75" customHeight="1">
      <c r="A918" t="s">
        <v>5411</v>
      </c>
      <c r="B918" t="s">
        <v>5410</v>
      </c>
      <c r="C918" t="s">
        <v>136</v>
      </c>
      <c r="D918">
        <v>2800</v>
      </c>
      <c r="E918">
        <v>19</v>
      </c>
      <c r="F918">
        <v>2070</v>
      </c>
    </row>
    <row r="919" spans="1:6" ht="15.75" customHeight="1">
      <c r="A919" t="s">
        <v>1422</v>
      </c>
      <c r="B919" t="s">
        <v>1423</v>
      </c>
      <c r="C919" t="s">
        <v>143</v>
      </c>
      <c r="D919">
        <v>2800</v>
      </c>
      <c r="E919">
        <v>10</v>
      </c>
      <c r="F919">
        <v>2070</v>
      </c>
    </row>
    <row r="920" spans="1:6" ht="15.75" customHeight="1">
      <c r="A920" t="s">
        <v>1424</v>
      </c>
      <c r="B920" t="s">
        <v>1423</v>
      </c>
      <c r="C920" t="s">
        <v>143</v>
      </c>
      <c r="D920">
        <v>2800</v>
      </c>
      <c r="E920">
        <v>18.600000000000001</v>
      </c>
      <c r="F920">
        <v>2070</v>
      </c>
    </row>
    <row r="921" spans="1:6" ht="15.75" customHeight="1">
      <c r="A921" t="s">
        <v>1425</v>
      </c>
      <c r="B921" t="s">
        <v>1423</v>
      </c>
      <c r="C921" t="s">
        <v>143</v>
      </c>
      <c r="D921">
        <v>2800</v>
      </c>
      <c r="E921">
        <v>25</v>
      </c>
      <c r="F921">
        <v>2070</v>
      </c>
    </row>
    <row r="922" spans="1:6" ht="15.75" customHeight="1">
      <c r="A922" t="s">
        <v>1426</v>
      </c>
      <c r="B922" t="s">
        <v>1427</v>
      </c>
      <c r="C922" t="s">
        <v>136</v>
      </c>
      <c r="D922">
        <v>2800</v>
      </c>
      <c r="E922">
        <v>18</v>
      </c>
      <c r="F922">
        <v>2070</v>
      </c>
    </row>
    <row r="923" spans="1:6" ht="15.75" customHeight="1">
      <c r="A923" t="s">
        <v>1428</v>
      </c>
      <c r="B923" t="s">
        <v>1429</v>
      </c>
      <c r="C923" t="s">
        <v>136</v>
      </c>
      <c r="D923">
        <v>2800</v>
      </c>
      <c r="E923">
        <v>10</v>
      </c>
      <c r="F923">
        <v>2070</v>
      </c>
    </row>
    <row r="924" spans="1:6" ht="15.75" customHeight="1">
      <c r="A924" t="s">
        <v>1430</v>
      </c>
      <c r="B924" t="s">
        <v>1429</v>
      </c>
      <c r="C924" t="s">
        <v>136</v>
      </c>
      <c r="D924">
        <v>2800</v>
      </c>
      <c r="E924">
        <v>18</v>
      </c>
      <c r="F924">
        <v>2070</v>
      </c>
    </row>
    <row r="925" spans="1:6" ht="15.75" customHeight="1">
      <c r="A925" t="s">
        <v>5412</v>
      </c>
      <c r="B925" t="s">
        <v>1429</v>
      </c>
      <c r="C925" t="s">
        <v>136</v>
      </c>
      <c r="D925">
        <v>2800</v>
      </c>
      <c r="E925">
        <v>19</v>
      </c>
      <c r="F925">
        <v>2070</v>
      </c>
    </row>
    <row r="926" spans="1:6" ht="15.75" customHeight="1">
      <c r="A926" t="s">
        <v>1431</v>
      </c>
      <c r="B926" t="s">
        <v>1432</v>
      </c>
      <c r="C926" t="s">
        <v>143</v>
      </c>
      <c r="D926">
        <v>2800</v>
      </c>
      <c r="E926">
        <v>10</v>
      </c>
      <c r="F926">
        <v>2070</v>
      </c>
    </row>
    <row r="927" spans="1:6" ht="15.75" customHeight="1">
      <c r="A927" t="s">
        <v>1433</v>
      </c>
      <c r="B927" t="s">
        <v>1432</v>
      </c>
      <c r="C927" t="s">
        <v>143</v>
      </c>
      <c r="D927">
        <v>2800</v>
      </c>
      <c r="E927">
        <v>16</v>
      </c>
      <c r="F927">
        <v>2070</v>
      </c>
    </row>
    <row r="928" spans="1:6" ht="15.75" customHeight="1">
      <c r="A928" t="s">
        <v>1434</v>
      </c>
      <c r="B928" t="s">
        <v>1435</v>
      </c>
      <c r="C928" t="s">
        <v>143</v>
      </c>
      <c r="D928">
        <v>2800</v>
      </c>
      <c r="E928">
        <v>18</v>
      </c>
      <c r="F928">
        <v>2070</v>
      </c>
    </row>
    <row r="929" spans="1:6" ht="15.75" customHeight="1">
      <c r="A929" t="s">
        <v>1436</v>
      </c>
      <c r="B929" t="s">
        <v>1437</v>
      </c>
      <c r="C929" t="s">
        <v>136</v>
      </c>
      <c r="D929">
        <v>2800</v>
      </c>
      <c r="E929">
        <v>16</v>
      </c>
      <c r="F929">
        <v>2070</v>
      </c>
    </row>
    <row r="930" spans="1:6" ht="15.75" customHeight="1">
      <c r="A930" t="s">
        <v>1438</v>
      </c>
      <c r="B930" t="s">
        <v>1437</v>
      </c>
      <c r="C930" t="s">
        <v>136</v>
      </c>
      <c r="D930">
        <v>2800</v>
      </c>
      <c r="E930">
        <v>18</v>
      </c>
      <c r="F930">
        <v>2070</v>
      </c>
    </row>
    <row r="931" spans="1:6" ht="15.75" customHeight="1">
      <c r="A931" t="s">
        <v>1439</v>
      </c>
      <c r="B931" t="s">
        <v>1437</v>
      </c>
      <c r="C931" t="s">
        <v>136</v>
      </c>
      <c r="D931">
        <v>2800</v>
      </c>
      <c r="E931">
        <v>25</v>
      </c>
      <c r="F931">
        <v>2070</v>
      </c>
    </row>
    <row r="932" spans="1:6" ht="15.75" customHeight="1">
      <c r="A932" t="s">
        <v>1440</v>
      </c>
      <c r="B932" t="s">
        <v>1441</v>
      </c>
      <c r="C932" t="s">
        <v>136</v>
      </c>
      <c r="D932">
        <v>2800</v>
      </c>
      <c r="E932">
        <v>18</v>
      </c>
      <c r="F932">
        <v>2070</v>
      </c>
    </row>
    <row r="933" spans="1:6" ht="15.75" customHeight="1">
      <c r="A933" t="s">
        <v>1442</v>
      </c>
      <c r="B933" t="s">
        <v>1443</v>
      </c>
      <c r="C933" t="s">
        <v>143</v>
      </c>
      <c r="D933">
        <v>2800</v>
      </c>
      <c r="E933">
        <v>10</v>
      </c>
      <c r="F933">
        <v>2070</v>
      </c>
    </row>
    <row r="934" spans="1:6" ht="15.75" customHeight="1">
      <c r="A934" t="s">
        <v>1444</v>
      </c>
      <c r="B934" t="s">
        <v>1443</v>
      </c>
      <c r="C934" t="s">
        <v>143</v>
      </c>
      <c r="D934">
        <v>2800</v>
      </c>
      <c r="E934">
        <v>18.600000000000001</v>
      </c>
      <c r="F934">
        <v>2070</v>
      </c>
    </row>
    <row r="935" spans="1:6" ht="15.75" customHeight="1">
      <c r="A935" t="s">
        <v>1445</v>
      </c>
      <c r="B935" t="s">
        <v>1443</v>
      </c>
      <c r="C935" t="s">
        <v>143</v>
      </c>
      <c r="D935">
        <v>2800</v>
      </c>
      <c r="E935">
        <v>25</v>
      </c>
      <c r="F935">
        <v>2070</v>
      </c>
    </row>
    <row r="936" spans="1:6" ht="15.75" customHeight="1">
      <c r="A936" t="s">
        <v>1446</v>
      </c>
      <c r="B936" t="s">
        <v>1447</v>
      </c>
      <c r="C936" t="s">
        <v>136</v>
      </c>
      <c r="D936">
        <v>2800</v>
      </c>
      <c r="E936">
        <v>16</v>
      </c>
      <c r="F936">
        <v>2070</v>
      </c>
    </row>
    <row r="937" spans="1:6" ht="15.75" customHeight="1">
      <c r="A937" t="s">
        <v>1448</v>
      </c>
      <c r="B937" t="s">
        <v>1447</v>
      </c>
      <c r="C937" t="s">
        <v>136</v>
      </c>
      <c r="D937">
        <v>2800</v>
      </c>
      <c r="E937">
        <v>18</v>
      </c>
      <c r="F937">
        <v>2070</v>
      </c>
    </row>
    <row r="938" spans="1:6" ht="15.75" customHeight="1">
      <c r="A938" t="s">
        <v>1449</v>
      </c>
      <c r="B938" t="s">
        <v>1447</v>
      </c>
      <c r="C938" t="s">
        <v>136</v>
      </c>
      <c r="D938">
        <v>2800</v>
      </c>
      <c r="E938">
        <v>25</v>
      </c>
      <c r="F938">
        <v>2070</v>
      </c>
    </row>
    <row r="939" spans="1:6" ht="15.75" customHeight="1">
      <c r="A939" t="s">
        <v>5606</v>
      </c>
      <c r="B939" t="s">
        <v>5607</v>
      </c>
      <c r="C939" t="s">
        <v>136</v>
      </c>
      <c r="D939">
        <v>2800</v>
      </c>
      <c r="E939">
        <v>19</v>
      </c>
      <c r="F939">
        <v>2070</v>
      </c>
    </row>
    <row r="940" spans="1:6" ht="15.75" customHeight="1">
      <c r="A940" t="s">
        <v>1450</v>
      </c>
      <c r="B940" t="s">
        <v>1451</v>
      </c>
      <c r="C940" t="s">
        <v>143</v>
      </c>
      <c r="D940">
        <v>2800</v>
      </c>
      <c r="E940">
        <v>18.600000000000001</v>
      </c>
      <c r="F940">
        <v>2070</v>
      </c>
    </row>
    <row r="941" spans="1:6" ht="15.75" customHeight="1">
      <c r="A941" t="s">
        <v>5413</v>
      </c>
      <c r="B941" t="s">
        <v>1451</v>
      </c>
      <c r="C941" t="s">
        <v>143</v>
      </c>
      <c r="D941">
        <v>2800</v>
      </c>
      <c r="E941">
        <v>19.600000000000001</v>
      </c>
      <c r="F941">
        <v>2070</v>
      </c>
    </row>
    <row r="942" spans="1:6" ht="15.75" customHeight="1">
      <c r="A942" t="s">
        <v>1452</v>
      </c>
      <c r="B942" t="s">
        <v>1429</v>
      </c>
      <c r="C942" t="s">
        <v>136</v>
      </c>
      <c r="D942">
        <v>2800</v>
      </c>
      <c r="E942">
        <v>18</v>
      </c>
      <c r="F942">
        <v>2070</v>
      </c>
    </row>
    <row r="943" spans="1:6" ht="15.75" customHeight="1">
      <c r="A943" t="s">
        <v>1453</v>
      </c>
      <c r="B943" t="s">
        <v>1454</v>
      </c>
      <c r="C943" t="s">
        <v>136</v>
      </c>
      <c r="D943">
        <v>2800</v>
      </c>
      <c r="E943">
        <v>18.100000000000001</v>
      </c>
      <c r="F943">
        <v>2070</v>
      </c>
    </row>
    <row r="944" spans="1:6" ht="15.75" customHeight="1">
      <c r="A944" t="s">
        <v>1455</v>
      </c>
      <c r="B944" t="s">
        <v>1456</v>
      </c>
      <c r="C944" t="s">
        <v>136</v>
      </c>
      <c r="D944">
        <v>2800</v>
      </c>
      <c r="E944">
        <v>18.5</v>
      </c>
      <c r="F944">
        <v>2070</v>
      </c>
    </row>
    <row r="945" spans="1:6" ht="15.75" customHeight="1">
      <c r="A945" t="s">
        <v>1457</v>
      </c>
      <c r="B945" t="s">
        <v>1458</v>
      </c>
      <c r="C945" t="s">
        <v>136</v>
      </c>
      <c r="D945">
        <v>2800</v>
      </c>
      <c r="E945">
        <v>18.100000000000001</v>
      </c>
      <c r="F945">
        <v>2070</v>
      </c>
    </row>
    <row r="946" spans="1:6" ht="15.75" customHeight="1">
      <c r="A946" t="s">
        <v>1459</v>
      </c>
      <c r="B946" t="s">
        <v>1460</v>
      </c>
      <c r="C946" t="s">
        <v>136</v>
      </c>
      <c r="D946">
        <v>2800</v>
      </c>
      <c r="E946">
        <v>18.5</v>
      </c>
      <c r="F946">
        <v>2070</v>
      </c>
    </row>
    <row r="947" spans="1:6" ht="15.75" customHeight="1">
      <c r="A947" t="s">
        <v>1461</v>
      </c>
      <c r="B947" t="s">
        <v>1462</v>
      </c>
      <c r="C947" t="s">
        <v>136</v>
      </c>
      <c r="D947">
        <v>2800</v>
      </c>
      <c r="E947">
        <v>18.5</v>
      </c>
      <c r="F947">
        <v>2070</v>
      </c>
    </row>
    <row r="948" spans="1:6" ht="15.75" customHeight="1">
      <c r="A948" t="s">
        <v>1463</v>
      </c>
      <c r="B948" t="s">
        <v>1464</v>
      </c>
      <c r="C948" t="s">
        <v>136</v>
      </c>
      <c r="D948">
        <v>2800</v>
      </c>
      <c r="E948">
        <v>18.100000000000001</v>
      </c>
      <c r="F948">
        <v>2070</v>
      </c>
    </row>
    <row r="949" spans="1:6" ht="15.75" customHeight="1">
      <c r="A949" t="s">
        <v>1465</v>
      </c>
      <c r="B949" t="s">
        <v>1466</v>
      </c>
      <c r="C949" t="s">
        <v>136</v>
      </c>
      <c r="D949">
        <v>2800</v>
      </c>
      <c r="E949">
        <v>10</v>
      </c>
      <c r="F949">
        <v>2070</v>
      </c>
    </row>
    <row r="950" spans="1:6" ht="15.75" customHeight="1">
      <c r="A950" t="s">
        <v>1467</v>
      </c>
      <c r="B950" t="s">
        <v>1466</v>
      </c>
      <c r="C950" t="s">
        <v>136</v>
      </c>
      <c r="D950">
        <v>2800</v>
      </c>
      <c r="E950">
        <v>16</v>
      </c>
      <c r="F950">
        <v>2070</v>
      </c>
    </row>
    <row r="951" spans="1:6" ht="15.75" customHeight="1">
      <c r="A951" t="s">
        <v>1468</v>
      </c>
      <c r="B951" t="s">
        <v>1466</v>
      </c>
      <c r="C951" t="s">
        <v>136</v>
      </c>
      <c r="D951">
        <v>2800</v>
      </c>
      <c r="E951">
        <v>18</v>
      </c>
      <c r="F951">
        <v>2070</v>
      </c>
    </row>
    <row r="952" spans="1:6" ht="15.75" customHeight="1">
      <c r="A952" t="s">
        <v>1469</v>
      </c>
      <c r="B952" t="s">
        <v>1466</v>
      </c>
      <c r="C952" t="s">
        <v>136</v>
      </c>
      <c r="D952">
        <v>2800</v>
      </c>
      <c r="E952">
        <v>22</v>
      </c>
      <c r="F952">
        <v>2070</v>
      </c>
    </row>
    <row r="953" spans="1:6" ht="15.75" customHeight="1">
      <c r="A953" t="s">
        <v>1470</v>
      </c>
      <c r="B953" t="s">
        <v>1466</v>
      </c>
      <c r="C953" t="s">
        <v>136</v>
      </c>
      <c r="D953">
        <v>2800</v>
      </c>
      <c r="E953">
        <v>25</v>
      </c>
      <c r="F953">
        <v>2070</v>
      </c>
    </row>
    <row r="954" spans="1:6" ht="15.75" customHeight="1">
      <c r="A954" t="s">
        <v>1471</v>
      </c>
      <c r="B954" t="s">
        <v>1466</v>
      </c>
      <c r="C954" t="s">
        <v>136</v>
      </c>
      <c r="D954">
        <v>3500</v>
      </c>
      <c r="E954">
        <v>16</v>
      </c>
      <c r="F954">
        <v>2070</v>
      </c>
    </row>
    <row r="955" spans="1:6" ht="15.75" customHeight="1">
      <c r="A955" t="s">
        <v>1472</v>
      </c>
      <c r="B955" t="s">
        <v>1466</v>
      </c>
      <c r="C955" t="s">
        <v>136</v>
      </c>
      <c r="D955">
        <v>2800</v>
      </c>
      <c r="E955">
        <v>38</v>
      </c>
      <c r="F955">
        <v>2070</v>
      </c>
    </row>
    <row r="956" spans="1:6" ht="15.75" customHeight="1">
      <c r="A956" t="s">
        <v>5608</v>
      </c>
      <c r="B956" t="s">
        <v>1466</v>
      </c>
      <c r="C956" t="s">
        <v>136</v>
      </c>
      <c r="D956">
        <v>2800</v>
      </c>
      <c r="E956">
        <v>16</v>
      </c>
      <c r="F956">
        <v>2070</v>
      </c>
    </row>
    <row r="957" spans="1:6" ht="15.75" customHeight="1">
      <c r="A957" t="s">
        <v>5609</v>
      </c>
      <c r="B957" t="s">
        <v>1466</v>
      </c>
      <c r="C957" t="s">
        <v>136</v>
      </c>
      <c r="D957">
        <v>2800</v>
      </c>
      <c r="E957">
        <v>18</v>
      </c>
      <c r="F957">
        <v>2070</v>
      </c>
    </row>
    <row r="958" spans="1:6" ht="15.75" customHeight="1">
      <c r="A958" t="s">
        <v>1473</v>
      </c>
      <c r="B958" t="s">
        <v>1466</v>
      </c>
      <c r="C958" t="s">
        <v>136</v>
      </c>
      <c r="D958">
        <v>2800</v>
      </c>
      <c r="E958">
        <v>16</v>
      </c>
      <c r="F958">
        <v>2070</v>
      </c>
    </row>
    <row r="959" spans="1:6" ht="15.75" customHeight="1">
      <c r="A959" t="s">
        <v>1474</v>
      </c>
      <c r="B959" t="s">
        <v>1466</v>
      </c>
      <c r="C959" t="s">
        <v>136</v>
      </c>
      <c r="D959">
        <v>2800</v>
      </c>
      <c r="E959">
        <v>18</v>
      </c>
      <c r="F959">
        <v>2070</v>
      </c>
    </row>
    <row r="960" spans="1:6" ht="15.75" customHeight="1">
      <c r="A960" t="s">
        <v>1475</v>
      </c>
      <c r="B960" t="s">
        <v>1466</v>
      </c>
      <c r="C960" t="s">
        <v>136</v>
      </c>
      <c r="D960">
        <v>2800</v>
      </c>
      <c r="E960">
        <v>16</v>
      </c>
      <c r="F960">
        <v>2070</v>
      </c>
    </row>
    <row r="961" spans="1:6" ht="15.75" customHeight="1">
      <c r="A961" t="s">
        <v>1476</v>
      </c>
      <c r="B961" t="s">
        <v>1477</v>
      </c>
      <c r="C961" t="s">
        <v>136</v>
      </c>
      <c r="D961">
        <v>2800</v>
      </c>
      <c r="E961">
        <v>18</v>
      </c>
      <c r="F961">
        <v>2070</v>
      </c>
    </row>
    <row r="962" spans="1:6" ht="15.75" customHeight="1">
      <c r="A962" t="s">
        <v>1478</v>
      </c>
      <c r="B962" t="s">
        <v>1479</v>
      </c>
      <c r="C962" t="s">
        <v>136</v>
      </c>
      <c r="D962">
        <v>2800</v>
      </c>
      <c r="E962">
        <v>10</v>
      </c>
      <c r="F962">
        <v>2070</v>
      </c>
    </row>
    <row r="963" spans="1:6" ht="15.75" customHeight="1">
      <c r="A963" t="s">
        <v>1480</v>
      </c>
      <c r="B963" t="s">
        <v>1479</v>
      </c>
      <c r="C963" t="s">
        <v>136</v>
      </c>
      <c r="D963">
        <v>2800</v>
      </c>
      <c r="E963">
        <v>18</v>
      </c>
      <c r="F963">
        <v>2070</v>
      </c>
    </row>
    <row r="964" spans="1:6" ht="15.75" customHeight="1">
      <c r="A964" t="s">
        <v>5414</v>
      </c>
      <c r="B964" t="s">
        <v>1479</v>
      </c>
      <c r="C964" t="s">
        <v>136</v>
      </c>
      <c r="D964">
        <v>2800</v>
      </c>
      <c r="E964">
        <v>19</v>
      </c>
      <c r="F964">
        <v>2070</v>
      </c>
    </row>
    <row r="965" spans="1:6" ht="15.75" customHeight="1">
      <c r="A965" t="s">
        <v>1481</v>
      </c>
      <c r="B965" t="s">
        <v>1482</v>
      </c>
      <c r="C965" t="s">
        <v>143</v>
      </c>
      <c r="D965">
        <v>2800</v>
      </c>
      <c r="E965">
        <v>10</v>
      </c>
      <c r="F965">
        <v>2070</v>
      </c>
    </row>
    <row r="966" spans="1:6" ht="15.75" customHeight="1">
      <c r="A966" t="s">
        <v>1483</v>
      </c>
      <c r="B966" t="s">
        <v>1484</v>
      </c>
      <c r="C966" t="s">
        <v>143</v>
      </c>
      <c r="D966">
        <v>2800</v>
      </c>
      <c r="E966">
        <v>18</v>
      </c>
      <c r="F966">
        <v>2070</v>
      </c>
    </row>
    <row r="967" spans="1:6" ht="15.75" customHeight="1">
      <c r="A967" t="s">
        <v>1485</v>
      </c>
      <c r="B967" t="s">
        <v>1484</v>
      </c>
      <c r="C967" t="s">
        <v>143</v>
      </c>
      <c r="D967">
        <v>2800</v>
      </c>
      <c r="E967">
        <v>25</v>
      </c>
      <c r="F967">
        <v>2070</v>
      </c>
    </row>
    <row r="968" spans="1:6" ht="15.75" customHeight="1">
      <c r="A968" t="s">
        <v>1486</v>
      </c>
      <c r="B968" t="s">
        <v>1487</v>
      </c>
      <c r="C968" t="s">
        <v>136</v>
      </c>
      <c r="D968">
        <v>2800</v>
      </c>
      <c r="E968">
        <v>18</v>
      </c>
      <c r="F968">
        <v>2070</v>
      </c>
    </row>
    <row r="969" spans="1:6" ht="15.75" customHeight="1">
      <c r="A969" t="s">
        <v>1488</v>
      </c>
      <c r="B969" t="s">
        <v>1489</v>
      </c>
      <c r="C969" t="s">
        <v>136</v>
      </c>
      <c r="D969">
        <v>2800</v>
      </c>
      <c r="E969">
        <v>18</v>
      </c>
      <c r="F969">
        <v>2070</v>
      </c>
    </row>
    <row r="970" spans="1:6" ht="15.75" customHeight="1">
      <c r="A970" t="s">
        <v>1490</v>
      </c>
      <c r="B970" t="s">
        <v>1491</v>
      </c>
      <c r="C970" t="s">
        <v>143</v>
      </c>
      <c r="D970">
        <v>2800</v>
      </c>
      <c r="E970">
        <v>10</v>
      </c>
      <c r="F970">
        <v>2070</v>
      </c>
    </row>
    <row r="971" spans="1:6" ht="15.75" customHeight="1">
      <c r="A971" t="s">
        <v>1492</v>
      </c>
      <c r="B971" t="s">
        <v>1491</v>
      </c>
      <c r="C971" t="s">
        <v>143</v>
      </c>
      <c r="D971">
        <v>2800</v>
      </c>
      <c r="E971">
        <v>18.600000000000001</v>
      </c>
      <c r="F971">
        <v>2070</v>
      </c>
    </row>
    <row r="972" spans="1:6" ht="15.75" customHeight="1">
      <c r="A972" t="s">
        <v>1493</v>
      </c>
      <c r="B972" t="s">
        <v>1491</v>
      </c>
      <c r="C972" t="s">
        <v>143</v>
      </c>
      <c r="D972">
        <v>2800</v>
      </c>
      <c r="E972">
        <v>25</v>
      </c>
      <c r="F972">
        <v>2070</v>
      </c>
    </row>
    <row r="973" spans="1:6" ht="15.75" customHeight="1">
      <c r="A973" t="s">
        <v>1494</v>
      </c>
      <c r="B973" t="s">
        <v>1491</v>
      </c>
      <c r="C973" t="s">
        <v>143</v>
      </c>
      <c r="D973">
        <v>2800</v>
      </c>
      <c r="E973">
        <v>38</v>
      </c>
      <c r="F973">
        <v>2070</v>
      </c>
    </row>
    <row r="974" spans="1:6" ht="15.75" customHeight="1">
      <c r="A974" t="s">
        <v>1495</v>
      </c>
      <c r="B974" t="s">
        <v>1496</v>
      </c>
      <c r="C974" t="s">
        <v>136</v>
      </c>
      <c r="D974">
        <v>2800</v>
      </c>
      <c r="E974">
        <v>18</v>
      </c>
      <c r="F974">
        <v>2070</v>
      </c>
    </row>
    <row r="975" spans="1:6" ht="15.75" customHeight="1">
      <c r="A975" t="s">
        <v>5610</v>
      </c>
      <c r="B975" t="s">
        <v>5611</v>
      </c>
      <c r="C975" t="s">
        <v>136</v>
      </c>
      <c r="D975">
        <v>2800</v>
      </c>
      <c r="E975">
        <v>19</v>
      </c>
      <c r="F975">
        <v>2070</v>
      </c>
    </row>
    <row r="976" spans="1:6" ht="15.75" customHeight="1">
      <c r="A976" t="s">
        <v>1497</v>
      </c>
      <c r="B976" t="s">
        <v>1498</v>
      </c>
      <c r="C976" t="s">
        <v>136</v>
      </c>
      <c r="D976">
        <v>2800</v>
      </c>
      <c r="E976">
        <v>10</v>
      </c>
      <c r="F976">
        <v>2070</v>
      </c>
    </row>
    <row r="977" spans="1:6" ht="15.75" customHeight="1">
      <c r="A977" t="s">
        <v>1499</v>
      </c>
      <c r="B977" t="s">
        <v>1498</v>
      </c>
      <c r="C977" t="s">
        <v>136</v>
      </c>
      <c r="D977">
        <v>2800</v>
      </c>
      <c r="E977">
        <v>18</v>
      </c>
      <c r="F977">
        <v>2070</v>
      </c>
    </row>
    <row r="978" spans="1:6" ht="15.75" customHeight="1">
      <c r="A978" t="s">
        <v>1500</v>
      </c>
      <c r="B978" t="s">
        <v>1498</v>
      </c>
      <c r="C978" t="s">
        <v>136</v>
      </c>
      <c r="D978">
        <v>2800</v>
      </c>
      <c r="E978">
        <v>25</v>
      </c>
      <c r="F978">
        <v>2070</v>
      </c>
    </row>
    <row r="979" spans="1:6" ht="15.75" customHeight="1">
      <c r="A979" t="s">
        <v>1501</v>
      </c>
      <c r="B979" t="s">
        <v>1502</v>
      </c>
      <c r="C979" t="s">
        <v>136</v>
      </c>
      <c r="D979">
        <v>2800</v>
      </c>
      <c r="E979">
        <v>18</v>
      </c>
      <c r="F979">
        <v>2070</v>
      </c>
    </row>
    <row r="980" spans="1:6" ht="15.75" customHeight="1">
      <c r="A980" t="s">
        <v>5415</v>
      </c>
      <c r="B980" t="s">
        <v>1502</v>
      </c>
      <c r="C980" t="s">
        <v>136</v>
      </c>
      <c r="D980">
        <v>2800</v>
      </c>
      <c r="E980">
        <v>19</v>
      </c>
      <c r="F980">
        <v>2070</v>
      </c>
    </row>
    <row r="981" spans="1:6" ht="15.75" customHeight="1">
      <c r="A981" t="s">
        <v>1503</v>
      </c>
      <c r="B981" t="s">
        <v>1504</v>
      </c>
      <c r="C981" t="s">
        <v>136</v>
      </c>
      <c r="D981">
        <v>2800</v>
      </c>
      <c r="E981">
        <v>10</v>
      </c>
      <c r="F981">
        <v>2070</v>
      </c>
    </row>
    <row r="982" spans="1:6" ht="15.75" customHeight="1">
      <c r="A982" t="s">
        <v>1505</v>
      </c>
      <c r="B982" t="s">
        <v>1504</v>
      </c>
      <c r="C982" t="s">
        <v>136</v>
      </c>
      <c r="D982">
        <v>2800</v>
      </c>
      <c r="E982">
        <v>18</v>
      </c>
      <c r="F982">
        <v>2070</v>
      </c>
    </row>
    <row r="983" spans="1:6" ht="15.75" customHeight="1">
      <c r="A983" t="s">
        <v>5612</v>
      </c>
      <c r="B983" t="s">
        <v>1504</v>
      </c>
      <c r="C983" t="s">
        <v>136</v>
      </c>
      <c r="D983">
        <v>2800</v>
      </c>
      <c r="E983">
        <v>19</v>
      </c>
      <c r="F983">
        <v>2070</v>
      </c>
    </row>
    <row r="984" spans="1:6" ht="15.75" customHeight="1">
      <c r="A984" t="s">
        <v>1506</v>
      </c>
      <c r="B984" t="s">
        <v>1507</v>
      </c>
      <c r="C984" t="s">
        <v>136</v>
      </c>
      <c r="D984">
        <v>2800</v>
      </c>
      <c r="E984">
        <v>18</v>
      </c>
      <c r="F984">
        <v>2070</v>
      </c>
    </row>
    <row r="985" spans="1:6" ht="15.75" customHeight="1">
      <c r="A985" t="s">
        <v>1508</v>
      </c>
      <c r="B985" t="s">
        <v>1509</v>
      </c>
      <c r="C985" t="s">
        <v>136</v>
      </c>
      <c r="D985">
        <v>2800</v>
      </c>
      <c r="E985">
        <v>16</v>
      </c>
      <c r="F985">
        <v>2070</v>
      </c>
    </row>
    <row r="986" spans="1:6" ht="15.75" customHeight="1">
      <c r="A986" t="s">
        <v>1510</v>
      </c>
      <c r="B986" t="s">
        <v>1509</v>
      </c>
      <c r="C986" t="s">
        <v>136</v>
      </c>
      <c r="D986">
        <v>2800</v>
      </c>
      <c r="E986">
        <v>18</v>
      </c>
      <c r="F986">
        <v>2070</v>
      </c>
    </row>
    <row r="987" spans="1:6" ht="15.75" customHeight="1">
      <c r="A987" t="s">
        <v>1511</v>
      </c>
      <c r="B987" t="s">
        <v>1509</v>
      </c>
      <c r="C987" t="s">
        <v>136</v>
      </c>
      <c r="D987">
        <v>2800</v>
      </c>
      <c r="E987">
        <v>25</v>
      </c>
      <c r="F987">
        <v>2070</v>
      </c>
    </row>
    <row r="988" spans="1:6" ht="15.75" customHeight="1">
      <c r="A988" t="s">
        <v>1512</v>
      </c>
      <c r="B988" t="s">
        <v>1513</v>
      </c>
      <c r="C988" t="s">
        <v>136</v>
      </c>
      <c r="D988">
        <v>2800</v>
      </c>
      <c r="E988">
        <v>18</v>
      </c>
      <c r="F988">
        <v>2070</v>
      </c>
    </row>
    <row r="989" spans="1:6" ht="15.75" customHeight="1">
      <c r="A989" t="s">
        <v>1514</v>
      </c>
      <c r="B989" t="s">
        <v>1515</v>
      </c>
      <c r="C989" t="s">
        <v>136</v>
      </c>
      <c r="D989">
        <v>2800</v>
      </c>
      <c r="E989">
        <v>18</v>
      </c>
      <c r="F989">
        <v>2070</v>
      </c>
    </row>
    <row r="990" spans="1:6" ht="15.75" customHeight="1">
      <c r="A990" t="s">
        <v>1516</v>
      </c>
      <c r="B990" t="s">
        <v>1517</v>
      </c>
      <c r="C990" t="s">
        <v>136</v>
      </c>
      <c r="D990">
        <v>2800</v>
      </c>
      <c r="E990">
        <v>16</v>
      </c>
      <c r="F990">
        <v>2070</v>
      </c>
    </row>
    <row r="991" spans="1:6" ht="15.75" customHeight="1">
      <c r="A991" t="s">
        <v>1518</v>
      </c>
      <c r="B991" t="s">
        <v>1517</v>
      </c>
      <c r="C991" t="s">
        <v>136</v>
      </c>
      <c r="D991">
        <v>2800</v>
      </c>
      <c r="E991">
        <v>18</v>
      </c>
      <c r="F991">
        <v>2070</v>
      </c>
    </row>
    <row r="992" spans="1:6" ht="15.75" customHeight="1">
      <c r="A992" t="s">
        <v>1519</v>
      </c>
      <c r="B992" t="s">
        <v>1520</v>
      </c>
      <c r="C992" t="s">
        <v>136</v>
      </c>
      <c r="D992">
        <v>2800</v>
      </c>
      <c r="E992">
        <v>10</v>
      </c>
      <c r="F992">
        <v>2070</v>
      </c>
    </row>
    <row r="993" spans="1:6" ht="15.75" customHeight="1">
      <c r="A993" t="s">
        <v>1521</v>
      </c>
      <c r="B993" t="s">
        <v>1520</v>
      </c>
      <c r="C993" t="s">
        <v>136</v>
      </c>
      <c r="D993">
        <v>2800</v>
      </c>
      <c r="E993">
        <v>16</v>
      </c>
      <c r="F993">
        <v>2070</v>
      </c>
    </row>
    <row r="994" spans="1:6" ht="15.75" customHeight="1">
      <c r="A994" t="s">
        <v>1522</v>
      </c>
      <c r="B994" t="s">
        <v>1520</v>
      </c>
      <c r="C994" t="s">
        <v>136</v>
      </c>
      <c r="D994">
        <v>2800</v>
      </c>
      <c r="E994">
        <v>18</v>
      </c>
      <c r="F994">
        <v>2070</v>
      </c>
    </row>
    <row r="995" spans="1:6" ht="15.75" customHeight="1">
      <c r="A995" t="s">
        <v>1523</v>
      </c>
      <c r="B995" t="s">
        <v>1520</v>
      </c>
      <c r="C995" t="s">
        <v>136</v>
      </c>
      <c r="D995">
        <v>2800</v>
      </c>
      <c r="E995">
        <v>25</v>
      </c>
      <c r="F995">
        <v>2070</v>
      </c>
    </row>
    <row r="996" spans="1:6" ht="15.75" customHeight="1">
      <c r="A996" t="s">
        <v>1524</v>
      </c>
      <c r="B996" t="s">
        <v>1517</v>
      </c>
      <c r="C996" t="s">
        <v>136</v>
      </c>
      <c r="D996">
        <v>2800</v>
      </c>
      <c r="E996">
        <v>10</v>
      </c>
      <c r="F996">
        <v>2070</v>
      </c>
    </row>
    <row r="997" spans="1:6" ht="15.75" customHeight="1">
      <c r="A997" t="s">
        <v>1525</v>
      </c>
      <c r="B997" t="s">
        <v>1517</v>
      </c>
      <c r="C997" t="s">
        <v>136</v>
      </c>
      <c r="D997">
        <v>2800</v>
      </c>
      <c r="E997">
        <v>16</v>
      </c>
      <c r="F997">
        <v>2070</v>
      </c>
    </row>
    <row r="998" spans="1:6" ht="15.75" customHeight="1">
      <c r="A998" t="s">
        <v>1526</v>
      </c>
      <c r="B998" t="s">
        <v>1517</v>
      </c>
      <c r="C998" t="s">
        <v>136</v>
      </c>
      <c r="D998">
        <v>2800</v>
      </c>
      <c r="E998">
        <v>18</v>
      </c>
      <c r="F998">
        <v>2070</v>
      </c>
    </row>
    <row r="999" spans="1:6" ht="15.75" customHeight="1">
      <c r="A999" t="s">
        <v>1527</v>
      </c>
      <c r="B999" t="s">
        <v>1517</v>
      </c>
      <c r="C999" t="s">
        <v>136</v>
      </c>
      <c r="D999">
        <v>2800</v>
      </c>
      <c r="E999">
        <v>25</v>
      </c>
      <c r="F999">
        <v>2070</v>
      </c>
    </row>
    <row r="1000" spans="1:6" ht="15.75" customHeight="1">
      <c r="A1000" t="s">
        <v>1528</v>
      </c>
      <c r="C1000" t="s">
        <v>136</v>
      </c>
      <c r="D1000">
        <v>2800</v>
      </c>
      <c r="E1000">
        <v>10</v>
      </c>
      <c r="F1000">
        <v>2070</v>
      </c>
    </row>
    <row r="1001" spans="1:6" ht="15.75" customHeight="1">
      <c r="A1001" t="s">
        <v>1529</v>
      </c>
      <c r="B1001" t="s">
        <v>1530</v>
      </c>
      <c r="C1001" t="s">
        <v>136</v>
      </c>
      <c r="D1001">
        <v>2800</v>
      </c>
      <c r="E1001">
        <v>16</v>
      </c>
      <c r="F1001">
        <v>2070</v>
      </c>
    </row>
    <row r="1002" spans="1:6" ht="15.75" customHeight="1">
      <c r="A1002" t="s">
        <v>1531</v>
      </c>
      <c r="B1002" t="s">
        <v>1530</v>
      </c>
      <c r="C1002" t="s">
        <v>136</v>
      </c>
      <c r="D1002">
        <v>2800</v>
      </c>
      <c r="E1002">
        <v>18</v>
      </c>
      <c r="F1002">
        <v>2070</v>
      </c>
    </row>
    <row r="1003" spans="1:6" ht="15.75" customHeight="1">
      <c r="A1003" t="s">
        <v>1532</v>
      </c>
      <c r="B1003" t="s">
        <v>1530</v>
      </c>
      <c r="C1003" t="s">
        <v>136</v>
      </c>
      <c r="D1003">
        <v>2800</v>
      </c>
      <c r="E1003">
        <v>25</v>
      </c>
      <c r="F1003">
        <v>2070</v>
      </c>
    </row>
    <row r="1004" spans="1:6" ht="15.75" customHeight="1">
      <c r="A1004" t="s">
        <v>1533</v>
      </c>
      <c r="B1004" t="s">
        <v>1534</v>
      </c>
      <c r="C1004" t="s">
        <v>136</v>
      </c>
      <c r="D1004">
        <v>2800</v>
      </c>
      <c r="E1004">
        <v>16</v>
      </c>
      <c r="F1004">
        <v>2070</v>
      </c>
    </row>
    <row r="1005" spans="1:6" ht="15.75" customHeight="1">
      <c r="A1005" t="s">
        <v>1535</v>
      </c>
      <c r="B1005" t="s">
        <v>1534</v>
      </c>
      <c r="C1005" t="s">
        <v>136</v>
      </c>
      <c r="D1005">
        <v>2800</v>
      </c>
      <c r="E1005">
        <v>18</v>
      </c>
      <c r="F1005">
        <v>2070</v>
      </c>
    </row>
    <row r="1006" spans="1:6" ht="15.75" customHeight="1">
      <c r="A1006" t="s">
        <v>1536</v>
      </c>
      <c r="B1006" t="s">
        <v>1537</v>
      </c>
      <c r="C1006" t="s">
        <v>136</v>
      </c>
      <c r="D1006">
        <v>2800</v>
      </c>
      <c r="E1006">
        <v>10</v>
      </c>
      <c r="F1006">
        <v>2070</v>
      </c>
    </row>
    <row r="1007" spans="1:6" ht="15.75" customHeight="1">
      <c r="A1007" t="s">
        <v>1538</v>
      </c>
      <c r="B1007" t="s">
        <v>1537</v>
      </c>
      <c r="C1007" t="s">
        <v>136</v>
      </c>
      <c r="D1007">
        <v>2800</v>
      </c>
      <c r="E1007">
        <v>16</v>
      </c>
      <c r="F1007">
        <v>2070</v>
      </c>
    </row>
    <row r="1008" spans="1:6" ht="15.75" customHeight="1">
      <c r="A1008" t="s">
        <v>1539</v>
      </c>
      <c r="B1008" t="s">
        <v>1537</v>
      </c>
      <c r="C1008" t="s">
        <v>136</v>
      </c>
      <c r="D1008">
        <v>2800</v>
      </c>
      <c r="E1008">
        <v>18</v>
      </c>
      <c r="F1008">
        <v>2070</v>
      </c>
    </row>
    <row r="1009" spans="1:6" ht="15.75" customHeight="1">
      <c r="A1009" t="s">
        <v>1540</v>
      </c>
      <c r="B1009" t="s">
        <v>1537</v>
      </c>
      <c r="C1009" t="s">
        <v>136</v>
      </c>
      <c r="D1009">
        <v>2800</v>
      </c>
      <c r="E1009">
        <v>25</v>
      </c>
      <c r="F1009">
        <v>2070</v>
      </c>
    </row>
    <row r="1010" spans="1:6" ht="15.75" customHeight="1">
      <c r="A1010" t="s">
        <v>1541</v>
      </c>
      <c r="B1010" t="s">
        <v>1542</v>
      </c>
      <c r="C1010" t="s">
        <v>136</v>
      </c>
      <c r="D1010">
        <v>2800</v>
      </c>
      <c r="E1010">
        <v>30</v>
      </c>
      <c r="F1010">
        <v>2070</v>
      </c>
    </row>
    <row r="1011" spans="1:6" ht="15.75" customHeight="1">
      <c r="A1011" t="s">
        <v>1543</v>
      </c>
      <c r="B1011" t="s">
        <v>1537</v>
      </c>
      <c r="C1011" t="s">
        <v>136</v>
      </c>
      <c r="D1011">
        <v>2800</v>
      </c>
      <c r="E1011">
        <v>16</v>
      </c>
      <c r="F1011">
        <v>2070</v>
      </c>
    </row>
    <row r="1012" spans="1:6" ht="15.75" customHeight="1">
      <c r="A1012" t="s">
        <v>1544</v>
      </c>
      <c r="C1012" t="s">
        <v>136</v>
      </c>
      <c r="D1012">
        <v>2800</v>
      </c>
      <c r="E1012">
        <v>18</v>
      </c>
      <c r="F1012">
        <v>2070</v>
      </c>
    </row>
    <row r="1013" spans="1:6" ht="15.75" customHeight="1">
      <c r="A1013" t="s">
        <v>1545</v>
      </c>
      <c r="B1013" t="s">
        <v>1542</v>
      </c>
      <c r="C1013" t="s">
        <v>136</v>
      </c>
      <c r="D1013">
        <v>2800</v>
      </c>
      <c r="E1013">
        <v>16</v>
      </c>
      <c r="F1013">
        <v>2070</v>
      </c>
    </row>
    <row r="1014" spans="1:6" ht="15.75" customHeight="1">
      <c r="A1014" t="s">
        <v>1546</v>
      </c>
      <c r="B1014" t="s">
        <v>1547</v>
      </c>
      <c r="C1014" t="s">
        <v>136</v>
      </c>
      <c r="D1014">
        <v>2800</v>
      </c>
      <c r="E1014">
        <v>10</v>
      </c>
      <c r="F1014">
        <v>2070</v>
      </c>
    </row>
    <row r="1015" spans="1:6" ht="15.75" customHeight="1">
      <c r="A1015" t="s">
        <v>1548</v>
      </c>
      <c r="B1015" t="s">
        <v>1547</v>
      </c>
      <c r="C1015" t="s">
        <v>136</v>
      </c>
      <c r="D1015">
        <v>2800</v>
      </c>
      <c r="E1015">
        <v>16</v>
      </c>
      <c r="F1015">
        <v>2070</v>
      </c>
    </row>
    <row r="1016" spans="1:6" ht="15.75" customHeight="1">
      <c r="A1016" t="s">
        <v>1549</v>
      </c>
      <c r="B1016" t="s">
        <v>1547</v>
      </c>
      <c r="C1016" t="s">
        <v>136</v>
      </c>
      <c r="D1016">
        <v>2800</v>
      </c>
      <c r="E1016">
        <v>18</v>
      </c>
      <c r="F1016">
        <v>2070</v>
      </c>
    </row>
    <row r="1017" spans="1:6" ht="15.75" customHeight="1">
      <c r="A1017" t="s">
        <v>1550</v>
      </c>
      <c r="B1017" t="s">
        <v>1547</v>
      </c>
      <c r="C1017" t="s">
        <v>136</v>
      </c>
      <c r="D1017">
        <v>2800</v>
      </c>
      <c r="E1017">
        <v>25</v>
      </c>
      <c r="F1017">
        <v>2070</v>
      </c>
    </row>
    <row r="1018" spans="1:6" ht="15.75" customHeight="1">
      <c r="A1018" t="s">
        <v>5613</v>
      </c>
      <c r="B1018" t="s">
        <v>5614</v>
      </c>
      <c r="C1018" t="s">
        <v>136</v>
      </c>
      <c r="D1018">
        <v>2800</v>
      </c>
      <c r="E1018">
        <v>3</v>
      </c>
      <c r="F1018">
        <v>2070</v>
      </c>
    </row>
    <row r="1019" spans="1:6" ht="15.75" customHeight="1">
      <c r="A1019" t="s">
        <v>1551</v>
      </c>
      <c r="B1019" t="s">
        <v>447</v>
      </c>
      <c r="C1019" t="s">
        <v>143</v>
      </c>
      <c r="D1019">
        <v>2800</v>
      </c>
      <c r="E1019">
        <v>2.8</v>
      </c>
      <c r="F1019">
        <v>2070</v>
      </c>
    </row>
    <row r="1020" spans="1:6" ht="15.75" customHeight="1">
      <c r="A1020" t="s">
        <v>1552</v>
      </c>
      <c r="B1020" t="s">
        <v>451</v>
      </c>
      <c r="C1020" t="s">
        <v>143</v>
      </c>
      <c r="D1020">
        <v>2800</v>
      </c>
      <c r="E1020">
        <v>2.8</v>
      </c>
      <c r="F1020">
        <v>2070</v>
      </c>
    </row>
    <row r="1021" spans="1:6" ht="15.75" customHeight="1">
      <c r="A1021" t="s">
        <v>1553</v>
      </c>
      <c r="B1021" t="s">
        <v>505</v>
      </c>
      <c r="C1021" t="s">
        <v>143</v>
      </c>
      <c r="D1021">
        <v>2800</v>
      </c>
      <c r="E1021">
        <v>2.8</v>
      </c>
      <c r="F1021">
        <v>2070</v>
      </c>
    </row>
    <row r="1022" spans="1:6" ht="15.75" customHeight="1">
      <c r="A1022" t="s">
        <v>5615</v>
      </c>
      <c r="B1022" t="s">
        <v>524</v>
      </c>
      <c r="C1022" t="s">
        <v>143</v>
      </c>
      <c r="D1022">
        <v>2800</v>
      </c>
      <c r="E1022">
        <v>2.8</v>
      </c>
      <c r="F1022">
        <v>2070</v>
      </c>
    </row>
    <row r="1023" spans="1:6" ht="15.75" customHeight="1">
      <c r="A1023" t="s">
        <v>1554</v>
      </c>
      <c r="B1023" t="s">
        <v>530</v>
      </c>
      <c r="C1023" t="s">
        <v>143</v>
      </c>
      <c r="D1023">
        <v>2800</v>
      </c>
      <c r="E1023">
        <v>2.8</v>
      </c>
      <c r="F1023">
        <v>2070</v>
      </c>
    </row>
    <row r="1024" spans="1:6" ht="15.75" customHeight="1">
      <c r="A1024" t="s">
        <v>5616</v>
      </c>
      <c r="B1024" t="s">
        <v>584</v>
      </c>
      <c r="C1024" t="s">
        <v>143</v>
      </c>
      <c r="D1024">
        <v>2800</v>
      </c>
      <c r="E1024">
        <v>2.8</v>
      </c>
      <c r="F1024">
        <v>2070</v>
      </c>
    </row>
    <row r="1025" spans="1:6" ht="15.75" customHeight="1">
      <c r="A1025" t="s">
        <v>5617</v>
      </c>
      <c r="B1025" t="s">
        <v>653</v>
      </c>
      <c r="C1025" t="s">
        <v>143</v>
      </c>
      <c r="D1025">
        <v>2800</v>
      </c>
      <c r="E1025">
        <v>2.8</v>
      </c>
      <c r="F1025">
        <v>2070</v>
      </c>
    </row>
    <row r="1026" spans="1:6" ht="15.75" customHeight="1">
      <c r="A1026" t="s">
        <v>5618</v>
      </c>
      <c r="B1026" t="s">
        <v>690</v>
      </c>
      <c r="C1026" t="s">
        <v>143</v>
      </c>
      <c r="D1026">
        <v>2800</v>
      </c>
      <c r="E1026">
        <v>2.8</v>
      </c>
      <c r="F1026">
        <v>2070</v>
      </c>
    </row>
    <row r="1027" spans="1:6" ht="15.75" customHeight="1">
      <c r="A1027" t="s">
        <v>1555</v>
      </c>
      <c r="B1027" t="s">
        <v>728</v>
      </c>
      <c r="C1027" t="s">
        <v>143</v>
      </c>
      <c r="D1027">
        <v>2800</v>
      </c>
      <c r="E1027">
        <v>2.8</v>
      </c>
      <c r="F1027">
        <v>2070</v>
      </c>
    </row>
    <row r="1028" spans="1:6" ht="15.75" customHeight="1">
      <c r="A1028" t="s">
        <v>5619</v>
      </c>
      <c r="B1028" t="s">
        <v>766</v>
      </c>
      <c r="C1028" t="s">
        <v>143</v>
      </c>
      <c r="D1028">
        <v>2800</v>
      </c>
      <c r="E1028">
        <v>2.8</v>
      </c>
      <c r="F1028">
        <v>2070</v>
      </c>
    </row>
    <row r="1029" spans="1:6" ht="15.75" customHeight="1">
      <c r="A1029" t="s">
        <v>1556</v>
      </c>
      <c r="B1029" t="s">
        <v>828</v>
      </c>
      <c r="C1029" t="s">
        <v>143</v>
      </c>
      <c r="D1029">
        <v>2800</v>
      </c>
      <c r="E1029">
        <v>2.8</v>
      </c>
      <c r="F1029">
        <v>2070</v>
      </c>
    </row>
    <row r="1030" spans="1:6" ht="15.75" customHeight="1">
      <c r="A1030" t="s">
        <v>1557</v>
      </c>
      <c r="B1030" t="s">
        <v>861</v>
      </c>
      <c r="C1030" t="s">
        <v>143</v>
      </c>
      <c r="D1030">
        <v>2800</v>
      </c>
      <c r="E1030">
        <v>2.8</v>
      </c>
      <c r="F1030">
        <v>2070</v>
      </c>
    </row>
    <row r="1031" spans="1:6" ht="15.75" customHeight="1">
      <c r="A1031" t="s">
        <v>1558</v>
      </c>
      <c r="B1031" t="s">
        <v>904</v>
      </c>
      <c r="C1031" t="s">
        <v>143</v>
      </c>
      <c r="D1031">
        <v>2800</v>
      </c>
      <c r="E1031">
        <v>2.8</v>
      </c>
      <c r="F1031">
        <v>2070</v>
      </c>
    </row>
    <row r="1032" spans="1:6" ht="15.75" customHeight="1">
      <c r="A1032" t="s">
        <v>1559</v>
      </c>
      <c r="C1032" t="s">
        <v>143</v>
      </c>
      <c r="D1032">
        <v>2800</v>
      </c>
      <c r="E1032">
        <v>2.8</v>
      </c>
      <c r="F1032">
        <v>2070</v>
      </c>
    </row>
    <row r="1033" spans="1:6" ht="15.75" customHeight="1">
      <c r="A1033" t="s">
        <v>1560</v>
      </c>
      <c r="B1033" t="s">
        <v>930</v>
      </c>
      <c r="C1033" t="s">
        <v>143</v>
      </c>
      <c r="D1033">
        <v>2800</v>
      </c>
      <c r="E1033">
        <v>2.8</v>
      </c>
      <c r="F1033">
        <v>2070</v>
      </c>
    </row>
    <row r="1034" spans="1:6" ht="15.75" customHeight="1">
      <c r="A1034" t="s">
        <v>1561</v>
      </c>
      <c r="B1034" t="s">
        <v>1132</v>
      </c>
      <c r="C1034" t="s">
        <v>136</v>
      </c>
      <c r="D1034">
        <v>2800</v>
      </c>
      <c r="E1034">
        <v>2.8</v>
      </c>
      <c r="F1034">
        <v>2070</v>
      </c>
    </row>
    <row r="1035" spans="1:6" ht="15.75" customHeight="1">
      <c r="A1035" t="s">
        <v>1562</v>
      </c>
      <c r="B1035" t="s">
        <v>1165</v>
      </c>
      <c r="C1035" t="s">
        <v>136</v>
      </c>
      <c r="D1035">
        <v>2800</v>
      </c>
      <c r="E1035">
        <v>2.8</v>
      </c>
      <c r="F1035">
        <v>2070</v>
      </c>
    </row>
    <row r="1036" spans="1:6" ht="15.75" customHeight="1">
      <c r="A1036" t="s">
        <v>1563</v>
      </c>
      <c r="B1036" t="s">
        <v>1299</v>
      </c>
      <c r="C1036" t="s">
        <v>136</v>
      </c>
      <c r="D1036">
        <v>2800</v>
      </c>
      <c r="E1036">
        <v>2.8</v>
      </c>
      <c r="F1036">
        <v>2070</v>
      </c>
    </row>
    <row r="1037" spans="1:6" ht="15.75" customHeight="1">
      <c r="A1037" t="s">
        <v>1564</v>
      </c>
      <c r="B1037" t="s">
        <v>1280</v>
      </c>
      <c r="C1037" t="s">
        <v>136</v>
      </c>
      <c r="D1037">
        <v>2800</v>
      </c>
      <c r="E1037">
        <v>2.8</v>
      </c>
      <c r="F1037">
        <v>2070</v>
      </c>
    </row>
    <row r="1038" spans="1:6" ht="15.75" customHeight="1">
      <c r="A1038" t="s">
        <v>1565</v>
      </c>
      <c r="B1038" t="s">
        <v>1312</v>
      </c>
      <c r="C1038" t="s">
        <v>136</v>
      </c>
      <c r="D1038">
        <v>2800</v>
      </c>
      <c r="E1038">
        <v>2.8</v>
      </c>
      <c r="F1038">
        <v>2070</v>
      </c>
    </row>
    <row r="1039" spans="1:6" ht="15.75" customHeight="1">
      <c r="A1039" t="s">
        <v>1566</v>
      </c>
      <c r="B1039" t="s">
        <v>1320</v>
      </c>
      <c r="C1039" t="s">
        <v>136</v>
      </c>
      <c r="D1039">
        <v>2800</v>
      </c>
      <c r="E1039">
        <v>2.8</v>
      </c>
      <c r="F1039">
        <v>2070</v>
      </c>
    </row>
    <row r="1040" spans="1:6" ht="15.75" customHeight="1">
      <c r="A1040" t="s">
        <v>1567</v>
      </c>
      <c r="B1040" t="s">
        <v>1389</v>
      </c>
      <c r="C1040" t="s">
        <v>136</v>
      </c>
      <c r="D1040">
        <v>2800</v>
      </c>
      <c r="E1040">
        <v>2.8</v>
      </c>
      <c r="F1040">
        <v>2070</v>
      </c>
    </row>
    <row r="1041" spans="1:6" ht="15.75" customHeight="1">
      <c r="A1041" t="s">
        <v>5620</v>
      </c>
      <c r="B1041" t="s">
        <v>1403</v>
      </c>
      <c r="C1041" t="s">
        <v>136</v>
      </c>
      <c r="D1041">
        <v>2800</v>
      </c>
      <c r="E1041">
        <v>2.8</v>
      </c>
      <c r="F1041">
        <v>2070</v>
      </c>
    </row>
    <row r="1042" spans="1:6" ht="15.75" customHeight="1">
      <c r="A1042" t="s">
        <v>1568</v>
      </c>
      <c r="B1042" t="s">
        <v>1416</v>
      </c>
      <c r="C1042" t="s">
        <v>136</v>
      </c>
      <c r="D1042">
        <v>2800</v>
      </c>
      <c r="E1042">
        <v>2.8</v>
      </c>
      <c r="F1042">
        <v>2070</v>
      </c>
    </row>
    <row r="1043" spans="1:6" ht="15.75" customHeight="1">
      <c r="A1043" t="s">
        <v>1569</v>
      </c>
      <c r="B1043" t="s">
        <v>1389</v>
      </c>
      <c r="C1043" t="s">
        <v>136</v>
      </c>
      <c r="D1043">
        <v>2800</v>
      </c>
      <c r="E1043">
        <v>2.8</v>
      </c>
      <c r="F1043">
        <v>2070</v>
      </c>
    </row>
    <row r="1044" spans="1:6" ht="15.75" customHeight="1">
      <c r="A1044" t="s">
        <v>1570</v>
      </c>
      <c r="B1044" t="s">
        <v>1571</v>
      </c>
      <c r="C1044" t="s">
        <v>136</v>
      </c>
      <c r="D1044">
        <v>2800</v>
      </c>
      <c r="E1044">
        <v>2.8</v>
      </c>
      <c r="F1044">
        <v>2070</v>
      </c>
    </row>
    <row r="1045" spans="1:6" ht="15.75" customHeight="1">
      <c r="A1045" t="s">
        <v>1572</v>
      </c>
      <c r="B1045">
        <v>45</v>
      </c>
      <c r="C1045" t="s">
        <v>143</v>
      </c>
      <c r="D1045">
        <v>4100</v>
      </c>
      <c r="E1045">
        <v>12.1</v>
      </c>
      <c r="F1045">
        <v>1300</v>
      </c>
    </row>
    <row r="1046" spans="1:6" ht="15.75" customHeight="1">
      <c r="A1046" t="s">
        <v>1573</v>
      </c>
      <c r="B1046">
        <v>45</v>
      </c>
      <c r="C1046" t="s">
        <v>143</v>
      </c>
      <c r="D1046">
        <v>4100</v>
      </c>
      <c r="E1046">
        <v>12.1</v>
      </c>
      <c r="F1046">
        <v>1300</v>
      </c>
    </row>
    <row r="1047" spans="1:6" ht="15.75" customHeight="1">
      <c r="A1047" t="s">
        <v>1574</v>
      </c>
      <c r="B1047">
        <v>45</v>
      </c>
      <c r="C1047" t="s">
        <v>136</v>
      </c>
      <c r="D1047">
        <v>4100</v>
      </c>
      <c r="E1047">
        <v>12.1</v>
      </c>
      <c r="F1047">
        <v>1300</v>
      </c>
    </row>
    <row r="1048" spans="1:6" ht="15.75" customHeight="1">
      <c r="A1048" t="s">
        <v>1575</v>
      </c>
      <c r="B1048">
        <v>45</v>
      </c>
      <c r="C1048" t="s">
        <v>136</v>
      </c>
      <c r="D1048">
        <v>4100</v>
      </c>
      <c r="E1048">
        <v>12.1</v>
      </c>
      <c r="F1048">
        <v>1300</v>
      </c>
    </row>
    <row r="1049" spans="1:6" ht="15.75" customHeight="1">
      <c r="A1049" t="s">
        <v>1576</v>
      </c>
      <c r="B1049">
        <v>45</v>
      </c>
      <c r="C1049" t="s">
        <v>136</v>
      </c>
      <c r="D1049">
        <v>4100</v>
      </c>
      <c r="E1049">
        <v>12.1</v>
      </c>
      <c r="F1049">
        <v>1300</v>
      </c>
    </row>
    <row r="1050" spans="1:6" ht="15.75" customHeight="1">
      <c r="A1050" t="s">
        <v>1577</v>
      </c>
      <c r="B1050" t="s">
        <v>1578</v>
      </c>
      <c r="C1050" t="s">
        <v>136</v>
      </c>
      <c r="D1050">
        <v>2800</v>
      </c>
      <c r="E1050">
        <v>8</v>
      </c>
      <c r="F1050">
        <v>1300</v>
      </c>
    </row>
    <row r="1051" spans="1:6" ht="15.75" customHeight="1">
      <c r="A1051" t="s">
        <v>1579</v>
      </c>
      <c r="B1051">
        <v>45</v>
      </c>
      <c r="C1051" t="s">
        <v>136</v>
      </c>
      <c r="D1051">
        <v>4100</v>
      </c>
      <c r="E1051">
        <v>12.1</v>
      </c>
      <c r="F1051">
        <v>1300</v>
      </c>
    </row>
    <row r="1052" spans="1:6" ht="15.75" customHeight="1">
      <c r="A1052" t="s">
        <v>1580</v>
      </c>
      <c r="B1052">
        <v>45</v>
      </c>
      <c r="C1052" t="s">
        <v>136</v>
      </c>
      <c r="D1052">
        <v>4100</v>
      </c>
      <c r="E1052">
        <v>12.1</v>
      </c>
      <c r="F1052">
        <v>1300</v>
      </c>
    </row>
    <row r="1053" spans="1:6" ht="15.75" customHeight="1">
      <c r="A1053" t="s">
        <v>1581</v>
      </c>
      <c r="B1053">
        <v>45</v>
      </c>
      <c r="C1053" t="s">
        <v>136</v>
      </c>
      <c r="D1053">
        <v>4100</v>
      </c>
      <c r="E1053">
        <v>12.1</v>
      </c>
      <c r="F1053">
        <v>1300</v>
      </c>
    </row>
    <row r="1054" spans="1:6" ht="15.75" customHeight="1">
      <c r="A1054" t="s">
        <v>1582</v>
      </c>
      <c r="B1054" t="s">
        <v>1583</v>
      </c>
      <c r="C1054" t="s">
        <v>136</v>
      </c>
      <c r="D1054">
        <v>3050</v>
      </c>
      <c r="E1054">
        <v>12.1</v>
      </c>
      <c r="F1054">
        <v>1300</v>
      </c>
    </row>
    <row r="1055" spans="1:6" ht="15.75" customHeight="1">
      <c r="A1055" t="s">
        <v>1584</v>
      </c>
      <c r="B1055">
        <v>45</v>
      </c>
      <c r="C1055" t="s">
        <v>136</v>
      </c>
      <c r="D1055">
        <v>4200</v>
      </c>
      <c r="E1055">
        <v>12.1</v>
      </c>
      <c r="F1055">
        <v>1310</v>
      </c>
    </row>
    <row r="1056" spans="1:6" ht="15.75" customHeight="1">
      <c r="A1056" t="s">
        <v>1585</v>
      </c>
      <c r="B1056">
        <v>45</v>
      </c>
      <c r="C1056" t="s">
        <v>143</v>
      </c>
      <c r="D1056">
        <v>4200</v>
      </c>
      <c r="E1056">
        <v>12.1</v>
      </c>
      <c r="F1056">
        <v>1310</v>
      </c>
    </row>
    <row r="1057" spans="1:6" ht="15.75" customHeight="1">
      <c r="A1057" t="s">
        <v>1586</v>
      </c>
      <c r="B1057">
        <v>45</v>
      </c>
      <c r="C1057" t="s">
        <v>136</v>
      </c>
      <c r="D1057">
        <v>4200</v>
      </c>
      <c r="E1057">
        <v>12.1</v>
      </c>
      <c r="F1057">
        <v>1310</v>
      </c>
    </row>
    <row r="1058" spans="1:6" ht="15.75" customHeight="1">
      <c r="A1058" t="s">
        <v>1587</v>
      </c>
      <c r="B1058">
        <v>45</v>
      </c>
      <c r="C1058" t="s">
        <v>136</v>
      </c>
      <c r="D1058">
        <v>4200</v>
      </c>
      <c r="E1058">
        <v>12.1</v>
      </c>
      <c r="F1058">
        <v>1310</v>
      </c>
    </row>
    <row r="1059" spans="1:6" ht="15.75" customHeight="1">
      <c r="A1059" t="s">
        <v>1588</v>
      </c>
      <c r="B1059">
        <v>45</v>
      </c>
      <c r="C1059" t="s">
        <v>143</v>
      </c>
      <c r="D1059">
        <v>4200</v>
      </c>
      <c r="E1059">
        <v>12.1</v>
      </c>
      <c r="F1059">
        <v>1310</v>
      </c>
    </row>
    <row r="1060" spans="1:6" ht="15.75" customHeight="1">
      <c r="A1060" t="s">
        <v>1589</v>
      </c>
      <c r="B1060">
        <v>45</v>
      </c>
      <c r="C1060" t="s">
        <v>143</v>
      </c>
      <c r="D1060">
        <v>4100</v>
      </c>
      <c r="E1060">
        <v>12.1</v>
      </c>
      <c r="F1060">
        <v>1300</v>
      </c>
    </row>
    <row r="1061" spans="1:6" ht="15.75" customHeight="1">
      <c r="A1061" t="s">
        <v>1590</v>
      </c>
      <c r="B1061">
        <v>45</v>
      </c>
      <c r="C1061" t="s">
        <v>143</v>
      </c>
      <c r="D1061">
        <v>4100</v>
      </c>
      <c r="E1061">
        <v>12.1</v>
      </c>
      <c r="F1061">
        <v>1300</v>
      </c>
    </row>
    <row r="1062" spans="1:6" ht="15.75" customHeight="1">
      <c r="A1062" t="s">
        <v>1591</v>
      </c>
      <c r="B1062">
        <v>45</v>
      </c>
      <c r="C1062" t="s">
        <v>143</v>
      </c>
      <c r="D1062">
        <v>4100</v>
      </c>
      <c r="E1062">
        <v>12.1</v>
      </c>
      <c r="F1062">
        <v>1300</v>
      </c>
    </row>
    <row r="1063" spans="1:6" ht="15.75" customHeight="1">
      <c r="A1063" t="s">
        <v>1592</v>
      </c>
      <c r="B1063">
        <v>45</v>
      </c>
      <c r="C1063" t="s">
        <v>143</v>
      </c>
      <c r="D1063">
        <v>4100</v>
      </c>
      <c r="E1063">
        <v>12.1</v>
      </c>
      <c r="F1063">
        <v>1300</v>
      </c>
    </row>
    <row r="1064" spans="1:6" ht="15.75" customHeight="1">
      <c r="A1064" t="s">
        <v>1593</v>
      </c>
      <c r="B1064">
        <v>45</v>
      </c>
      <c r="C1064" t="s">
        <v>143</v>
      </c>
      <c r="D1064">
        <v>4100</v>
      </c>
      <c r="E1064">
        <v>12.1</v>
      </c>
      <c r="F1064">
        <v>1300</v>
      </c>
    </row>
    <row r="1065" spans="1:6" ht="15.75" customHeight="1">
      <c r="A1065" t="s">
        <v>1594</v>
      </c>
      <c r="B1065">
        <v>45</v>
      </c>
      <c r="C1065" t="s">
        <v>143</v>
      </c>
      <c r="D1065">
        <v>4100</v>
      </c>
      <c r="E1065">
        <v>12.1</v>
      </c>
      <c r="F1065">
        <v>1300</v>
      </c>
    </row>
    <row r="1066" spans="1:6" ht="15.75" customHeight="1">
      <c r="A1066" t="s">
        <v>1595</v>
      </c>
      <c r="B1066">
        <v>45</v>
      </c>
      <c r="C1066" t="s">
        <v>143</v>
      </c>
      <c r="D1066">
        <v>4100</v>
      </c>
      <c r="E1066">
        <v>12.1</v>
      </c>
      <c r="F1066">
        <v>1300</v>
      </c>
    </row>
    <row r="1067" spans="1:6" ht="15.75" customHeight="1">
      <c r="A1067" t="s">
        <v>1596</v>
      </c>
      <c r="B1067">
        <v>45</v>
      </c>
      <c r="C1067" t="s">
        <v>143</v>
      </c>
      <c r="D1067">
        <v>4100</v>
      </c>
      <c r="E1067">
        <v>12.1</v>
      </c>
      <c r="F1067">
        <v>1300</v>
      </c>
    </row>
    <row r="1068" spans="1:6" ht="15.75" customHeight="1">
      <c r="A1068" t="s">
        <v>1597</v>
      </c>
      <c r="B1068">
        <v>45</v>
      </c>
      <c r="C1068" t="s">
        <v>143</v>
      </c>
      <c r="D1068">
        <v>4100</v>
      </c>
      <c r="E1068">
        <v>12.1</v>
      </c>
      <c r="F1068">
        <v>1300</v>
      </c>
    </row>
    <row r="1069" spans="1:6" ht="15.75" customHeight="1">
      <c r="A1069" t="s">
        <v>1598</v>
      </c>
      <c r="B1069">
        <v>45</v>
      </c>
      <c r="C1069" t="s">
        <v>143</v>
      </c>
      <c r="D1069">
        <v>4100</v>
      </c>
      <c r="E1069">
        <v>12.1</v>
      </c>
      <c r="F1069">
        <v>1300</v>
      </c>
    </row>
    <row r="1070" spans="1:6" ht="15.75" customHeight="1">
      <c r="A1070" t="s">
        <v>1599</v>
      </c>
      <c r="B1070">
        <v>45</v>
      </c>
      <c r="C1070" t="s">
        <v>143</v>
      </c>
      <c r="D1070">
        <v>4100</v>
      </c>
      <c r="E1070">
        <v>12.1</v>
      </c>
      <c r="F1070">
        <v>1300</v>
      </c>
    </row>
    <row r="1071" spans="1:6" ht="15.75" customHeight="1">
      <c r="A1071" t="s">
        <v>1600</v>
      </c>
      <c r="B1071">
        <v>45</v>
      </c>
      <c r="C1071" t="s">
        <v>143</v>
      </c>
      <c r="D1071">
        <v>4100</v>
      </c>
      <c r="E1071">
        <v>12.1</v>
      </c>
      <c r="F1071">
        <v>1300</v>
      </c>
    </row>
    <row r="1072" spans="1:6" ht="15.75" customHeight="1">
      <c r="A1072" t="s">
        <v>1601</v>
      </c>
      <c r="B1072">
        <v>45</v>
      </c>
      <c r="C1072" t="s">
        <v>136</v>
      </c>
      <c r="D1072">
        <v>4100</v>
      </c>
      <c r="E1072">
        <v>12.1</v>
      </c>
      <c r="F1072">
        <v>1300</v>
      </c>
    </row>
    <row r="1073" spans="1:6" ht="15.75" customHeight="1">
      <c r="A1073" t="s">
        <v>1602</v>
      </c>
      <c r="B1073">
        <v>45</v>
      </c>
      <c r="C1073" t="s">
        <v>143</v>
      </c>
      <c r="D1073">
        <v>2800</v>
      </c>
      <c r="E1073">
        <v>12</v>
      </c>
      <c r="F1073">
        <v>1300</v>
      </c>
    </row>
    <row r="1074" spans="1:6" ht="15.75" customHeight="1">
      <c r="A1074" t="s">
        <v>1603</v>
      </c>
      <c r="B1074">
        <v>45</v>
      </c>
      <c r="C1074" t="s">
        <v>143</v>
      </c>
      <c r="D1074">
        <v>4100</v>
      </c>
      <c r="E1074">
        <v>12.1</v>
      </c>
      <c r="F1074">
        <v>1300</v>
      </c>
    </row>
    <row r="1075" spans="1:6" ht="15.75" customHeight="1">
      <c r="A1075" t="s">
        <v>1604</v>
      </c>
      <c r="B1075">
        <v>45</v>
      </c>
      <c r="C1075" t="s">
        <v>143</v>
      </c>
      <c r="D1075">
        <v>4100</v>
      </c>
      <c r="E1075">
        <v>12.1</v>
      </c>
      <c r="F1075">
        <v>1300</v>
      </c>
    </row>
    <row r="1076" spans="1:6" ht="15.75" customHeight="1">
      <c r="A1076" t="s">
        <v>1605</v>
      </c>
      <c r="B1076">
        <v>45</v>
      </c>
      <c r="C1076" t="s">
        <v>143</v>
      </c>
      <c r="D1076">
        <v>4100</v>
      </c>
      <c r="E1076">
        <v>12.1</v>
      </c>
      <c r="F1076">
        <v>1300</v>
      </c>
    </row>
    <row r="1077" spans="1:6" ht="15.75" customHeight="1">
      <c r="A1077" t="s">
        <v>1606</v>
      </c>
      <c r="B1077">
        <v>45</v>
      </c>
      <c r="C1077" t="s">
        <v>143</v>
      </c>
      <c r="D1077">
        <v>4100</v>
      </c>
      <c r="E1077">
        <v>12.1</v>
      </c>
      <c r="F1077">
        <v>1300</v>
      </c>
    </row>
    <row r="1078" spans="1:6" ht="15.75" customHeight="1">
      <c r="A1078" t="s">
        <v>5621</v>
      </c>
      <c r="B1078">
        <v>45</v>
      </c>
      <c r="C1078" t="s">
        <v>143</v>
      </c>
      <c r="D1078">
        <v>4100</v>
      </c>
      <c r="E1078">
        <v>12.1</v>
      </c>
      <c r="F1078">
        <v>1300</v>
      </c>
    </row>
    <row r="1079" spans="1:6" ht="15.75" customHeight="1">
      <c r="A1079" t="s">
        <v>5622</v>
      </c>
      <c r="B1079">
        <v>45</v>
      </c>
      <c r="C1079" t="s">
        <v>143</v>
      </c>
      <c r="D1079">
        <v>4100</v>
      </c>
      <c r="E1079">
        <v>12.1</v>
      </c>
      <c r="F1079">
        <v>1300</v>
      </c>
    </row>
    <row r="1080" spans="1:6" ht="15.75" customHeight="1">
      <c r="A1080" t="s">
        <v>5623</v>
      </c>
      <c r="B1080">
        <v>45</v>
      </c>
      <c r="C1080" t="s">
        <v>143</v>
      </c>
      <c r="D1080">
        <v>4100</v>
      </c>
      <c r="E1080">
        <v>12.1</v>
      </c>
      <c r="F1080">
        <v>1300</v>
      </c>
    </row>
    <row r="1081" spans="1:6" ht="15.75" customHeight="1">
      <c r="A1081" t="s">
        <v>5624</v>
      </c>
      <c r="B1081">
        <v>45</v>
      </c>
      <c r="C1081" t="s">
        <v>143</v>
      </c>
      <c r="D1081">
        <v>4100</v>
      </c>
      <c r="E1081">
        <v>12.1</v>
      </c>
      <c r="F1081">
        <v>1300</v>
      </c>
    </row>
    <row r="1082" spans="1:6" ht="15.75" customHeight="1">
      <c r="A1082" t="s">
        <v>5625</v>
      </c>
      <c r="B1082">
        <v>45</v>
      </c>
      <c r="C1082" t="s">
        <v>143</v>
      </c>
      <c r="D1082">
        <v>4100</v>
      </c>
      <c r="E1082">
        <v>12.1</v>
      </c>
      <c r="F1082">
        <v>1300</v>
      </c>
    </row>
    <row r="1083" spans="1:6" ht="15.75" customHeight="1">
      <c r="A1083" t="s">
        <v>5626</v>
      </c>
      <c r="B1083">
        <v>45</v>
      </c>
      <c r="C1083" t="s">
        <v>143</v>
      </c>
      <c r="D1083">
        <v>1300</v>
      </c>
      <c r="E1083">
        <v>12.1</v>
      </c>
      <c r="F1083">
        <v>4100</v>
      </c>
    </row>
    <row r="1084" spans="1:6" ht="15.75" customHeight="1">
      <c r="A1084" t="s">
        <v>5627</v>
      </c>
      <c r="B1084">
        <v>45</v>
      </c>
      <c r="C1084" t="s">
        <v>143</v>
      </c>
      <c r="D1084">
        <v>1300</v>
      </c>
      <c r="E1084">
        <v>12.1</v>
      </c>
      <c r="F1084">
        <v>4100</v>
      </c>
    </row>
    <row r="1085" spans="1:6" ht="15.75" customHeight="1">
      <c r="A1085" t="s">
        <v>5628</v>
      </c>
      <c r="B1085">
        <v>45</v>
      </c>
      <c r="C1085" t="s">
        <v>143</v>
      </c>
      <c r="D1085">
        <v>1300</v>
      </c>
      <c r="E1085">
        <v>12.1</v>
      </c>
      <c r="F1085">
        <v>4100</v>
      </c>
    </row>
    <row r="1086" spans="1:6" ht="15.75" customHeight="1">
      <c r="A1086" t="s">
        <v>5629</v>
      </c>
      <c r="B1086">
        <v>45</v>
      </c>
      <c r="C1086" t="s">
        <v>143</v>
      </c>
      <c r="D1086">
        <v>1300</v>
      </c>
      <c r="E1086">
        <v>12.1</v>
      </c>
      <c r="F1086">
        <v>4100</v>
      </c>
    </row>
    <row r="1087" spans="1:6" ht="15.75" customHeight="1">
      <c r="A1087" t="s">
        <v>5630</v>
      </c>
      <c r="B1087">
        <v>45</v>
      </c>
      <c r="C1087" t="s">
        <v>143</v>
      </c>
      <c r="D1087">
        <v>4100</v>
      </c>
      <c r="E1087">
        <v>12.1</v>
      </c>
      <c r="F1087">
        <v>1300</v>
      </c>
    </row>
    <row r="1088" spans="1:6" ht="15.75" customHeight="1">
      <c r="A1088" t="s">
        <v>5631</v>
      </c>
      <c r="B1088">
        <v>45</v>
      </c>
      <c r="C1088" t="s">
        <v>143</v>
      </c>
      <c r="D1088">
        <v>4100</v>
      </c>
      <c r="E1088">
        <v>12.1</v>
      </c>
      <c r="F1088">
        <v>1300</v>
      </c>
    </row>
    <row r="1089" spans="1:8" ht="15.75" customHeight="1">
      <c r="A1089" t="s">
        <v>5632</v>
      </c>
      <c r="B1089">
        <v>45</v>
      </c>
      <c r="C1089" t="s">
        <v>143</v>
      </c>
      <c r="D1089">
        <v>1300</v>
      </c>
      <c r="E1089">
        <v>12.1</v>
      </c>
      <c r="F1089">
        <v>4100</v>
      </c>
    </row>
    <row r="1090" spans="1:8" ht="15.75" customHeight="1">
      <c r="A1090" t="s">
        <v>1607</v>
      </c>
      <c r="B1090">
        <v>45</v>
      </c>
      <c r="C1090" t="s">
        <v>143</v>
      </c>
      <c r="D1090">
        <v>4200</v>
      </c>
      <c r="E1090">
        <v>12.1</v>
      </c>
      <c r="F1090">
        <v>1310</v>
      </c>
    </row>
    <row r="1091" spans="1:8" ht="15.75" customHeight="1">
      <c r="A1091" t="s">
        <v>1608</v>
      </c>
      <c r="B1091">
        <v>45</v>
      </c>
      <c r="C1091" t="s">
        <v>143</v>
      </c>
      <c r="D1091">
        <v>4200</v>
      </c>
      <c r="E1091">
        <v>12.1</v>
      </c>
      <c r="F1091">
        <v>1310</v>
      </c>
    </row>
    <row r="1092" spans="1:8" ht="15.75" customHeight="1">
      <c r="A1092" t="s">
        <v>1609</v>
      </c>
      <c r="B1092">
        <v>45</v>
      </c>
      <c r="C1092" t="s">
        <v>143</v>
      </c>
      <c r="D1092">
        <v>4200</v>
      </c>
      <c r="E1092">
        <v>12.1</v>
      </c>
      <c r="F1092">
        <v>1310</v>
      </c>
    </row>
    <row r="1093" spans="1:8" ht="15.75" customHeight="1">
      <c r="A1093" t="s">
        <v>5633</v>
      </c>
      <c r="B1093">
        <v>45</v>
      </c>
      <c r="C1093" t="s">
        <v>143</v>
      </c>
      <c r="D1093">
        <v>4100</v>
      </c>
      <c r="E1093">
        <v>12.1</v>
      </c>
      <c r="F1093">
        <v>1300</v>
      </c>
    </row>
    <row r="1094" spans="1:8" ht="15.75" customHeight="1">
      <c r="A1094" t="s">
        <v>5634</v>
      </c>
      <c r="B1094">
        <v>45</v>
      </c>
      <c r="C1094" t="s">
        <v>143</v>
      </c>
      <c r="D1094">
        <v>4100</v>
      </c>
      <c r="E1094">
        <v>12.1</v>
      </c>
      <c r="F1094">
        <v>1300</v>
      </c>
    </row>
    <row r="1095" spans="1:8" ht="15.75" customHeight="1">
      <c r="A1095" t="s">
        <v>5635</v>
      </c>
      <c r="B1095">
        <v>45</v>
      </c>
      <c r="C1095" t="s">
        <v>143</v>
      </c>
      <c r="D1095">
        <v>4100</v>
      </c>
      <c r="E1095">
        <v>12.1</v>
      </c>
      <c r="F1095">
        <v>1300</v>
      </c>
    </row>
    <row r="1096" spans="1:8" ht="15.75" customHeight="1">
      <c r="A1096" t="s">
        <v>5636</v>
      </c>
      <c r="B1096">
        <v>45</v>
      </c>
      <c r="C1096" t="s">
        <v>143</v>
      </c>
      <c r="D1096">
        <v>4100</v>
      </c>
      <c r="E1096">
        <v>12.1</v>
      </c>
      <c r="F1096">
        <v>1300</v>
      </c>
    </row>
    <row r="1097" spans="1:8" ht="15.75" customHeight="1">
      <c r="A1097" t="s">
        <v>5637</v>
      </c>
      <c r="B1097">
        <v>45</v>
      </c>
      <c r="C1097" t="s">
        <v>143</v>
      </c>
      <c r="D1097">
        <v>4100</v>
      </c>
      <c r="E1097">
        <v>12.1</v>
      </c>
      <c r="F1097">
        <v>1300</v>
      </c>
    </row>
    <row r="1098" spans="1:8" ht="15.75" customHeight="1">
      <c r="A1098" t="s">
        <v>5638</v>
      </c>
      <c r="B1098">
        <v>45</v>
      </c>
      <c r="C1098" t="s">
        <v>143</v>
      </c>
      <c r="D1098">
        <v>4100</v>
      </c>
      <c r="E1098">
        <v>12.1</v>
      </c>
      <c r="F1098">
        <v>1300</v>
      </c>
    </row>
    <row r="1099" spans="1:8" ht="15.75" customHeight="1">
      <c r="A1099" t="s">
        <v>5639</v>
      </c>
      <c r="B1099">
        <v>45</v>
      </c>
      <c r="C1099" t="s">
        <v>143</v>
      </c>
      <c r="D1099">
        <v>4100</v>
      </c>
      <c r="E1099">
        <v>12.1</v>
      </c>
      <c r="F1099">
        <v>1300</v>
      </c>
    </row>
    <row r="1100" spans="1:8" ht="15.75" customHeight="1">
      <c r="A1100" t="s">
        <v>1610</v>
      </c>
      <c r="B1100">
        <v>1106</v>
      </c>
      <c r="C1100" t="s">
        <v>136</v>
      </c>
      <c r="D1100">
        <v>4100</v>
      </c>
      <c r="E1100">
        <v>38</v>
      </c>
      <c r="F1100">
        <v>600</v>
      </c>
      <c r="G1100" t="s">
        <v>1611</v>
      </c>
    </row>
    <row r="1101" spans="1:8" ht="15.75" customHeight="1">
      <c r="A1101" t="s">
        <v>1612</v>
      </c>
      <c r="B1101">
        <v>1106</v>
      </c>
      <c r="C1101" t="s">
        <v>136</v>
      </c>
      <c r="D1101">
        <v>4100</v>
      </c>
      <c r="E1101">
        <v>38</v>
      </c>
      <c r="F1101">
        <v>900</v>
      </c>
      <c r="G1101" t="s">
        <v>1611</v>
      </c>
      <c r="H1101" t="s">
        <v>1611</v>
      </c>
    </row>
    <row r="1102" spans="1:8" ht="15.75" customHeight="1">
      <c r="A1102" t="s">
        <v>1613</v>
      </c>
      <c r="B1102" t="s">
        <v>1614</v>
      </c>
      <c r="C1102" t="s">
        <v>136</v>
      </c>
      <c r="D1102">
        <v>4100</v>
      </c>
      <c r="E1102">
        <v>38</v>
      </c>
      <c r="F1102">
        <v>600</v>
      </c>
      <c r="G1102" t="s">
        <v>1611</v>
      </c>
    </row>
    <row r="1103" spans="1:8" ht="15.75" customHeight="1">
      <c r="A1103" t="s">
        <v>1615</v>
      </c>
      <c r="B1103" t="s">
        <v>1614</v>
      </c>
      <c r="C1103" t="s">
        <v>136</v>
      </c>
      <c r="D1103">
        <v>4100</v>
      </c>
      <c r="E1103">
        <v>38</v>
      </c>
      <c r="F1103">
        <v>900</v>
      </c>
      <c r="G1103" t="s">
        <v>1611</v>
      </c>
      <c r="H1103" t="s">
        <v>1611</v>
      </c>
    </row>
    <row r="1104" spans="1:8" ht="15.75" customHeight="1">
      <c r="A1104" t="s">
        <v>1616</v>
      </c>
      <c r="B1104" t="s">
        <v>1617</v>
      </c>
      <c r="C1104" t="s">
        <v>143</v>
      </c>
      <c r="D1104">
        <v>3660</v>
      </c>
      <c r="E1104">
        <v>13</v>
      </c>
      <c r="F1104">
        <v>630</v>
      </c>
      <c r="G1104" t="s">
        <v>1611</v>
      </c>
    </row>
    <row r="1105" spans="1:8" ht="15.75" customHeight="1">
      <c r="A1105" t="s">
        <v>1618</v>
      </c>
      <c r="B1105">
        <v>45</v>
      </c>
      <c r="C1105" t="s">
        <v>136</v>
      </c>
      <c r="D1105">
        <v>4200</v>
      </c>
      <c r="E1105">
        <v>12.1</v>
      </c>
      <c r="F1105">
        <v>1310</v>
      </c>
    </row>
    <row r="1106" spans="1:8" ht="15.75" customHeight="1">
      <c r="A1106" t="s">
        <v>1619</v>
      </c>
      <c r="B1106">
        <v>45</v>
      </c>
      <c r="C1106" t="s">
        <v>136</v>
      </c>
      <c r="D1106">
        <v>4200</v>
      </c>
      <c r="E1106">
        <v>12.1</v>
      </c>
      <c r="F1106">
        <v>1310</v>
      </c>
    </row>
    <row r="1107" spans="1:8" ht="15.75" customHeight="1">
      <c r="A1107" t="s">
        <v>1620</v>
      </c>
      <c r="B1107" t="s">
        <v>1621</v>
      </c>
      <c r="C1107" t="s">
        <v>143</v>
      </c>
      <c r="D1107">
        <v>3660</v>
      </c>
      <c r="E1107">
        <v>13</v>
      </c>
      <c r="F1107">
        <v>630</v>
      </c>
      <c r="G1107" t="s">
        <v>1611</v>
      </c>
    </row>
    <row r="1108" spans="1:8" ht="15.75" customHeight="1">
      <c r="A1108" t="s">
        <v>1622</v>
      </c>
      <c r="B1108">
        <v>45</v>
      </c>
      <c r="C1108" t="s">
        <v>136</v>
      </c>
      <c r="D1108">
        <v>4200</v>
      </c>
      <c r="E1108">
        <v>12.1</v>
      </c>
      <c r="F1108">
        <v>1310</v>
      </c>
    </row>
    <row r="1109" spans="1:8" ht="15.75" customHeight="1">
      <c r="A1109" t="s">
        <v>1623</v>
      </c>
      <c r="B1109" t="s">
        <v>1624</v>
      </c>
      <c r="C1109" t="s">
        <v>143</v>
      </c>
      <c r="D1109">
        <v>3660</v>
      </c>
      <c r="E1109">
        <v>13</v>
      </c>
      <c r="F1109">
        <v>630</v>
      </c>
      <c r="G1109" t="s">
        <v>1611</v>
      </c>
    </row>
    <row r="1110" spans="1:8" ht="15.75" customHeight="1">
      <c r="A1110" t="s">
        <v>1625</v>
      </c>
      <c r="B1110" t="s">
        <v>1626</v>
      </c>
      <c r="C1110" t="s">
        <v>143</v>
      </c>
      <c r="D1110">
        <v>3660</v>
      </c>
      <c r="E1110">
        <v>13</v>
      </c>
      <c r="F1110">
        <v>630</v>
      </c>
      <c r="G1110" t="s">
        <v>1611</v>
      </c>
    </row>
    <row r="1111" spans="1:8" ht="15.75" customHeight="1">
      <c r="A1111" t="s">
        <v>1627</v>
      </c>
      <c r="B1111">
        <v>32339</v>
      </c>
      <c r="C1111" t="s">
        <v>143</v>
      </c>
      <c r="D1111">
        <v>4100</v>
      </c>
      <c r="E1111">
        <v>38</v>
      </c>
      <c r="F1111">
        <v>600</v>
      </c>
      <c r="G1111" t="s">
        <v>1611</v>
      </c>
    </row>
    <row r="1112" spans="1:8" ht="15.75" customHeight="1">
      <c r="A1112" t="s">
        <v>1628</v>
      </c>
      <c r="B1112">
        <v>32339</v>
      </c>
      <c r="C1112" t="s">
        <v>143</v>
      </c>
      <c r="D1112">
        <v>4100</v>
      </c>
      <c r="E1112">
        <v>38</v>
      </c>
      <c r="F1112">
        <v>900</v>
      </c>
      <c r="G1112" t="s">
        <v>1611</v>
      </c>
      <c r="H1112" t="s">
        <v>1611</v>
      </c>
    </row>
    <row r="1113" spans="1:8" ht="15.75" customHeight="1">
      <c r="A1113" t="s">
        <v>1629</v>
      </c>
      <c r="B1113">
        <v>32360</v>
      </c>
      <c r="C1113" t="s">
        <v>143</v>
      </c>
      <c r="D1113">
        <v>4100</v>
      </c>
      <c r="E1113">
        <v>38</v>
      </c>
      <c r="F1113">
        <v>600</v>
      </c>
      <c r="G1113" t="s">
        <v>1611</v>
      </c>
    </row>
    <row r="1114" spans="1:8" ht="15.75" customHeight="1">
      <c r="A1114" t="s">
        <v>1630</v>
      </c>
      <c r="B1114">
        <v>32360</v>
      </c>
      <c r="C1114" t="s">
        <v>143</v>
      </c>
      <c r="D1114">
        <v>4100</v>
      </c>
      <c r="E1114">
        <v>38</v>
      </c>
      <c r="F1114">
        <v>900</v>
      </c>
      <c r="G1114" t="s">
        <v>1611</v>
      </c>
      <c r="H1114" t="s">
        <v>1611</v>
      </c>
    </row>
    <row r="1115" spans="1:8" ht="15.75" customHeight="1">
      <c r="A1115" t="s">
        <v>1631</v>
      </c>
      <c r="B1115">
        <v>34318</v>
      </c>
      <c r="C1115" t="s">
        <v>143</v>
      </c>
      <c r="D1115">
        <v>4100</v>
      </c>
      <c r="E1115">
        <v>38</v>
      </c>
      <c r="F1115">
        <v>600</v>
      </c>
      <c r="G1115" t="s">
        <v>1611</v>
      </c>
    </row>
    <row r="1116" spans="1:8" ht="15.75" customHeight="1">
      <c r="A1116" t="s">
        <v>1632</v>
      </c>
      <c r="B1116">
        <v>34318</v>
      </c>
      <c r="C1116" t="s">
        <v>143</v>
      </c>
      <c r="D1116">
        <v>4100</v>
      </c>
      <c r="E1116">
        <v>38</v>
      </c>
      <c r="F1116">
        <v>900</v>
      </c>
      <c r="G1116" t="s">
        <v>1611</v>
      </c>
      <c r="H1116" t="s">
        <v>1611</v>
      </c>
    </row>
    <row r="1117" spans="1:8" ht="15.75" customHeight="1">
      <c r="A1117" t="s">
        <v>1633</v>
      </c>
      <c r="B1117">
        <v>34321</v>
      </c>
      <c r="C1117" t="s">
        <v>143</v>
      </c>
      <c r="D1117">
        <v>4100</v>
      </c>
      <c r="E1117">
        <v>38</v>
      </c>
      <c r="F1117">
        <v>600</v>
      </c>
      <c r="G1117" t="s">
        <v>1611</v>
      </c>
    </row>
    <row r="1118" spans="1:8" ht="15.75" customHeight="1">
      <c r="A1118" t="s">
        <v>1634</v>
      </c>
      <c r="B1118">
        <v>34321</v>
      </c>
      <c r="C1118" t="s">
        <v>143</v>
      </c>
      <c r="D1118">
        <v>4100</v>
      </c>
      <c r="E1118">
        <v>38</v>
      </c>
      <c r="F1118">
        <v>900</v>
      </c>
      <c r="G1118" t="s">
        <v>1611</v>
      </c>
      <c r="H1118" t="s">
        <v>1611</v>
      </c>
    </row>
    <row r="1119" spans="1:8" ht="15.75" customHeight="1">
      <c r="A1119" t="s">
        <v>1635</v>
      </c>
      <c r="B1119">
        <v>45</v>
      </c>
      <c r="C1119" t="s">
        <v>143</v>
      </c>
      <c r="D1119">
        <v>4200</v>
      </c>
      <c r="E1119">
        <v>12.1</v>
      </c>
      <c r="F1119">
        <v>1620</v>
      </c>
    </row>
    <row r="1120" spans="1:8" ht="15.75" customHeight="1">
      <c r="A1120" t="s">
        <v>1636</v>
      </c>
      <c r="B1120">
        <v>35252</v>
      </c>
      <c r="C1120" t="s">
        <v>143</v>
      </c>
      <c r="D1120">
        <v>4100</v>
      </c>
      <c r="E1120">
        <v>38</v>
      </c>
      <c r="F1120">
        <v>600</v>
      </c>
      <c r="G1120" t="s">
        <v>1611</v>
      </c>
    </row>
    <row r="1121" spans="1:8" ht="15.75" customHeight="1">
      <c r="A1121" t="s">
        <v>1637</v>
      </c>
      <c r="B1121">
        <v>35252</v>
      </c>
      <c r="C1121" t="s">
        <v>143</v>
      </c>
      <c r="D1121">
        <v>4100</v>
      </c>
      <c r="E1121">
        <v>38</v>
      </c>
      <c r="F1121">
        <v>900</v>
      </c>
      <c r="G1121" t="s">
        <v>1611</v>
      </c>
      <c r="H1121" t="s">
        <v>1611</v>
      </c>
    </row>
    <row r="1122" spans="1:8" ht="15.75" customHeight="1">
      <c r="A1122" t="s">
        <v>1638</v>
      </c>
      <c r="B1122">
        <v>37905</v>
      </c>
      <c r="C1122" t="s">
        <v>136</v>
      </c>
      <c r="D1122">
        <v>4100</v>
      </c>
      <c r="E1122">
        <v>38</v>
      </c>
      <c r="F1122">
        <v>600</v>
      </c>
      <c r="G1122" t="s">
        <v>1611</v>
      </c>
    </row>
    <row r="1123" spans="1:8" ht="15.75" customHeight="1">
      <c r="A1123" t="s">
        <v>1639</v>
      </c>
      <c r="B1123">
        <v>37905</v>
      </c>
      <c r="C1123" t="s">
        <v>136</v>
      </c>
      <c r="D1123">
        <v>4100</v>
      </c>
      <c r="E1123">
        <v>38</v>
      </c>
      <c r="F1123">
        <v>900</v>
      </c>
      <c r="G1123" t="s">
        <v>1611</v>
      </c>
      <c r="H1123" t="s">
        <v>1611</v>
      </c>
    </row>
    <row r="1124" spans="1:8" ht="15.75" customHeight="1">
      <c r="A1124" t="s">
        <v>1640</v>
      </c>
      <c r="B1124">
        <v>37978</v>
      </c>
      <c r="C1124" t="s">
        <v>136</v>
      </c>
      <c r="D1124">
        <v>4100</v>
      </c>
      <c r="E1124">
        <v>38</v>
      </c>
      <c r="F1124">
        <v>600</v>
      </c>
      <c r="G1124" t="s">
        <v>1611</v>
      </c>
    </row>
    <row r="1125" spans="1:8" ht="15.75" customHeight="1">
      <c r="A1125" t="s">
        <v>1641</v>
      </c>
      <c r="B1125">
        <v>37978</v>
      </c>
      <c r="C1125" t="s">
        <v>136</v>
      </c>
      <c r="D1125">
        <v>4100</v>
      </c>
      <c r="E1125">
        <v>38</v>
      </c>
      <c r="F1125">
        <v>900</v>
      </c>
      <c r="G1125" t="s">
        <v>1611</v>
      </c>
      <c r="H1125" t="s">
        <v>1611</v>
      </c>
    </row>
    <row r="1126" spans="1:8" ht="15.75" customHeight="1">
      <c r="A1126" t="s">
        <v>1642</v>
      </c>
      <c r="B1126">
        <v>37979</v>
      </c>
      <c r="C1126" t="s">
        <v>136</v>
      </c>
      <c r="D1126">
        <v>4100</v>
      </c>
      <c r="E1126">
        <v>38</v>
      </c>
      <c r="F1126">
        <v>600</v>
      </c>
      <c r="G1126" t="s">
        <v>1611</v>
      </c>
    </row>
    <row r="1127" spans="1:8" ht="15.75" customHeight="1">
      <c r="A1127" t="s">
        <v>1643</v>
      </c>
      <c r="B1127">
        <v>37979</v>
      </c>
      <c r="C1127" t="s">
        <v>136</v>
      </c>
      <c r="D1127">
        <v>4100</v>
      </c>
      <c r="E1127">
        <v>38</v>
      </c>
      <c r="F1127">
        <v>900</v>
      </c>
      <c r="G1127" t="s">
        <v>1611</v>
      </c>
      <c r="H1127" t="s">
        <v>1611</v>
      </c>
    </row>
    <row r="1128" spans="1:8" ht="15.75" customHeight="1">
      <c r="A1128" t="s">
        <v>1644</v>
      </c>
      <c r="B1128">
        <v>38356</v>
      </c>
      <c r="C1128" t="s">
        <v>136</v>
      </c>
      <c r="D1128">
        <v>4100</v>
      </c>
      <c r="E1128">
        <v>38</v>
      </c>
      <c r="F1128">
        <v>600</v>
      </c>
      <c r="G1128" t="s">
        <v>1611</v>
      </c>
    </row>
    <row r="1129" spans="1:8" ht="15.75" customHeight="1">
      <c r="A1129" t="s">
        <v>1645</v>
      </c>
      <c r="B1129">
        <v>38356</v>
      </c>
      <c r="C1129" t="s">
        <v>136</v>
      </c>
      <c r="D1129">
        <v>4100</v>
      </c>
      <c r="E1129">
        <v>38</v>
      </c>
      <c r="F1129">
        <v>900</v>
      </c>
      <c r="G1129" t="s">
        <v>1611</v>
      </c>
      <c r="H1129" t="s">
        <v>1611</v>
      </c>
    </row>
    <row r="1130" spans="1:8" ht="15.75" customHeight="1">
      <c r="A1130" t="s">
        <v>1646</v>
      </c>
      <c r="B1130">
        <v>45</v>
      </c>
      <c r="C1130" t="s">
        <v>143</v>
      </c>
      <c r="D1130">
        <v>4200</v>
      </c>
      <c r="E1130">
        <v>12.1</v>
      </c>
      <c r="F1130">
        <v>1310</v>
      </c>
    </row>
    <row r="1131" spans="1:8" ht="15.75" customHeight="1">
      <c r="A1131" t="s">
        <v>1647</v>
      </c>
      <c r="B1131">
        <v>45</v>
      </c>
      <c r="C1131" t="s">
        <v>136</v>
      </c>
      <c r="D1131">
        <v>4200</v>
      </c>
      <c r="E1131">
        <v>12.1</v>
      </c>
      <c r="F1131">
        <v>1310</v>
      </c>
    </row>
    <row r="1132" spans="1:8" ht="15.75" customHeight="1">
      <c r="A1132" t="s">
        <v>1648</v>
      </c>
      <c r="B1132">
        <v>42207</v>
      </c>
      <c r="C1132" t="s">
        <v>136</v>
      </c>
      <c r="D1132">
        <v>4100</v>
      </c>
      <c r="E1132">
        <v>38</v>
      </c>
      <c r="F1132">
        <v>600</v>
      </c>
      <c r="G1132" t="s">
        <v>1611</v>
      </c>
    </row>
    <row r="1133" spans="1:8" ht="15.75" customHeight="1">
      <c r="A1133" t="s">
        <v>1649</v>
      </c>
      <c r="B1133">
        <v>42207</v>
      </c>
      <c r="C1133" t="s">
        <v>136</v>
      </c>
      <c r="D1133">
        <v>4100</v>
      </c>
      <c r="E1133">
        <v>38</v>
      </c>
      <c r="F1133">
        <v>900</v>
      </c>
      <c r="G1133" t="s">
        <v>1611</v>
      </c>
      <c r="H1133" t="s">
        <v>1611</v>
      </c>
    </row>
    <row r="1134" spans="1:8" ht="15.75" customHeight="1">
      <c r="A1134" t="s">
        <v>1650</v>
      </c>
      <c r="B1134">
        <v>42238</v>
      </c>
      <c r="C1134" t="s">
        <v>143</v>
      </c>
      <c r="D1134">
        <v>4100</v>
      </c>
      <c r="E1134">
        <v>38</v>
      </c>
      <c r="F1134">
        <v>600</v>
      </c>
      <c r="G1134" t="s">
        <v>1611</v>
      </c>
    </row>
    <row r="1135" spans="1:8" ht="15.75" customHeight="1">
      <c r="A1135" t="s">
        <v>1651</v>
      </c>
      <c r="B1135">
        <v>42238</v>
      </c>
      <c r="C1135" t="s">
        <v>143</v>
      </c>
      <c r="D1135">
        <v>4100</v>
      </c>
      <c r="E1135">
        <v>38</v>
      </c>
      <c r="F1135">
        <v>900</v>
      </c>
      <c r="G1135" t="s">
        <v>1611</v>
      </c>
      <c r="H1135" t="s">
        <v>1611</v>
      </c>
    </row>
    <row r="1136" spans="1:8" ht="15.75" customHeight="1">
      <c r="A1136" t="s">
        <v>1652</v>
      </c>
      <c r="B1136">
        <v>42364</v>
      </c>
      <c r="C1136" t="s">
        <v>136</v>
      </c>
      <c r="D1136">
        <v>4100</v>
      </c>
      <c r="E1136">
        <v>38</v>
      </c>
      <c r="F1136">
        <v>600</v>
      </c>
      <c r="G1136" t="s">
        <v>1611</v>
      </c>
    </row>
    <row r="1137" spans="1:8" ht="15.75" customHeight="1">
      <c r="A1137" t="s">
        <v>1653</v>
      </c>
      <c r="B1137">
        <v>42364</v>
      </c>
      <c r="C1137" t="s">
        <v>136</v>
      </c>
      <c r="D1137">
        <v>4100</v>
      </c>
      <c r="E1137">
        <v>38</v>
      </c>
      <c r="F1137">
        <v>900</v>
      </c>
      <c r="G1137" t="s">
        <v>1611</v>
      </c>
      <c r="H1137" t="s">
        <v>1611</v>
      </c>
    </row>
    <row r="1138" spans="1:8" ht="15.75" customHeight="1">
      <c r="A1138" t="s">
        <v>1654</v>
      </c>
      <c r="B1138">
        <v>44374</v>
      </c>
      <c r="C1138" t="s">
        <v>136</v>
      </c>
      <c r="D1138">
        <v>4100</v>
      </c>
      <c r="E1138">
        <v>38</v>
      </c>
      <c r="F1138">
        <v>600</v>
      </c>
      <c r="G1138" t="s">
        <v>1611</v>
      </c>
    </row>
    <row r="1139" spans="1:8" ht="15.75" customHeight="1">
      <c r="A1139" t="s">
        <v>1655</v>
      </c>
      <c r="B1139">
        <v>44374</v>
      </c>
      <c r="C1139" t="s">
        <v>136</v>
      </c>
      <c r="D1139">
        <v>4100</v>
      </c>
      <c r="E1139">
        <v>38</v>
      </c>
      <c r="F1139">
        <v>900</v>
      </c>
      <c r="G1139" t="s">
        <v>1611</v>
      </c>
      <c r="H1139" t="s">
        <v>1611</v>
      </c>
    </row>
    <row r="1140" spans="1:8" ht="15.75" customHeight="1">
      <c r="A1140" t="s">
        <v>1656</v>
      </c>
      <c r="B1140">
        <v>44375</v>
      </c>
      <c r="C1140" t="s">
        <v>136</v>
      </c>
      <c r="D1140">
        <v>4100</v>
      </c>
      <c r="E1140">
        <v>38</v>
      </c>
      <c r="F1140">
        <v>600</v>
      </c>
      <c r="G1140" t="s">
        <v>1611</v>
      </c>
    </row>
    <row r="1141" spans="1:8" ht="15.75" customHeight="1">
      <c r="A1141" t="s">
        <v>1657</v>
      </c>
      <c r="B1141">
        <v>44375</v>
      </c>
      <c r="C1141" t="s">
        <v>143</v>
      </c>
      <c r="D1141">
        <v>4100</v>
      </c>
      <c r="E1141">
        <v>38</v>
      </c>
      <c r="F1141">
        <v>900</v>
      </c>
      <c r="G1141" t="s">
        <v>1611</v>
      </c>
      <c r="H1141" t="s">
        <v>1611</v>
      </c>
    </row>
    <row r="1142" spans="1:8" ht="15.75" customHeight="1">
      <c r="A1142" t="s">
        <v>1658</v>
      </c>
      <c r="B1142">
        <v>45273</v>
      </c>
      <c r="C1142" t="s">
        <v>136</v>
      </c>
      <c r="D1142">
        <v>4100</v>
      </c>
      <c r="E1142">
        <v>38</v>
      </c>
      <c r="F1142">
        <v>600</v>
      </c>
      <c r="G1142" t="s">
        <v>1611</v>
      </c>
    </row>
    <row r="1143" spans="1:8" ht="15.75" customHeight="1">
      <c r="A1143" t="s">
        <v>1659</v>
      </c>
      <c r="B1143">
        <v>45273</v>
      </c>
      <c r="C1143" t="s">
        <v>136</v>
      </c>
      <c r="D1143">
        <v>4100</v>
      </c>
      <c r="E1143">
        <v>38</v>
      </c>
      <c r="F1143">
        <v>900</v>
      </c>
      <c r="G1143" t="s">
        <v>1611</v>
      </c>
      <c r="H1143" t="s">
        <v>1611</v>
      </c>
    </row>
    <row r="1144" spans="1:8" ht="15.75" customHeight="1">
      <c r="A1144" t="s">
        <v>1660</v>
      </c>
      <c r="B1144">
        <v>45274</v>
      </c>
      <c r="C1144" t="s">
        <v>136</v>
      </c>
      <c r="D1144">
        <v>4100</v>
      </c>
      <c r="E1144">
        <v>38</v>
      </c>
      <c r="F1144">
        <v>600</v>
      </c>
      <c r="G1144" t="s">
        <v>1611</v>
      </c>
    </row>
    <row r="1145" spans="1:8" ht="14.25">
      <c r="A1145" t="s">
        <v>1661</v>
      </c>
      <c r="B1145">
        <v>45274</v>
      </c>
      <c r="C1145" t="s">
        <v>136</v>
      </c>
      <c r="D1145">
        <v>4100</v>
      </c>
      <c r="E1145">
        <v>38</v>
      </c>
      <c r="F1145">
        <v>900</v>
      </c>
      <c r="G1145" t="s">
        <v>1611</v>
      </c>
      <c r="H1145" t="s">
        <v>1611</v>
      </c>
    </row>
    <row r="1146" spans="1:8" ht="14.25">
      <c r="A1146" t="s">
        <v>1662</v>
      </c>
      <c r="B1146">
        <v>47980</v>
      </c>
      <c r="C1146" t="s">
        <v>136</v>
      </c>
      <c r="D1146">
        <v>4100</v>
      </c>
      <c r="E1146">
        <v>38</v>
      </c>
      <c r="F1146">
        <v>600</v>
      </c>
      <c r="G1146" t="s">
        <v>1611</v>
      </c>
    </row>
    <row r="1147" spans="1:8" ht="14.25">
      <c r="A1147" t="s">
        <v>1663</v>
      </c>
      <c r="B1147">
        <v>47980</v>
      </c>
      <c r="C1147" t="s">
        <v>136</v>
      </c>
      <c r="D1147">
        <v>4100</v>
      </c>
      <c r="E1147">
        <v>38</v>
      </c>
      <c r="F1147">
        <v>900</v>
      </c>
      <c r="G1147" t="s">
        <v>1611</v>
      </c>
      <c r="H1147" t="s">
        <v>1611</v>
      </c>
    </row>
    <row r="1148" spans="1:8" ht="14.25">
      <c r="A1148" t="s">
        <v>1664</v>
      </c>
      <c r="B1148">
        <v>47981</v>
      </c>
      <c r="C1148" t="s">
        <v>136</v>
      </c>
      <c r="D1148">
        <v>4100</v>
      </c>
      <c r="E1148">
        <v>38</v>
      </c>
      <c r="F1148">
        <v>600</v>
      </c>
      <c r="G1148" t="s">
        <v>1611</v>
      </c>
    </row>
    <row r="1149" spans="1:8" ht="14.25">
      <c r="A1149" t="s">
        <v>1665</v>
      </c>
      <c r="B1149">
        <v>47981</v>
      </c>
      <c r="C1149" t="s">
        <v>136</v>
      </c>
      <c r="D1149">
        <v>4100</v>
      </c>
      <c r="E1149">
        <v>38</v>
      </c>
      <c r="F1149">
        <v>900</v>
      </c>
      <c r="G1149" t="s">
        <v>1611</v>
      </c>
      <c r="H1149" t="s">
        <v>1611</v>
      </c>
    </row>
    <row r="1150" spans="1:8" ht="14.25">
      <c r="A1150" t="s">
        <v>1666</v>
      </c>
      <c r="B1150">
        <v>45</v>
      </c>
      <c r="C1150" t="s">
        <v>143</v>
      </c>
      <c r="D1150">
        <v>4200</v>
      </c>
      <c r="E1150">
        <v>12.1</v>
      </c>
      <c r="F1150">
        <v>1310</v>
      </c>
    </row>
    <row r="1151" spans="1:8" ht="14.25">
      <c r="A1151" t="s">
        <v>1667</v>
      </c>
      <c r="B1151">
        <v>45</v>
      </c>
      <c r="C1151" t="s">
        <v>143</v>
      </c>
      <c r="D1151">
        <v>4200</v>
      </c>
      <c r="E1151">
        <v>12.1</v>
      </c>
      <c r="F1151">
        <v>1310</v>
      </c>
    </row>
    <row r="1152" spans="1:8" ht="14.25">
      <c r="A1152" t="s">
        <v>1668</v>
      </c>
      <c r="B1152">
        <v>45</v>
      </c>
      <c r="C1152" t="s">
        <v>143</v>
      </c>
      <c r="D1152">
        <v>4200</v>
      </c>
      <c r="E1152">
        <v>12.1</v>
      </c>
      <c r="F1152">
        <v>1310</v>
      </c>
    </row>
    <row r="1153" spans="1:7" ht="14.25">
      <c r="A1153" t="s">
        <v>1669</v>
      </c>
      <c r="B1153" t="s">
        <v>1670</v>
      </c>
      <c r="C1153" t="s">
        <v>143</v>
      </c>
      <c r="D1153">
        <v>3660</v>
      </c>
      <c r="E1153">
        <v>13</v>
      </c>
      <c r="F1153">
        <v>630</v>
      </c>
      <c r="G1153" t="s">
        <v>1611</v>
      </c>
    </row>
    <row r="1154" spans="1:7" ht="14.25">
      <c r="A1154" t="s">
        <v>1671</v>
      </c>
      <c r="B1154">
        <v>45</v>
      </c>
      <c r="C1154" t="s">
        <v>143</v>
      </c>
      <c r="D1154">
        <v>4200</v>
      </c>
      <c r="E1154">
        <v>12.1</v>
      </c>
      <c r="F1154">
        <v>1620</v>
      </c>
    </row>
    <row r="1155" spans="1:7" ht="14.25">
      <c r="A1155" t="s">
        <v>1672</v>
      </c>
      <c r="B1155">
        <v>45</v>
      </c>
      <c r="C1155" t="s">
        <v>143</v>
      </c>
      <c r="D1155">
        <v>4200</v>
      </c>
      <c r="E1155">
        <v>12.1</v>
      </c>
      <c r="F1155">
        <v>1620</v>
      </c>
    </row>
    <row r="1156" spans="1:7" ht="14.25">
      <c r="A1156" t="s">
        <v>1673</v>
      </c>
      <c r="B1156">
        <v>45</v>
      </c>
      <c r="C1156" t="s">
        <v>143</v>
      </c>
      <c r="D1156">
        <v>4200</v>
      </c>
      <c r="E1156">
        <v>12.1</v>
      </c>
      <c r="F1156">
        <v>1620</v>
      </c>
    </row>
    <row r="1157" spans="1:7" ht="14.25">
      <c r="A1157" t="s">
        <v>1674</v>
      </c>
      <c r="B1157">
        <v>45</v>
      </c>
      <c r="C1157" t="s">
        <v>136</v>
      </c>
      <c r="D1157">
        <v>4200</v>
      </c>
      <c r="E1157">
        <v>12.1</v>
      </c>
      <c r="F1157">
        <v>1620</v>
      </c>
    </row>
    <row r="1158" spans="1:7" ht="14.25">
      <c r="A1158" t="s">
        <v>1675</v>
      </c>
      <c r="B1158">
        <v>45</v>
      </c>
      <c r="C1158" t="s">
        <v>143</v>
      </c>
      <c r="D1158">
        <v>4200</v>
      </c>
      <c r="E1158">
        <v>12.1</v>
      </c>
      <c r="F1158">
        <v>1620</v>
      </c>
    </row>
    <row r="1159" spans="1:7" ht="14.25">
      <c r="A1159" t="s">
        <v>1676</v>
      </c>
      <c r="B1159">
        <v>45</v>
      </c>
      <c r="C1159" t="s">
        <v>143</v>
      </c>
      <c r="D1159">
        <v>4200</v>
      </c>
      <c r="E1159">
        <v>12.1</v>
      </c>
      <c r="F1159">
        <v>1620</v>
      </c>
    </row>
    <row r="1160" spans="1:7" ht="14.25">
      <c r="A1160" t="s">
        <v>1677</v>
      </c>
      <c r="B1160">
        <v>45</v>
      </c>
      <c r="C1160" t="s">
        <v>143</v>
      </c>
      <c r="D1160">
        <v>4200</v>
      </c>
      <c r="E1160">
        <v>12.1</v>
      </c>
      <c r="F1160">
        <v>1620</v>
      </c>
    </row>
    <row r="1161" spans="1:7" ht="14.25">
      <c r="A1161" t="s">
        <v>1678</v>
      </c>
      <c r="B1161">
        <v>45</v>
      </c>
      <c r="C1161" t="s">
        <v>143</v>
      </c>
      <c r="D1161">
        <v>4200</v>
      </c>
      <c r="E1161">
        <v>12.1</v>
      </c>
      <c r="F1161">
        <v>1620</v>
      </c>
    </row>
    <row r="1162" spans="1:7" ht="14.25">
      <c r="A1162" t="s">
        <v>1679</v>
      </c>
      <c r="B1162">
        <v>45</v>
      </c>
      <c r="C1162" t="s">
        <v>143</v>
      </c>
      <c r="D1162">
        <v>4200</v>
      </c>
      <c r="E1162">
        <v>12.1</v>
      </c>
      <c r="F1162">
        <v>1620</v>
      </c>
    </row>
    <row r="1163" spans="1:7" ht="14.25">
      <c r="A1163" t="s">
        <v>1680</v>
      </c>
      <c r="B1163">
        <v>45</v>
      </c>
      <c r="C1163" t="s">
        <v>143</v>
      </c>
      <c r="D1163">
        <v>4200</v>
      </c>
      <c r="E1163">
        <v>12.1</v>
      </c>
      <c r="F1163">
        <v>1310</v>
      </c>
    </row>
    <row r="1164" spans="1:7" ht="14.25">
      <c r="A1164" t="s">
        <v>1681</v>
      </c>
      <c r="B1164">
        <v>45</v>
      </c>
      <c r="C1164" t="s">
        <v>143</v>
      </c>
      <c r="D1164">
        <v>4200</v>
      </c>
      <c r="E1164">
        <v>12.1</v>
      </c>
      <c r="F1164">
        <v>1620</v>
      </c>
    </row>
    <row r="1165" spans="1:7" ht="14.25">
      <c r="A1165" t="s">
        <v>1682</v>
      </c>
      <c r="B1165">
        <v>45</v>
      </c>
      <c r="C1165" t="s">
        <v>143</v>
      </c>
      <c r="D1165">
        <v>4200</v>
      </c>
      <c r="E1165">
        <v>12.1</v>
      </c>
      <c r="F1165">
        <v>1310</v>
      </c>
    </row>
    <row r="1166" spans="1:7" ht="14.25">
      <c r="A1166" t="s">
        <v>1683</v>
      </c>
      <c r="B1166">
        <v>45</v>
      </c>
      <c r="C1166" t="s">
        <v>143</v>
      </c>
      <c r="D1166">
        <v>4200</v>
      </c>
      <c r="E1166">
        <v>12.1</v>
      </c>
      <c r="F1166">
        <v>1620</v>
      </c>
    </row>
    <row r="1167" spans="1:7" ht="14.25">
      <c r="A1167" t="s">
        <v>1684</v>
      </c>
      <c r="B1167">
        <v>45</v>
      </c>
      <c r="C1167" t="s">
        <v>143</v>
      </c>
      <c r="D1167">
        <v>4200</v>
      </c>
      <c r="E1167">
        <v>12.1</v>
      </c>
      <c r="F1167">
        <v>1620</v>
      </c>
    </row>
    <row r="1168" spans="1:7" ht="14.25">
      <c r="A1168" t="s">
        <v>1685</v>
      </c>
      <c r="B1168">
        <v>45</v>
      </c>
      <c r="C1168" t="s">
        <v>143</v>
      </c>
      <c r="D1168">
        <v>4200</v>
      </c>
      <c r="E1168">
        <v>12.1</v>
      </c>
      <c r="F1168">
        <v>1310</v>
      </c>
    </row>
    <row r="1169" spans="1:8" ht="14.25">
      <c r="A1169" t="s">
        <v>1686</v>
      </c>
      <c r="B1169">
        <v>45</v>
      </c>
      <c r="C1169" t="s">
        <v>143</v>
      </c>
      <c r="D1169">
        <v>4200</v>
      </c>
      <c r="E1169">
        <v>12.1</v>
      </c>
      <c r="F1169">
        <v>1620</v>
      </c>
    </row>
    <row r="1170" spans="1:8" ht="14.25">
      <c r="A1170" t="s">
        <v>1687</v>
      </c>
      <c r="B1170">
        <v>45</v>
      </c>
      <c r="C1170" t="s">
        <v>143</v>
      </c>
      <c r="D1170">
        <v>4200</v>
      </c>
      <c r="E1170">
        <v>12.1</v>
      </c>
      <c r="F1170">
        <v>1620</v>
      </c>
    </row>
    <row r="1171" spans="1:8" ht="14.25">
      <c r="A1171" t="s">
        <v>1688</v>
      </c>
      <c r="C1171" t="s">
        <v>143</v>
      </c>
      <c r="D1171">
        <v>4200</v>
      </c>
      <c r="E1171">
        <v>12.1</v>
      </c>
      <c r="F1171">
        <v>1310</v>
      </c>
    </row>
    <row r="1172" spans="1:8" ht="14.25">
      <c r="A1172" t="s">
        <v>1689</v>
      </c>
      <c r="B1172">
        <v>45</v>
      </c>
      <c r="C1172" t="s">
        <v>143</v>
      </c>
      <c r="D1172">
        <v>4200</v>
      </c>
      <c r="E1172">
        <v>12.1</v>
      </c>
      <c r="F1172">
        <v>1620</v>
      </c>
    </row>
    <row r="1173" spans="1:8" ht="14.25">
      <c r="A1173" t="s">
        <v>1690</v>
      </c>
      <c r="B1173">
        <v>45</v>
      </c>
      <c r="C1173" t="s">
        <v>143</v>
      </c>
      <c r="D1173">
        <v>4200</v>
      </c>
      <c r="E1173">
        <v>12.1</v>
      </c>
      <c r="F1173">
        <v>1620</v>
      </c>
    </row>
    <row r="1174" spans="1:8" ht="14.25">
      <c r="A1174" t="s">
        <v>1691</v>
      </c>
      <c r="B1174">
        <v>45</v>
      </c>
      <c r="C1174" t="s">
        <v>143</v>
      </c>
      <c r="D1174">
        <v>4200</v>
      </c>
      <c r="E1174">
        <v>12.1</v>
      </c>
      <c r="F1174">
        <v>1620</v>
      </c>
    </row>
    <row r="1175" spans="1:8" ht="14.25">
      <c r="A1175" t="s">
        <v>1692</v>
      </c>
      <c r="B1175">
        <v>45</v>
      </c>
      <c r="C1175" t="s">
        <v>143</v>
      </c>
      <c r="D1175">
        <v>4200</v>
      </c>
      <c r="E1175">
        <v>12.1</v>
      </c>
      <c r="F1175">
        <v>1620</v>
      </c>
    </row>
    <row r="1176" spans="1:8" ht="14.25">
      <c r="A1176" t="s">
        <v>1693</v>
      </c>
      <c r="B1176">
        <v>45</v>
      </c>
      <c r="C1176" t="s">
        <v>143</v>
      </c>
      <c r="D1176">
        <v>4200</v>
      </c>
      <c r="E1176">
        <v>12.1</v>
      </c>
      <c r="F1176">
        <v>1620</v>
      </c>
    </row>
    <row r="1177" spans="1:8" ht="14.25">
      <c r="A1177" t="s">
        <v>1694</v>
      </c>
      <c r="B1177">
        <v>45</v>
      </c>
      <c r="C1177" t="s">
        <v>143</v>
      </c>
      <c r="D1177">
        <v>4200</v>
      </c>
      <c r="E1177">
        <v>12.1</v>
      </c>
      <c r="F1177">
        <v>1620</v>
      </c>
    </row>
    <row r="1178" spans="1:8" ht="14.25">
      <c r="A1178" t="s">
        <v>1695</v>
      </c>
      <c r="B1178">
        <v>45</v>
      </c>
      <c r="C1178" t="s">
        <v>136</v>
      </c>
      <c r="D1178">
        <v>4200</v>
      </c>
      <c r="E1178">
        <v>12.1</v>
      </c>
      <c r="F1178">
        <v>1310</v>
      </c>
    </row>
    <row r="1179" spans="1:8" ht="14.25">
      <c r="A1179" t="s">
        <v>1696</v>
      </c>
      <c r="B1179" t="s">
        <v>1697</v>
      </c>
      <c r="C1179" t="s">
        <v>143</v>
      </c>
      <c r="D1179">
        <v>3660</v>
      </c>
      <c r="E1179">
        <v>13</v>
      </c>
      <c r="F1179">
        <v>630</v>
      </c>
      <c r="G1179" t="s">
        <v>1611</v>
      </c>
    </row>
    <row r="1180" spans="1:8" ht="14.25">
      <c r="A1180" t="s">
        <v>1698</v>
      </c>
      <c r="B1180" t="s">
        <v>1699</v>
      </c>
      <c r="C1180" t="s">
        <v>143</v>
      </c>
      <c r="D1180">
        <v>3660</v>
      </c>
      <c r="E1180">
        <v>13</v>
      </c>
      <c r="F1180">
        <v>630</v>
      </c>
      <c r="G1180" t="s">
        <v>1611</v>
      </c>
    </row>
    <row r="1181" spans="1:8" ht="14.25">
      <c r="A1181" t="s">
        <v>1700</v>
      </c>
      <c r="B1181" t="s">
        <v>1701</v>
      </c>
      <c r="C1181" t="s">
        <v>143</v>
      </c>
      <c r="D1181">
        <v>3660</v>
      </c>
      <c r="E1181">
        <v>13</v>
      </c>
      <c r="F1181">
        <v>630</v>
      </c>
      <c r="G1181" t="s">
        <v>1611</v>
      </c>
    </row>
    <row r="1182" spans="1:8" ht="14.25">
      <c r="A1182" t="s">
        <v>1702</v>
      </c>
      <c r="B1182" t="s">
        <v>1703</v>
      </c>
      <c r="C1182" t="s">
        <v>143</v>
      </c>
      <c r="D1182">
        <v>4100</v>
      </c>
      <c r="E1182">
        <v>38</v>
      </c>
      <c r="F1182">
        <v>600</v>
      </c>
      <c r="G1182" t="s">
        <v>1611</v>
      </c>
    </row>
    <row r="1183" spans="1:8" ht="14.25">
      <c r="A1183" t="s">
        <v>1704</v>
      </c>
      <c r="B1183" t="s">
        <v>1703</v>
      </c>
      <c r="C1183" t="s">
        <v>143</v>
      </c>
      <c r="D1183">
        <v>4100</v>
      </c>
      <c r="E1183">
        <v>38</v>
      </c>
      <c r="F1183">
        <v>920</v>
      </c>
      <c r="G1183" t="s">
        <v>1611</v>
      </c>
      <c r="H1183" t="s">
        <v>1611</v>
      </c>
    </row>
    <row r="1184" spans="1:8" ht="14.25">
      <c r="A1184" t="s">
        <v>1705</v>
      </c>
      <c r="B1184" t="s">
        <v>1706</v>
      </c>
      <c r="C1184" t="s">
        <v>143</v>
      </c>
      <c r="D1184">
        <v>4100</v>
      </c>
      <c r="E1184">
        <v>38</v>
      </c>
      <c r="F1184">
        <v>600</v>
      </c>
      <c r="G1184" t="s">
        <v>1611</v>
      </c>
    </row>
    <row r="1185" spans="1:8" ht="14.25">
      <c r="A1185" t="s">
        <v>1707</v>
      </c>
      <c r="B1185" t="s">
        <v>1706</v>
      </c>
      <c r="C1185" t="s">
        <v>143</v>
      </c>
      <c r="D1185">
        <v>4100</v>
      </c>
      <c r="E1185">
        <v>38</v>
      </c>
      <c r="F1185">
        <v>920</v>
      </c>
      <c r="G1185" t="s">
        <v>1611</v>
      </c>
      <c r="H1185" t="s">
        <v>1611</v>
      </c>
    </row>
    <row r="1186" spans="1:8" ht="14.25">
      <c r="A1186" t="s">
        <v>1708</v>
      </c>
      <c r="B1186" t="s">
        <v>1709</v>
      </c>
      <c r="C1186" t="s">
        <v>143</v>
      </c>
      <c r="D1186">
        <v>4100</v>
      </c>
      <c r="E1186">
        <v>38</v>
      </c>
      <c r="F1186">
        <v>600</v>
      </c>
      <c r="G1186" t="s">
        <v>1611</v>
      </c>
    </row>
    <row r="1187" spans="1:8" ht="14.25">
      <c r="A1187" t="s">
        <v>1710</v>
      </c>
      <c r="B1187" t="s">
        <v>1709</v>
      </c>
      <c r="C1187" t="s">
        <v>143</v>
      </c>
      <c r="D1187">
        <v>4100</v>
      </c>
      <c r="E1187">
        <v>38</v>
      </c>
      <c r="F1187">
        <v>920</v>
      </c>
      <c r="G1187" t="s">
        <v>1611</v>
      </c>
      <c r="H1187" t="s">
        <v>1611</v>
      </c>
    </row>
    <row r="1188" spans="1:8" ht="14.25">
      <c r="A1188" t="s">
        <v>1711</v>
      </c>
      <c r="B1188" t="s">
        <v>1712</v>
      </c>
      <c r="C1188" t="s">
        <v>143</v>
      </c>
      <c r="D1188">
        <v>4100</v>
      </c>
      <c r="E1188">
        <v>38</v>
      </c>
      <c r="F1188">
        <v>600</v>
      </c>
      <c r="G1188" t="s">
        <v>1611</v>
      </c>
    </row>
    <row r="1189" spans="1:8" ht="14.25">
      <c r="A1189" t="s">
        <v>1713</v>
      </c>
      <c r="B1189" t="s">
        <v>1712</v>
      </c>
      <c r="C1189" t="s">
        <v>143</v>
      </c>
      <c r="D1189">
        <v>4100</v>
      </c>
      <c r="E1189">
        <v>38</v>
      </c>
      <c r="F1189">
        <v>920</v>
      </c>
      <c r="G1189" t="s">
        <v>1611</v>
      </c>
      <c r="H1189" t="s">
        <v>1611</v>
      </c>
    </row>
    <row r="1190" spans="1:8" ht="14.25">
      <c r="A1190" t="s">
        <v>1714</v>
      </c>
      <c r="B1190" t="s">
        <v>1715</v>
      </c>
      <c r="C1190" t="s">
        <v>143</v>
      </c>
      <c r="D1190">
        <v>4100</v>
      </c>
      <c r="E1190">
        <v>38</v>
      </c>
      <c r="F1190">
        <v>600</v>
      </c>
      <c r="G1190" t="s">
        <v>1611</v>
      </c>
    </row>
    <row r="1191" spans="1:8" ht="14.25">
      <c r="A1191" t="s">
        <v>1716</v>
      </c>
      <c r="B1191" t="s">
        <v>1715</v>
      </c>
      <c r="C1191" t="s">
        <v>143</v>
      </c>
      <c r="D1191">
        <v>4100</v>
      </c>
      <c r="E1191">
        <v>38</v>
      </c>
      <c r="F1191">
        <v>920</v>
      </c>
      <c r="G1191" t="s">
        <v>1611</v>
      </c>
      <c r="H1191" t="s">
        <v>1611</v>
      </c>
    </row>
    <row r="1192" spans="1:8" ht="14.25">
      <c r="A1192" t="s">
        <v>1717</v>
      </c>
      <c r="B1192" t="s">
        <v>1718</v>
      </c>
      <c r="C1192" t="s">
        <v>136</v>
      </c>
      <c r="D1192">
        <v>4100</v>
      </c>
      <c r="E1192">
        <v>38</v>
      </c>
      <c r="F1192">
        <v>600</v>
      </c>
      <c r="G1192" t="s">
        <v>1611</v>
      </c>
    </row>
    <row r="1193" spans="1:8" ht="14.25">
      <c r="A1193" t="s">
        <v>1719</v>
      </c>
      <c r="B1193" t="s">
        <v>1718</v>
      </c>
      <c r="C1193" t="s">
        <v>136</v>
      </c>
      <c r="D1193">
        <v>4100</v>
      </c>
      <c r="E1193">
        <v>38</v>
      </c>
      <c r="F1193">
        <v>920</v>
      </c>
      <c r="G1193" t="s">
        <v>1611</v>
      </c>
      <c r="H1193" t="s">
        <v>1611</v>
      </c>
    </row>
    <row r="1194" spans="1:8" ht="14.25">
      <c r="A1194" t="s">
        <v>1720</v>
      </c>
      <c r="B1194" t="s">
        <v>1721</v>
      </c>
      <c r="C1194" t="s">
        <v>143</v>
      </c>
      <c r="D1194">
        <v>4100</v>
      </c>
      <c r="E1194">
        <v>38</v>
      </c>
      <c r="F1194">
        <v>600</v>
      </c>
      <c r="G1194" t="s">
        <v>1611</v>
      </c>
    </row>
    <row r="1195" spans="1:8" ht="14.25">
      <c r="A1195" t="s">
        <v>1722</v>
      </c>
      <c r="B1195" t="s">
        <v>1721</v>
      </c>
      <c r="C1195" t="s">
        <v>143</v>
      </c>
      <c r="D1195">
        <v>4100</v>
      </c>
      <c r="E1195">
        <v>38</v>
      </c>
      <c r="F1195">
        <v>920</v>
      </c>
      <c r="G1195" t="s">
        <v>1611</v>
      </c>
      <c r="H1195" t="s">
        <v>1611</v>
      </c>
    </row>
    <row r="1196" spans="1:8" ht="14.25">
      <c r="A1196" t="s">
        <v>1723</v>
      </c>
      <c r="B1196" t="s">
        <v>1724</v>
      </c>
      <c r="C1196" t="s">
        <v>143</v>
      </c>
      <c r="D1196">
        <v>4100</v>
      </c>
      <c r="E1196">
        <v>38</v>
      </c>
      <c r="F1196">
        <v>600</v>
      </c>
      <c r="G1196" t="s">
        <v>1611</v>
      </c>
    </row>
    <row r="1197" spans="1:8" ht="14.25">
      <c r="A1197" t="s">
        <v>1725</v>
      </c>
      <c r="B1197" t="s">
        <v>1724</v>
      </c>
      <c r="C1197" t="s">
        <v>143</v>
      </c>
      <c r="D1197">
        <v>4100</v>
      </c>
      <c r="E1197">
        <v>38</v>
      </c>
      <c r="F1197">
        <v>920</v>
      </c>
      <c r="G1197" t="s">
        <v>1611</v>
      </c>
      <c r="H1197" t="s">
        <v>1611</v>
      </c>
    </row>
    <row r="1198" spans="1:8" ht="14.25">
      <c r="A1198" t="s">
        <v>1726</v>
      </c>
      <c r="B1198" t="s">
        <v>1727</v>
      </c>
      <c r="C1198" t="s">
        <v>143</v>
      </c>
      <c r="D1198">
        <v>4100</v>
      </c>
      <c r="E1198">
        <v>38</v>
      </c>
      <c r="F1198">
        <v>600</v>
      </c>
      <c r="G1198" t="s">
        <v>1611</v>
      </c>
    </row>
    <row r="1199" spans="1:8" ht="14.25">
      <c r="A1199" t="s">
        <v>1728</v>
      </c>
      <c r="B1199" t="s">
        <v>1727</v>
      </c>
      <c r="C1199" t="s">
        <v>143</v>
      </c>
      <c r="D1199">
        <v>4100</v>
      </c>
      <c r="E1199">
        <v>38</v>
      </c>
      <c r="F1199">
        <v>920</v>
      </c>
      <c r="G1199" t="s">
        <v>1611</v>
      </c>
      <c r="H1199" t="s">
        <v>1611</v>
      </c>
    </row>
    <row r="1200" spans="1:8" ht="14.25">
      <c r="A1200" t="s">
        <v>1729</v>
      </c>
      <c r="B1200" t="s">
        <v>1730</v>
      </c>
      <c r="C1200" t="s">
        <v>143</v>
      </c>
      <c r="D1200">
        <v>4100</v>
      </c>
      <c r="E1200">
        <v>38</v>
      </c>
      <c r="F1200">
        <v>600</v>
      </c>
      <c r="G1200" t="s">
        <v>1611</v>
      </c>
    </row>
    <row r="1201" spans="1:8" ht="14.25">
      <c r="A1201" t="s">
        <v>1731</v>
      </c>
      <c r="B1201" t="s">
        <v>1730</v>
      </c>
      <c r="C1201" t="s">
        <v>143</v>
      </c>
      <c r="D1201">
        <v>4100</v>
      </c>
      <c r="E1201">
        <v>38</v>
      </c>
      <c r="F1201">
        <v>920</v>
      </c>
      <c r="G1201" t="s">
        <v>1611</v>
      </c>
      <c r="H1201" t="s">
        <v>1611</v>
      </c>
    </row>
    <row r="1202" spans="1:8" ht="14.25">
      <c r="A1202" t="s">
        <v>1732</v>
      </c>
      <c r="B1202" t="s">
        <v>1733</v>
      </c>
      <c r="C1202" t="s">
        <v>136</v>
      </c>
      <c r="D1202">
        <v>4100</v>
      </c>
      <c r="E1202">
        <v>38</v>
      </c>
      <c r="F1202">
        <v>600</v>
      </c>
      <c r="G1202" t="s">
        <v>1611</v>
      </c>
    </row>
    <row r="1203" spans="1:8" ht="14.25">
      <c r="A1203" t="s">
        <v>1734</v>
      </c>
      <c r="B1203" t="s">
        <v>1735</v>
      </c>
      <c r="C1203" t="s">
        <v>143</v>
      </c>
      <c r="D1203">
        <v>4100</v>
      </c>
      <c r="E1203">
        <v>38</v>
      </c>
      <c r="F1203">
        <v>600</v>
      </c>
      <c r="G1203" t="s">
        <v>1611</v>
      </c>
    </row>
    <row r="1204" spans="1:8" ht="14.25">
      <c r="A1204" t="s">
        <v>1736</v>
      </c>
      <c r="B1204" t="s">
        <v>1735</v>
      </c>
      <c r="C1204" t="s">
        <v>143</v>
      </c>
      <c r="D1204">
        <v>4100</v>
      </c>
      <c r="E1204">
        <v>38</v>
      </c>
      <c r="F1204">
        <v>920</v>
      </c>
      <c r="G1204" t="s">
        <v>1611</v>
      </c>
      <c r="H1204" t="s">
        <v>1611</v>
      </c>
    </row>
    <row r="1205" spans="1:8" ht="14.25">
      <c r="A1205" t="s">
        <v>1737</v>
      </c>
      <c r="B1205" t="s">
        <v>1738</v>
      </c>
      <c r="C1205" t="s">
        <v>136</v>
      </c>
      <c r="D1205">
        <v>4100</v>
      </c>
      <c r="E1205">
        <v>38</v>
      </c>
      <c r="F1205">
        <v>600</v>
      </c>
      <c r="G1205" t="s">
        <v>1611</v>
      </c>
    </row>
    <row r="1206" spans="1:8" ht="14.25">
      <c r="A1206" t="s">
        <v>1739</v>
      </c>
      <c r="B1206" t="s">
        <v>1738</v>
      </c>
      <c r="C1206" t="s">
        <v>136</v>
      </c>
      <c r="D1206">
        <v>4100</v>
      </c>
      <c r="E1206">
        <v>38</v>
      </c>
      <c r="F1206">
        <v>920</v>
      </c>
      <c r="G1206" t="s">
        <v>1611</v>
      </c>
      <c r="H1206" t="s">
        <v>1611</v>
      </c>
    </row>
    <row r="1207" spans="1:8" ht="14.25">
      <c r="A1207" t="s">
        <v>1740</v>
      </c>
      <c r="B1207" t="s">
        <v>1741</v>
      </c>
      <c r="C1207" t="s">
        <v>136</v>
      </c>
      <c r="D1207">
        <v>4100</v>
      </c>
      <c r="E1207">
        <v>38</v>
      </c>
      <c r="F1207">
        <v>600</v>
      </c>
      <c r="G1207" t="s">
        <v>1611</v>
      </c>
    </row>
    <row r="1208" spans="1:8" ht="14.25">
      <c r="A1208" t="s">
        <v>1742</v>
      </c>
      <c r="B1208" t="s">
        <v>1741</v>
      </c>
      <c r="C1208" t="s">
        <v>136</v>
      </c>
      <c r="D1208">
        <v>4100</v>
      </c>
      <c r="E1208">
        <v>38</v>
      </c>
      <c r="F1208">
        <v>920</v>
      </c>
      <c r="G1208" t="s">
        <v>1611</v>
      </c>
      <c r="H1208" t="s">
        <v>1611</v>
      </c>
    </row>
    <row r="1209" spans="1:8" ht="14.25">
      <c r="A1209" t="s">
        <v>1743</v>
      </c>
      <c r="B1209" t="s">
        <v>1744</v>
      </c>
      <c r="C1209" t="s">
        <v>136</v>
      </c>
      <c r="D1209">
        <v>4100</v>
      </c>
      <c r="E1209">
        <v>38</v>
      </c>
      <c r="F1209">
        <v>600</v>
      </c>
      <c r="G1209" t="s">
        <v>1611</v>
      </c>
    </row>
    <row r="1210" spans="1:8" ht="14.25">
      <c r="A1210" t="s">
        <v>1745</v>
      </c>
      <c r="B1210" t="s">
        <v>1744</v>
      </c>
      <c r="C1210" t="s">
        <v>136</v>
      </c>
      <c r="D1210">
        <v>4100</v>
      </c>
      <c r="E1210">
        <v>38</v>
      </c>
      <c r="F1210">
        <v>920</v>
      </c>
      <c r="G1210" t="s">
        <v>1611</v>
      </c>
      <c r="H1210" t="s">
        <v>1611</v>
      </c>
    </row>
    <row r="1211" spans="1:8" ht="14.25">
      <c r="A1211" t="s">
        <v>1746</v>
      </c>
      <c r="B1211" t="s">
        <v>1747</v>
      </c>
      <c r="C1211" t="s">
        <v>136</v>
      </c>
      <c r="D1211">
        <v>4100</v>
      </c>
      <c r="E1211">
        <v>38</v>
      </c>
      <c r="F1211">
        <v>600</v>
      </c>
      <c r="G1211" t="s">
        <v>1611</v>
      </c>
    </row>
    <row r="1212" spans="1:8" ht="14.25">
      <c r="A1212" t="s">
        <v>1748</v>
      </c>
      <c r="B1212" t="s">
        <v>1747</v>
      </c>
      <c r="C1212" t="s">
        <v>136</v>
      </c>
      <c r="D1212">
        <v>4100</v>
      </c>
      <c r="E1212">
        <v>38</v>
      </c>
      <c r="F1212">
        <v>920</v>
      </c>
      <c r="G1212" t="s">
        <v>1611</v>
      </c>
      <c r="H1212" t="s">
        <v>1611</v>
      </c>
    </row>
    <row r="1213" spans="1:8" ht="14.25">
      <c r="A1213" t="s">
        <v>1749</v>
      </c>
      <c r="B1213" t="s">
        <v>1750</v>
      </c>
      <c r="C1213" t="s">
        <v>136</v>
      </c>
      <c r="D1213">
        <v>4100</v>
      </c>
      <c r="E1213">
        <v>38</v>
      </c>
      <c r="F1213">
        <v>600</v>
      </c>
      <c r="G1213" t="s">
        <v>1611</v>
      </c>
    </row>
    <row r="1214" spans="1:8" ht="14.25">
      <c r="A1214" t="s">
        <v>1751</v>
      </c>
      <c r="B1214" t="s">
        <v>1750</v>
      </c>
      <c r="C1214" t="s">
        <v>136</v>
      </c>
      <c r="D1214">
        <v>4100</v>
      </c>
      <c r="E1214">
        <v>38</v>
      </c>
      <c r="F1214">
        <v>920</v>
      </c>
      <c r="G1214" t="s">
        <v>1611</v>
      </c>
      <c r="H1214" t="s">
        <v>1611</v>
      </c>
    </row>
    <row r="1215" spans="1:8" ht="14.25">
      <c r="A1215" t="s">
        <v>1752</v>
      </c>
      <c r="B1215" t="s">
        <v>1753</v>
      </c>
      <c r="C1215" t="s">
        <v>136</v>
      </c>
      <c r="D1215">
        <v>4100</v>
      </c>
      <c r="E1215">
        <v>38</v>
      </c>
      <c r="F1215">
        <v>600</v>
      </c>
      <c r="G1215" t="s">
        <v>1611</v>
      </c>
    </row>
    <row r="1216" spans="1:8" ht="14.25">
      <c r="A1216" t="s">
        <v>1754</v>
      </c>
      <c r="B1216" t="s">
        <v>1753</v>
      </c>
      <c r="C1216" t="s">
        <v>136</v>
      </c>
      <c r="D1216">
        <v>4100</v>
      </c>
      <c r="E1216">
        <v>38</v>
      </c>
      <c r="F1216">
        <v>920</v>
      </c>
      <c r="G1216" t="s">
        <v>1611</v>
      </c>
      <c r="H1216" t="s">
        <v>1611</v>
      </c>
    </row>
    <row r="1217" spans="1:8" ht="14.25">
      <c r="A1217" t="s">
        <v>1755</v>
      </c>
      <c r="B1217" t="s">
        <v>1756</v>
      </c>
      <c r="C1217" t="s">
        <v>136</v>
      </c>
      <c r="D1217">
        <v>4100</v>
      </c>
      <c r="E1217">
        <v>38</v>
      </c>
      <c r="F1217">
        <v>600</v>
      </c>
      <c r="G1217" t="s">
        <v>1611</v>
      </c>
    </row>
    <row r="1218" spans="1:8" ht="14.25">
      <c r="A1218" t="s">
        <v>1757</v>
      </c>
      <c r="B1218" t="s">
        <v>1758</v>
      </c>
      <c r="C1218" t="s">
        <v>143</v>
      </c>
      <c r="D1218">
        <v>4100</v>
      </c>
      <c r="E1218">
        <v>38</v>
      </c>
      <c r="F1218">
        <v>600</v>
      </c>
      <c r="G1218" t="s">
        <v>1611</v>
      </c>
    </row>
    <row r="1219" spans="1:8" ht="14.25">
      <c r="A1219" t="s">
        <v>1759</v>
      </c>
      <c r="B1219" t="s">
        <v>1758</v>
      </c>
      <c r="C1219" t="s">
        <v>143</v>
      </c>
      <c r="D1219">
        <v>4100</v>
      </c>
      <c r="E1219">
        <v>38</v>
      </c>
      <c r="F1219">
        <v>920</v>
      </c>
      <c r="G1219" t="s">
        <v>1611</v>
      </c>
      <c r="H1219" t="s">
        <v>1611</v>
      </c>
    </row>
    <row r="1220" spans="1:8" ht="14.25">
      <c r="A1220" t="s">
        <v>1760</v>
      </c>
      <c r="B1220" t="s">
        <v>1761</v>
      </c>
      <c r="C1220" t="s">
        <v>143</v>
      </c>
      <c r="D1220">
        <v>4100</v>
      </c>
      <c r="E1220">
        <v>38</v>
      </c>
      <c r="F1220">
        <v>600</v>
      </c>
      <c r="G1220" t="s">
        <v>1611</v>
      </c>
    </row>
    <row r="1221" spans="1:8" ht="14.25">
      <c r="A1221" t="s">
        <v>1762</v>
      </c>
      <c r="B1221" t="s">
        <v>1761</v>
      </c>
      <c r="C1221" t="s">
        <v>143</v>
      </c>
      <c r="D1221">
        <v>4100</v>
      </c>
      <c r="E1221">
        <v>38</v>
      </c>
      <c r="F1221">
        <v>920</v>
      </c>
      <c r="G1221" t="s">
        <v>1611</v>
      </c>
      <c r="H1221" t="s">
        <v>1611</v>
      </c>
    </row>
    <row r="1222" spans="1:8" ht="14.25">
      <c r="A1222" t="s">
        <v>1763</v>
      </c>
      <c r="B1222" t="s">
        <v>1764</v>
      </c>
      <c r="C1222" t="s">
        <v>143</v>
      </c>
      <c r="D1222">
        <v>4100</v>
      </c>
      <c r="E1222">
        <v>38</v>
      </c>
      <c r="F1222">
        <v>600</v>
      </c>
      <c r="G1222" t="s">
        <v>1611</v>
      </c>
    </row>
    <row r="1223" spans="1:8" ht="14.25">
      <c r="A1223" t="s">
        <v>1765</v>
      </c>
      <c r="B1223" t="s">
        <v>1764</v>
      </c>
      <c r="C1223" t="s">
        <v>143</v>
      </c>
      <c r="D1223">
        <v>4100</v>
      </c>
      <c r="E1223">
        <v>38</v>
      </c>
      <c r="F1223">
        <v>920</v>
      </c>
      <c r="G1223" t="s">
        <v>1611</v>
      </c>
      <c r="H1223" t="s">
        <v>1611</v>
      </c>
    </row>
    <row r="1224" spans="1:8" ht="14.25">
      <c r="A1224" t="s">
        <v>1766</v>
      </c>
      <c r="B1224" t="s">
        <v>1767</v>
      </c>
      <c r="C1224" t="s">
        <v>143</v>
      </c>
      <c r="D1224">
        <v>4100</v>
      </c>
      <c r="E1224">
        <v>38</v>
      </c>
      <c r="F1224">
        <v>600</v>
      </c>
      <c r="G1224" t="s">
        <v>1611</v>
      </c>
    </row>
    <row r="1225" spans="1:8" ht="14.25">
      <c r="A1225" t="s">
        <v>1768</v>
      </c>
      <c r="B1225" t="s">
        <v>1767</v>
      </c>
      <c r="C1225" t="s">
        <v>143</v>
      </c>
      <c r="D1225">
        <v>4100</v>
      </c>
      <c r="E1225">
        <v>38</v>
      </c>
      <c r="F1225">
        <v>920</v>
      </c>
      <c r="G1225" t="s">
        <v>1611</v>
      </c>
      <c r="H1225" t="s">
        <v>1611</v>
      </c>
    </row>
    <row r="1226" spans="1:8" ht="14.25">
      <c r="A1226" t="s">
        <v>1769</v>
      </c>
      <c r="B1226" t="s">
        <v>1770</v>
      </c>
      <c r="C1226" t="s">
        <v>143</v>
      </c>
      <c r="D1226">
        <v>4100</v>
      </c>
      <c r="E1226">
        <v>38</v>
      </c>
      <c r="F1226">
        <v>600</v>
      </c>
      <c r="G1226" t="s">
        <v>1611</v>
      </c>
    </row>
    <row r="1227" spans="1:8" ht="14.25">
      <c r="A1227" t="s">
        <v>1771</v>
      </c>
      <c r="B1227" t="s">
        <v>1770</v>
      </c>
      <c r="C1227" t="s">
        <v>143</v>
      </c>
      <c r="D1227">
        <v>4100</v>
      </c>
      <c r="E1227">
        <v>38</v>
      </c>
      <c r="F1227">
        <v>920</v>
      </c>
      <c r="G1227" t="s">
        <v>1611</v>
      </c>
      <c r="H1227" t="s">
        <v>1611</v>
      </c>
    </row>
    <row r="1228" spans="1:8" ht="14.25">
      <c r="A1228" t="s">
        <v>1772</v>
      </c>
      <c r="B1228" t="s">
        <v>1773</v>
      </c>
      <c r="C1228" t="s">
        <v>136</v>
      </c>
      <c r="D1228">
        <v>4100</v>
      </c>
      <c r="E1228">
        <v>38</v>
      </c>
      <c r="F1228">
        <v>600</v>
      </c>
      <c r="G1228" t="s">
        <v>1611</v>
      </c>
    </row>
    <row r="1229" spans="1:8" ht="14.25">
      <c r="A1229" t="s">
        <v>1774</v>
      </c>
      <c r="B1229" t="s">
        <v>1773</v>
      </c>
      <c r="C1229" t="s">
        <v>136</v>
      </c>
      <c r="D1229">
        <v>4100</v>
      </c>
      <c r="E1229">
        <v>38</v>
      </c>
      <c r="F1229">
        <v>920</v>
      </c>
      <c r="G1229" t="s">
        <v>1611</v>
      </c>
      <c r="H1229" t="s">
        <v>1611</v>
      </c>
    </row>
    <row r="1230" spans="1:8" ht="14.25">
      <c r="A1230" t="s">
        <v>1775</v>
      </c>
      <c r="B1230" t="s">
        <v>1776</v>
      </c>
      <c r="C1230" t="s">
        <v>143</v>
      </c>
      <c r="D1230">
        <v>4100</v>
      </c>
      <c r="E1230">
        <v>38</v>
      </c>
      <c r="F1230">
        <v>600</v>
      </c>
      <c r="G1230" t="s">
        <v>1611</v>
      </c>
    </row>
    <row r="1231" spans="1:8" ht="14.25">
      <c r="A1231" t="s">
        <v>1777</v>
      </c>
      <c r="B1231" t="s">
        <v>1776</v>
      </c>
      <c r="C1231" t="s">
        <v>143</v>
      </c>
      <c r="D1231">
        <v>4100</v>
      </c>
      <c r="E1231">
        <v>38</v>
      </c>
      <c r="F1231">
        <v>920</v>
      </c>
      <c r="G1231" t="s">
        <v>1611</v>
      </c>
      <c r="H1231" t="s">
        <v>1611</v>
      </c>
    </row>
    <row r="1232" spans="1:8" ht="14.25">
      <c r="A1232" t="s">
        <v>1778</v>
      </c>
      <c r="B1232" t="s">
        <v>1779</v>
      </c>
      <c r="C1232" t="s">
        <v>136</v>
      </c>
      <c r="D1232">
        <v>4100</v>
      </c>
      <c r="E1232">
        <v>38</v>
      </c>
      <c r="F1232">
        <v>600</v>
      </c>
      <c r="G1232" t="s">
        <v>1611</v>
      </c>
    </row>
    <row r="1233" spans="1:8" ht="14.25">
      <c r="A1233" t="s">
        <v>1780</v>
      </c>
      <c r="B1233" t="s">
        <v>1781</v>
      </c>
      <c r="C1233" t="s">
        <v>143</v>
      </c>
      <c r="D1233">
        <v>4100</v>
      </c>
      <c r="E1233">
        <v>38</v>
      </c>
      <c r="F1233">
        <v>600</v>
      </c>
      <c r="G1233" t="s">
        <v>1611</v>
      </c>
    </row>
    <row r="1234" spans="1:8" ht="14.25">
      <c r="A1234" t="s">
        <v>1782</v>
      </c>
      <c r="B1234" t="s">
        <v>1781</v>
      </c>
      <c r="C1234" t="s">
        <v>143</v>
      </c>
      <c r="D1234">
        <v>4100</v>
      </c>
      <c r="E1234">
        <v>38</v>
      </c>
      <c r="F1234">
        <v>920</v>
      </c>
      <c r="G1234" t="s">
        <v>1611</v>
      </c>
      <c r="H1234" t="s">
        <v>1611</v>
      </c>
    </row>
    <row r="1235" spans="1:8" ht="14.25">
      <c r="A1235" t="s">
        <v>1783</v>
      </c>
      <c r="B1235" t="s">
        <v>1784</v>
      </c>
      <c r="C1235" t="s">
        <v>143</v>
      </c>
      <c r="D1235">
        <v>4100</v>
      </c>
      <c r="E1235">
        <v>38</v>
      </c>
      <c r="F1235">
        <v>600</v>
      </c>
      <c r="G1235" t="s">
        <v>1611</v>
      </c>
    </row>
    <row r="1236" spans="1:8" ht="14.25">
      <c r="A1236" t="s">
        <v>1785</v>
      </c>
      <c r="B1236" t="s">
        <v>1784</v>
      </c>
      <c r="C1236" t="s">
        <v>143</v>
      </c>
      <c r="D1236">
        <v>4100</v>
      </c>
      <c r="E1236">
        <v>38</v>
      </c>
      <c r="F1236">
        <v>920</v>
      </c>
      <c r="G1236" t="s">
        <v>1611</v>
      </c>
      <c r="H1236" t="s">
        <v>1611</v>
      </c>
    </row>
    <row r="1237" spans="1:8" ht="14.25">
      <c r="A1237" t="s">
        <v>1786</v>
      </c>
      <c r="B1237" t="s">
        <v>1787</v>
      </c>
      <c r="C1237" t="s">
        <v>143</v>
      </c>
      <c r="D1237">
        <v>4100</v>
      </c>
      <c r="E1237">
        <v>38</v>
      </c>
      <c r="F1237">
        <v>600</v>
      </c>
      <c r="G1237" t="s">
        <v>1611</v>
      </c>
    </row>
    <row r="1238" spans="1:8" ht="14.25">
      <c r="A1238" t="s">
        <v>1788</v>
      </c>
      <c r="B1238" t="s">
        <v>1787</v>
      </c>
      <c r="C1238" t="s">
        <v>143</v>
      </c>
      <c r="D1238">
        <v>4100</v>
      </c>
      <c r="E1238">
        <v>38</v>
      </c>
      <c r="F1238">
        <v>920</v>
      </c>
      <c r="G1238" t="s">
        <v>1611</v>
      </c>
      <c r="H1238" t="s">
        <v>1611</v>
      </c>
    </row>
    <row r="1239" spans="1:8" ht="14.25">
      <c r="A1239" t="s">
        <v>5416</v>
      </c>
      <c r="B1239" t="s">
        <v>5417</v>
      </c>
      <c r="C1239" t="s">
        <v>143</v>
      </c>
      <c r="D1239">
        <v>4100</v>
      </c>
      <c r="E1239">
        <v>20</v>
      </c>
      <c r="F1239">
        <v>650</v>
      </c>
      <c r="G1239" t="s">
        <v>1611</v>
      </c>
    </row>
    <row r="1240" spans="1:8" ht="14.25">
      <c r="A1240" t="s">
        <v>5418</v>
      </c>
      <c r="B1240" t="s">
        <v>5417</v>
      </c>
      <c r="C1240" t="s">
        <v>143</v>
      </c>
      <c r="D1240">
        <v>4100</v>
      </c>
      <c r="E1240">
        <v>20</v>
      </c>
      <c r="F1240">
        <v>920</v>
      </c>
      <c r="G1240" t="s">
        <v>1611</v>
      </c>
      <c r="H1240" t="s">
        <v>1611</v>
      </c>
    </row>
    <row r="1241" spans="1:8" ht="14.25">
      <c r="A1241" t="s">
        <v>5419</v>
      </c>
      <c r="B1241" t="s">
        <v>5420</v>
      </c>
      <c r="C1241" t="s">
        <v>143</v>
      </c>
      <c r="D1241">
        <v>4100</v>
      </c>
      <c r="E1241">
        <v>20</v>
      </c>
      <c r="F1241">
        <v>650</v>
      </c>
      <c r="G1241" t="s">
        <v>1611</v>
      </c>
    </row>
    <row r="1242" spans="1:8" ht="14.25">
      <c r="A1242" t="s">
        <v>5421</v>
      </c>
      <c r="B1242" t="s">
        <v>5420</v>
      </c>
      <c r="C1242" t="s">
        <v>143</v>
      </c>
      <c r="D1242">
        <v>4100</v>
      </c>
      <c r="E1242">
        <v>20</v>
      </c>
      <c r="F1242">
        <v>920</v>
      </c>
      <c r="G1242" t="s">
        <v>1611</v>
      </c>
      <c r="H1242" t="s">
        <v>1611</v>
      </c>
    </row>
    <row r="1243" spans="1:8" ht="14.25">
      <c r="A1243" t="s">
        <v>1789</v>
      </c>
      <c r="B1243" t="s">
        <v>1790</v>
      </c>
      <c r="C1243" t="s">
        <v>136</v>
      </c>
      <c r="D1243">
        <v>4100</v>
      </c>
      <c r="E1243">
        <v>38</v>
      </c>
      <c r="F1243">
        <v>600</v>
      </c>
      <c r="G1243" t="s">
        <v>1611</v>
      </c>
    </row>
    <row r="1244" spans="1:8" ht="14.25">
      <c r="A1244" t="s">
        <v>1791</v>
      </c>
      <c r="B1244" t="s">
        <v>1792</v>
      </c>
      <c r="C1244" t="s">
        <v>136</v>
      </c>
      <c r="D1244">
        <v>4100</v>
      </c>
      <c r="E1244">
        <v>38</v>
      </c>
      <c r="F1244">
        <v>600</v>
      </c>
      <c r="G1244" t="s">
        <v>1611</v>
      </c>
    </row>
    <row r="1245" spans="1:8" ht="14.25">
      <c r="A1245" t="s">
        <v>1793</v>
      </c>
      <c r="B1245" t="s">
        <v>1794</v>
      </c>
      <c r="C1245" t="s">
        <v>136</v>
      </c>
      <c r="D1245">
        <v>4100</v>
      </c>
      <c r="E1245">
        <v>38</v>
      </c>
      <c r="F1245">
        <v>600</v>
      </c>
      <c r="G1245" t="s">
        <v>1611</v>
      </c>
    </row>
    <row r="1246" spans="1:8" ht="14.25">
      <c r="A1246" t="s">
        <v>1795</v>
      </c>
      <c r="B1246" t="s">
        <v>1796</v>
      </c>
      <c r="C1246" t="s">
        <v>136</v>
      </c>
      <c r="D1246">
        <v>4100</v>
      </c>
      <c r="E1246">
        <v>38</v>
      </c>
      <c r="F1246">
        <v>600</v>
      </c>
      <c r="G1246" t="s">
        <v>1611</v>
      </c>
    </row>
    <row r="1247" spans="1:8" ht="14.25">
      <c r="A1247" t="s">
        <v>1797</v>
      </c>
      <c r="B1247" t="s">
        <v>1796</v>
      </c>
      <c r="C1247" t="s">
        <v>136</v>
      </c>
      <c r="D1247">
        <v>4100</v>
      </c>
      <c r="E1247">
        <v>38</v>
      </c>
      <c r="F1247">
        <v>920</v>
      </c>
      <c r="G1247" t="s">
        <v>1611</v>
      </c>
      <c r="H1247" t="s">
        <v>1611</v>
      </c>
    </row>
    <row r="1248" spans="1:8" ht="14.25">
      <c r="A1248" t="s">
        <v>1798</v>
      </c>
      <c r="B1248" t="s">
        <v>1799</v>
      </c>
      <c r="C1248" t="s">
        <v>136</v>
      </c>
      <c r="D1248">
        <v>4100</v>
      </c>
      <c r="E1248">
        <v>38</v>
      </c>
      <c r="F1248">
        <v>600</v>
      </c>
      <c r="G1248" t="s">
        <v>1611</v>
      </c>
    </row>
    <row r="1249" spans="1:8" ht="14.25">
      <c r="A1249" t="s">
        <v>1800</v>
      </c>
      <c r="B1249" t="s">
        <v>1799</v>
      </c>
      <c r="C1249" t="s">
        <v>136</v>
      </c>
      <c r="D1249">
        <v>4100</v>
      </c>
      <c r="E1249">
        <v>38</v>
      </c>
      <c r="F1249">
        <v>920</v>
      </c>
      <c r="G1249" t="s">
        <v>1611</v>
      </c>
      <c r="H1249" t="s">
        <v>1611</v>
      </c>
    </row>
    <row r="1250" spans="1:8" ht="14.25">
      <c r="A1250" t="s">
        <v>1801</v>
      </c>
      <c r="B1250" t="s">
        <v>1802</v>
      </c>
      <c r="C1250" t="s">
        <v>136</v>
      </c>
      <c r="D1250">
        <v>4100</v>
      </c>
      <c r="E1250">
        <v>38</v>
      </c>
      <c r="F1250">
        <v>920</v>
      </c>
      <c r="G1250" t="s">
        <v>1611</v>
      </c>
      <c r="H1250" t="s">
        <v>1611</v>
      </c>
    </row>
    <row r="1251" spans="1:8" ht="14.25">
      <c r="A1251" t="s">
        <v>1803</v>
      </c>
      <c r="B1251">
        <v>45</v>
      </c>
      <c r="C1251" t="s">
        <v>143</v>
      </c>
      <c r="D1251">
        <v>4100</v>
      </c>
      <c r="E1251">
        <v>12.1</v>
      </c>
      <c r="F1251">
        <v>650</v>
      </c>
      <c r="G1251" t="s">
        <v>1611</v>
      </c>
      <c r="H1251" t="s">
        <v>1611</v>
      </c>
    </row>
    <row r="1252" spans="1:8" ht="14.25">
      <c r="A1252" t="s">
        <v>1804</v>
      </c>
      <c r="B1252">
        <v>45</v>
      </c>
      <c r="C1252" t="s">
        <v>143</v>
      </c>
      <c r="D1252">
        <v>4100</v>
      </c>
      <c r="E1252">
        <v>12.1</v>
      </c>
      <c r="F1252">
        <v>920</v>
      </c>
      <c r="G1252" t="s">
        <v>1611</v>
      </c>
      <c r="H1252" t="s">
        <v>1611</v>
      </c>
    </row>
    <row r="1253" spans="1:8" ht="14.25">
      <c r="A1253" t="s">
        <v>1805</v>
      </c>
      <c r="B1253" t="s">
        <v>216</v>
      </c>
      <c r="C1253" t="s">
        <v>143</v>
      </c>
      <c r="D1253">
        <v>4100</v>
      </c>
      <c r="E1253">
        <v>38</v>
      </c>
      <c r="F1253">
        <v>600</v>
      </c>
      <c r="G1253" t="s">
        <v>1611</v>
      </c>
    </row>
    <row r="1254" spans="1:8" ht="14.25">
      <c r="A1254" t="s">
        <v>1806</v>
      </c>
      <c r="B1254">
        <v>45</v>
      </c>
      <c r="C1254" t="s">
        <v>143</v>
      </c>
      <c r="D1254">
        <v>4100</v>
      </c>
      <c r="E1254">
        <v>12.1</v>
      </c>
      <c r="F1254">
        <v>650</v>
      </c>
      <c r="G1254" t="s">
        <v>1611</v>
      </c>
      <c r="H1254" t="s">
        <v>1611</v>
      </c>
    </row>
    <row r="1255" spans="1:8" ht="14.25">
      <c r="A1255" t="s">
        <v>1807</v>
      </c>
      <c r="B1255" t="s">
        <v>216</v>
      </c>
      <c r="C1255" t="s">
        <v>143</v>
      </c>
      <c r="D1255">
        <v>4100</v>
      </c>
      <c r="E1255">
        <v>38</v>
      </c>
      <c r="F1255">
        <v>920</v>
      </c>
      <c r="G1255" t="s">
        <v>1611</v>
      </c>
      <c r="H1255" t="s">
        <v>1611</v>
      </c>
    </row>
    <row r="1256" spans="1:8" ht="14.25">
      <c r="A1256" t="s">
        <v>1808</v>
      </c>
      <c r="B1256" t="s">
        <v>221</v>
      </c>
      <c r="C1256" t="s">
        <v>143</v>
      </c>
      <c r="D1256">
        <v>4100</v>
      </c>
      <c r="E1256">
        <v>38</v>
      </c>
      <c r="F1256">
        <v>600</v>
      </c>
      <c r="G1256" t="s">
        <v>1611</v>
      </c>
    </row>
    <row r="1257" spans="1:8" ht="14.25">
      <c r="A1257" t="s">
        <v>1809</v>
      </c>
      <c r="B1257" t="s">
        <v>221</v>
      </c>
      <c r="C1257" t="s">
        <v>143</v>
      </c>
      <c r="D1257">
        <v>4100</v>
      </c>
      <c r="E1257">
        <v>38</v>
      </c>
      <c r="F1257">
        <v>920</v>
      </c>
      <c r="G1257" t="s">
        <v>1611</v>
      </c>
      <c r="H1257" t="s">
        <v>1611</v>
      </c>
    </row>
    <row r="1258" spans="1:8" ht="14.25">
      <c r="A1258" t="s">
        <v>5422</v>
      </c>
      <c r="B1258" t="s">
        <v>5423</v>
      </c>
      <c r="C1258" t="s">
        <v>143</v>
      </c>
      <c r="D1258">
        <v>4100</v>
      </c>
      <c r="E1258">
        <v>20</v>
      </c>
      <c r="F1258">
        <v>650</v>
      </c>
      <c r="G1258" t="s">
        <v>1611</v>
      </c>
    </row>
    <row r="1259" spans="1:8" ht="14.25">
      <c r="A1259" t="s">
        <v>5424</v>
      </c>
      <c r="B1259" t="s">
        <v>5423</v>
      </c>
      <c r="C1259" t="s">
        <v>143</v>
      </c>
      <c r="D1259">
        <v>4100</v>
      </c>
      <c r="E1259">
        <v>20</v>
      </c>
      <c r="F1259">
        <v>920</v>
      </c>
      <c r="G1259" t="s">
        <v>1611</v>
      </c>
      <c r="H1259" t="s">
        <v>1611</v>
      </c>
    </row>
    <row r="1260" spans="1:8" ht="14.25">
      <c r="A1260" t="s">
        <v>1810</v>
      </c>
      <c r="B1260" t="s">
        <v>224</v>
      </c>
      <c r="C1260" t="s">
        <v>143</v>
      </c>
      <c r="D1260">
        <v>4100</v>
      </c>
      <c r="E1260">
        <v>38</v>
      </c>
      <c r="F1260">
        <v>600</v>
      </c>
      <c r="G1260" t="s">
        <v>1611</v>
      </c>
    </row>
    <row r="1261" spans="1:8" ht="14.25">
      <c r="A1261" t="s">
        <v>1811</v>
      </c>
      <c r="B1261" t="s">
        <v>224</v>
      </c>
      <c r="C1261" t="s">
        <v>143</v>
      </c>
      <c r="D1261">
        <v>4100</v>
      </c>
      <c r="E1261">
        <v>38</v>
      </c>
      <c r="F1261">
        <v>920</v>
      </c>
      <c r="G1261" t="s">
        <v>1611</v>
      </c>
      <c r="H1261" t="s">
        <v>1611</v>
      </c>
    </row>
    <row r="1262" spans="1:8" ht="14.25">
      <c r="A1262" t="s">
        <v>1812</v>
      </c>
      <c r="B1262" t="s">
        <v>1813</v>
      </c>
      <c r="C1262" t="s">
        <v>143</v>
      </c>
      <c r="D1262">
        <v>4100</v>
      </c>
      <c r="E1262">
        <v>38</v>
      </c>
      <c r="F1262">
        <v>600</v>
      </c>
      <c r="G1262" t="s">
        <v>1611</v>
      </c>
    </row>
    <row r="1263" spans="1:8" ht="14.25">
      <c r="A1263" t="s">
        <v>1814</v>
      </c>
      <c r="B1263" t="s">
        <v>1813</v>
      </c>
      <c r="C1263" t="s">
        <v>143</v>
      </c>
      <c r="D1263">
        <v>4100</v>
      </c>
      <c r="E1263">
        <v>38</v>
      </c>
      <c r="F1263">
        <v>920</v>
      </c>
      <c r="G1263" t="s">
        <v>1611</v>
      </c>
      <c r="H1263" t="s">
        <v>1611</v>
      </c>
    </row>
    <row r="1264" spans="1:8" ht="14.25">
      <c r="A1264" t="s">
        <v>1815</v>
      </c>
      <c r="B1264" t="s">
        <v>1816</v>
      </c>
      <c r="C1264" t="s">
        <v>143</v>
      </c>
      <c r="D1264">
        <v>4100</v>
      </c>
      <c r="E1264">
        <v>38</v>
      </c>
      <c r="F1264">
        <v>600</v>
      </c>
      <c r="G1264" t="s">
        <v>1611</v>
      </c>
    </row>
    <row r="1265" spans="1:8" ht="14.25">
      <c r="A1265" t="s">
        <v>1817</v>
      </c>
      <c r="B1265">
        <v>45</v>
      </c>
      <c r="C1265" t="s">
        <v>143</v>
      </c>
      <c r="D1265">
        <v>4100</v>
      </c>
      <c r="E1265">
        <v>12.1</v>
      </c>
      <c r="F1265">
        <v>650</v>
      </c>
      <c r="G1265" t="s">
        <v>1611</v>
      </c>
      <c r="H1265" t="s">
        <v>1611</v>
      </c>
    </row>
    <row r="1266" spans="1:8" ht="14.25">
      <c r="A1266" t="s">
        <v>1818</v>
      </c>
      <c r="B1266" t="s">
        <v>1816</v>
      </c>
      <c r="C1266" t="s">
        <v>143</v>
      </c>
      <c r="D1266">
        <v>4100</v>
      </c>
      <c r="E1266">
        <v>38</v>
      </c>
      <c r="F1266">
        <v>920</v>
      </c>
      <c r="G1266" t="s">
        <v>1611</v>
      </c>
      <c r="H1266" t="s">
        <v>1611</v>
      </c>
    </row>
    <row r="1267" spans="1:8" ht="14.25">
      <c r="A1267" t="s">
        <v>1819</v>
      </c>
      <c r="B1267">
        <v>45</v>
      </c>
      <c r="C1267" t="s">
        <v>143</v>
      </c>
      <c r="D1267">
        <v>4100</v>
      </c>
      <c r="E1267">
        <v>12.1</v>
      </c>
      <c r="F1267">
        <v>920</v>
      </c>
      <c r="G1267" t="s">
        <v>1611</v>
      </c>
      <c r="H1267" t="s">
        <v>1611</v>
      </c>
    </row>
    <row r="1268" spans="1:8" ht="14.25">
      <c r="A1268" t="s">
        <v>1820</v>
      </c>
      <c r="B1268" t="s">
        <v>1821</v>
      </c>
      <c r="C1268" t="s">
        <v>143</v>
      </c>
      <c r="D1268">
        <v>4100</v>
      </c>
      <c r="E1268">
        <v>38</v>
      </c>
      <c r="F1268">
        <v>650</v>
      </c>
      <c r="G1268" t="s">
        <v>1611</v>
      </c>
    </row>
    <row r="1269" spans="1:8" ht="14.25">
      <c r="A1269" t="s">
        <v>1822</v>
      </c>
      <c r="B1269" t="s">
        <v>1821</v>
      </c>
      <c r="C1269" t="s">
        <v>143</v>
      </c>
      <c r="D1269">
        <v>4100</v>
      </c>
      <c r="E1269">
        <v>38</v>
      </c>
      <c r="F1269">
        <v>920</v>
      </c>
      <c r="G1269" t="s">
        <v>1611</v>
      </c>
      <c r="H1269" t="s">
        <v>1611</v>
      </c>
    </row>
    <row r="1270" spans="1:8" ht="14.25">
      <c r="A1270" t="s">
        <v>1823</v>
      </c>
      <c r="B1270" t="s">
        <v>1824</v>
      </c>
      <c r="C1270" t="s">
        <v>143</v>
      </c>
      <c r="D1270">
        <v>4100</v>
      </c>
      <c r="E1270">
        <v>17.600000000000001</v>
      </c>
      <c r="F1270">
        <v>600</v>
      </c>
      <c r="G1270" t="s">
        <v>1611</v>
      </c>
    </row>
    <row r="1271" spans="1:8" ht="14.25">
      <c r="A1271" t="s">
        <v>1825</v>
      </c>
      <c r="B1271" t="s">
        <v>1824</v>
      </c>
      <c r="C1271" t="s">
        <v>143</v>
      </c>
      <c r="D1271">
        <v>4100</v>
      </c>
      <c r="E1271">
        <v>17.600000000000001</v>
      </c>
      <c r="F1271">
        <v>920</v>
      </c>
      <c r="G1271" t="s">
        <v>1611</v>
      </c>
      <c r="H1271" t="s">
        <v>1611</v>
      </c>
    </row>
    <row r="1272" spans="1:8" ht="14.25">
      <c r="A1272" t="s">
        <v>1826</v>
      </c>
      <c r="B1272" t="s">
        <v>1827</v>
      </c>
      <c r="C1272" t="s">
        <v>143</v>
      </c>
      <c r="D1272">
        <v>4100</v>
      </c>
      <c r="E1272">
        <v>38</v>
      </c>
      <c r="F1272">
        <v>600</v>
      </c>
      <c r="G1272" t="s">
        <v>1611</v>
      </c>
    </row>
    <row r="1273" spans="1:8" ht="14.25">
      <c r="A1273" t="s">
        <v>1828</v>
      </c>
      <c r="B1273" t="s">
        <v>1827</v>
      </c>
      <c r="C1273" t="s">
        <v>143</v>
      </c>
      <c r="D1273">
        <v>4100</v>
      </c>
      <c r="E1273">
        <v>38</v>
      </c>
      <c r="F1273">
        <v>920</v>
      </c>
      <c r="G1273" t="s">
        <v>1611</v>
      </c>
      <c r="H1273" t="s">
        <v>1611</v>
      </c>
    </row>
    <row r="1274" spans="1:8" ht="14.25">
      <c r="A1274" t="s">
        <v>1829</v>
      </c>
      <c r="B1274" t="s">
        <v>1830</v>
      </c>
      <c r="C1274" t="s">
        <v>136</v>
      </c>
      <c r="D1274">
        <v>4100</v>
      </c>
      <c r="E1274">
        <v>38</v>
      </c>
      <c r="F1274">
        <v>920</v>
      </c>
      <c r="G1274" t="s">
        <v>1611</v>
      </c>
      <c r="H1274" t="s">
        <v>1611</v>
      </c>
    </row>
    <row r="1275" spans="1:8" ht="14.25">
      <c r="A1275" t="s">
        <v>1831</v>
      </c>
      <c r="B1275" t="s">
        <v>1832</v>
      </c>
      <c r="C1275" t="s">
        <v>143</v>
      </c>
      <c r="D1275">
        <v>4100</v>
      </c>
      <c r="E1275">
        <v>38</v>
      </c>
      <c r="F1275">
        <v>600</v>
      </c>
      <c r="G1275" t="s">
        <v>1611</v>
      </c>
    </row>
    <row r="1276" spans="1:8" ht="14.25">
      <c r="A1276" t="s">
        <v>1833</v>
      </c>
      <c r="B1276">
        <v>45</v>
      </c>
      <c r="C1276" t="s">
        <v>143</v>
      </c>
      <c r="D1276">
        <v>4100</v>
      </c>
      <c r="E1276">
        <v>12.1</v>
      </c>
      <c r="F1276">
        <v>650</v>
      </c>
      <c r="G1276" t="s">
        <v>1611</v>
      </c>
      <c r="H1276" t="s">
        <v>1611</v>
      </c>
    </row>
    <row r="1277" spans="1:8" ht="14.25">
      <c r="A1277" t="s">
        <v>1834</v>
      </c>
      <c r="B1277" t="s">
        <v>1832</v>
      </c>
      <c r="C1277" t="s">
        <v>143</v>
      </c>
      <c r="D1277">
        <v>4100</v>
      </c>
      <c r="E1277">
        <v>38</v>
      </c>
      <c r="F1277">
        <v>920</v>
      </c>
      <c r="G1277" t="s">
        <v>1611</v>
      </c>
      <c r="H1277" t="s">
        <v>1611</v>
      </c>
    </row>
    <row r="1278" spans="1:8" ht="14.25">
      <c r="A1278" t="s">
        <v>1835</v>
      </c>
      <c r="B1278">
        <v>45</v>
      </c>
      <c r="C1278" t="s">
        <v>143</v>
      </c>
      <c r="D1278">
        <v>4100</v>
      </c>
      <c r="E1278">
        <v>12.1</v>
      </c>
      <c r="F1278">
        <v>920</v>
      </c>
      <c r="G1278" t="s">
        <v>1611</v>
      </c>
      <c r="H1278" t="s">
        <v>1611</v>
      </c>
    </row>
    <row r="1279" spans="1:8" ht="14.25">
      <c r="A1279" t="s">
        <v>1836</v>
      </c>
      <c r="B1279" t="s">
        <v>1837</v>
      </c>
      <c r="C1279" t="s">
        <v>136</v>
      </c>
      <c r="D1279">
        <v>4100</v>
      </c>
      <c r="E1279">
        <v>38</v>
      </c>
      <c r="F1279">
        <v>600</v>
      </c>
      <c r="G1279" t="s">
        <v>1611</v>
      </c>
    </row>
    <row r="1280" spans="1:8" ht="14.25">
      <c r="A1280" t="s">
        <v>1838</v>
      </c>
      <c r="B1280" t="s">
        <v>1837</v>
      </c>
      <c r="C1280" t="s">
        <v>136</v>
      </c>
      <c r="D1280">
        <v>4100</v>
      </c>
      <c r="E1280">
        <v>38</v>
      </c>
      <c r="F1280">
        <v>920</v>
      </c>
      <c r="G1280" t="s">
        <v>1611</v>
      </c>
      <c r="H1280" t="s">
        <v>1611</v>
      </c>
    </row>
    <row r="1281" spans="1:8" ht="14.25">
      <c r="A1281" t="s">
        <v>1839</v>
      </c>
      <c r="B1281">
        <v>45</v>
      </c>
      <c r="C1281" t="s">
        <v>143</v>
      </c>
      <c r="D1281">
        <v>4100</v>
      </c>
      <c r="E1281">
        <v>12.1</v>
      </c>
      <c r="F1281">
        <v>650</v>
      </c>
      <c r="G1281" t="s">
        <v>1611</v>
      </c>
      <c r="H1281" t="s">
        <v>1611</v>
      </c>
    </row>
    <row r="1282" spans="1:8" ht="14.25">
      <c r="A1282" t="s">
        <v>1840</v>
      </c>
      <c r="B1282">
        <v>45</v>
      </c>
      <c r="C1282" t="s">
        <v>143</v>
      </c>
      <c r="D1282">
        <v>4100</v>
      </c>
      <c r="E1282">
        <v>12.1</v>
      </c>
      <c r="F1282">
        <v>920</v>
      </c>
      <c r="G1282" t="s">
        <v>1611</v>
      </c>
      <c r="H1282" t="s">
        <v>1611</v>
      </c>
    </row>
    <row r="1283" spans="1:8" ht="14.25">
      <c r="A1283" t="s">
        <v>1841</v>
      </c>
      <c r="B1283" t="s">
        <v>1842</v>
      </c>
      <c r="C1283" t="s">
        <v>143</v>
      </c>
      <c r="D1283">
        <v>4100</v>
      </c>
      <c r="E1283">
        <v>38</v>
      </c>
      <c r="F1283">
        <v>600</v>
      </c>
      <c r="G1283" t="s">
        <v>1611</v>
      </c>
    </row>
    <row r="1284" spans="1:8" ht="14.25">
      <c r="A1284" t="s">
        <v>1843</v>
      </c>
      <c r="B1284" t="s">
        <v>1842</v>
      </c>
      <c r="C1284" t="s">
        <v>143</v>
      </c>
      <c r="D1284">
        <v>4100</v>
      </c>
      <c r="E1284">
        <v>38</v>
      </c>
      <c r="F1284">
        <v>920</v>
      </c>
      <c r="G1284" t="s">
        <v>1611</v>
      </c>
      <c r="H1284" t="s">
        <v>1611</v>
      </c>
    </row>
    <row r="1285" spans="1:8" ht="14.25">
      <c r="A1285" t="s">
        <v>1844</v>
      </c>
      <c r="B1285" t="s">
        <v>1845</v>
      </c>
      <c r="C1285" t="s">
        <v>143</v>
      </c>
      <c r="D1285">
        <v>4100</v>
      </c>
      <c r="E1285">
        <v>38</v>
      </c>
      <c r="F1285">
        <v>600</v>
      </c>
      <c r="G1285" t="s">
        <v>1611</v>
      </c>
    </row>
    <row r="1286" spans="1:8" ht="14.25">
      <c r="A1286" t="s">
        <v>1846</v>
      </c>
      <c r="B1286" t="s">
        <v>1845</v>
      </c>
      <c r="C1286" t="s">
        <v>143</v>
      </c>
      <c r="D1286">
        <v>4100</v>
      </c>
      <c r="E1286">
        <v>38</v>
      </c>
      <c r="F1286">
        <v>920</v>
      </c>
      <c r="G1286" t="s">
        <v>1611</v>
      </c>
      <c r="H1286" t="s">
        <v>1611</v>
      </c>
    </row>
    <row r="1287" spans="1:8" ht="14.25">
      <c r="A1287" t="s">
        <v>1847</v>
      </c>
      <c r="B1287" t="s">
        <v>1848</v>
      </c>
      <c r="C1287" t="s">
        <v>143</v>
      </c>
      <c r="D1287">
        <v>4100</v>
      </c>
      <c r="E1287">
        <v>38</v>
      </c>
      <c r="F1287">
        <v>600</v>
      </c>
      <c r="G1287" t="s">
        <v>1611</v>
      </c>
    </row>
    <row r="1288" spans="1:8" ht="14.25">
      <c r="A1288" t="s">
        <v>1849</v>
      </c>
      <c r="B1288" t="s">
        <v>1848</v>
      </c>
      <c r="C1288" t="s">
        <v>143</v>
      </c>
      <c r="D1288">
        <v>4100</v>
      </c>
      <c r="E1288">
        <v>38</v>
      </c>
      <c r="F1288">
        <v>920</v>
      </c>
      <c r="G1288" t="s">
        <v>1611</v>
      </c>
      <c r="H1288" t="s">
        <v>1611</v>
      </c>
    </row>
    <row r="1289" spans="1:8" ht="14.25">
      <c r="A1289" t="s">
        <v>1850</v>
      </c>
      <c r="B1289" t="s">
        <v>1851</v>
      </c>
      <c r="C1289" t="s">
        <v>143</v>
      </c>
      <c r="D1289">
        <v>4100</v>
      </c>
      <c r="E1289">
        <v>38</v>
      </c>
      <c r="F1289">
        <v>600</v>
      </c>
      <c r="G1289" t="s">
        <v>1611</v>
      </c>
    </row>
    <row r="1290" spans="1:8" ht="14.25">
      <c r="A1290" t="s">
        <v>1852</v>
      </c>
      <c r="B1290" t="s">
        <v>1851</v>
      </c>
      <c r="C1290" t="s">
        <v>143</v>
      </c>
      <c r="D1290">
        <v>4100</v>
      </c>
      <c r="E1290">
        <v>38</v>
      </c>
      <c r="F1290">
        <v>920</v>
      </c>
      <c r="G1290" t="s">
        <v>1611</v>
      </c>
      <c r="H1290" t="s">
        <v>1611</v>
      </c>
    </row>
    <row r="1291" spans="1:8" ht="14.25">
      <c r="A1291" t="s">
        <v>1853</v>
      </c>
      <c r="B1291" t="s">
        <v>1854</v>
      </c>
      <c r="C1291" t="s">
        <v>143</v>
      </c>
      <c r="D1291">
        <v>4100</v>
      </c>
      <c r="E1291">
        <v>38</v>
      </c>
      <c r="F1291">
        <v>600</v>
      </c>
      <c r="G1291" t="s">
        <v>1611</v>
      </c>
    </row>
    <row r="1292" spans="1:8" ht="14.25">
      <c r="A1292" t="s">
        <v>1855</v>
      </c>
      <c r="B1292" t="s">
        <v>1854</v>
      </c>
      <c r="C1292" t="s">
        <v>143</v>
      </c>
      <c r="D1292">
        <v>4100</v>
      </c>
      <c r="E1292">
        <v>38</v>
      </c>
      <c r="F1292">
        <v>920</v>
      </c>
      <c r="G1292" t="s">
        <v>1611</v>
      </c>
      <c r="H1292" t="s">
        <v>1611</v>
      </c>
    </row>
    <row r="1293" spans="1:8" ht="14.25">
      <c r="A1293" t="s">
        <v>1856</v>
      </c>
      <c r="B1293" t="s">
        <v>1857</v>
      </c>
      <c r="C1293" t="s">
        <v>143</v>
      </c>
      <c r="D1293">
        <v>4100</v>
      </c>
      <c r="E1293">
        <v>38</v>
      </c>
      <c r="F1293">
        <v>600</v>
      </c>
      <c r="G1293" t="s">
        <v>1611</v>
      </c>
    </row>
    <row r="1294" spans="1:8" ht="14.25">
      <c r="A1294" t="s">
        <v>1858</v>
      </c>
      <c r="B1294" t="s">
        <v>1857</v>
      </c>
      <c r="C1294" t="s">
        <v>143</v>
      </c>
      <c r="D1294">
        <v>4100</v>
      </c>
      <c r="E1294">
        <v>38</v>
      </c>
      <c r="F1294">
        <v>920</v>
      </c>
      <c r="G1294" t="s">
        <v>1611</v>
      </c>
      <c r="H1294" t="s">
        <v>1611</v>
      </c>
    </row>
    <row r="1295" spans="1:8" ht="14.25">
      <c r="A1295" t="s">
        <v>1859</v>
      </c>
      <c r="B1295" t="s">
        <v>232</v>
      </c>
      <c r="C1295" t="s">
        <v>143</v>
      </c>
      <c r="D1295">
        <v>4100</v>
      </c>
      <c r="E1295">
        <v>38</v>
      </c>
      <c r="F1295">
        <v>600</v>
      </c>
      <c r="G1295" t="s">
        <v>1611</v>
      </c>
    </row>
    <row r="1296" spans="1:8" ht="14.25">
      <c r="A1296" t="s">
        <v>1860</v>
      </c>
      <c r="B1296" t="s">
        <v>232</v>
      </c>
      <c r="C1296" t="s">
        <v>143</v>
      </c>
      <c r="D1296">
        <v>4100</v>
      </c>
      <c r="E1296">
        <v>38</v>
      </c>
      <c r="F1296">
        <v>920</v>
      </c>
      <c r="G1296" t="s">
        <v>1611</v>
      </c>
      <c r="H1296" t="s">
        <v>1611</v>
      </c>
    </row>
    <row r="1297" spans="1:8" ht="14.25">
      <c r="A1297" t="s">
        <v>1861</v>
      </c>
      <c r="B1297" t="s">
        <v>1862</v>
      </c>
      <c r="C1297" t="s">
        <v>143</v>
      </c>
      <c r="D1297">
        <v>4100</v>
      </c>
      <c r="E1297">
        <v>38</v>
      </c>
      <c r="F1297">
        <v>600</v>
      </c>
      <c r="G1297" t="s">
        <v>1611</v>
      </c>
    </row>
    <row r="1298" spans="1:8" ht="14.25">
      <c r="A1298" t="s">
        <v>1863</v>
      </c>
      <c r="B1298" t="s">
        <v>1862</v>
      </c>
      <c r="C1298" t="s">
        <v>143</v>
      </c>
      <c r="D1298">
        <v>4100</v>
      </c>
      <c r="E1298">
        <v>38</v>
      </c>
      <c r="F1298">
        <v>920</v>
      </c>
      <c r="G1298" t="s">
        <v>1611</v>
      </c>
      <c r="H1298" t="s">
        <v>1611</v>
      </c>
    </row>
    <row r="1299" spans="1:8" ht="14.25">
      <c r="A1299" t="s">
        <v>1864</v>
      </c>
      <c r="B1299" t="s">
        <v>1865</v>
      </c>
      <c r="C1299" t="s">
        <v>143</v>
      </c>
      <c r="D1299">
        <v>4100</v>
      </c>
      <c r="E1299">
        <v>38</v>
      </c>
      <c r="F1299">
        <v>600</v>
      </c>
      <c r="G1299" t="s">
        <v>1611</v>
      </c>
    </row>
    <row r="1300" spans="1:8" ht="14.25">
      <c r="A1300" t="s">
        <v>1866</v>
      </c>
      <c r="B1300" t="s">
        <v>1865</v>
      </c>
      <c r="C1300" t="s">
        <v>143</v>
      </c>
      <c r="D1300">
        <v>4100</v>
      </c>
      <c r="E1300">
        <v>38</v>
      </c>
      <c r="F1300">
        <v>920</v>
      </c>
      <c r="G1300" t="s">
        <v>1611</v>
      </c>
      <c r="H1300" t="s">
        <v>1611</v>
      </c>
    </row>
    <row r="1301" spans="1:8" ht="14.25">
      <c r="A1301" t="s">
        <v>1867</v>
      </c>
      <c r="B1301" t="s">
        <v>234</v>
      </c>
      <c r="C1301" t="s">
        <v>143</v>
      </c>
      <c r="D1301">
        <v>4100</v>
      </c>
      <c r="E1301">
        <v>38</v>
      </c>
      <c r="F1301">
        <v>600</v>
      </c>
      <c r="G1301" t="s">
        <v>1611</v>
      </c>
    </row>
    <row r="1302" spans="1:8" ht="14.25">
      <c r="A1302" t="s">
        <v>1868</v>
      </c>
      <c r="B1302" t="s">
        <v>234</v>
      </c>
      <c r="C1302" t="s">
        <v>143</v>
      </c>
      <c r="D1302">
        <v>4100</v>
      </c>
      <c r="E1302">
        <v>38</v>
      </c>
      <c r="F1302">
        <v>920</v>
      </c>
      <c r="G1302" t="s">
        <v>1611</v>
      </c>
      <c r="H1302" t="s">
        <v>1611</v>
      </c>
    </row>
    <row r="1303" spans="1:8" ht="14.25">
      <c r="A1303" t="s">
        <v>1869</v>
      </c>
      <c r="B1303">
        <v>45</v>
      </c>
      <c r="C1303" t="s">
        <v>143</v>
      </c>
      <c r="D1303">
        <v>4100</v>
      </c>
      <c r="E1303">
        <v>12.1</v>
      </c>
      <c r="F1303">
        <v>650</v>
      </c>
      <c r="G1303" t="s">
        <v>1611</v>
      </c>
      <c r="H1303" t="s">
        <v>1611</v>
      </c>
    </row>
    <row r="1304" spans="1:8" ht="14.25">
      <c r="A1304" t="s">
        <v>1870</v>
      </c>
      <c r="B1304">
        <v>45</v>
      </c>
      <c r="C1304" t="s">
        <v>143</v>
      </c>
      <c r="D1304">
        <v>4100</v>
      </c>
      <c r="E1304">
        <v>12.1</v>
      </c>
      <c r="F1304">
        <v>920</v>
      </c>
      <c r="G1304" t="s">
        <v>1611</v>
      </c>
      <c r="H1304" t="s">
        <v>1611</v>
      </c>
    </row>
    <row r="1305" spans="1:8" ht="14.25">
      <c r="A1305" t="s">
        <v>1871</v>
      </c>
      <c r="B1305" t="s">
        <v>1872</v>
      </c>
      <c r="C1305" t="s">
        <v>143</v>
      </c>
      <c r="D1305">
        <v>4100</v>
      </c>
      <c r="E1305">
        <v>38</v>
      </c>
      <c r="F1305">
        <v>600</v>
      </c>
      <c r="G1305" t="s">
        <v>1611</v>
      </c>
    </row>
    <row r="1306" spans="1:8" ht="14.25">
      <c r="A1306" t="s">
        <v>1873</v>
      </c>
      <c r="B1306" t="s">
        <v>1872</v>
      </c>
      <c r="C1306" t="s">
        <v>143</v>
      </c>
      <c r="D1306">
        <v>4100</v>
      </c>
      <c r="E1306">
        <v>38</v>
      </c>
      <c r="F1306">
        <v>920</v>
      </c>
      <c r="G1306" t="s">
        <v>1611</v>
      </c>
      <c r="H1306" t="s">
        <v>1611</v>
      </c>
    </row>
    <row r="1307" spans="1:8" ht="14.25">
      <c r="A1307" t="s">
        <v>1874</v>
      </c>
      <c r="B1307" t="s">
        <v>1875</v>
      </c>
      <c r="C1307" t="s">
        <v>136</v>
      </c>
      <c r="D1307">
        <v>4100</v>
      </c>
      <c r="E1307">
        <v>38</v>
      </c>
      <c r="F1307">
        <v>600</v>
      </c>
      <c r="G1307" t="s">
        <v>1611</v>
      </c>
    </row>
    <row r="1308" spans="1:8" ht="14.25">
      <c r="A1308" t="s">
        <v>5425</v>
      </c>
      <c r="B1308">
        <v>45</v>
      </c>
      <c r="C1308" t="s">
        <v>143</v>
      </c>
      <c r="D1308">
        <v>4100</v>
      </c>
      <c r="E1308">
        <v>12.1</v>
      </c>
      <c r="F1308">
        <v>650</v>
      </c>
      <c r="G1308" t="s">
        <v>1611</v>
      </c>
      <c r="H1308" t="s">
        <v>1611</v>
      </c>
    </row>
    <row r="1309" spans="1:8" ht="14.25">
      <c r="A1309" t="s">
        <v>5426</v>
      </c>
      <c r="B1309">
        <v>45</v>
      </c>
      <c r="C1309" t="s">
        <v>143</v>
      </c>
      <c r="D1309">
        <v>4100</v>
      </c>
      <c r="E1309">
        <v>12.1</v>
      </c>
      <c r="F1309">
        <v>920</v>
      </c>
      <c r="G1309" t="s">
        <v>1611</v>
      </c>
      <c r="H1309" t="s">
        <v>1611</v>
      </c>
    </row>
    <row r="1310" spans="1:8" ht="14.25">
      <c r="A1310" t="s">
        <v>1876</v>
      </c>
      <c r="B1310" t="s">
        <v>1877</v>
      </c>
      <c r="C1310" t="s">
        <v>136</v>
      </c>
      <c r="D1310">
        <v>4100</v>
      </c>
      <c r="E1310">
        <v>38</v>
      </c>
      <c r="F1310">
        <v>600</v>
      </c>
      <c r="G1310" t="s">
        <v>1611</v>
      </c>
    </row>
    <row r="1311" spans="1:8" ht="14.25">
      <c r="A1311" t="s">
        <v>1878</v>
      </c>
      <c r="B1311">
        <v>45</v>
      </c>
      <c r="C1311" t="s">
        <v>143</v>
      </c>
      <c r="D1311">
        <v>4100</v>
      </c>
      <c r="E1311">
        <v>12.1</v>
      </c>
      <c r="F1311">
        <v>650</v>
      </c>
      <c r="G1311" t="s">
        <v>1611</v>
      </c>
      <c r="H1311" t="s">
        <v>1611</v>
      </c>
    </row>
    <row r="1312" spans="1:8" ht="14.25">
      <c r="A1312" t="s">
        <v>1879</v>
      </c>
      <c r="B1312" t="s">
        <v>1877</v>
      </c>
      <c r="C1312" t="s">
        <v>136</v>
      </c>
      <c r="D1312">
        <v>4100</v>
      </c>
      <c r="E1312">
        <v>38</v>
      </c>
      <c r="F1312">
        <v>920</v>
      </c>
      <c r="G1312" t="s">
        <v>1611</v>
      </c>
      <c r="H1312" t="s">
        <v>1611</v>
      </c>
    </row>
    <row r="1313" spans="1:8" ht="14.25">
      <c r="A1313" t="s">
        <v>1880</v>
      </c>
      <c r="B1313">
        <v>45</v>
      </c>
      <c r="C1313" t="s">
        <v>143</v>
      </c>
      <c r="D1313">
        <v>4100</v>
      </c>
      <c r="E1313">
        <v>12.1</v>
      </c>
      <c r="F1313">
        <v>920</v>
      </c>
      <c r="G1313" t="s">
        <v>1611</v>
      </c>
      <c r="H1313" t="s">
        <v>1611</v>
      </c>
    </row>
    <row r="1314" spans="1:8" ht="14.25">
      <c r="A1314" t="s">
        <v>1881</v>
      </c>
      <c r="B1314" t="s">
        <v>1882</v>
      </c>
      <c r="C1314" t="s">
        <v>136</v>
      </c>
      <c r="D1314">
        <v>4100</v>
      </c>
      <c r="E1314">
        <v>38</v>
      </c>
      <c r="F1314">
        <v>600</v>
      </c>
      <c r="G1314" t="s">
        <v>1611</v>
      </c>
    </row>
    <row r="1315" spans="1:8" ht="14.25">
      <c r="A1315" t="s">
        <v>1883</v>
      </c>
      <c r="B1315" t="s">
        <v>1882</v>
      </c>
      <c r="C1315" t="s">
        <v>136</v>
      </c>
      <c r="D1315">
        <v>4100</v>
      </c>
      <c r="E1315">
        <v>38</v>
      </c>
      <c r="F1315">
        <v>920</v>
      </c>
      <c r="G1315" t="s">
        <v>1611</v>
      </c>
      <c r="H1315" t="s">
        <v>1611</v>
      </c>
    </row>
    <row r="1316" spans="1:8" ht="14.25">
      <c r="A1316" t="s">
        <v>1884</v>
      </c>
      <c r="B1316" t="s">
        <v>1885</v>
      </c>
      <c r="C1316" t="s">
        <v>136</v>
      </c>
      <c r="D1316">
        <v>4100</v>
      </c>
      <c r="E1316">
        <v>38</v>
      </c>
      <c r="F1316">
        <v>920</v>
      </c>
      <c r="G1316" t="s">
        <v>1611</v>
      </c>
      <c r="H1316" t="s">
        <v>1611</v>
      </c>
    </row>
    <row r="1317" spans="1:8" ht="14.25">
      <c r="A1317" t="s">
        <v>1886</v>
      </c>
      <c r="B1317" t="s">
        <v>1887</v>
      </c>
      <c r="C1317" t="s">
        <v>143</v>
      </c>
      <c r="D1317">
        <v>4100</v>
      </c>
      <c r="E1317">
        <v>38</v>
      </c>
      <c r="F1317">
        <v>600</v>
      </c>
      <c r="G1317" t="s">
        <v>1611</v>
      </c>
    </row>
    <row r="1318" spans="1:8" ht="14.25">
      <c r="A1318" t="s">
        <v>1888</v>
      </c>
      <c r="B1318" t="s">
        <v>1887</v>
      </c>
      <c r="C1318" t="s">
        <v>143</v>
      </c>
      <c r="D1318">
        <v>4100</v>
      </c>
      <c r="E1318">
        <v>38</v>
      </c>
      <c r="F1318">
        <v>920</v>
      </c>
      <c r="G1318" t="s">
        <v>1611</v>
      </c>
      <c r="H1318" t="s">
        <v>1611</v>
      </c>
    </row>
    <row r="1319" spans="1:8" ht="14.25">
      <c r="A1319" t="s">
        <v>1889</v>
      </c>
      <c r="B1319" t="s">
        <v>236</v>
      </c>
      <c r="C1319" t="s">
        <v>143</v>
      </c>
      <c r="D1319">
        <v>4100</v>
      </c>
      <c r="E1319">
        <v>38</v>
      </c>
      <c r="F1319">
        <v>600</v>
      </c>
      <c r="G1319" t="s">
        <v>1611</v>
      </c>
    </row>
    <row r="1320" spans="1:8" ht="14.25">
      <c r="A1320" t="s">
        <v>1890</v>
      </c>
      <c r="B1320" t="s">
        <v>236</v>
      </c>
      <c r="C1320" t="s">
        <v>143</v>
      </c>
      <c r="D1320">
        <v>4100</v>
      </c>
      <c r="E1320">
        <v>38</v>
      </c>
      <c r="F1320">
        <v>920</v>
      </c>
      <c r="G1320" t="s">
        <v>1611</v>
      </c>
      <c r="H1320" t="s">
        <v>1611</v>
      </c>
    </row>
    <row r="1321" spans="1:8" ht="14.25">
      <c r="A1321" t="s">
        <v>1891</v>
      </c>
      <c r="B1321" t="s">
        <v>1892</v>
      </c>
      <c r="C1321" t="s">
        <v>136</v>
      </c>
      <c r="D1321">
        <v>4100</v>
      </c>
      <c r="E1321">
        <v>38</v>
      </c>
      <c r="F1321">
        <v>600</v>
      </c>
      <c r="G1321" t="s">
        <v>1611</v>
      </c>
    </row>
    <row r="1322" spans="1:8" ht="14.25">
      <c r="A1322" t="s">
        <v>1893</v>
      </c>
      <c r="B1322" t="s">
        <v>1892</v>
      </c>
      <c r="C1322" t="s">
        <v>136</v>
      </c>
      <c r="D1322">
        <v>4100</v>
      </c>
      <c r="E1322">
        <v>38</v>
      </c>
      <c r="F1322">
        <v>920</v>
      </c>
      <c r="G1322" t="s">
        <v>1611</v>
      </c>
      <c r="H1322" t="s">
        <v>1611</v>
      </c>
    </row>
    <row r="1323" spans="1:8" ht="14.25">
      <c r="A1323" t="s">
        <v>1894</v>
      </c>
      <c r="B1323" t="s">
        <v>1895</v>
      </c>
      <c r="C1323" t="s">
        <v>136</v>
      </c>
      <c r="D1323">
        <v>4100</v>
      </c>
      <c r="E1323">
        <v>38</v>
      </c>
      <c r="F1323">
        <v>920</v>
      </c>
      <c r="G1323" t="s">
        <v>1611</v>
      </c>
      <c r="H1323" t="s">
        <v>1611</v>
      </c>
    </row>
    <row r="1324" spans="1:8" ht="14.25">
      <c r="A1324" t="s">
        <v>1896</v>
      </c>
      <c r="B1324" t="s">
        <v>239</v>
      </c>
      <c r="C1324" t="s">
        <v>143</v>
      </c>
      <c r="D1324">
        <v>4100</v>
      </c>
      <c r="E1324">
        <v>38</v>
      </c>
      <c r="F1324">
        <v>600</v>
      </c>
      <c r="G1324" t="s">
        <v>1611</v>
      </c>
    </row>
    <row r="1325" spans="1:8" ht="14.25">
      <c r="A1325" t="s">
        <v>1897</v>
      </c>
      <c r="B1325">
        <v>45</v>
      </c>
      <c r="C1325" t="s">
        <v>143</v>
      </c>
      <c r="D1325">
        <v>4100</v>
      </c>
      <c r="E1325">
        <v>12.1</v>
      </c>
      <c r="F1325">
        <v>650</v>
      </c>
      <c r="G1325" t="s">
        <v>1611</v>
      </c>
      <c r="H1325" t="s">
        <v>1611</v>
      </c>
    </row>
    <row r="1326" spans="1:8" ht="14.25">
      <c r="A1326" t="s">
        <v>1898</v>
      </c>
      <c r="B1326" t="s">
        <v>239</v>
      </c>
      <c r="C1326" t="s">
        <v>143</v>
      </c>
      <c r="D1326">
        <v>4100</v>
      </c>
      <c r="E1326">
        <v>38</v>
      </c>
      <c r="F1326">
        <v>920</v>
      </c>
      <c r="G1326" t="s">
        <v>1611</v>
      </c>
      <c r="H1326" t="s">
        <v>1611</v>
      </c>
    </row>
    <row r="1327" spans="1:8" ht="14.25">
      <c r="A1327" t="s">
        <v>1899</v>
      </c>
      <c r="B1327">
        <v>45</v>
      </c>
      <c r="C1327" t="s">
        <v>143</v>
      </c>
      <c r="D1327">
        <v>4100</v>
      </c>
      <c r="E1327">
        <v>12.1</v>
      </c>
      <c r="F1327">
        <v>920</v>
      </c>
      <c r="G1327" t="s">
        <v>1611</v>
      </c>
      <c r="H1327" t="s">
        <v>1611</v>
      </c>
    </row>
    <row r="1328" spans="1:8" ht="14.25">
      <c r="A1328" t="s">
        <v>1900</v>
      </c>
      <c r="B1328" t="s">
        <v>1901</v>
      </c>
      <c r="C1328" t="s">
        <v>136</v>
      </c>
      <c r="D1328">
        <v>4100</v>
      </c>
      <c r="E1328">
        <v>38</v>
      </c>
      <c r="F1328">
        <v>600</v>
      </c>
      <c r="G1328" t="s">
        <v>1611</v>
      </c>
    </row>
    <row r="1329" spans="1:8" ht="14.25">
      <c r="A1329" t="s">
        <v>1902</v>
      </c>
      <c r="B1329" t="s">
        <v>1901</v>
      </c>
      <c r="C1329" t="s">
        <v>136</v>
      </c>
      <c r="D1329">
        <v>4100</v>
      </c>
      <c r="E1329">
        <v>38</v>
      </c>
      <c r="F1329">
        <v>920</v>
      </c>
      <c r="G1329" t="s">
        <v>1611</v>
      </c>
      <c r="H1329" t="s">
        <v>1611</v>
      </c>
    </row>
    <row r="1330" spans="1:8" ht="14.25">
      <c r="A1330" t="s">
        <v>1903</v>
      </c>
      <c r="B1330" t="s">
        <v>1904</v>
      </c>
      <c r="C1330" t="s">
        <v>143</v>
      </c>
      <c r="D1330">
        <v>4100</v>
      </c>
      <c r="E1330">
        <v>38</v>
      </c>
      <c r="F1330">
        <v>600</v>
      </c>
      <c r="G1330" t="s">
        <v>1611</v>
      </c>
    </row>
    <row r="1331" spans="1:8" ht="14.25">
      <c r="A1331" t="s">
        <v>1905</v>
      </c>
      <c r="B1331" t="s">
        <v>1904</v>
      </c>
      <c r="C1331" t="s">
        <v>143</v>
      </c>
      <c r="D1331">
        <v>4100</v>
      </c>
      <c r="E1331">
        <v>38</v>
      </c>
      <c r="F1331">
        <v>920</v>
      </c>
      <c r="G1331" t="s">
        <v>1611</v>
      </c>
      <c r="H1331" t="s">
        <v>1611</v>
      </c>
    </row>
    <row r="1332" spans="1:8" ht="14.25">
      <c r="A1332" t="s">
        <v>1906</v>
      </c>
      <c r="B1332" t="s">
        <v>1907</v>
      </c>
      <c r="C1332" t="s">
        <v>143</v>
      </c>
      <c r="D1332">
        <v>4100</v>
      </c>
      <c r="E1332">
        <v>38</v>
      </c>
      <c r="F1332">
        <v>600</v>
      </c>
      <c r="G1332" t="s">
        <v>1611</v>
      </c>
    </row>
    <row r="1333" spans="1:8" ht="14.25">
      <c r="A1333" t="s">
        <v>1908</v>
      </c>
      <c r="B1333" t="s">
        <v>1907</v>
      </c>
      <c r="C1333" t="s">
        <v>143</v>
      </c>
      <c r="D1333">
        <v>4100</v>
      </c>
      <c r="E1333">
        <v>38</v>
      </c>
      <c r="F1333">
        <v>920</v>
      </c>
      <c r="G1333" t="s">
        <v>1611</v>
      </c>
      <c r="H1333" t="s">
        <v>1611</v>
      </c>
    </row>
    <row r="1334" spans="1:8" ht="14.25">
      <c r="A1334" t="s">
        <v>1909</v>
      </c>
      <c r="B1334" t="s">
        <v>1910</v>
      </c>
      <c r="C1334" t="s">
        <v>143</v>
      </c>
      <c r="D1334">
        <v>4100</v>
      </c>
      <c r="E1334">
        <v>38</v>
      </c>
      <c r="F1334">
        <v>600</v>
      </c>
      <c r="G1334" t="s">
        <v>1611</v>
      </c>
    </row>
    <row r="1335" spans="1:8" ht="14.25">
      <c r="A1335" t="s">
        <v>1911</v>
      </c>
      <c r="B1335" t="s">
        <v>1910</v>
      </c>
      <c r="C1335" t="s">
        <v>143</v>
      </c>
      <c r="D1335">
        <v>4100</v>
      </c>
      <c r="E1335">
        <v>38</v>
      </c>
      <c r="F1335">
        <v>920</v>
      </c>
      <c r="G1335" t="s">
        <v>1611</v>
      </c>
      <c r="H1335" t="s">
        <v>1611</v>
      </c>
    </row>
    <row r="1336" spans="1:8" ht="14.25">
      <c r="A1336" t="s">
        <v>1912</v>
      </c>
      <c r="B1336" t="s">
        <v>1913</v>
      </c>
      <c r="C1336" t="s">
        <v>143</v>
      </c>
      <c r="D1336">
        <v>4100</v>
      </c>
      <c r="E1336">
        <v>38</v>
      </c>
      <c r="F1336">
        <v>600</v>
      </c>
      <c r="G1336" t="s">
        <v>1611</v>
      </c>
    </row>
    <row r="1337" spans="1:8" ht="14.25">
      <c r="A1337" t="s">
        <v>1914</v>
      </c>
      <c r="B1337" t="s">
        <v>1913</v>
      </c>
      <c r="C1337" t="s">
        <v>143</v>
      </c>
      <c r="D1337">
        <v>4100</v>
      </c>
      <c r="E1337">
        <v>38</v>
      </c>
      <c r="F1337">
        <v>920</v>
      </c>
      <c r="G1337" t="s">
        <v>1611</v>
      </c>
      <c r="H1337" t="s">
        <v>1611</v>
      </c>
    </row>
    <row r="1338" spans="1:8" ht="14.25">
      <c r="A1338" t="s">
        <v>1915</v>
      </c>
      <c r="B1338" t="s">
        <v>1916</v>
      </c>
      <c r="C1338" t="s">
        <v>143</v>
      </c>
      <c r="D1338">
        <v>4100</v>
      </c>
      <c r="E1338">
        <v>38</v>
      </c>
      <c r="F1338">
        <v>600</v>
      </c>
      <c r="G1338" t="s">
        <v>1611</v>
      </c>
    </row>
    <row r="1339" spans="1:8" ht="14.25">
      <c r="A1339" t="s">
        <v>1917</v>
      </c>
      <c r="B1339" t="s">
        <v>1916</v>
      </c>
      <c r="C1339" t="s">
        <v>143</v>
      </c>
      <c r="D1339">
        <v>4100</v>
      </c>
      <c r="E1339">
        <v>38</v>
      </c>
      <c r="F1339">
        <v>920</v>
      </c>
      <c r="G1339" t="s">
        <v>1611</v>
      </c>
      <c r="H1339" t="s">
        <v>1611</v>
      </c>
    </row>
    <row r="1340" spans="1:8" ht="14.25">
      <c r="A1340" t="s">
        <v>1918</v>
      </c>
      <c r="B1340" t="s">
        <v>1919</v>
      </c>
      <c r="C1340" t="s">
        <v>143</v>
      </c>
      <c r="D1340">
        <v>4100</v>
      </c>
      <c r="E1340">
        <v>38</v>
      </c>
      <c r="F1340">
        <v>600</v>
      </c>
      <c r="G1340" t="s">
        <v>1611</v>
      </c>
    </row>
    <row r="1341" spans="1:8" ht="14.25">
      <c r="A1341" t="s">
        <v>1920</v>
      </c>
      <c r="B1341" t="s">
        <v>1919</v>
      </c>
      <c r="C1341" t="s">
        <v>143</v>
      </c>
      <c r="D1341">
        <v>4100</v>
      </c>
      <c r="E1341">
        <v>38</v>
      </c>
      <c r="F1341">
        <v>920</v>
      </c>
      <c r="G1341" t="s">
        <v>1611</v>
      </c>
      <c r="H1341" t="s">
        <v>1611</v>
      </c>
    </row>
    <row r="1342" spans="1:8" ht="14.25">
      <c r="A1342" t="s">
        <v>1921</v>
      </c>
      <c r="B1342" t="s">
        <v>1922</v>
      </c>
      <c r="C1342" t="s">
        <v>143</v>
      </c>
      <c r="D1342">
        <v>4100</v>
      </c>
      <c r="E1342">
        <v>38</v>
      </c>
      <c r="F1342">
        <v>600</v>
      </c>
      <c r="G1342" t="s">
        <v>1611</v>
      </c>
    </row>
    <row r="1343" spans="1:8" ht="14.25">
      <c r="A1343" t="s">
        <v>1923</v>
      </c>
      <c r="B1343" t="s">
        <v>1922</v>
      </c>
      <c r="C1343" t="s">
        <v>143</v>
      </c>
      <c r="D1343">
        <v>4100</v>
      </c>
      <c r="E1343">
        <v>38</v>
      </c>
      <c r="F1343">
        <v>920</v>
      </c>
      <c r="G1343" t="s">
        <v>1611</v>
      </c>
      <c r="H1343" t="s">
        <v>1611</v>
      </c>
    </row>
    <row r="1344" spans="1:8" ht="14.25">
      <c r="A1344" t="s">
        <v>1924</v>
      </c>
      <c r="B1344" t="s">
        <v>1925</v>
      </c>
      <c r="C1344" t="s">
        <v>143</v>
      </c>
      <c r="D1344">
        <v>4100</v>
      </c>
      <c r="E1344">
        <v>38</v>
      </c>
      <c r="F1344">
        <v>600</v>
      </c>
      <c r="G1344" t="s">
        <v>1611</v>
      </c>
    </row>
    <row r="1345" spans="1:8" ht="14.25">
      <c r="A1345" t="s">
        <v>1926</v>
      </c>
      <c r="B1345" t="s">
        <v>1925</v>
      </c>
      <c r="C1345" t="s">
        <v>143</v>
      </c>
      <c r="D1345">
        <v>4100</v>
      </c>
      <c r="E1345">
        <v>38</v>
      </c>
      <c r="F1345">
        <v>920</v>
      </c>
      <c r="G1345" t="s">
        <v>1611</v>
      </c>
      <c r="H1345" t="s">
        <v>1611</v>
      </c>
    </row>
    <row r="1346" spans="1:8" ht="14.25">
      <c r="A1346" t="s">
        <v>1927</v>
      </c>
      <c r="B1346" t="s">
        <v>1928</v>
      </c>
      <c r="C1346" t="s">
        <v>143</v>
      </c>
      <c r="D1346">
        <v>4100</v>
      </c>
      <c r="E1346">
        <v>38</v>
      </c>
      <c r="F1346">
        <v>600</v>
      </c>
      <c r="G1346" t="s">
        <v>1611</v>
      </c>
    </row>
    <row r="1347" spans="1:8" ht="14.25">
      <c r="A1347" t="s">
        <v>1929</v>
      </c>
      <c r="B1347" t="s">
        <v>1928</v>
      </c>
      <c r="C1347" t="s">
        <v>143</v>
      </c>
      <c r="D1347">
        <v>4100</v>
      </c>
      <c r="E1347">
        <v>38</v>
      </c>
      <c r="F1347">
        <v>920</v>
      </c>
      <c r="G1347" t="s">
        <v>1611</v>
      </c>
      <c r="H1347" t="s">
        <v>1611</v>
      </c>
    </row>
    <row r="1348" spans="1:8" ht="14.25">
      <c r="A1348" t="s">
        <v>1930</v>
      </c>
      <c r="B1348" t="s">
        <v>1931</v>
      </c>
      <c r="C1348" t="s">
        <v>136</v>
      </c>
      <c r="D1348">
        <v>4100</v>
      </c>
      <c r="E1348">
        <v>38</v>
      </c>
      <c r="F1348">
        <v>600</v>
      </c>
      <c r="G1348" t="s">
        <v>1611</v>
      </c>
    </row>
    <row r="1349" spans="1:8" ht="14.25">
      <c r="A1349" t="s">
        <v>1932</v>
      </c>
      <c r="B1349" t="s">
        <v>1933</v>
      </c>
      <c r="C1349" t="s">
        <v>143</v>
      </c>
      <c r="D1349">
        <v>4100</v>
      </c>
      <c r="E1349">
        <v>38</v>
      </c>
      <c r="F1349">
        <v>600</v>
      </c>
      <c r="G1349" t="s">
        <v>1611</v>
      </c>
    </row>
    <row r="1350" spans="1:8" ht="14.25">
      <c r="A1350" t="s">
        <v>1934</v>
      </c>
      <c r="B1350" t="s">
        <v>1933</v>
      </c>
      <c r="C1350" t="s">
        <v>143</v>
      </c>
      <c r="D1350">
        <v>4100</v>
      </c>
      <c r="E1350">
        <v>38</v>
      </c>
      <c r="F1350">
        <v>920</v>
      </c>
      <c r="G1350" t="s">
        <v>1611</v>
      </c>
      <c r="H1350" t="s">
        <v>1611</v>
      </c>
    </row>
    <row r="1351" spans="1:8" ht="14.25">
      <c r="A1351" t="s">
        <v>1935</v>
      </c>
      <c r="B1351" t="s">
        <v>1936</v>
      </c>
      <c r="C1351" t="s">
        <v>143</v>
      </c>
      <c r="D1351">
        <v>4100</v>
      </c>
      <c r="E1351">
        <v>17.600000000000001</v>
      </c>
      <c r="F1351">
        <v>600</v>
      </c>
      <c r="G1351" t="s">
        <v>1611</v>
      </c>
    </row>
    <row r="1352" spans="1:8" ht="14.25">
      <c r="A1352" t="s">
        <v>1937</v>
      </c>
      <c r="B1352" t="s">
        <v>1936</v>
      </c>
      <c r="C1352" t="s">
        <v>143</v>
      </c>
      <c r="D1352">
        <v>4100</v>
      </c>
      <c r="E1352">
        <v>17.600000000000001</v>
      </c>
      <c r="F1352">
        <v>920</v>
      </c>
      <c r="G1352" t="s">
        <v>1611</v>
      </c>
      <c r="H1352" t="s">
        <v>1611</v>
      </c>
    </row>
    <row r="1353" spans="1:8" ht="14.25">
      <c r="A1353" t="s">
        <v>1938</v>
      </c>
      <c r="B1353" t="s">
        <v>289</v>
      </c>
      <c r="C1353" t="s">
        <v>143</v>
      </c>
      <c r="D1353">
        <v>4100</v>
      </c>
      <c r="E1353">
        <v>38</v>
      </c>
      <c r="F1353">
        <v>600</v>
      </c>
      <c r="G1353" t="s">
        <v>1611</v>
      </c>
    </row>
    <row r="1354" spans="1:8" ht="14.25">
      <c r="A1354" t="s">
        <v>1939</v>
      </c>
      <c r="B1354" t="s">
        <v>289</v>
      </c>
      <c r="C1354" t="s">
        <v>143</v>
      </c>
      <c r="D1354">
        <v>4100</v>
      </c>
      <c r="E1354">
        <v>38</v>
      </c>
      <c r="F1354">
        <v>920</v>
      </c>
      <c r="G1354" t="s">
        <v>1611</v>
      </c>
      <c r="H1354" t="s">
        <v>1611</v>
      </c>
    </row>
    <row r="1355" spans="1:8" ht="14.25">
      <c r="A1355" t="s">
        <v>1940</v>
      </c>
      <c r="B1355" t="s">
        <v>1941</v>
      </c>
      <c r="C1355" t="s">
        <v>143</v>
      </c>
      <c r="D1355">
        <v>4100</v>
      </c>
      <c r="E1355">
        <v>38</v>
      </c>
      <c r="F1355">
        <v>600</v>
      </c>
      <c r="G1355" t="s">
        <v>1611</v>
      </c>
    </row>
    <row r="1356" spans="1:8" ht="14.25">
      <c r="A1356" t="s">
        <v>1942</v>
      </c>
      <c r="B1356" t="s">
        <v>1941</v>
      </c>
      <c r="C1356" t="s">
        <v>143</v>
      </c>
      <c r="D1356">
        <v>4100</v>
      </c>
      <c r="E1356">
        <v>38</v>
      </c>
      <c r="F1356">
        <v>920</v>
      </c>
      <c r="G1356" t="s">
        <v>1611</v>
      </c>
      <c r="H1356" t="s">
        <v>1611</v>
      </c>
    </row>
    <row r="1357" spans="1:8" ht="14.25">
      <c r="A1357" t="s">
        <v>1943</v>
      </c>
      <c r="B1357" t="s">
        <v>1944</v>
      </c>
      <c r="C1357" t="s">
        <v>136</v>
      </c>
      <c r="D1357">
        <v>4100</v>
      </c>
      <c r="E1357">
        <v>38</v>
      </c>
      <c r="F1357">
        <v>920</v>
      </c>
      <c r="G1357" t="s">
        <v>1611</v>
      </c>
      <c r="H1357" t="s">
        <v>1611</v>
      </c>
    </row>
    <row r="1358" spans="1:8" ht="14.25">
      <c r="A1358" t="s">
        <v>1945</v>
      </c>
      <c r="B1358" t="s">
        <v>293</v>
      </c>
      <c r="C1358" t="s">
        <v>136</v>
      </c>
      <c r="D1358">
        <v>4100</v>
      </c>
      <c r="E1358">
        <v>38</v>
      </c>
      <c r="F1358">
        <v>600</v>
      </c>
      <c r="G1358" t="s">
        <v>1611</v>
      </c>
    </row>
    <row r="1359" spans="1:8" ht="14.25">
      <c r="A1359" t="s">
        <v>1946</v>
      </c>
      <c r="B1359" t="s">
        <v>293</v>
      </c>
      <c r="C1359" t="s">
        <v>136</v>
      </c>
      <c r="D1359">
        <v>4100</v>
      </c>
      <c r="E1359">
        <v>38</v>
      </c>
      <c r="F1359">
        <v>920</v>
      </c>
      <c r="G1359" t="s">
        <v>1611</v>
      </c>
      <c r="H1359" t="s">
        <v>1611</v>
      </c>
    </row>
    <row r="1360" spans="1:8" ht="14.25">
      <c r="A1360" t="s">
        <v>1947</v>
      </c>
      <c r="B1360" t="s">
        <v>295</v>
      </c>
      <c r="C1360" t="s">
        <v>136</v>
      </c>
      <c r="D1360">
        <v>4100</v>
      </c>
      <c r="E1360">
        <v>38</v>
      </c>
      <c r="F1360">
        <v>600</v>
      </c>
      <c r="G1360" t="s">
        <v>1611</v>
      </c>
    </row>
    <row r="1361" spans="1:8" ht="14.25">
      <c r="A1361" t="s">
        <v>1948</v>
      </c>
      <c r="B1361" t="s">
        <v>295</v>
      </c>
      <c r="C1361" t="s">
        <v>136</v>
      </c>
      <c r="D1361">
        <v>4100</v>
      </c>
      <c r="E1361">
        <v>38</v>
      </c>
      <c r="F1361">
        <v>920</v>
      </c>
      <c r="G1361" t="s">
        <v>1611</v>
      </c>
      <c r="H1361" t="s">
        <v>1611</v>
      </c>
    </row>
    <row r="1362" spans="1:8" ht="14.25">
      <c r="A1362" t="s">
        <v>5427</v>
      </c>
      <c r="B1362" t="s">
        <v>5428</v>
      </c>
      <c r="C1362" t="s">
        <v>143</v>
      </c>
      <c r="D1362">
        <v>4100</v>
      </c>
      <c r="E1362">
        <v>20</v>
      </c>
      <c r="F1362">
        <v>650</v>
      </c>
      <c r="G1362" t="s">
        <v>1611</v>
      </c>
    </row>
    <row r="1363" spans="1:8" ht="14.25">
      <c r="A1363" t="s">
        <v>5429</v>
      </c>
      <c r="B1363" t="s">
        <v>5428</v>
      </c>
      <c r="C1363" t="s">
        <v>143</v>
      </c>
      <c r="D1363">
        <v>4100</v>
      </c>
      <c r="E1363">
        <v>20</v>
      </c>
      <c r="F1363">
        <v>920</v>
      </c>
      <c r="G1363" t="s">
        <v>1611</v>
      </c>
      <c r="H1363" t="s">
        <v>1611</v>
      </c>
    </row>
    <row r="1364" spans="1:8" ht="14.25">
      <c r="A1364" t="s">
        <v>5430</v>
      </c>
      <c r="B1364" t="s">
        <v>5431</v>
      </c>
      <c r="C1364" t="s">
        <v>143</v>
      </c>
      <c r="D1364">
        <v>4100</v>
      </c>
      <c r="E1364">
        <v>20</v>
      </c>
      <c r="F1364">
        <v>650</v>
      </c>
      <c r="G1364" t="s">
        <v>1611</v>
      </c>
    </row>
    <row r="1365" spans="1:8" ht="14.25">
      <c r="A1365" t="s">
        <v>5432</v>
      </c>
      <c r="B1365" t="s">
        <v>5431</v>
      </c>
      <c r="C1365" t="s">
        <v>143</v>
      </c>
      <c r="D1365">
        <v>4100</v>
      </c>
      <c r="E1365">
        <v>20</v>
      </c>
      <c r="F1365">
        <v>920</v>
      </c>
      <c r="G1365" t="s">
        <v>1611</v>
      </c>
      <c r="H1365" t="s">
        <v>1611</v>
      </c>
    </row>
    <row r="1366" spans="1:8" ht="14.25">
      <c r="A1366" t="s">
        <v>1949</v>
      </c>
      <c r="B1366" t="s">
        <v>1950</v>
      </c>
      <c r="C1366" t="s">
        <v>143</v>
      </c>
      <c r="D1366">
        <v>4100</v>
      </c>
      <c r="E1366">
        <v>38</v>
      </c>
      <c r="F1366">
        <v>600</v>
      </c>
      <c r="G1366" t="s">
        <v>1611</v>
      </c>
    </row>
    <row r="1367" spans="1:8" ht="14.25">
      <c r="A1367" t="s">
        <v>1951</v>
      </c>
      <c r="B1367" t="s">
        <v>1950</v>
      </c>
      <c r="C1367" t="s">
        <v>143</v>
      </c>
      <c r="D1367">
        <v>4100</v>
      </c>
      <c r="E1367">
        <v>38</v>
      </c>
      <c r="F1367">
        <v>920</v>
      </c>
      <c r="G1367" t="s">
        <v>1611</v>
      </c>
      <c r="H1367" t="s">
        <v>1611</v>
      </c>
    </row>
    <row r="1368" spans="1:8" ht="14.25">
      <c r="A1368" t="s">
        <v>1952</v>
      </c>
      <c r="B1368" t="s">
        <v>1953</v>
      </c>
      <c r="C1368" t="s">
        <v>143</v>
      </c>
      <c r="D1368">
        <v>4100</v>
      </c>
      <c r="E1368">
        <v>38</v>
      </c>
      <c r="F1368">
        <v>600</v>
      </c>
      <c r="G1368" t="s">
        <v>1611</v>
      </c>
    </row>
    <row r="1369" spans="1:8" ht="14.25">
      <c r="A1369" t="s">
        <v>1954</v>
      </c>
      <c r="B1369" t="s">
        <v>1953</v>
      </c>
      <c r="C1369" t="s">
        <v>143</v>
      </c>
      <c r="D1369">
        <v>4100</v>
      </c>
      <c r="E1369">
        <v>38</v>
      </c>
      <c r="F1369">
        <v>920</v>
      </c>
      <c r="G1369" t="s">
        <v>1611</v>
      </c>
      <c r="H1369" t="s">
        <v>1611</v>
      </c>
    </row>
    <row r="1370" spans="1:8" ht="14.25">
      <c r="A1370" t="s">
        <v>5433</v>
      </c>
      <c r="B1370">
        <v>45</v>
      </c>
      <c r="C1370" t="s">
        <v>143</v>
      </c>
      <c r="D1370">
        <v>4100</v>
      </c>
      <c r="E1370">
        <v>12.1</v>
      </c>
      <c r="F1370">
        <v>650</v>
      </c>
      <c r="G1370" t="s">
        <v>1611</v>
      </c>
      <c r="H1370" t="s">
        <v>1611</v>
      </c>
    </row>
    <row r="1371" spans="1:8" ht="14.25">
      <c r="A1371" t="s">
        <v>5434</v>
      </c>
      <c r="B1371">
        <v>45</v>
      </c>
      <c r="C1371" t="s">
        <v>143</v>
      </c>
      <c r="D1371">
        <v>4100</v>
      </c>
      <c r="E1371">
        <v>12.1</v>
      </c>
      <c r="F1371">
        <v>920</v>
      </c>
      <c r="G1371" t="s">
        <v>1611</v>
      </c>
      <c r="H1371" t="s">
        <v>1611</v>
      </c>
    </row>
    <row r="1372" spans="1:8" ht="14.25">
      <c r="A1372" t="s">
        <v>1955</v>
      </c>
      <c r="B1372" t="s">
        <v>307</v>
      </c>
      <c r="C1372" t="s">
        <v>143</v>
      </c>
      <c r="D1372">
        <v>4100</v>
      </c>
      <c r="E1372">
        <v>38</v>
      </c>
      <c r="F1372">
        <v>600</v>
      </c>
      <c r="G1372" t="s">
        <v>1611</v>
      </c>
    </row>
    <row r="1373" spans="1:8" ht="14.25">
      <c r="A1373" t="s">
        <v>1956</v>
      </c>
      <c r="B1373" t="s">
        <v>307</v>
      </c>
      <c r="C1373" t="s">
        <v>143</v>
      </c>
      <c r="D1373">
        <v>4100</v>
      </c>
      <c r="E1373">
        <v>38</v>
      </c>
      <c r="F1373">
        <v>920</v>
      </c>
      <c r="G1373" t="s">
        <v>1611</v>
      </c>
      <c r="H1373" t="s">
        <v>1611</v>
      </c>
    </row>
    <row r="1374" spans="1:8" ht="14.25">
      <c r="A1374" t="s">
        <v>1957</v>
      </c>
      <c r="B1374" t="s">
        <v>309</v>
      </c>
      <c r="C1374" t="s">
        <v>143</v>
      </c>
      <c r="D1374">
        <v>4100</v>
      </c>
      <c r="E1374">
        <v>38</v>
      </c>
      <c r="F1374">
        <v>600</v>
      </c>
      <c r="G1374" t="s">
        <v>1611</v>
      </c>
    </row>
    <row r="1375" spans="1:8" ht="14.25">
      <c r="A1375" t="s">
        <v>1958</v>
      </c>
      <c r="B1375" t="s">
        <v>309</v>
      </c>
      <c r="C1375" t="s">
        <v>143</v>
      </c>
      <c r="D1375">
        <v>4100</v>
      </c>
      <c r="E1375">
        <v>38</v>
      </c>
      <c r="F1375">
        <v>920</v>
      </c>
      <c r="G1375" t="s">
        <v>1611</v>
      </c>
      <c r="H1375" t="s">
        <v>1611</v>
      </c>
    </row>
    <row r="1376" spans="1:8" ht="14.25">
      <c r="A1376" t="s">
        <v>1959</v>
      </c>
      <c r="B1376" t="s">
        <v>1960</v>
      </c>
      <c r="C1376" t="s">
        <v>143</v>
      </c>
      <c r="D1376">
        <v>4100</v>
      </c>
      <c r="E1376">
        <v>17.600000000000001</v>
      </c>
      <c r="F1376">
        <v>600</v>
      </c>
      <c r="G1376" t="s">
        <v>1611</v>
      </c>
    </row>
    <row r="1377" spans="1:8" ht="14.25">
      <c r="A1377" t="s">
        <v>1961</v>
      </c>
      <c r="B1377" t="s">
        <v>1960</v>
      </c>
      <c r="C1377" t="s">
        <v>143</v>
      </c>
      <c r="D1377">
        <v>4100</v>
      </c>
      <c r="E1377">
        <v>17.600000000000001</v>
      </c>
      <c r="F1377">
        <v>920</v>
      </c>
      <c r="G1377" t="s">
        <v>1611</v>
      </c>
      <c r="H1377" t="s">
        <v>1611</v>
      </c>
    </row>
    <row r="1378" spans="1:8" ht="14.25">
      <c r="A1378" t="s">
        <v>5435</v>
      </c>
      <c r="B1378" t="s">
        <v>5436</v>
      </c>
      <c r="C1378" t="s">
        <v>143</v>
      </c>
      <c r="D1378">
        <v>4100</v>
      </c>
      <c r="E1378">
        <v>20</v>
      </c>
      <c r="F1378">
        <v>650</v>
      </c>
      <c r="G1378" t="s">
        <v>1611</v>
      </c>
    </row>
    <row r="1379" spans="1:8" ht="14.25">
      <c r="A1379" t="s">
        <v>5437</v>
      </c>
      <c r="B1379" t="s">
        <v>5436</v>
      </c>
      <c r="C1379" t="s">
        <v>143</v>
      </c>
      <c r="D1379">
        <v>4100</v>
      </c>
      <c r="E1379">
        <v>20</v>
      </c>
      <c r="F1379">
        <v>920</v>
      </c>
      <c r="G1379" t="s">
        <v>1611</v>
      </c>
      <c r="H1379" t="s">
        <v>1611</v>
      </c>
    </row>
    <row r="1380" spans="1:8" ht="14.25">
      <c r="A1380" t="s">
        <v>1962</v>
      </c>
      <c r="B1380" t="s">
        <v>1963</v>
      </c>
      <c r="C1380" t="s">
        <v>143</v>
      </c>
      <c r="D1380">
        <v>4100</v>
      </c>
      <c r="E1380">
        <v>38</v>
      </c>
      <c r="F1380">
        <v>600</v>
      </c>
      <c r="G1380" t="s">
        <v>1611</v>
      </c>
    </row>
    <row r="1381" spans="1:8" ht="14.25">
      <c r="A1381" t="s">
        <v>1964</v>
      </c>
      <c r="B1381" t="s">
        <v>1965</v>
      </c>
      <c r="C1381" t="s">
        <v>143</v>
      </c>
      <c r="D1381">
        <v>4100</v>
      </c>
      <c r="E1381">
        <v>38</v>
      </c>
      <c r="F1381">
        <v>600</v>
      </c>
      <c r="G1381" t="s">
        <v>1611</v>
      </c>
    </row>
    <row r="1382" spans="1:8" ht="14.25">
      <c r="A1382" t="s">
        <v>1966</v>
      </c>
      <c r="B1382" t="s">
        <v>1965</v>
      </c>
      <c r="C1382" t="s">
        <v>143</v>
      </c>
      <c r="D1382">
        <v>4100</v>
      </c>
      <c r="E1382">
        <v>38</v>
      </c>
      <c r="F1382">
        <v>920</v>
      </c>
      <c r="G1382" t="s">
        <v>1611</v>
      </c>
      <c r="H1382" t="s">
        <v>1611</v>
      </c>
    </row>
    <row r="1383" spans="1:8" ht="14.25">
      <c r="A1383" t="s">
        <v>1967</v>
      </c>
      <c r="B1383" t="s">
        <v>1968</v>
      </c>
      <c r="C1383" t="s">
        <v>143</v>
      </c>
      <c r="D1383">
        <v>4100</v>
      </c>
      <c r="E1383">
        <v>38</v>
      </c>
      <c r="F1383">
        <v>600</v>
      </c>
      <c r="G1383" t="s">
        <v>1611</v>
      </c>
    </row>
    <row r="1384" spans="1:8" ht="14.25">
      <c r="A1384" t="s">
        <v>1969</v>
      </c>
      <c r="B1384" t="s">
        <v>1968</v>
      </c>
      <c r="C1384" t="s">
        <v>143</v>
      </c>
      <c r="D1384">
        <v>4100</v>
      </c>
      <c r="E1384">
        <v>38</v>
      </c>
      <c r="F1384">
        <v>920</v>
      </c>
      <c r="G1384" t="s">
        <v>1611</v>
      </c>
      <c r="H1384" t="s">
        <v>1611</v>
      </c>
    </row>
    <row r="1385" spans="1:8" ht="14.25">
      <c r="A1385" t="s">
        <v>1970</v>
      </c>
      <c r="B1385" t="s">
        <v>1971</v>
      </c>
      <c r="C1385" t="s">
        <v>143</v>
      </c>
      <c r="D1385">
        <v>4100</v>
      </c>
      <c r="E1385">
        <v>38</v>
      </c>
      <c r="F1385">
        <v>600</v>
      </c>
      <c r="G1385" t="s">
        <v>1611</v>
      </c>
    </row>
    <row r="1386" spans="1:8" ht="14.25">
      <c r="A1386" t="s">
        <v>1972</v>
      </c>
      <c r="B1386" t="s">
        <v>1971</v>
      </c>
      <c r="C1386" t="s">
        <v>143</v>
      </c>
      <c r="D1386">
        <v>4100</v>
      </c>
      <c r="E1386">
        <v>38</v>
      </c>
      <c r="F1386">
        <v>920</v>
      </c>
      <c r="G1386" t="s">
        <v>1611</v>
      </c>
      <c r="H1386" t="s">
        <v>1611</v>
      </c>
    </row>
    <row r="1387" spans="1:8" ht="14.25">
      <c r="A1387" t="s">
        <v>1973</v>
      </c>
      <c r="B1387" t="s">
        <v>1974</v>
      </c>
      <c r="C1387" t="s">
        <v>143</v>
      </c>
      <c r="D1387">
        <v>4100</v>
      </c>
      <c r="E1387">
        <v>38</v>
      </c>
      <c r="F1387">
        <v>600</v>
      </c>
      <c r="G1387" t="s">
        <v>1611</v>
      </c>
    </row>
    <row r="1388" spans="1:8" ht="14.25">
      <c r="A1388" t="s">
        <v>1975</v>
      </c>
      <c r="B1388" t="s">
        <v>1976</v>
      </c>
      <c r="C1388" t="s">
        <v>143</v>
      </c>
      <c r="D1388">
        <v>4100</v>
      </c>
      <c r="E1388">
        <v>38</v>
      </c>
      <c r="F1388">
        <v>600</v>
      </c>
      <c r="G1388" t="s">
        <v>1611</v>
      </c>
    </row>
    <row r="1389" spans="1:8" ht="14.25">
      <c r="A1389" t="s">
        <v>1977</v>
      </c>
      <c r="B1389" t="s">
        <v>447</v>
      </c>
      <c r="C1389" t="s">
        <v>143</v>
      </c>
      <c r="D1389">
        <v>4100</v>
      </c>
      <c r="E1389">
        <v>38</v>
      </c>
      <c r="F1389">
        <v>600</v>
      </c>
      <c r="G1389" t="s">
        <v>1611</v>
      </c>
    </row>
    <row r="1390" spans="1:8" ht="14.25">
      <c r="A1390" t="s">
        <v>1978</v>
      </c>
      <c r="B1390" t="s">
        <v>447</v>
      </c>
      <c r="C1390" t="s">
        <v>143</v>
      </c>
      <c r="D1390">
        <v>4100</v>
      </c>
      <c r="E1390">
        <v>38</v>
      </c>
      <c r="F1390">
        <v>920</v>
      </c>
      <c r="G1390" t="s">
        <v>1611</v>
      </c>
      <c r="H1390" t="s">
        <v>1611</v>
      </c>
    </row>
    <row r="1391" spans="1:8" ht="14.25">
      <c r="A1391" t="s">
        <v>1979</v>
      </c>
      <c r="B1391" t="s">
        <v>451</v>
      </c>
      <c r="C1391" t="s">
        <v>143</v>
      </c>
      <c r="D1391">
        <v>4100</v>
      </c>
      <c r="E1391">
        <v>38</v>
      </c>
      <c r="F1391">
        <v>920</v>
      </c>
      <c r="G1391" t="s">
        <v>1611</v>
      </c>
      <c r="H1391" t="s">
        <v>1611</v>
      </c>
    </row>
    <row r="1392" spans="1:8" ht="14.25">
      <c r="A1392" t="s">
        <v>1980</v>
      </c>
      <c r="B1392" t="s">
        <v>457</v>
      </c>
      <c r="C1392" t="s">
        <v>143</v>
      </c>
      <c r="D1392">
        <v>4100</v>
      </c>
      <c r="E1392">
        <v>38</v>
      </c>
      <c r="F1392">
        <v>600</v>
      </c>
      <c r="G1392" t="s">
        <v>1611</v>
      </c>
    </row>
    <row r="1393" spans="1:8" ht="14.25">
      <c r="A1393" t="s">
        <v>1981</v>
      </c>
      <c r="B1393" t="s">
        <v>457</v>
      </c>
      <c r="C1393" t="s">
        <v>143</v>
      </c>
      <c r="D1393">
        <v>4100</v>
      </c>
      <c r="E1393">
        <v>38</v>
      </c>
      <c r="F1393">
        <v>920</v>
      </c>
      <c r="G1393" t="s">
        <v>1611</v>
      </c>
      <c r="H1393" t="s">
        <v>1611</v>
      </c>
    </row>
    <row r="1394" spans="1:8" ht="14.25">
      <c r="A1394" t="s">
        <v>1982</v>
      </c>
      <c r="B1394" t="s">
        <v>459</v>
      </c>
      <c r="C1394" t="s">
        <v>143</v>
      </c>
      <c r="D1394">
        <v>4100</v>
      </c>
      <c r="E1394">
        <v>38</v>
      </c>
      <c r="F1394">
        <v>600</v>
      </c>
      <c r="G1394" t="s">
        <v>1611</v>
      </c>
    </row>
    <row r="1395" spans="1:8" ht="14.25">
      <c r="A1395" t="s">
        <v>1983</v>
      </c>
      <c r="B1395" t="s">
        <v>459</v>
      </c>
      <c r="C1395" t="s">
        <v>143</v>
      </c>
      <c r="D1395">
        <v>4100</v>
      </c>
      <c r="E1395">
        <v>38</v>
      </c>
      <c r="F1395">
        <v>650</v>
      </c>
      <c r="G1395" t="s">
        <v>1611</v>
      </c>
    </row>
    <row r="1396" spans="1:8" ht="14.25">
      <c r="A1396" t="s">
        <v>1984</v>
      </c>
      <c r="B1396" t="s">
        <v>459</v>
      </c>
      <c r="C1396" t="s">
        <v>143</v>
      </c>
      <c r="D1396">
        <v>4100</v>
      </c>
      <c r="E1396">
        <v>38</v>
      </c>
      <c r="F1396">
        <v>920</v>
      </c>
      <c r="G1396" t="s">
        <v>1611</v>
      </c>
      <c r="H1396" t="s">
        <v>1611</v>
      </c>
    </row>
    <row r="1397" spans="1:8" ht="14.25">
      <c r="A1397" t="s">
        <v>1985</v>
      </c>
      <c r="B1397" t="s">
        <v>462</v>
      </c>
      <c r="C1397" t="s">
        <v>143</v>
      </c>
      <c r="D1397">
        <v>4100</v>
      </c>
      <c r="E1397">
        <v>38</v>
      </c>
      <c r="F1397">
        <v>600</v>
      </c>
      <c r="G1397" t="s">
        <v>1611</v>
      </c>
    </row>
    <row r="1398" spans="1:8" ht="14.25">
      <c r="A1398" t="s">
        <v>1986</v>
      </c>
      <c r="B1398" t="s">
        <v>462</v>
      </c>
      <c r="C1398" t="s">
        <v>143</v>
      </c>
      <c r="D1398">
        <v>4100</v>
      </c>
      <c r="E1398">
        <v>38</v>
      </c>
      <c r="F1398">
        <v>650</v>
      </c>
      <c r="G1398" t="s">
        <v>1611</v>
      </c>
    </row>
    <row r="1399" spans="1:8" ht="14.25">
      <c r="A1399" t="s">
        <v>1987</v>
      </c>
      <c r="B1399" t="s">
        <v>462</v>
      </c>
      <c r="C1399" t="s">
        <v>143</v>
      </c>
      <c r="D1399">
        <v>4100</v>
      </c>
      <c r="E1399">
        <v>38</v>
      </c>
      <c r="F1399">
        <v>920</v>
      </c>
      <c r="G1399" t="s">
        <v>1611</v>
      </c>
      <c r="H1399" t="s">
        <v>1611</v>
      </c>
    </row>
    <row r="1400" spans="1:8" ht="14.25">
      <c r="A1400" t="s">
        <v>1988</v>
      </c>
      <c r="B1400" t="s">
        <v>466</v>
      </c>
      <c r="C1400" t="s">
        <v>143</v>
      </c>
      <c r="D1400">
        <v>4100</v>
      </c>
      <c r="E1400">
        <v>38</v>
      </c>
      <c r="F1400">
        <v>600</v>
      </c>
      <c r="G1400" t="s">
        <v>1611</v>
      </c>
    </row>
    <row r="1401" spans="1:8" ht="14.25">
      <c r="A1401" t="s">
        <v>1989</v>
      </c>
      <c r="B1401" t="s">
        <v>466</v>
      </c>
      <c r="C1401" t="s">
        <v>143</v>
      </c>
      <c r="D1401">
        <v>4100</v>
      </c>
      <c r="E1401">
        <v>38</v>
      </c>
      <c r="F1401">
        <v>920</v>
      </c>
      <c r="G1401" t="s">
        <v>1611</v>
      </c>
      <c r="H1401" t="s">
        <v>1611</v>
      </c>
    </row>
    <row r="1402" spans="1:8" ht="14.25">
      <c r="A1402" t="s">
        <v>1990</v>
      </c>
      <c r="B1402" t="s">
        <v>514</v>
      </c>
      <c r="C1402" t="s">
        <v>143</v>
      </c>
      <c r="D1402">
        <v>4100</v>
      </c>
      <c r="E1402">
        <v>38</v>
      </c>
      <c r="F1402">
        <v>600</v>
      </c>
      <c r="G1402" t="s">
        <v>1611</v>
      </c>
    </row>
    <row r="1403" spans="1:8" ht="14.25">
      <c r="A1403" t="s">
        <v>1991</v>
      </c>
      <c r="B1403" t="s">
        <v>514</v>
      </c>
      <c r="C1403" t="s">
        <v>143</v>
      </c>
      <c r="D1403">
        <v>4100</v>
      </c>
      <c r="E1403">
        <v>38</v>
      </c>
      <c r="F1403">
        <v>920</v>
      </c>
      <c r="G1403" t="s">
        <v>1611</v>
      </c>
      <c r="H1403" t="s">
        <v>1611</v>
      </c>
    </row>
    <row r="1404" spans="1:8" ht="14.25">
      <c r="A1404" t="s">
        <v>1992</v>
      </c>
      <c r="B1404" t="s">
        <v>522</v>
      </c>
      <c r="C1404" t="s">
        <v>143</v>
      </c>
      <c r="D1404">
        <v>4100</v>
      </c>
      <c r="E1404">
        <v>38</v>
      </c>
      <c r="F1404">
        <v>600</v>
      </c>
      <c r="G1404" t="s">
        <v>1611</v>
      </c>
    </row>
    <row r="1405" spans="1:8" ht="14.25">
      <c r="A1405" t="s">
        <v>1993</v>
      </c>
      <c r="B1405" t="s">
        <v>522</v>
      </c>
      <c r="C1405" t="s">
        <v>143</v>
      </c>
      <c r="D1405">
        <v>4100</v>
      </c>
      <c r="E1405">
        <v>38</v>
      </c>
      <c r="F1405">
        <v>920</v>
      </c>
      <c r="G1405" t="s">
        <v>1611</v>
      </c>
      <c r="H1405" t="s">
        <v>1611</v>
      </c>
    </row>
    <row r="1406" spans="1:8" ht="14.25">
      <c r="A1406" t="s">
        <v>1994</v>
      </c>
      <c r="B1406">
        <v>45</v>
      </c>
      <c r="C1406" t="s">
        <v>143</v>
      </c>
      <c r="D1406">
        <v>4100</v>
      </c>
      <c r="E1406">
        <v>12.1</v>
      </c>
      <c r="F1406">
        <v>1300</v>
      </c>
      <c r="G1406" t="s">
        <v>1611</v>
      </c>
      <c r="H1406" t="s">
        <v>1611</v>
      </c>
    </row>
    <row r="1407" spans="1:8" ht="14.25">
      <c r="A1407" t="s">
        <v>1995</v>
      </c>
      <c r="B1407" t="s">
        <v>524</v>
      </c>
      <c r="C1407" t="s">
        <v>143</v>
      </c>
      <c r="D1407">
        <v>4100</v>
      </c>
      <c r="E1407">
        <v>38</v>
      </c>
      <c r="F1407">
        <v>600</v>
      </c>
      <c r="G1407" t="s">
        <v>1611</v>
      </c>
    </row>
    <row r="1408" spans="1:8" ht="14.25">
      <c r="A1408" t="s">
        <v>1996</v>
      </c>
      <c r="B1408">
        <v>45</v>
      </c>
      <c r="C1408" t="s">
        <v>143</v>
      </c>
      <c r="D1408">
        <v>4100</v>
      </c>
      <c r="E1408">
        <v>12.1</v>
      </c>
      <c r="F1408">
        <v>650</v>
      </c>
      <c r="G1408" t="s">
        <v>1611</v>
      </c>
      <c r="H1408" t="s">
        <v>1611</v>
      </c>
    </row>
    <row r="1409" spans="1:8" ht="14.25">
      <c r="A1409" t="s">
        <v>1997</v>
      </c>
      <c r="B1409" t="s">
        <v>524</v>
      </c>
      <c r="C1409" t="s">
        <v>143</v>
      </c>
      <c r="D1409">
        <v>4100</v>
      </c>
      <c r="E1409">
        <v>38</v>
      </c>
      <c r="F1409">
        <v>920</v>
      </c>
      <c r="G1409" t="s">
        <v>1611</v>
      </c>
      <c r="H1409" t="s">
        <v>1611</v>
      </c>
    </row>
    <row r="1410" spans="1:8" ht="14.25">
      <c r="A1410" t="s">
        <v>1998</v>
      </c>
      <c r="B1410">
        <v>45</v>
      </c>
      <c r="C1410" t="s">
        <v>143</v>
      </c>
      <c r="D1410">
        <v>4100</v>
      </c>
      <c r="E1410">
        <v>12.1</v>
      </c>
      <c r="F1410">
        <v>920</v>
      </c>
      <c r="G1410" t="s">
        <v>1611</v>
      </c>
      <c r="H1410" t="s">
        <v>1611</v>
      </c>
    </row>
    <row r="1411" spans="1:8" ht="14.25">
      <c r="A1411" t="s">
        <v>1999</v>
      </c>
      <c r="B1411">
        <v>45</v>
      </c>
      <c r="C1411" t="s">
        <v>143</v>
      </c>
      <c r="D1411">
        <v>4100</v>
      </c>
      <c r="E1411">
        <v>12.1</v>
      </c>
      <c r="F1411">
        <v>650</v>
      </c>
      <c r="G1411" t="s">
        <v>1611</v>
      </c>
      <c r="H1411" t="s">
        <v>1611</v>
      </c>
    </row>
    <row r="1412" spans="1:8" ht="14.25">
      <c r="A1412" t="s">
        <v>2000</v>
      </c>
      <c r="B1412">
        <v>45</v>
      </c>
      <c r="C1412" t="s">
        <v>143</v>
      </c>
      <c r="D1412">
        <v>4100</v>
      </c>
      <c r="E1412">
        <v>12.1</v>
      </c>
      <c r="F1412">
        <v>920</v>
      </c>
      <c r="G1412" t="s">
        <v>1611</v>
      </c>
      <c r="H1412" t="s">
        <v>1611</v>
      </c>
    </row>
    <row r="1413" spans="1:8" ht="14.25">
      <c r="A1413" t="s">
        <v>2001</v>
      </c>
      <c r="B1413" t="s">
        <v>537</v>
      </c>
      <c r="C1413" t="s">
        <v>143</v>
      </c>
      <c r="D1413">
        <v>4100</v>
      </c>
      <c r="E1413">
        <v>38</v>
      </c>
      <c r="F1413">
        <v>600</v>
      </c>
      <c r="G1413" t="s">
        <v>1611</v>
      </c>
    </row>
    <row r="1414" spans="1:8" ht="14.25">
      <c r="A1414" t="s">
        <v>2002</v>
      </c>
      <c r="B1414" t="s">
        <v>537</v>
      </c>
      <c r="C1414" t="s">
        <v>143</v>
      </c>
      <c r="D1414">
        <v>4100</v>
      </c>
      <c r="E1414">
        <v>38</v>
      </c>
      <c r="F1414">
        <v>650</v>
      </c>
      <c r="G1414" t="s">
        <v>1611</v>
      </c>
    </row>
    <row r="1415" spans="1:8" ht="14.25">
      <c r="A1415" t="s">
        <v>2003</v>
      </c>
      <c r="B1415" t="s">
        <v>537</v>
      </c>
      <c r="C1415" t="s">
        <v>143</v>
      </c>
      <c r="D1415">
        <v>4100</v>
      </c>
      <c r="E1415">
        <v>38</v>
      </c>
      <c r="F1415">
        <v>920</v>
      </c>
      <c r="G1415" t="s">
        <v>1611</v>
      </c>
      <c r="H1415" t="s">
        <v>1611</v>
      </c>
    </row>
    <row r="1416" spans="1:8" ht="14.25">
      <c r="A1416" t="s">
        <v>2004</v>
      </c>
      <c r="B1416" t="s">
        <v>2005</v>
      </c>
      <c r="C1416" t="s">
        <v>143</v>
      </c>
      <c r="D1416">
        <v>4100</v>
      </c>
      <c r="E1416">
        <v>38</v>
      </c>
      <c r="F1416">
        <v>600</v>
      </c>
      <c r="G1416" t="s">
        <v>1611</v>
      </c>
    </row>
    <row r="1417" spans="1:8" ht="14.25">
      <c r="A1417" t="s">
        <v>2006</v>
      </c>
      <c r="B1417" t="s">
        <v>2005</v>
      </c>
      <c r="C1417" t="s">
        <v>143</v>
      </c>
      <c r="D1417">
        <v>4100</v>
      </c>
      <c r="E1417">
        <v>38</v>
      </c>
      <c r="F1417">
        <v>920</v>
      </c>
      <c r="G1417" t="s">
        <v>1611</v>
      </c>
      <c r="H1417" t="s">
        <v>1611</v>
      </c>
    </row>
    <row r="1418" spans="1:8" ht="14.25">
      <c r="A1418" t="s">
        <v>2007</v>
      </c>
      <c r="B1418" t="s">
        <v>559</v>
      </c>
      <c r="C1418" t="s">
        <v>143</v>
      </c>
      <c r="D1418">
        <v>4100</v>
      </c>
      <c r="E1418">
        <v>38</v>
      </c>
      <c r="F1418">
        <v>650</v>
      </c>
      <c r="G1418" t="s">
        <v>1611</v>
      </c>
    </row>
    <row r="1419" spans="1:8" ht="14.25">
      <c r="A1419" t="s">
        <v>2008</v>
      </c>
      <c r="B1419" t="s">
        <v>559</v>
      </c>
      <c r="C1419" t="s">
        <v>143</v>
      </c>
      <c r="D1419">
        <v>4100</v>
      </c>
      <c r="E1419">
        <v>38</v>
      </c>
      <c r="F1419">
        <v>920</v>
      </c>
      <c r="G1419" t="s">
        <v>1611</v>
      </c>
      <c r="H1419" t="s">
        <v>1611</v>
      </c>
    </row>
    <row r="1420" spans="1:8" ht="14.25">
      <c r="A1420" t="s">
        <v>2009</v>
      </c>
      <c r="B1420" t="s">
        <v>563</v>
      </c>
      <c r="C1420" t="s">
        <v>143</v>
      </c>
      <c r="D1420">
        <v>4100</v>
      </c>
      <c r="E1420">
        <v>38</v>
      </c>
      <c r="F1420">
        <v>650</v>
      </c>
      <c r="G1420" t="s">
        <v>1611</v>
      </c>
    </row>
    <row r="1421" spans="1:8" ht="14.25">
      <c r="A1421" t="s">
        <v>2010</v>
      </c>
      <c r="B1421" t="s">
        <v>563</v>
      </c>
      <c r="C1421" t="s">
        <v>143</v>
      </c>
      <c r="D1421">
        <v>4100</v>
      </c>
      <c r="E1421">
        <v>38</v>
      </c>
      <c r="F1421">
        <v>920</v>
      </c>
      <c r="G1421" t="s">
        <v>1611</v>
      </c>
      <c r="H1421" t="s">
        <v>1611</v>
      </c>
    </row>
    <row r="1422" spans="1:8" ht="14.25">
      <c r="A1422" t="s">
        <v>2011</v>
      </c>
      <c r="B1422" t="s">
        <v>584</v>
      </c>
      <c r="C1422" t="s">
        <v>143</v>
      </c>
      <c r="D1422">
        <v>4100</v>
      </c>
      <c r="E1422">
        <v>38</v>
      </c>
      <c r="F1422">
        <v>600</v>
      </c>
      <c r="G1422" t="s">
        <v>1611</v>
      </c>
    </row>
    <row r="1423" spans="1:8" ht="14.25">
      <c r="A1423" t="s">
        <v>2012</v>
      </c>
      <c r="B1423" t="s">
        <v>584</v>
      </c>
      <c r="C1423" t="s">
        <v>143</v>
      </c>
      <c r="D1423">
        <v>4100</v>
      </c>
      <c r="E1423">
        <v>38</v>
      </c>
      <c r="F1423">
        <v>920</v>
      </c>
      <c r="G1423" t="s">
        <v>1611</v>
      </c>
      <c r="H1423" t="s">
        <v>1611</v>
      </c>
    </row>
    <row r="1424" spans="1:8" ht="14.25">
      <c r="A1424" t="s">
        <v>2013</v>
      </c>
      <c r="B1424" t="s">
        <v>2014</v>
      </c>
      <c r="C1424" t="s">
        <v>143</v>
      </c>
      <c r="D1424">
        <v>4100</v>
      </c>
      <c r="E1424">
        <v>38</v>
      </c>
      <c r="F1424">
        <v>600</v>
      </c>
      <c r="G1424" t="s">
        <v>1611</v>
      </c>
    </row>
    <row r="1425" spans="1:8" ht="14.25">
      <c r="A1425" t="s">
        <v>2015</v>
      </c>
      <c r="B1425" t="s">
        <v>605</v>
      </c>
      <c r="C1425" t="s">
        <v>143</v>
      </c>
      <c r="D1425">
        <v>4100</v>
      </c>
      <c r="E1425">
        <v>38</v>
      </c>
      <c r="F1425">
        <v>600</v>
      </c>
      <c r="G1425" t="s">
        <v>1611</v>
      </c>
    </row>
    <row r="1426" spans="1:8" ht="14.25">
      <c r="A1426" t="s">
        <v>2016</v>
      </c>
      <c r="B1426" t="s">
        <v>605</v>
      </c>
      <c r="C1426" t="s">
        <v>143</v>
      </c>
      <c r="D1426">
        <v>4100</v>
      </c>
      <c r="E1426">
        <v>38</v>
      </c>
      <c r="F1426">
        <v>920</v>
      </c>
      <c r="G1426" t="s">
        <v>1611</v>
      </c>
      <c r="H1426" t="s">
        <v>1611</v>
      </c>
    </row>
    <row r="1427" spans="1:8" ht="14.25">
      <c r="A1427" t="s">
        <v>2017</v>
      </c>
      <c r="B1427" t="s">
        <v>2014</v>
      </c>
      <c r="C1427" t="s">
        <v>143</v>
      </c>
      <c r="D1427">
        <v>4100</v>
      </c>
      <c r="E1427">
        <v>38</v>
      </c>
      <c r="F1427">
        <v>920</v>
      </c>
      <c r="G1427" t="s">
        <v>1611</v>
      </c>
      <c r="H1427" t="s">
        <v>1611</v>
      </c>
    </row>
    <row r="1428" spans="1:8" ht="14.25">
      <c r="A1428" t="s">
        <v>2018</v>
      </c>
      <c r="B1428" t="s">
        <v>615</v>
      </c>
      <c r="C1428" t="s">
        <v>143</v>
      </c>
      <c r="D1428">
        <v>4100</v>
      </c>
      <c r="E1428">
        <v>38</v>
      </c>
      <c r="F1428">
        <v>920</v>
      </c>
      <c r="G1428" t="s">
        <v>1611</v>
      </c>
      <c r="H1428" t="s">
        <v>1611</v>
      </c>
    </row>
    <row r="1429" spans="1:8" ht="14.25">
      <c r="A1429" t="s">
        <v>2019</v>
      </c>
      <c r="B1429" t="s">
        <v>2020</v>
      </c>
      <c r="C1429" t="s">
        <v>143</v>
      </c>
      <c r="D1429">
        <v>4100</v>
      </c>
      <c r="E1429">
        <v>38</v>
      </c>
      <c r="F1429">
        <v>600</v>
      </c>
      <c r="G1429" t="s">
        <v>1611</v>
      </c>
    </row>
    <row r="1430" spans="1:8" ht="14.25">
      <c r="A1430" t="s">
        <v>2021</v>
      </c>
      <c r="B1430" t="s">
        <v>2020</v>
      </c>
      <c r="C1430" t="s">
        <v>143</v>
      </c>
      <c r="D1430">
        <v>4100</v>
      </c>
      <c r="E1430">
        <v>38</v>
      </c>
      <c r="F1430">
        <v>920</v>
      </c>
      <c r="G1430" t="s">
        <v>1611</v>
      </c>
      <c r="H1430" t="s">
        <v>1611</v>
      </c>
    </row>
    <row r="1431" spans="1:8" ht="14.25">
      <c r="A1431" t="s">
        <v>2022</v>
      </c>
      <c r="B1431" t="s">
        <v>2023</v>
      </c>
      <c r="C1431" t="s">
        <v>143</v>
      </c>
      <c r="D1431">
        <v>4100</v>
      </c>
      <c r="E1431">
        <v>38</v>
      </c>
      <c r="F1431">
        <v>600</v>
      </c>
      <c r="G1431" t="s">
        <v>1611</v>
      </c>
    </row>
    <row r="1432" spans="1:8" ht="14.25">
      <c r="A1432" t="s">
        <v>2024</v>
      </c>
      <c r="B1432" t="s">
        <v>2023</v>
      </c>
      <c r="C1432" t="s">
        <v>143</v>
      </c>
      <c r="D1432">
        <v>4100</v>
      </c>
      <c r="E1432">
        <v>38</v>
      </c>
      <c r="F1432">
        <v>920</v>
      </c>
      <c r="G1432" t="s">
        <v>1611</v>
      </c>
      <c r="H1432" t="s">
        <v>1611</v>
      </c>
    </row>
    <row r="1433" spans="1:8" ht="14.25">
      <c r="A1433" t="s">
        <v>2025</v>
      </c>
      <c r="B1433" t="s">
        <v>2026</v>
      </c>
      <c r="C1433" t="s">
        <v>143</v>
      </c>
      <c r="D1433">
        <v>4100</v>
      </c>
      <c r="E1433">
        <v>38</v>
      </c>
      <c r="F1433">
        <v>600</v>
      </c>
      <c r="G1433" t="s">
        <v>1611</v>
      </c>
    </row>
    <row r="1434" spans="1:8" ht="14.25">
      <c r="A1434" t="s">
        <v>2027</v>
      </c>
      <c r="B1434" t="s">
        <v>2026</v>
      </c>
      <c r="C1434" t="s">
        <v>143</v>
      </c>
      <c r="D1434">
        <v>4100</v>
      </c>
      <c r="E1434">
        <v>38</v>
      </c>
      <c r="F1434">
        <v>920</v>
      </c>
      <c r="G1434" t="s">
        <v>1611</v>
      </c>
      <c r="H1434" t="s">
        <v>1611</v>
      </c>
    </row>
    <row r="1435" spans="1:8" ht="14.25">
      <c r="A1435" t="s">
        <v>2028</v>
      </c>
      <c r="B1435" t="s">
        <v>2029</v>
      </c>
      <c r="C1435" t="s">
        <v>143</v>
      </c>
      <c r="D1435">
        <v>4100</v>
      </c>
      <c r="E1435">
        <v>38</v>
      </c>
      <c r="F1435">
        <v>600</v>
      </c>
      <c r="G1435" t="s">
        <v>1611</v>
      </c>
    </row>
    <row r="1436" spans="1:8" ht="14.25">
      <c r="A1436" t="s">
        <v>2030</v>
      </c>
      <c r="B1436" t="s">
        <v>2029</v>
      </c>
      <c r="C1436" t="s">
        <v>143</v>
      </c>
      <c r="D1436">
        <v>4100</v>
      </c>
      <c r="E1436">
        <v>38</v>
      </c>
      <c r="F1436">
        <v>920</v>
      </c>
      <c r="G1436" t="s">
        <v>1611</v>
      </c>
      <c r="H1436" t="s">
        <v>1611</v>
      </c>
    </row>
    <row r="1437" spans="1:8" ht="14.25">
      <c r="A1437" t="s">
        <v>2031</v>
      </c>
      <c r="B1437" t="s">
        <v>2032</v>
      </c>
      <c r="C1437" t="s">
        <v>143</v>
      </c>
      <c r="D1437">
        <v>4100</v>
      </c>
      <c r="E1437">
        <v>38</v>
      </c>
      <c r="F1437">
        <v>600</v>
      </c>
      <c r="G1437" t="s">
        <v>1611</v>
      </c>
    </row>
    <row r="1438" spans="1:8" ht="14.25">
      <c r="A1438" t="s">
        <v>2033</v>
      </c>
      <c r="B1438" t="s">
        <v>2032</v>
      </c>
      <c r="C1438" t="s">
        <v>143</v>
      </c>
      <c r="D1438">
        <v>4100</v>
      </c>
      <c r="E1438">
        <v>38</v>
      </c>
      <c r="F1438">
        <v>920</v>
      </c>
      <c r="G1438" t="s">
        <v>1611</v>
      </c>
      <c r="H1438" t="s">
        <v>1611</v>
      </c>
    </row>
    <row r="1439" spans="1:8" ht="14.25">
      <c r="A1439" t="s">
        <v>2034</v>
      </c>
      <c r="B1439" t="s">
        <v>2035</v>
      </c>
      <c r="C1439" t="s">
        <v>143</v>
      </c>
      <c r="D1439">
        <v>4100</v>
      </c>
      <c r="E1439">
        <v>38</v>
      </c>
      <c r="F1439">
        <v>600</v>
      </c>
      <c r="G1439" t="s">
        <v>1611</v>
      </c>
    </row>
    <row r="1440" spans="1:8" ht="14.25">
      <c r="A1440" t="s">
        <v>2036</v>
      </c>
      <c r="B1440" t="s">
        <v>2035</v>
      </c>
      <c r="C1440" t="s">
        <v>143</v>
      </c>
      <c r="D1440">
        <v>4100</v>
      </c>
      <c r="E1440">
        <v>38</v>
      </c>
      <c r="F1440">
        <v>920</v>
      </c>
      <c r="G1440" t="s">
        <v>1611</v>
      </c>
      <c r="H1440" t="s">
        <v>1611</v>
      </c>
    </row>
    <row r="1441" spans="1:8" ht="14.25">
      <c r="A1441" t="s">
        <v>2037</v>
      </c>
      <c r="B1441" t="s">
        <v>2038</v>
      </c>
      <c r="C1441" t="s">
        <v>143</v>
      </c>
      <c r="D1441">
        <v>4100</v>
      </c>
      <c r="E1441">
        <v>38</v>
      </c>
      <c r="F1441">
        <v>600</v>
      </c>
      <c r="G1441" t="s">
        <v>1611</v>
      </c>
    </row>
    <row r="1442" spans="1:8" ht="14.25">
      <c r="A1442" t="s">
        <v>2039</v>
      </c>
      <c r="B1442" t="s">
        <v>2038</v>
      </c>
      <c r="C1442" t="s">
        <v>143</v>
      </c>
      <c r="D1442">
        <v>4100</v>
      </c>
      <c r="E1442">
        <v>38</v>
      </c>
      <c r="F1442">
        <v>920</v>
      </c>
      <c r="G1442" t="s">
        <v>1611</v>
      </c>
      <c r="H1442" t="s">
        <v>1611</v>
      </c>
    </row>
    <row r="1443" spans="1:8" ht="14.25">
      <c r="A1443" t="s">
        <v>2040</v>
      </c>
      <c r="B1443" t="s">
        <v>671</v>
      </c>
      <c r="C1443" t="s">
        <v>143</v>
      </c>
      <c r="D1443">
        <v>4100</v>
      </c>
      <c r="E1443">
        <v>38</v>
      </c>
      <c r="F1443">
        <v>600</v>
      </c>
      <c r="G1443" t="s">
        <v>1611</v>
      </c>
    </row>
    <row r="1444" spans="1:8" ht="14.25">
      <c r="A1444" t="s">
        <v>2041</v>
      </c>
      <c r="B1444" t="s">
        <v>671</v>
      </c>
      <c r="C1444" t="s">
        <v>143</v>
      </c>
      <c r="D1444">
        <v>4100</v>
      </c>
      <c r="E1444">
        <v>38</v>
      </c>
      <c r="F1444">
        <v>920</v>
      </c>
      <c r="G1444" t="s">
        <v>1611</v>
      </c>
      <c r="H1444" t="s">
        <v>1611</v>
      </c>
    </row>
    <row r="1445" spans="1:8" ht="14.25">
      <c r="A1445" t="s">
        <v>2042</v>
      </c>
      <c r="B1445" t="s">
        <v>2043</v>
      </c>
      <c r="C1445" t="s">
        <v>143</v>
      </c>
      <c r="D1445">
        <v>4100</v>
      </c>
      <c r="E1445">
        <v>38</v>
      </c>
      <c r="F1445">
        <v>600</v>
      </c>
      <c r="G1445" t="s">
        <v>1611</v>
      </c>
    </row>
    <row r="1446" spans="1:8" ht="14.25">
      <c r="A1446" t="s">
        <v>2044</v>
      </c>
      <c r="B1446" t="s">
        <v>2043</v>
      </c>
      <c r="C1446" t="s">
        <v>143</v>
      </c>
      <c r="D1446">
        <v>4100</v>
      </c>
      <c r="E1446">
        <v>38</v>
      </c>
      <c r="F1446">
        <v>920</v>
      </c>
      <c r="G1446" t="s">
        <v>1611</v>
      </c>
      <c r="H1446" t="s">
        <v>1611</v>
      </c>
    </row>
    <row r="1447" spans="1:8" ht="14.25">
      <c r="A1447" t="s">
        <v>2045</v>
      </c>
      <c r="B1447" t="s">
        <v>2046</v>
      </c>
      <c r="C1447" t="s">
        <v>143</v>
      </c>
      <c r="D1447">
        <v>4100</v>
      </c>
      <c r="E1447">
        <v>38</v>
      </c>
      <c r="F1447">
        <v>600</v>
      </c>
      <c r="G1447" t="s">
        <v>1611</v>
      </c>
    </row>
    <row r="1448" spans="1:8" ht="14.25">
      <c r="A1448" t="s">
        <v>2047</v>
      </c>
      <c r="B1448" t="s">
        <v>2046</v>
      </c>
      <c r="C1448" t="s">
        <v>143</v>
      </c>
      <c r="D1448">
        <v>4100</v>
      </c>
      <c r="E1448">
        <v>38</v>
      </c>
      <c r="F1448">
        <v>920</v>
      </c>
      <c r="G1448" t="s">
        <v>1611</v>
      </c>
      <c r="H1448" t="s">
        <v>1611</v>
      </c>
    </row>
    <row r="1449" spans="1:8" ht="14.25">
      <c r="A1449" t="s">
        <v>2048</v>
      </c>
      <c r="B1449" t="s">
        <v>2049</v>
      </c>
      <c r="C1449" t="s">
        <v>143</v>
      </c>
      <c r="D1449">
        <v>4100</v>
      </c>
      <c r="E1449">
        <v>38</v>
      </c>
      <c r="F1449">
        <v>920</v>
      </c>
      <c r="G1449" t="s">
        <v>1611</v>
      </c>
      <c r="H1449" t="s">
        <v>1611</v>
      </c>
    </row>
    <row r="1450" spans="1:8" ht="14.25">
      <c r="A1450" t="s">
        <v>2050</v>
      </c>
      <c r="B1450" t="s">
        <v>682</v>
      </c>
      <c r="C1450" t="s">
        <v>143</v>
      </c>
      <c r="D1450">
        <v>4100</v>
      </c>
      <c r="E1450">
        <v>38</v>
      </c>
      <c r="F1450">
        <v>600</v>
      </c>
      <c r="G1450" t="s">
        <v>1611</v>
      </c>
    </row>
    <row r="1451" spans="1:8" ht="14.25">
      <c r="A1451" t="s">
        <v>2051</v>
      </c>
      <c r="B1451" t="s">
        <v>700</v>
      </c>
      <c r="C1451" t="s">
        <v>143</v>
      </c>
      <c r="D1451">
        <v>4100</v>
      </c>
      <c r="E1451">
        <v>38</v>
      </c>
      <c r="F1451">
        <v>600</v>
      </c>
      <c r="G1451" t="s">
        <v>1611</v>
      </c>
    </row>
    <row r="1452" spans="1:8" ht="14.25">
      <c r="A1452" t="s">
        <v>2052</v>
      </c>
      <c r="B1452" t="s">
        <v>704</v>
      </c>
      <c r="C1452" t="s">
        <v>143</v>
      </c>
      <c r="D1452">
        <v>4100</v>
      </c>
      <c r="E1452">
        <v>38</v>
      </c>
      <c r="F1452">
        <v>920</v>
      </c>
      <c r="G1452" t="s">
        <v>1611</v>
      </c>
      <c r="H1452" t="s">
        <v>1611</v>
      </c>
    </row>
    <row r="1453" spans="1:8" ht="14.25">
      <c r="A1453" t="s">
        <v>2053</v>
      </c>
      <c r="B1453" t="s">
        <v>700</v>
      </c>
      <c r="C1453" t="s">
        <v>143</v>
      </c>
      <c r="D1453">
        <v>4100</v>
      </c>
      <c r="E1453">
        <v>38</v>
      </c>
      <c r="F1453">
        <v>920</v>
      </c>
      <c r="G1453" t="s">
        <v>1611</v>
      </c>
      <c r="H1453" t="s">
        <v>1611</v>
      </c>
    </row>
    <row r="1454" spans="1:8" ht="14.25">
      <c r="A1454" t="s">
        <v>2054</v>
      </c>
      <c r="B1454" t="s">
        <v>746</v>
      </c>
      <c r="C1454" t="s">
        <v>143</v>
      </c>
      <c r="D1454">
        <v>4100</v>
      </c>
      <c r="E1454">
        <v>38</v>
      </c>
      <c r="F1454">
        <v>600</v>
      </c>
      <c r="G1454" t="s">
        <v>1611</v>
      </c>
    </row>
    <row r="1455" spans="1:8" ht="14.25">
      <c r="A1455" t="s">
        <v>2055</v>
      </c>
      <c r="B1455" t="s">
        <v>746</v>
      </c>
      <c r="C1455" t="s">
        <v>143</v>
      </c>
      <c r="D1455">
        <v>4100</v>
      </c>
      <c r="E1455">
        <v>38</v>
      </c>
      <c r="F1455">
        <v>920</v>
      </c>
      <c r="G1455" t="s">
        <v>1611</v>
      </c>
      <c r="H1455" t="s">
        <v>1611</v>
      </c>
    </row>
    <row r="1456" spans="1:8" ht="14.25">
      <c r="A1456" t="s">
        <v>2056</v>
      </c>
      <c r="B1456" t="s">
        <v>766</v>
      </c>
      <c r="C1456" t="s">
        <v>143</v>
      </c>
      <c r="D1456">
        <v>4100</v>
      </c>
      <c r="E1456">
        <v>38</v>
      </c>
      <c r="F1456">
        <v>600</v>
      </c>
      <c r="G1456" t="s">
        <v>1611</v>
      </c>
    </row>
    <row r="1457" spans="1:8" ht="14.25">
      <c r="A1457" t="s">
        <v>2057</v>
      </c>
      <c r="B1457" t="s">
        <v>766</v>
      </c>
      <c r="C1457" t="s">
        <v>143</v>
      </c>
      <c r="D1457">
        <v>4100</v>
      </c>
      <c r="E1457">
        <v>38</v>
      </c>
      <c r="F1457">
        <v>920</v>
      </c>
      <c r="G1457" t="s">
        <v>1611</v>
      </c>
      <c r="H1457" t="s">
        <v>1611</v>
      </c>
    </row>
    <row r="1458" spans="1:8" ht="14.25">
      <c r="A1458" t="s">
        <v>2058</v>
      </c>
      <c r="B1458" t="s">
        <v>776</v>
      </c>
      <c r="C1458" t="s">
        <v>143</v>
      </c>
      <c r="D1458">
        <v>4100</v>
      </c>
      <c r="E1458">
        <v>38</v>
      </c>
      <c r="F1458">
        <v>600</v>
      </c>
      <c r="G1458" t="s">
        <v>1611</v>
      </c>
    </row>
    <row r="1459" spans="1:8" ht="14.25">
      <c r="A1459" t="s">
        <v>2059</v>
      </c>
      <c r="B1459" t="s">
        <v>776</v>
      </c>
      <c r="C1459" t="s">
        <v>143</v>
      </c>
      <c r="D1459">
        <v>4100</v>
      </c>
      <c r="E1459">
        <v>38</v>
      </c>
      <c r="F1459">
        <v>650</v>
      </c>
      <c r="G1459" t="s">
        <v>1611</v>
      </c>
    </row>
    <row r="1460" spans="1:8" ht="14.25">
      <c r="A1460" t="s">
        <v>2060</v>
      </c>
      <c r="B1460" t="s">
        <v>776</v>
      </c>
      <c r="C1460" t="s">
        <v>143</v>
      </c>
      <c r="D1460">
        <v>4100</v>
      </c>
      <c r="E1460">
        <v>38</v>
      </c>
      <c r="F1460">
        <v>920</v>
      </c>
      <c r="G1460" t="s">
        <v>1611</v>
      </c>
      <c r="H1460" t="s">
        <v>1611</v>
      </c>
    </row>
    <row r="1461" spans="1:8" ht="14.25">
      <c r="A1461" t="s">
        <v>2061</v>
      </c>
      <c r="B1461" t="s">
        <v>796</v>
      </c>
      <c r="C1461" t="s">
        <v>143</v>
      </c>
      <c r="D1461">
        <v>4100</v>
      </c>
      <c r="E1461">
        <v>38</v>
      </c>
      <c r="F1461">
        <v>600</v>
      </c>
      <c r="G1461" t="s">
        <v>1611</v>
      </c>
    </row>
    <row r="1462" spans="1:8" ht="14.25">
      <c r="A1462" t="s">
        <v>2062</v>
      </c>
      <c r="B1462" t="s">
        <v>796</v>
      </c>
      <c r="C1462" t="s">
        <v>143</v>
      </c>
      <c r="D1462">
        <v>4100</v>
      </c>
      <c r="E1462">
        <v>38</v>
      </c>
      <c r="F1462">
        <v>920</v>
      </c>
      <c r="G1462" t="s">
        <v>1611</v>
      </c>
      <c r="H1462" t="s">
        <v>1611</v>
      </c>
    </row>
    <row r="1463" spans="1:8" ht="14.25">
      <c r="A1463" t="s">
        <v>2063</v>
      </c>
      <c r="B1463" t="s">
        <v>812</v>
      </c>
      <c r="C1463" t="s">
        <v>143</v>
      </c>
      <c r="D1463">
        <v>4100</v>
      </c>
      <c r="E1463">
        <v>38</v>
      </c>
      <c r="F1463">
        <v>920</v>
      </c>
      <c r="G1463" t="s">
        <v>1611</v>
      </c>
      <c r="H1463" t="s">
        <v>1611</v>
      </c>
    </row>
    <row r="1464" spans="1:8" ht="14.25">
      <c r="A1464" t="s">
        <v>2064</v>
      </c>
      <c r="B1464" t="s">
        <v>818</v>
      </c>
      <c r="C1464" t="s">
        <v>143</v>
      </c>
      <c r="D1464">
        <v>4100</v>
      </c>
      <c r="E1464">
        <v>38</v>
      </c>
      <c r="F1464">
        <v>600</v>
      </c>
      <c r="G1464" t="s">
        <v>1611</v>
      </c>
    </row>
    <row r="1465" spans="1:8" ht="14.25">
      <c r="A1465" t="s">
        <v>2065</v>
      </c>
      <c r="B1465" t="s">
        <v>818</v>
      </c>
      <c r="C1465" t="s">
        <v>143</v>
      </c>
      <c r="D1465">
        <v>4100</v>
      </c>
      <c r="E1465">
        <v>38</v>
      </c>
      <c r="F1465">
        <v>920</v>
      </c>
      <c r="G1465" t="s">
        <v>1611</v>
      </c>
      <c r="H1465" t="s">
        <v>1611</v>
      </c>
    </row>
    <row r="1466" spans="1:8" ht="14.25">
      <c r="A1466" t="s">
        <v>2066</v>
      </c>
      <c r="B1466" t="s">
        <v>826</v>
      </c>
      <c r="C1466" t="s">
        <v>143</v>
      </c>
      <c r="D1466">
        <v>4100</v>
      </c>
      <c r="E1466">
        <v>38</v>
      </c>
      <c r="F1466">
        <v>600</v>
      </c>
      <c r="G1466" t="s">
        <v>1611</v>
      </c>
    </row>
    <row r="1467" spans="1:8" ht="14.25">
      <c r="A1467" t="s">
        <v>2067</v>
      </c>
      <c r="B1467" t="s">
        <v>826</v>
      </c>
      <c r="C1467" t="s">
        <v>143</v>
      </c>
      <c r="D1467">
        <v>4100</v>
      </c>
      <c r="E1467">
        <v>38</v>
      </c>
      <c r="F1467">
        <v>920</v>
      </c>
      <c r="G1467" t="s">
        <v>1611</v>
      </c>
      <c r="H1467" t="s">
        <v>1611</v>
      </c>
    </row>
    <row r="1468" spans="1:8" ht="14.25">
      <c r="A1468" t="s">
        <v>2068</v>
      </c>
      <c r="B1468" t="s">
        <v>828</v>
      </c>
      <c r="C1468" t="s">
        <v>143</v>
      </c>
      <c r="D1468">
        <v>4100</v>
      </c>
      <c r="E1468">
        <v>38</v>
      </c>
      <c r="F1468">
        <v>600</v>
      </c>
      <c r="G1468" t="s">
        <v>1611</v>
      </c>
    </row>
    <row r="1469" spans="1:8" ht="14.25">
      <c r="A1469" t="s">
        <v>2069</v>
      </c>
      <c r="B1469" t="s">
        <v>828</v>
      </c>
      <c r="C1469" t="s">
        <v>143</v>
      </c>
      <c r="D1469">
        <v>4100</v>
      </c>
      <c r="E1469">
        <v>38</v>
      </c>
      <c r="F1469">
        <v>920</v>
      </c>
      <c r="G1469" t="s">
        <v>1611</v>
      </c>
      <c r="H1469" t="s">
        <v>1611</v>
      </c>
    </row>
    <row r="1470" spans="1:8" ht="14.25">
      <c r="A1470" t="s">
        <v>2070</v>
      </c>
      <c r="B1470" t="s">
        <v>832</v>
      </c>
      <c r="C1470" t="s">
        <v>143</v>
      </c>
      <c r="D1470">
        <v>4100</v>
      </c>
      <c r="E1470">
        <v>38</v>
      </c>
      <c r="F1470">
        <v>600</v>
      </c>
      <c r="G1470" t="s">
        <v>1611</v>
      </c>
    </row>
    <row r="1471" spans="1:8" ht="14.25">
      <c r="A1471" t="s">
        <v>2071</v>
      </c>
      <c r="B1471" t="s">
        <v>832</v>
      </c>
      <c r="C1471" t="s">
        <v>143</v>
      </c>
      <c r="D1471">
        <v>4100</v>
      </c>
      <c r="E1471">
        <v>38</v>
      </c>
      <c r="F1471">
        <v>920</v>
      </c>
      <c r="G1471" t="s">
        <v>1611</v>
      </c>
      <c r="H1471" t="s">
        <v>1611</v>
      </c>
    </row>
    <row r="1472" spans="1:8" ht="14.25">
      <c r="A1472" t="s">
        <v>2072</v>
      </c>
      <c r="B1472" t="s">
        <v>843</v>
      </c>
      <c r="C1472" t="s">
        <v>143</v>
      </c>
      <c r="D1472">
        <v>4100</v>
      </c>
      <c r="E1472">
        <v>38.6</v>
      </c>
      <c r="F1472">
        <v>650</v>
      </c>
      <c r="G1472" t="s">
        <v>1611</v>
      </c>
    </row>
    <row r="1473" spans="1:8" ht="14.25">
      <c r="A1473" t="s">
        <v>2073</v>
      </c>
      <c r="B1473" t="s">
        <v>843</v>
      </c>
      <c r="C1473" t="s">
        <v>143</v>
      </c>
      <c r="D1473">
        <v>4100</v>
      </c>
      <c r="E1473">
        <v>38.6</v>
      </c>
      <c r="F1473">
        <v>920</v>
      </c>
      <c r="G1473" t="s">
        <v>1611</v>
      </c>
    </row>
    <row r="1474" spans="1:8" ht="14.25">
      <c r="A1474" t="s">
        <v>2074</v>
      </c>
      <c r="B1474" t="s">
        <v>908</v>
      </c>
      <c r="C1474" t="s">
        <v>143</v>
      </c>
      <c r="D1474">
        <v>4100</v>
      </c>
      <c r="E1474">
        <v>38</v>
      </c>
      <c r="F1474">
        <v>600</v>
      </c>
      <c r="G1474" t="s">
        <v>1611</v>
      </c>
    </row>
    <row r="1475" spans="1:8" ht="14.25">
      <c r="A1475" t="s">
        <v>2075</v>
      </c>
      <c r="B1475" t="s">
        <v>908</v>
      </c>
      <c r="C1475" t="s">
        <v>143</v>
      </c>
      <c r="D1475">
        <v>4100</v>
      </c>
      <c r="E1475">
        <v>38</v>
      </c>
      <c r="F1475">
        <v>920</v>
      </c>
      <c r="G1475" t="s">
        <v>1611</v>
      </c>
      <c r="H1475" t="s">
        <v>1611</v>
      </c>
    </row>
    <row r="1476" spans="1:8" ht="14.25">
      <c r="A1476" t="s">
        <v>2076</v>
      </c>
      <c r="B1476" t="s">
        <v>911</v>
      </c>
      <c r="C1476" t="s">
        <v>143</v>
      </c>
      <c r="D1476">
        <v>4100</v>
      </c>
      <c r="E1476">
        <v>38</v>
      </c>
      <c r="F1476">
        <v>600</v>
      </c>
      <c r="G1476" t="s">
        <v>1611</v>
      </c>
    </row>
    <row r="1477" spans="1:8" ht="14.25">
      <c r="A1477" t="s">
        <v>2077</v>
      </c>
      <c r="B1477" t="s">
        <v>911</v>
      </c>
      <c r="C1477" t="s">
        <v>143</v>
      </c>
      <c r="D1477">
        <v>4100</v>
      </c>
      <c r="E1477">
        <v>38</v>
      </c>
      <c r="F1477">
        <v>920</v>
      </c>
      <c r="G1477" t="s">
        <v>1611</v>
      </c>
      <c r="H1477" t="s">
        <v>1611</v>
      </c>
    </row>
    <row r="1478" spans="1:8" ht="14.25">
      <c r="A1478" t="s">
        <v>2078</v>
      </c>
      <c r="B1478" t="s">
        <v>922</v>
      </c>
      <c r="C1478" t="s">
        <v>143</v>
      </c>
      <c r="D1478">
        <v>4100</v>
      </c>
      <c r="E1478">
        <v>38</v>
      </c>
      <c r="F1478">
        <v>600</v>
      </c>
      <c r="G1478" t="s">
        <v>1611</v>
      </c>
    </row>
    <row r="1479" spans="1:8" ht="14.25">
      <c r="A1479" t="s">
        <v>5438</v>
      </c>
      <c r="B1479">
        <v>45</v>
      </c>
      <c r="C1479" t="s">
        <v>143</v>
      </c>
      <c r="D1479">
        <v>4100</v>
      </c>
      <c r="E1479">
        <v>12.1</v>
      </c>
      <c r="F1479">
        <v>650</v>
      </c>
      <c r="G1479" t="s">
        <v>1611</v>
      </c>
      <c r="H1479" t="s">
        <v>1611</v>
      </c>
    </row>
    <row r="1480" spans="1:8" ht="14.25">
      <c r="A1480" t="s">
        <v>2079</v>
      </c>
      <c r="B1480" t="s">
        <v>922</v>
      </c>
      <c r="C1480" t="s">
        <v>143</v>
      </c>
      <c r="D1480">
        <v>4100</v>
      </c>
      <c r="E1480">
        <v>38</v>
      </c>
      <c r="F1480">
        <v>920</v>
      </c>
      <c r="G1480" t="s">
        <v>1611</v>
      </c>
      <c r="H1480" t="s">
        <v>1611</v>
      </c>
    </row>
    <row r="1481" spans="1:8" ht="14.25">
      <c r="A1481" t="s">
        <v>5439</v>
      </c>
      <c r="B1481">
        <v>45</v>
      </c>
      <c r="C1481" t="s">
        <v>143</v>
      </c>
      <c r="D1481">
        <v>4100</v>
      </c>
      <c r="E1481">
        <v>12.1</v>
      </c>
      <c r="F1481">
        <v>920</v>
      </c>
      <c r="G1481" t="s">
        <v>1611</v>
      </c>
      <c r="H1481" t="s">
        <v>1611</v>
      </c>
    </row>
    <row r="1482" spans="1:8" ht="14.25">
      <c r="A1482" t="s">
        <v>2080</v>
      </c>
      <c r="B1482" t="s">
        <v>946</v>
      </c>
      <c r="C1482" t="s">
        <v>143</v>
      </c>
      <c r="D1482">
        <v>4100</v>
      </c>
      <c r="E1482">
        <v>38</v>
      </c>
      <c r="F1482">
        <v>600</v>
      </c>
      <c r="G1482" t="s">
        <v>1611</v>
      </c>
    </row>
    <row r="1483" spans="1:8" ht="14.25">
      <c r="A1483" t="s">
        <v>2081</v>
      </c>
      <c r="B1483" t="s">
        <v>951</v>
      </c>
      <c r="C1483" t="s">
        <v>143</v>
      </c>
      <c r="D1483">
        <v>4100</v>
      </c>
      <c r="E1483">
        <v>38</v>
      </c>
      <c r="F1483">
        <v>600</v>
      </c>
      <c r="G1483" t="s">
        <v>1611</v>
      </c>
    </row>
    <row r="1484" spans="1:8" ht="14.25">
      <c r="A1484" t="s">
        <v>2082</v>
      </c>
      <c r="B1484" t="s">
        <v>951</v>
      </c>
      <c r="C1484" t="s">
        <v>143</v>
      </c>
      <c r="D1484">
        <v>4100</v>
      </c>
      <c r="E1484">
        <v>38</v>
      </c>
      <c r="F1484">
        <v>920</v>
      </c>
      <c r="G1484" t="s">
        <v>1611</v>
      </c>
      <c r="H1484" t="s">
        <v>1611</v>
      </c>
    </row>
    <row r="1485" spans="1:8" ht="14.25">
      <c r="A1485" t="s">
        <v>2083</v>
      </c>
      <c r="B1485" t="s">
        <v>2084</v>
      </c>
      <c r="C1485" t="s">
        <v>143</v>
      </c>
      <c r="D1485">
        <v>4100</v>
      </c>
      <c r="E1485">
        <v>38</v>
      </c>
      <c r="F1485">
        <v>600</v>
      </c>
      <c r="G1485" t="s">
        <v>1611</v>
      </c>
    </row>
    <row r="1486" spans="1:8" ht="14.25">
      <c r="A1486" t="s">
        <v>2085</v>
      </c>
      <c r="B1486" t="s">
        <v>2084</v>
      </c>
      <c r="C1486" t="s">
        <v>143</v>
      </c>
      <c r="D1486">
        <v>4100</v>
      </c>
      <c r="E1486">
        <v>38</v>
      </c>
      <c r="F1486">
        <v>900</v>
      </c>
      <c r="G1486" t="s">
        <v>1611</v>
      </c>
      <c r="H1486" t="s">
        <v>1611</v>
      </c>
    </row>
    <row r="1487" spans="1:8" ht="14.25">
      <c r="A1487" t="s">
        <v>2086</v>
      </c>
      <c r="B1487" t="s">
        <v>2087</v>
      </c>
      <c r="C1487" t="s">
        <v>143</v>
      </c>
      <c r="D1487">
        <v>4100</v>
      </c>
      <c r="E1487">
        <v>38</v>
      </c>
      <c r="F1487">
        <v>600</v>
      </c>
      <c r="G1487" t="s">
        <v>1611</v>
      </c>
    </row>
    <row r="1488" spans="1:8" ht="14.25">
      <c r="A1488" t="s">
        <v>2088</v>
      </c>
      <c r="B1488" t="s">
        <v>2087</v>
      </c>
      <c r="C1488" t="s">
        <v>143</v>
      </c>
      <c r="D1488">
        <v>4100</v>
      </c>
      <c r="E1488">
        <v>38</v>
      </c>
      <c r="F1488">
        <v>900</v>
      </c>
      <c r="G1488" t="s">
        <v>1611</v>
      </c>
      <c r="H1488" t="s">
        <v>1611</v>
      </c>
    </row>
    <row r="1489" spans="1:8" ht="14.25">
      <c r="A1489" t="s">
        <v>2089</v>
      </c>
      <c r="B1489" t="s">
        <v>2090</v>
      </c>
      <c r="C1489" t="s">
        <v>143</v>
      </c>
      <c r="D1489">
        <v>4100</v>
      </c>
      <c r="E1489">
        <v>38</v>
      </c>
      <c r="F1489">
        <v>600</v>
      </c>
      <c r="G1489" t="s">
        <v>1611</v>
      </c>
    </row>
    <row r="1490" spans="1:8" ht="14.25">
      <c r="A1490" t="s">
        <v>2091</v>
      </c>
      <c r="B1490" t="s">
        <v>2090</v>
      </c>
      <c r="C1490" t="s">
        <v>136</v>
      </c>
      <c r="D1490">
        <v>4100</v>
      </c>
      <c r="E1490">
        <v>38</v>
      </c>
      <c r="F1490">
        <v>900</v>
      </c>
      <c r="G1490" t="s">
        <v>1611</v>
      </c>
      <c r="H1490" t="s">
        <v>1611</v>
      </c>
    </row>
    <row r="1491" spans="1:8" ht="14.25">
      <c r="A1491" t="s">
        <v>2092</v>
      </c>
      <c r="B1491" t="s">
        <v>2093</v>
      </c>
      <c r="C1491" t="s">
        <v>143</v>
      </c>
      <c r="D1491">
        <v>4100</v>
      </c>
      <c r="E1491">
        <v>38</v>
      </c>
      <c r="F1491">
        <v>600</v>
      </c>
      <c r="G1491" t="s">
        <v>1611</v>
      </c>
    </row>
    <row r="1492" spans="1:8" ht="14.25">
      <c r="A1492" t="s">
        <v>2094</v>
      </c>
      <c r="B1492" t="s">
        <v>2093</v>
      </c>
      <c r="C1492" t="s">
        <v>143</v>
      </c>
      <c r="D1492">
        <v>4100</v>
      </c>
      <c r="E1492">
        <v>38</v>
      </c>
      <c r="F1492">
        <v>900</v>
      </c>
      <c r="G1492" t="s">
        <v>1611</v>
      </c>
      <c r="H1492" t="s">
        <v>1611</v>
      </c>
    </row>
    <row r="1493" spans="1:8" ht="14.25">
      <c r="A1493" t="s">
        <v>2095</v>
      </c>
      <c r="B1493" t="s">
        <v>2096</v>
      </c>
      <c r="C1493" t="s">
        <v>143</v>
      </c>
      <c r="D1493">
        <v>4100</v>
      </c>
      <c r="E1493">
        <v>38</v>
      </c>
      <c r="F1493">
        <v>600</v>
      </c>
      <c r="G1493" t="s">
        <v>1611</v>
      </c>
    </row>
    <row r="1494" spans="1:8" ht="14.25">
      <c r="A1494" t="s">
        <v>2097</v>
      </c>
      <c r="B1494" t="s">
        <v>2096</v>
      </c>
      <c r="C1494" t="s">
        <v>143</v>
      </c>
      <c r="D1494">
        <v>4100</v>
      </c>
      <c r="E1494">
        <v>38</v>
      </c>
      <c r="F1494">
        <v>900</v>
      </c>
      <c r="G1494" t="s">
        <v>1611</v>
      </c>
      <c r="H1494" t="s">
        <v>1611</v>
      </c>
    </row>
    <row r="1495" spans="1:8" ht="14.25">
      <c r="A1495" t="s">
        <v>2098</v>
      </c>
      <c r="B1495" t="s">
        <v>2099</v>
      </c>
      <c r="C1495" t="s">
        <v>143</v>
      </c>
      <c r="D1495">
        <v>4100</v>
      </c>
      <c r="E1495">
        <v>38</v>
      </c>
      <c r="F1495">
        <v>600</v>
      </c>
      <c r="G1495" t="s">
        <v>1611</v>
      </c>
    </row>
    <row r="1496" spans="1:8" ht="14.25">
      <c r="A1496" t="s">
        <v>2100</v>
      </c>
      <c r="B1496" t="s">
        <v>2099</v>
      </c>
      <c r="C1496" t="s">
        <v>143</v>
      </c>
      <c r="D1496">
        <v>4100</v>
      </c>
      <c r="E1496">
        <v>38</v>
      </c>
      <c r="F1496">
        <v>900</v>
      </c>
      <c r="G1496" t="s">
        <v>1611</v>
      </c>
      <c r="H1496" t="s">
        <v>1611</v>
      </c>
    </row>
    <row r="1497" spans="1:8" ht="14.25">
      <c r="A1497" t="s">
        <v>2101</v>
      </c>
      <c r="B1497" t="s">
        <v>2102</v>
      </c>
      <c r="C1497" t="s">
        <v>143</v>
      </c>
      <c r="D1497">
        <v>4100</v>
      </c>
      <c r="E1497">
        <v>38</v>
      </c>
      <c r="F1497">
        <v>600</v>
      </c>
      <c r="G1497" t="s">
        <v>1611</v>
      </c>
    </row>
    <row r="1498" spans="1:8" ht="14.25">
      <c r="A1498" t="s">
        <v>2103</v>
      </c>
      <c r="B1498" t="s">
        <v>2102</v>
      </c>
      <c r="C1498" t="s">
        <v>143</v>
      </c>
      <c r="D1498">
        <v>4100</v>
      </c>
      <c r="E1498">
        <v>38</v>
      </c>
      <c r="F1498">
        <v>900</v>
      </c>
      <c r="G1498" t="s">
        <v>1611</v>
      </c>
      <c r="H1498" t="s">
        <v>1611</v>
      </c>
    </row>
    <row r="1499" spans="1:8" ht="14.25">
      <c r="A1499" t="s">
        <v>2104</v>
      </c>
      <c r="B1499" t="s">
        <v>2105</v>
      </c>
      <c r="C1499" t="s">
        <v>143</v>
      </c>
      <c r="D1499">
        <v>4100</v>
      </c>
      <c r="E1499">
        <v>38</v>
      </c>
      <c r="F1499">
        <v>600</v>
      </c>
      <c r="G1499" t="s">
        <v>1611</v>
      </c>
    </row>
    <row r="1500" spans="1:8" ht="14.25">
      <c r="A1500" t="s">
        <v>2106</v>
      </c>
      <c r="B1500" t="s">
        <v>2105</v>
      </c>
      <c r="C1500" t="s">
        <v>143</v>
      </c>
      <c r="D1500">
        <v>4100</v>
      </c>
      <c r="E1500">
        <v>38</v>
      </c>
      <c r="F1500">
        <v>900</v>
      </c>
      <c r="G1500" t="s">
        <v>1611</v>
      </c>
      <c r="H1500" t="s">
        <v>1611</v>
      </c>
    </row>
    <row r="1501" spans="1:8" ht="14.25">
      <c r="A1501" t="s">
        <v>2107</v>
      </c>
      <c r="B1501" t="s">
        <v>2108</v>
      </c>
      <c r="C1501" t="s">
        <v>143</v>
      </c>
      <c r="D1501">
        <v>4100</v>
      </c>
      <c r="E1501">
        <v>38</v>
      </c>
      <c r="F1501">
        <v>600</v>
      </c>
      <c r="G1501" t="s">
        <v>1611</v>
      </c>
    </row>
    <row r="1502" spans="1:8" ht="14.25">
      <c r="A1502" t="s">
        <v>2109</v>
      </c>
      <c r="B1502" t="s">
        <v>2108</v>
      </c>
      <c r="C1502" t="s">
        <v>143</v>
      </c>
      <c r="D1502">
        <v>4100</v>
      </c>
      <c r="E1502">
        <v>38</v>
      </c>
      <c r="F1502">
        <v>900</v>
      </c>
      <c r="G1502" t="s">
        <v>1611</v>
      </c>
      <c r="H1502" t="s">
        <v>1611</v>
      </c>
    </row>
    <row r="1503" spans="1:8" ht="14.25">
      <c r="A1503" t="s">
        <v>2110</v>
      </c>
      <c r="B1503" t="s">
        <v>2111</v>
      </c>
      <c r="C1503" t="s">
        <v>143</v>
      </c>
      <c r="D1503">
        <v>4100</v>
      </c>
      <c r="E1503">
        <v>38</v>
      </c>
      <c r="F1503">
        <v>600</v>
      </c>
      <c r="G1503" t="s">
        <v>1611</v>
      </c>
    </row>
    <row r="1504" spans="1:8" ht="14.25">
      <c r="A1504" t="s">
        <v>2112</v>
      </c>
      <c r="B1504" t="s">
        <v>2111</v>
      </c>
      <c r="C1504" t="s">
        <v>143</v>
      </c>
      <c r="D1504">
        <v>4100</v>
      </c>
      <c r="E1504">
        <v>38</v>
      </c>
      <c r="F1504">
        <v>900</v>
      </c>
      <c r="G1504" t="s">
        <v>1611</v>
      </c>
      <c r="H1504" t="s">
        <v>1611</v>
      </c>
    </row>
    <row r="1505" spans="1:8" ht="14.25">
      <c r="A1505" t="s">
        <v>2113</v>
      </c>
      <c r="B1505" t="s">
        <v>1110</v>
      </c>
      <c r="C1505" t="s">
        <v>136</v>
      </c>
      <c r="D1505">
        <v>4100</v>
      </c>
      <c r="E1505">
        <v>38</v>
      </c>
      <c r="F1505">
        <v>920</v>
      </c>
      <c r="G1505" t="s">
        <v>1611</v>
      </c>
      <c r="H1505" t="s">
        <v>1611</v>
      </c>
    </row>
    <row r="1506" spans="1:8" ht="14.25">
      <c r="A1506" t="s">
        <v>2114</v>
      </c>
      <c r="B1506" t="s">
        <v>1132</v>
      </c>
      <c r="C1506" t="s">
        <v>136</v>
      </c>
      <c r="D1506">
        <v>4100</v>
      </c>
      <c r="E1506">
        <v>38</v>
      </c>
      <c r="F1506">
        <v>920</v>
      </c>
      <c r="G1506" t="s">
        <v>1611</v>
      </c>
      <c r="H1506" t="s">
        <v>1611</v>
      </c>
    </row>
    <row r="1507" spans="1:8" ht="14.25">
      <c r="A1507" t="s">
        <v>2115</v>
      </c>
      <c r="B1507" t="s">
        <v>2116</v>
      </c>
      <c r="C1507" t="s">
        <v>143</v>
      </c>
      <c r="D1507">
        <v>4100</v>
      </c>
      <c r="E1507">
        <v>38</v>
      </c>
      <c r="F1507">
        <v>600</v>
      </c>
      <c r="G1507" t="s">
        <v>1611</v>
      </c>
    </row>
    <row r="1508" spans="1:8" ht="14.25">
      <c r="A1508" t="s">
        <v>2117</v>
      </c>
      <c r="B1508" t="s">
        <v>2116</v>
      </c>
      <c r="C1508" t="s">
        <v>136</v>
      </c>
      <c r="D1508">
        <v>4100</v>
      </c>
      <c r="E1508">
        <v>38</v>
      </c>
      <c r="F1508">
        <v>600</v>
      </c>
      <c r="G1508" t="s">
        <v>1611</v>
      </c>
    </row>
    <row r="1509" spans="1:8" ht="14.25">
      <c r="A1509" t="s">
        <v>2118</v>
      </c>
      <c r="B1509" t="s">
        <v>2116</v>
      </c>
      <c r="C1509" t="s">
        <v>143</v>
      </c>
      <c r="D1509">
        <v>4100</v>
      </c>
      <c r="E1509">
        <v>38</v>
      </c>
      <c r="F1509">
        <v>920</v>
      </c>
      <c r="G1509" t="s">
        <v>1611</v>
      </c>
      <c r="H1509" t="s">
        <v>1611</v>
      </c>
    </row>
    <row r="1510" spans="1:8" ht="14.25">
      <c r="A1510" t="s">
        <v>2119</v>
      </c>
      <c r="B1510" t="s">
        <v>2120</v>
      </c>
      <c r="C1510" t="s">
        <v>136</v>
      </c>
      <c r="D1510">
        <v>4100</v>
      </c>
      <c r="E1510">
        <v>38</v>
      </c>
      <c r="F1510">
        <v>600</v>
      </c>
      <c r="G1510" t="s">
        <v>1611</v>
      </c>
    </row>
    <row r="1511" spans="1:8" ht="14.25">
      <c r="A1511" t="s">
        <v>2121</v>
      </c>
      <c r="B1511" t="s">
        <v>2120</v>
      </c>
      <c r="C1511" t="s">
        <v>136</v>
      </c>
      <c r="D1511">
        <v>4100</v>
      </c>
      <c r="E1511">
        <v>38</v>
      </c>
      <c r="F1511">
        <v>920</v>
      </c>
      <c r="G1511" t="s">
        <v>1611</v>
      </c>
      <c r="H1511" t="s">
        <v>1611</v>
      </c>
    </row>
    <row r="1512" spans="1:8" ht="14.25">
      <c r="A1512" t="s">
        <v>2122</v>
      </c>
      <c r="B1512">
        <v>45</v>
      </c>
      <c r="C1512" t="s">
        <v>136</v>
      </c>
      <c r="D1512">
        <v>4100</v>
      </c>
      <c r="E1512">
        <v>12.1</v>
      </c>
      <c r="F1512">
        <v>650</v>
      </c>
      <c r="G1512" t="s">
        <v>1611</v>
      </c>
      <c r="H1512" t="s">
        <v>1611</v>
      </c>
    </row>
    <row r="1513" spans="1:8" ht="14.25">
      <c r="A1513" t="s">
        <v>2123</v>
      </c>
      <c r="B1513">
        <v>45</v>
      </c>
      <c r="C1513" t="s">
        <v>136</v>
      </c>
      <c r="D1513">
        <v>4100</v>
      </c>
      <c r="E1513">
        <v>12.1</v>
      </c>
      <c r="F1513">
        <v>920</v>
      </c>
      <c r="G1513" t="s">
        <v>1611</v>
      </c>
      <c r="H1513" t="s">
        <v>1611</v>
      </c>
    </row>
    <row r="1514" spans="1:8" ht="14.25">
      <c r="A1514" t="s">
        <v>2124</v>
      </c>
      <c r="B1514" t="s">
        <v>1353</v>
      </c>
      <c r="C1514" t="s">
        <v>143</v>
      </c>
      <c r="D1514">
        <v>4100</v>
      </c>
      <c r="E1514">
        <v>38</v>
      </c>
      <c r="F1514">
        <v>600</v>
      </c>
      <c r="G1514" t="s">
        <v>1611</v>
      </c>
    </row>
    <row r="1515" spans="1:8" ht="14.25">
      <c r="A1515" t="s">
        <v>2125</v>
      </c>
      <c r="B1515" t="s">
        <v>1353</v>
      </c>
      <c r="C1515" t="s">
        <v>143</v>
      </c>
      <c r="D1515">
        <v>4100</v>
      </c>
      <c r="E1515">
        <v>38</v>
      </c>
      <c r="F1515">
        <v>920</v>
      </c>
      <c r="G1515" t="s">
        <v>1611</v>
      </c>
      <c r="H1515" t="s">
        <v>1611</v>
      </c>
    </row>
    <row r="1516" spans="1:8" ht="14.25">
      <c r="A1516" t="s">
        <v>2126</v>
      </c>
      <c r="B1516" t="s">
        <v>1393</v>
      </c>
      <c r="C1516" t="s">
        <v>136</v>
      </c>
      <c r="D1516">
        <v>4100</v>
      </c>
      <c r="E1516">
        <v>38</v>
      </c>
      <c r="F1516">
        <v>600</v>
      </c>
      <c r="G1516" t="s">
        <v>1611</v>
      </c>
    </row>
    <row r="1517" spans="1:8" ht="14.25">
      <c r="A1517" t="s">
        <v>2127</v>
      </c>
      <c r="B1517" t="s">
        <v>1393</v>
      </c>
      <c r="C1517" t="s">
        <v>136</v>
      </c>
      <c r="D1517">
        <v>4100</v>
      </c>
      <c r="E1517">
        <v>38</v>
      </c>
      <c r="F1517">
        <v>920</v>
      </c>
      <c r="G1517" t="s">
        <v>1611</v>
      </c>
      <c r="H1517" t="s">
        <v>1611</v>
      </c>
    </row>
    <row r="1518" spans="1:8" ht="14.25">
      <c r="A1518" t="s">
        <v>2128</v>
      </c>
      <c r="B1518" t="s">
        <v>2129</v>
      </c>
      <c r="C1518" t="s">
        <v>143</v>
      </c>
      <c r="D1518">
        <v>4100</v>
      </c>
      <c r="E1518">
        <v>38</v>
      </c>
      <c r="F1518">
        <v>600</v>
      </c>
      <c r="G1518" t="s">
        <v>1611</v>
      </c>
    </row>
    <row r="1519" spans="1:8" ht="14.25">
      <c r="A1519" t="s">
        <v>2130</v>
      </c>
      <c r="B1519" t="s">
        <v>2129</v>
      </c>
      <c r="C1519" t="s">
        <v>136</v>
      </c>
      <c r="D1519">
        <v>4100</v>
      </c>
      <c r="E1519">
        <v>38</v>
      </c>
      <c r="F1519">
        <v>600</v>
      </c>
      <c r="G1519" t="s">
        <v>1611</v>
      </c>
    </row>
    <row r="1520" spans="1:8" ht="14.25">
      <c r="A1520" t="s">
        <v>2131</v>
      </c>
      <c r="B1520" t="s">
        <v>2132</v>
      </c>
      <c r="C1520" t="s">
        <v>136</v>
      </c>
      <c r="D1520">
        <v>4100</v>
      </c>
      <c r="E1520">
        <v>38</v>
      </c>
      <c r="F1520">
        <v>920</v>
      </c>
      <c r="G1520" t="s">
        <v>1611</v>
      </c>
      <c r="H1520" t="s">
        <v>1611</v>
      </c>
    </row>
    <row r="1521" spans="1:8" ht="14.25">
      <c r="A1521" t="s">
        <v>2133</v>
      </c>
      <c r="B1521" t="s">
        <v>2129</v>
      </c>
      <c r="C1521" t="s">
        <v>143</v>
      </c>
      <c r="D1521">
        <v>4100</v>
      </c>
      <c r="E1521">
        <v>38</v>
      </c>
      <c r="F1521">
        <v>920</v>
      </c>
      <c r="G1521" t="s">
        <v>1611</v>
      </c>
      <c r="H1521" t="s">
        <v>1611</v>
      </c>
    </row>
    <row r="1522" spans="1:8" ht="14.25">
      <c r="A1522" t="s">
        <v>2134</v>
      </c>
      <c r="B1522" t="s">
        <v>2129</v>
      </c>
      <c r="C1522" t="s">
        <v>136</v>
      </c>
      <c r="D1522">
        <v>4100</v>
      </c>
      <c r="E1522">
        <v>38</v>
      </c>
      <c r="F1522">
        <v>920</v>
      </c>
      <c r="G1522" t="s">
        <v>1611</v>
      </c>
      <c r="H1522" t="s">
        <v>1611</v>
      </c>
    </row>
    <row r="1523" spans="1:8" ht="14.25">
      <c r="A1523" t="s">
        <v>2135</v>
      </c>
      <c r="B1523" t="s">
        <v>2136</v>
      </c>
      <c r="C1523" t="s">
        <v>136</v>
      </c>
      <c r="D1523">
        <v>4100</v>
      </c>
      <c r="E1523">
        <v>38</v>
      </c>
      <c r="F1523">
        <v>650</v>
      </c>
      <c r="G1523" t="s">
        <v>1611</v>
      </c>
    </row>
    <row r="1524" spans="1:8" ht="14.25">
      <c r="A1524" t="s">
        <v>2137</v>
      </c>
      <c r="B1524" t="s">
        <v>2136</v>
      </c>
      <c r="C1524" t="s">
        <v>136</v>
      </c>
      <c r="D1524">
        <v>4100</v>
      </c>
      <c r="E1524">
        <v>38</v>
      </c>
      <c r="F1524">
        <v>920</v>
      </c>
      <c r="G1524" t="s">
        <v>1611</v>
      </c>
      <c r="H1524" t="s">
        <v>1611</v>
      </c>
    </row>
    <row r="1525" spans="1:8" ht="14.25">
      <c r="A1525" t="s">
        <v>2138</v>
      </c>
      <c r="B1525" t="s">
        <v>2139</v>
      </c>
      <c r="C1525" t="s">
        <v>143</v>
      </c>
      <c r="D1525">
        <v>4100</v>
      </c>
      <c r="E1525">
        <v>17.600000000000001</v>
      </c>
      <c r="F1525">
        <v>600</v>
      </c>
      <c r="G1525" t="s">
        <v>1611</v>
      </c>
    </row>
    <row r="1526" spans="1:8" ht="14.25">
      <c r="A1526" t="s">
        <v>2140</v>
      </c>
      <c r="B1526" t="s">
        <v>2139</v>
      </c>
      <c r="C1526" t="s">
        <v>143</v>
      </c>
      <c r="D1526">
        <v>4100</v>
      </c>
      <c r="E1526">
        <v>17.600000000000001</v>
      </c>
      <c r="F1526">
        <v>920</v>
      </c>
      <c r="G1526" t="s">
        <v>1611</v>
      </c>
      <c r="H1526" t="s">
        <v>1611</v>
      </c>
    </row>
    <row r="1527" spans="1:8" ht="14.25">
      <c r="A1527" t="s">
        <v>2141</v>
      </c>
      <c r="B1527">
        <v>45</v>
      </c>
      <c r="C1527" t="s">
        <v>136</v>
      </c>
      <c r="D1527">
        <v>4100</v>
      </c>
      <c r="E1527">
        <v>12.1</v>
      </c>
      <c r="F1527">
        <v>650</v>
      </c>
      <c r="G1527" t="s">
        <v>1611</v>
      </c>
      <c r="H1527" t="s">
        <v>1611</v>
      </c>
    </row>
    <row r="1528" spans="1:8" ht="14.25">
      <c r="A1528" t="s">
        <v>2142</v>
      </c>
      <c r="B1528">
        <v>45</v>
      </c>
      <c r="C1528" t="s">
        <v>136</v>
      </c>
      <c r="D1528">
        <v>4100</v>
      </c>
      <c r="E1528">
        <v>12.1</v>
      </c>
      <c r="F1528">
        <v>920</v>
      </c>
      <c r="G1528" t="s">
        <v>1611</v>
      </c>
      <c r="H1528" t="s">
        <v>1611</v>
      </c>
    </row>
    <row r="1529" spans="1:8" ht="14.25">
      <c r="A1529" t="s">
        <v>2143</v>
      </c>
      <c r="B1529" t="s">
        <v>2144</v>
      </c>
      <c r="C1529" t="s">
        <v>136</v>
      </c>
      <c r="D1529">
        <v>4100</v>
      </c>
      <c r="E1529">
        <v>38</v>
      </c>
      <c r="F1529">
        <v>600</v>
      </c>
      <c r="G1529" t="s">
        <v>1611</v>
      </c>
    </row>
    <row r="1530" spans="1:8" ht="14.25">
      <c r="A1530" t="s">
        <v>2145</v>
      </c>
      <c r="B1530" t="s">
        <v>2144</v>
      </c>
      <c r="C1530" t="s">
        <v>136</v>
      </c>
      <c r="D1530">
        <v>4100</v>
      </c>
      <c r="E1530">
        <v>38</v>
      </c>
      <c r="F1530">
        <v>920</v>
      </c>
      <c r="G1530" t="s">
        <v>1611</v>
      </c>
      <c r="H1530" t="s">
        <v>1611</v>
      </c>
    </row>
    <row r="1531" spans="1:8" ht="14.25">
      <c r="A1531" t="s">
        <v>2146</v>
      </c>
      <c r="B1531" t="s">
        <v>1466</v>
      </c>
      <c r="C1531" t="s">
        <v>143</v>
      </c>
      <c r="D1531">
        <v>4100</v>
      </c>
      <c r="E1531">
        <v>38</v>
      </c>
      <c r="F1531">
        <v>600</v>
      </c>
      <c r="G1531" t="s">
        <v>1611</v>
      </c>
    </row>
    <row r="1532" spans="1:8" ht="14.25">
      <c r="A1532" t="s">
        <v>2147</v>
      </c>
      <c r="B1532" t="s">
        <v>1466</v>
      </c>
      <c r="C1532" t="s">
        <v>143</v>
      </c>
      <c r="D1532">
        <v>4100</v>
      </c>
      <c r="E1532">
        <v>38</v>
      </c>
      <c r="F1532">
        <v>920</v>
      </c>
      <c r="G1532" t="s">
        <v>1611</v>
      </c>
      <c r="H1532" t="s">
        <v>1611</v>
      </c>
    </row>
    <row r="1533" spans="1:8" ht="14.25">
      <c r="A1533" t="s">
        <v>2148</v>
      </c>
      <c r="B1533" t="s">
        <v>2149</v>
      </c>
      <c r="C1533" t="s">
        <v>143</v>
      </c>
      <c r="D1533">
        <v>4100</v>
      </c>
      <c r="E1533">
        <v>38</v>
      </c>
      <c r="F1533">
        <v>600</v>
      </c>
      <c r="G1533" t="s">
        <v>1611</v>
      </c>
    </row>
    <row r="1534" spans="1:8" ht="14.25">
      <c r="A1534" t="s">
        <v>2150</v>
      </c>
      <c r="B1534" t="s">
        <v>2149</v>
      </c>
      <c r="C1534" t="s">
        <v>143</v>
      </c>
      <c r="D1534">
        <v>4100</v>
      </c>
      <c r="E1534">
        <v>38</v>
      </c>
      <c r="F1534">
        <v>920</v>
      </c>
      <c r="G1534" t="s">
        <v>1611</v>
      </c>
      <c r="H1534" t="s">
        <v>1611</v>
      </c>
    </row>
    <row r="1535" spans="1:8" ht="14.25">
      <c r="A1535" t="s">
        <v>2151</v>
      </c>
      <c r="B1535" t="s">
        <v>1504</v>
      </c>
      <c r="C1535" t="s">
        <v>136</v>
      </c>
      <c r="D1535">
        <v>4100</v>
      </c>
      <c r="E1535">
        <v>38</v>
      </c>
      <c r="F1535">
        <v>650</v>
      </c>
      <c r="G1535" t="s">
        <v>1611</v>
      </c>
    </row>
    <row r="1536" spans="1:8" ht="14.25">
      <c r="A1536" t="s">
        <v>2152</v>
      </c>
      <c r="B1536" t="s">
        <v>1504</v>
      </c>
      <c r="C1536" t="s">
        <v>136</v>
      </c>
      <c r="D1536">
        <v>4100</v>
      </c>
      <c r="E1536">
        <v>38</v>
      </c>
      <c r="F1536">
        <v>920</v>
      </c>
      <c r="G1536" t="s">
        <v>1611</v>
      </c>
      <c r="H1536" t="s">
        <v>1611</v>
      </c>
    </row>
    <row r="1537" spans="1:8" ht="14.25">
      <c r="A1537" t="s">
        <v>2153</v>
      </c>
      <c r="B1537" t="s">
        <v>2154</v>
      </c>
      <c r="C1537" t="s">
        <v>143</v>
      </c>
      <c r="D1537">
        <v>4100</v>
      </c>
      <c r="E1537">
        <v>17.600000000000001</v>
      </c>
      <c r="F1537">
        <v>600</v>
      </c>
      <c r="G1537" t="s">
        <v>1611</v>
      </c>
    </row>
    <row r="1538" spans="1:8" ht="14.25">
      <c r="A1538" t="s">
        <v>2155</v>
      </c>
      <c r="B1538" t="s">
        <v>2154</v>
      </c>
      <c r="C1538" t="s">
        <v>143</v>
      </c>
      <c r="D1538">
        <v>4100</v>
      </c>
      <c r="E1538">
        <v>17.600000000000001</v>
      </c>
      <c r="F1538">
        <v>920</v>
      </c>
      <c r="G1538" t="s">
        <v>1611</v>
      </c>
      <c r="H1538" t="s">
        <v>1611</v>
      </c>
    </row>
    <row r="1539" spans="1:8" ht="14.25">
      <c r="A1539" t="s">
        <v>2156</v>
      </c>
      <c r="B1539">
        <v>45</v>
      </c>
      <c r="C1539" t="s">
        <v>136</v>
      </c>
      <c r="D1539">
        <v>4100</v>
      </c>
      <c r="E1539">
        <v>12.1</v>
      </c>
      <c r="F1539">
        <v>650</v>
      </c>
      <c r="G1539" t="s">
        <v>1611</v>
      </c>
      <c r="H1539" t="s">
        <v>1611</v>
      </c>
    </row>
    <row r="1540" spans="1:8" ht="14.25">
      <c r="A1540" t="s">
        <v>2157</v>
      </c>
      <c r="B1540">
        <v>45</v>
      </c>
      <c r="C1540" t="s">
        <v>136</v>
      </c>
      <c r="D1540">
        <v>4100</v>
      </c>
      <c r="E1540">
        <v>12.1</v>
      </c>
      <c r="F1540">
        <v>920</v>
      </c>
      <c r="G1540" t="s">
        <v>1611</v>
      </c>
      <c r="H1540" t="s">
        <v>1611</v>
      </c>
    </row>
    <row r="1541" spans="1:8" ht="14.25">
      <c r="A1541" t="s">
        <v>2158</v>
      </c>
      <c r="B1541" t="s">
        <v>1542</v>
      </c>
      <c r="C1541" t="s">
        <v>143</v>
      </c>
      <c r="D1541">
        <v>4100</v>
      </c>
      <c r="E1541">
        <v>38</v>
      </c>
      <c r="F1541">
        <v>600</v>
      </c>
      <c r="G1541" t="s">
        <v>1611</v>
      </c>
    </row>
    <row r="1542" spans="1:8" ht="14.25">
      <c r="A1542" t="s">
        <v>2159</v>
      </c>
      <c r="B1542" t="s">
        <v>2160</v>
      </c>
      <c r="C1542" t="s">
        <v>136</v>
      </c>
      <c r="D1542">
        <v>4100</v>
      </c>
      <c r="E1542">
        <v>38</v>
      </c>
      <c r="F1542">
        <v>600</v>
      </c>
      <c r="G1542" t="s">
        <v>1611</v>
      </c>
    </row>
    <row r="1543" spans="1:8" ht="14.25">
      <c r="A1543" t="s">
        <v>2161</v>
      </c>
      <c r="B1543" t="s">
        <v>1542</v>
      </c>
      <c r="C1543" t="s">
        <v>136</v>
      </c>
      <c r="D1543">
        <v>4100</v>
      </c>
      <c r="E1543">
        <v>38</v>
      </c>
      <c r="F1543">
        <v>920</v>
      </c>
      <c r="G1543" t="s">
        <v>1611</v>
      </c>
      <c r="H1543" t="s">
        <v>1611</v>
      </c>
    </row>
    <row r="1544" spans="1:8" ht="14.25">
      <c r="A1544" t="s">
        <v>2162</v>
      </c>
      <c r="B1544" t="s">
        <v>2163</v>
      </c>
      <c r="C1544" t="s">
        <v>136</v>
      </c>
      <c r="D1544">
        <v>4100</v>
      </c>
      <c r="E1544">
        <v>38</v>
      </c>
      <c r="F1544">
        <v>920</v>
      </c>
      <c r="G1544" t="s">
        <v>1611</v>
      </c>
      <c r="H1544" t="s">
        <v>1611</v>
      </c>
    </row>
    <row r="1545" spans="1:8" ht="14.25">
      <c r="A1545" t="s">
        <v>5640</v>
      </c>
      <c r="B1545">
        <v>45</v>
      </c>
      <c r="C1545" t="s">
        <v>143</v>
      </c>
      <c r="D1545">
        <v>1300</v>
      </c>
      <c r="E1545">
        <v>12.1</v>
      </c>
      <c r="F1545">
        <v>4100</v>
      </c>
    </row>
    <row r="1546" spans="1:8" ht="14.25">
      <c r="A1546" t="s">
        <v>5641</v>
      </c>
      <c r="B1546">
        <v>45</v>
      </c>
      <c r="C1546" t="s">
        <v>143</v>
      </c>
      <c r="D1546">
        <v>1300</v>
      </c>
      <c r="E1546">
        <v>12.1</v>
      </c>
      <c r="F1546">
        <v>4100</v>
      </c>
    </row>
    <row r="1547" spans="1:8" ht="14.25">
      <c r="A1547" t="s">
        <v>5642</v>
      </c>
      <c r="B1547">
        <v>45</v>
      </c>
      <c r="C1547" t="s">
        <v>143</v>
      </c>
      <c r="D1547">
        <v>1300</v>
      </c>
      <c r="E1547">
        <v>12.1</v>
      </c>
      <c r="F1547">
        <v>4100</v>
      </c>
    </row>
    <row r="1548" spans="1:8" ht="14.25">
      <c r="A1548" t="s">
        <v>5643</v>
      </c>
      <c r="B1548">
        <v>45</v>
      </c>
      <c r="C1548" t="s">
        <v>143</v>
      </c>
      <c r="D1548">
        <v>1300</v>
      </c>
      <c r="E1548">
        <v>12.1</v>
      </c>
      <c r="F1548">
        <v>4100</v>
      </c>
    </row>
    <row r="1549" spans="1:8" ht="14.25">
      <c r="A1549" t="s">
        <v>5644</v>
      </c>
      <c r="B1549" t="s">
        <v>2165</v>
      </c>
      <c r="C1549" t="s">
        <v>136</v>
      </c>
      <c r="D1549">
        <v>2800</v>
      </c>
      <c r="E1549">
        <v>3</v>
      </c>
      <c r="F1549">
        <v>2070</v>
      </c>
    </row>
    <row r="1550" spans="1:8" ht="14.25">
      <c r="A1550" t="s">
        <v>5645</v>
      </c>
      <c r="B1550" t="s">
        <v>2165</v>
      </c>
      <c r="C1550" t="s">
        <v>136</v>
      </c>
      <c r="D1550">
        <v>2800</v>
      </c>
      <c r="E1550">
        <v>4</v>
      </c>
      <c r="F1550">
        <v>2070</v>
      </c>
    </row>
    <row r="1551" spans="1:8" ht="14.25">
      <c r="A1551" t="s">
        <v>2164</v>
      </c>
      <c r="B1551" t="s">
        <v>2165</v>
      </c>
      <c r="C1551" t="s">
        <v>136</v>
      </c>
      <c r="D1551">
        <v>2800</v>
      </c>
      <c r="E1551">
        <v>3</v>
      </c>
      <c r="F1551">
        <v>2090</v>
      </c>
    </row>
    <row r="1552" spans="1:8" ht="14.25">
      <c r="A1552" t="s">
        <v>2166</v>
      </c>
      <c r="B1552" t="s">
        <v>2165</v>
      </c>
      <c r="C1552" t="s">
        <v>136</v>
      </c>
      <c r="D1552">
        <v>2800</v>
      </c>
      <c r="E1552">
        <v>4</v>
      </c>
      <c r="F1552">
        <v>2090</v>
      </c>
    </row>
    <row r="1553" spans="1:6" ht="14.25">
      <c r="A1553" t="s">
        <v>2167</v>
      </c>
      <c r="B1553" t="s">
        <v>2165</v>
      </c>
      <c r="C1553" t="s">
        <v>136</v>
      </c>
      <c r="D1553">
        <v>2800</v>
      </c>
      <c r="E1553">
        <v>28</v>
      </c>
      <c r="F1553">
        <v>2070</v>
      </c>
    </row>
    <row r="1554" spans="1:6" ht="14.25">
      <c r="A1554" t="s">
        <v>2168</v>
      </c>
      <c r="B1554" t="s">
        <v>2165</v>
      </c>
      <c r="C1554" t="s">
        <v>136</v>
      </c>
      <c r="D1554">
        <v>3660</v>
      </c>
      <c r="E1554">
        <v>10</v>
      </c>
      <c r="F1554">
        <v>2200</v>
      </c>
    </row>
    <row r="1555" spans="1:6" ht="14.25">
      <c r="A1555" t="s">
        <v>2169</v>
      </c>
      <c r="C1555" t="s">
        <v>136</v>
      </c>
      <c r="D1555">
        <v>2800</v>
      </c>
      <c r="E1555">
        <v>38</v>
      </c>
      <c r="F1555">
        <v>2070</v>
      </c>
    </row>
    <row r="1556" spans="1:6" ht="14.25">
      <c r="A1556" t="s">
        <v>2170</v>
      </c>
      <c r="B1556" t="s">
        <v>2165</v>
      </c>
      <c r="C1556" t="s">
        <v>136</v>
      </c>
      <c r="D1556">
        <v>4150</v>
      </c>
      <c r="E1556">
        <v>16</v>
      </c>
      <c r="F1556">
        <v>2200</v>
      </c>
    </row>
    <row r="1557" spans="1:6" ht="14.25">
      <c r="A1557" t="s">
        <v>2171</v>
      </c>
      <c r="B1557" t="s">
        <v>2165</v>
      </c>
      <c r="C1557" t="s">
        <v>136</v>
      </c>
      <c r="D1557">
        <v>4150</v>
      </c>
      <c r="E1557">
        <v>19</v>
      </c>
      <c r="F1557">
        <v>2200</v>
      </c>
    </row>
    <row r="1558" spans="1:6" ht="14.25">
      <c r="A1558" t="s">
        <v>2172</v>
      </c>
      <c r="C1558" t="s">
        <v>136</v>
      </c>
      <c r="D1558">
        <v>2800</v>
      </c>
      <c r="E1558">
        <v>18</v>
      </c>
      <c r="F1558">
        <v>765</v>
      </c>
    </row>
    <row r="1559" spans="1:6" ht="14.25">
      <c r="A1559" t="s">
        <v>2173</v>
      </c>
      <c r="B1559" t="s">
        <v>2165</v>
      </c>
      <c r="C1559" t="s">
        <v>136</v>
      </c>
      <c r="D1559">
        <v>2800</v>
      </c>
      <c r="E1559">
        <v>6</v>
      </c>
      <c r="F1559">
        <v>2090</v>
      </c>
    </row>
    <row r="1560" spans="1:6" ht="14.25">
      <c r="A1560" t="s">
        <v>2174</v>
      </c>
      <c r="B1560" t="s">
        <v>2165</v>
      </c>
      <c r="C1560" t="s">
        <v>136</v>
      </c>
      <c r="D1560">
        <v>2800</v>
      </c>
      <c r="E1560">
        <v>8</v>
      </c>
      <c r="F1560">
        <v>2070</v>
      </c>
    </row>
    <row r="1561" spans="1:6" ht="14.25">
      <c r="A1561" t="s">
        <v>2175</v>
      </c>
      <c r="B1561" t="s">
        <v>2165</v>
      </c>
      <c r="C1561" t="s">
        <v>136</v>
      </c>
      <c r="D1561">
        <v>2800</v>
      </c>
      <c r="E1561">
        <v>10</v>
      </c>
      <c r="F1561">
        <v>2070</v>
      </c>
    </row>
    <row r="1562" spans="1:6" ht="14.25">
      <c r="A1562" t="s">
        <v>2176</v>
      </c>
      <c r="B1562" t="s">
        <v>2165</v>
      </c>
      <c r="C1562" t="s">
        <v>136</v>
      </c>
      <c r="D1562">
        <v>2800</v>
      </c>
      <c r="E1562">
        <v>12</v>
      </c>
      <c r="F1562">
        <v>2070</v>
      </c>
    </row>
    <row r="1563" spans="1:6" ht="14.25">
      <c r="A1563" t="s">
        <v>2177</v>
      </c>
      <c r="B1563" t="s">
        <v>2165</v>
      </c>
      <c r="C1563" t="s">
        <v>136</v>
      </c>
      <c r="D1563">
        <v>2800</v>
      </c>
      <c r="E1563">
        <v>16</v>
      </c>
      <c r="F1563">
        <v>2070</v>
      </c>
    </row>
    <row r="1564" spans="1:6" ht="14.25">
      <c r="A1564" t="s">
        <v>2178</v>
      </c>
      <c r="B1564" t="s">
        <v>2165</v>
      </c>
      <c r="C1564" t="s">
        <v>136</v>
      </c>
      <c r="D1564">
        <v>2800</v>
      </c>
      <c r="E1564">
        <v>18</v>
      </c>
      <c r="F1564">
        <v>2070</v>
      </c>
    </row>
    <row r="1565" spans="1:6" ht="14.25">
      <c r="A1565" t="s">
        <v>2179</v>
      </c>
      <c r="B1565" t="s">
        <v>2165</v>
      </c>
      <c r="C1565" t="s">
        <v>136</v>
      </c>
      <c r="D1565">
        <v>2800</v>
      </c>
      <c r="E1565">
        <v>19</v>
      </c>
      <c r="F1565">
        <v>2070</v>
      </c>
    </row>
    <row r="1566" spans="1:6" ht="14.25">
      <c r="A1566" t="s">
        <v>2180</v>
      </c>
      <c r="B1566" t="s">
        <v>2165</v>
      </c>
      <c r="C1566" t="s">
        <v>136</v>
      </c>
      <c r="D1566">
        <v>2800</v>
      </c>
      <c r="E1566">
        <v>22</v>
      </c>
      <c r="F1566">
        <v>2070</v>
      </c>
    </row>
    <row r="1567" spans="1:6" ht="14.25">
      <c r="A1567" t="s">
        <v>2181</v>
      </c>
      <c r="B1567" t="s">
        <v>2165</v>
      </c>
      <c r="C1567" t="s">
        <v>136</v>
      </c>
      <c r="D1567">
        <v>2800</v>
      </c>
      <c r="E1567">
        <v>25</v>
      </c>
      <c r="F1567">
        <v>2070</v>
      </c>
    </row>
    <row r="1568" spans="1:6" ht="14.25">
      <c r="A1568" t="s">
        <v>2182</v>
      </c>
      <c r="B1568" t="s">
        <v>2183</v>
      </c>
      <c r="C1568" t="s">
        <v>136</v>
      </c>
      <c r="D1568">
        <v>2085</v>
      </c>
      <c r="E1568">
        <v>10</v>
      </c>
      <c r="F1568">
        <v>447</v>
      </c>
    </row>
    <row r="1569" spans="1:6" ht="14.25">
      <c r="A1569" t="s">
        <v>2184</v>
      </c>
      <c r="B1569" t="s">
        <v>2165</v>
      </c>
      <c r="C1569" t="s">
        <v>136</v>
      </c>
      <c r="D1569">
        <v>697</v>
      </c>
      <c r="E1569">
        <v>10</v>
      </c>
      <c r="F1569">
        <v>2070</v>
      </c>
    </row>
    <row r="1570" spans="1:6" ht="14.25">
      <c r="A1570" t="s">
        <v>5646</v>
      </c>
      <c r="B1570" t="s">
        <v>2165</v>
      </c>
      <c r="C1570" t="s">
        <v>136</v>
      </c>
      <c r="D1570">
        <v>2800</v>
      </c>
      <c r="E1570">
        <v>4</v>
      </c>
      <c r="F1570">
        <v>2070</v>
      </c>
    </row>
    <row r="1571" spans="1:6" ht="14.25">
      <c r="A1571" t="s">
        <v>5647</v>
      </c>
      <c r="B1571" t="s">
        <v>2165</v>
      </c>
      <c r="C1571" t="s">
        <v>136</v>
      </c>
      <c r="D1571">
        <v>2800</v>
      </c>
      <c r="E1571">
        <v>8</v>
      </c>
      <c r="F1571">
        <v>2070</v>
      </c>
    </row>
    <row r="1572" spans="1:6" ht="14.25">
      <c r="A1572" t="s">
        <v>5648</v>
      </c>
      <c r="B1572" t="s">
        <v>2165</v>
      </c>
      <c r="C1572" t="s">
        <v>136</v>
      </c>
      <c r="D1572">
        <v>2800</v>
      </c>
      <c r="E1572">
        <v>10</v>
      </c>
      <c r="F1572">
        <v>2070</v>
      </c>
    </row>
    <row r="1573" spans="1:6" ht="14.25">
      <c r="A1573" t="s">
        <v>5649</v>
      </c>
      <c r="B1573" t="s">
        <v>2165</v>
      </c>
      <c r="C1573" t="s">
        <v>136</v>
      </c>
      <c r="D1573">
        <v>2800</v>
      </c>
      <c r="E1573">
        <v>12</v>
      </c>
      <c r="F1573">
        <v>2070</v>
      </c>
    </row>
    <row r="1574" spans="1:6" ht="14.25">
      <c r="A1574" t="s">
        <v>5650</v>
      </c>
      <c r="B1574" t="s">
        <v>2165</v>
      </c>
      <c r="C1574" t="s">
        <v>136</v>
      </c>
      <c r="D1574">
        <v>2800</v>
      </c>
      <c r="E1574">
        <v>16</v>
      </c>
      <c r="F1574">
        <v>2070</v>
      </c>
    </row>
    <row r="1575" spans="1:6" ht="14.25">
      <c r="A1575" t="s">
        <v>5651</v>
      </c>
      <c r="B1575" t="s">
        <v>2165</v>
      </c>
      <c r="C1575" t="s">
        <v>136</v>
      </c>
      <c r="D1575">
        <v>2800</v>
      </c>
      <c r="E1575">
        <v>18</v>
      </c>
      <c r="F1575">
        <v>2070</v>
      </c>
    </row>
    <row r="1576" spans="1:6" ht="14.25">
      <c r="A1576" t="s">
        <v>5652</v>
      </c>
      <c r="B1576" t="s">
        <v>2165</v>
      </c>
      <c r="C1576" t="s">
        <v>136</v>
      </c>
      <c r="D1576">
        <v>2800</v>
      </c>
      <c r="E1576">
        <v>19</v>
      </c>
      <c r="F1576">
        <v>2070</v>
      </c>
    </row>
    <row r="1577" spans="1:6" ht="14.25">
      <c r="A1577" t="s">
        <v>5653</v>
      </c>
      <c r="B1577" t="s">
        <v>2165</v>
      </c>
      <c r="C1577" t="s">
        <v>136</v>
      </c>
      <c r="D1577">
        <v>3050</v>
      </c>
      <c r="E1577">
        <v>8</v>
      </c>
      <c r="F1577">
        <v>1300</v>
      </c>
    </row>
    <row r="1578" spans="1:6" ht="14.25">
      <c r="A1578" t="s">
        <v>5654</v>
      </c>
      <c r="B1578" t="s">
        <v>2165</v>
      </c>
      <c r="C1578" t="s">
        <v>136</v>
      </c>
      <c r="D1578">
        <v>3050</v>
      </c>
      <c r="E1578">
        <v>8</v>
      </c>
      <c r="F1578">
        <v>1140</v>
      </c>
    </row>
    <row r="1579" spans="1:6" ht="14.25">
      <c r="A1579" t="s">
        <v>5655</v>
      </c>
      <c r="B1579" t="s">
        <v>2165</v>
      </c>
      <c r="C1579" t="s">
        <v>136</v>
      </c>
      <c r="D1579">
        <v>2800</v>
      </c>
      <c r="E1579">
        <v>6</v>
      </c>
      <c r="F1579">
        <v>2070</v>
      </c>
    </row>
    <row r="1580" spans="1:6" ht="14.25">
      <c r="A1580" t="s">
        <v>5656</v>
      </c>
      <c r="B1580" t="s">
        <v>2165</v>
      </c>
      <c r="C1580" t="s">
        <v>136</v>
      </c>
      <c r="D1580">
        <v>2800</v>
      </c>
      <c r="E1580">
        <v>8</v>
      </c>
      <c r="F1580">
        <v>2070</v>
      </c>
    </row>
    <row r="1581" spans="1:6" ht="14.25">
      <c r="A1581" t="s">
        <v>5657</v>
      </c>
      <c r="B1581" t="s">
        <v>2165</v>
      </c>
      <c r="C1581" t="s">
        <v>136</v>
      </c>
      <c r="D1581">
        <v>2800</v>
      </c>
      <c r="E1581">
        <v>10</v>
      </c>
      <c r="F1581">
        <v>2070</v>
      </c>
    </row>
    <row r="1582" spans="1:6" ht="14.25">
      <c r="A1582" t="s">
        <v>5658</v>
      </c>
      <c r="B1582" t="s">
        <v>2165</v>
      </c>
      <c r="C1582" t="s">
        <v>136</v>
      </c>
      <c r="D1582">
        <v>2800</v>
      </c>
      <c r="E1582">
        <v>16</v>
      </c>
      <c r="F1582">
        <v>2070</v>
      </c>
    </row>
    <row r="1583" spans="1:6" ht="14.25">
      <c r="A1583" t="s">
        <v>5659</v>
      </c>
      <c r="B1583" t="s">
        <v>2165</v>
      </c>
      <c r="C1583" t="s">
        <v>136</v>
      </c>
      <c r="D1583">
        <v>2800</v>
      </c>
      <c r="E1583">
        <v>19</v>
      </c>
      <c r="F1583">
        <v>2070</v>
      </c>
    </row>
    <row r="1584" spans="1:6" ht="14.25">
      <c r="A1584" t="s">
        <v>2185</v>
      </c>
      <c r="C1584" t="s">
        <v>136</v>
      </c>
      <c r="D1584">
        <v>2800</v>
      </c>
      <c r="E1584">
        <v>6</v>
      </c>
      <c r="F1584">
        <v>2070</v>
      </c>
    </row>
    <row r="1585" spans="1:6" ht="14.25">
      <c r="A1585" t="s">
        <v>2186</v>
      </c>
      <c r="C1585" t="s">
        <v>136</v>
      </c>
      <c r="D1585">
        <v>2800</v>
      </c>
      <c r="E1585">
        <v>8</v>
      </c>
      <c r="F1585">
        <v>2070</v>
      </c>
    </row>
    <row r="1586" spans="1:6" ht="14.25">
      <c r="A1586" t="s">
        <v>2187</v>
      </c>
      <c r="C1586" t="s">
        <v>136</v>
      </c>
      <c r="D1586">
        <v>2800</v>
      </c>
      <c r="E1586">
        <v>10</v>
      </c>
      <c r="F1586">
        <v>2070</v>
      </c>
    </row>
    <row r="1587" spans="1:6" ht="14.25">
      <c r="A1587" t="s">
        <v>2188</v>
      </c>
      <c r="B1587" t="s">
        <v>2165</v>
      </c>
      <c r="C1587" t="s">
        <v>136</v>
      </c>
      <c r="D1587">
        <v>2800</v>
      </c>
      <c r="E1587">
        <v>16</v>
      </c>
      <c r="F1587">
        <v>2070</v>
      </c>
    </row>
    <row r="1588" spans="1:6" ht="14.25">
      <c r="A1588" t="s">
        <v>2189</v>
      </c>
      <c r="B1588" t="s">
        <v>2165</v>
      </c>
      <c r="C1588" t="s">
        <v>136</v>
      </c>
      <c r="D1588">
        <v>2800</v>
      </c>
      <c r="E1588">
        <v>18</v>
      </c>
      <c r="F1588">
        <v>2070</v>
      </c>
    </row>
    <row r="1589" spans="1:6" ht="14.25">
      <c r="A1589" t="s">
        <v>2190</v>
      </c>
      <c r="B1589" t="s">
        <v>2165</v>
      </c>
      <c r="C1589" t="s">
        <v>136</v>
      </c>
      <c r="D1589">
        <v>2800</v>
      </c>
      <c r="E1589">
        <v>19</v>
      </c>
      <c r="F1589">
        <v>2070</v>
      </c>
    </row>
    <row r="1590" spans="1:6" ht="14.25">
      <c r="A1590" t="s">
        <v>2191</v>
      </c>
      <c r="B1590" t="s">
        <v>2165</v>
      </c>
      <c r="C1590" t="s">
        <v>136</v>
      </c>
      <c r="D1590">
        <v>2800</v>
      </c>
      <c r="E1590">
        <v>22</v>
      </c>
      <c r="F1590">
        <v>2070</v>
      </c>
    </row>
    <row r="1591" spans="1:6" ht="14.25">
      <c r="A1591" t="s">
        <v>2192</v>
      </c>
      <c r="C1591" t="s">
        <v>136</v>
      </c>
      <c r="D1591">
        <v>2800</v>
      </c>
      <c r="E1591">
        <v>6</v>
      </c>
      <c r="F1591">
        <v>2070</v>
      </c>
    </row>
    <row r="1592" spans="1:6" ht="14.25">
      <c r="A1592" t="s">
        <v>2193</v>
      </c>
      <c r="C1592" t="s">
        <v>136</v>
      </c>
      <c r="D1592">
        <v>2800</v>
      </c>
      <c r="E1592">
        <v>16</v>
      </c>
      <c r="F1592">
        <v>2070</v>
      </c>
    </row>
    <row r="1593" spans="1:6" ht="14.25">
      <c r="A1593" t="s">
        <v>2194</v>
      </c>
      <c r="C1593" t="s">
        <v>136</v>
      </c>
      <c r="D1593">
        <v>2800</v>
      </c>
      <c r="E1593">
        <v>18</v>
      </c>
      <c r="F1593">
        <v>2070</v>
      </c>
    </row>
    <row r="1594" spans="1:6" ht="14.25">
      <c r="A1594" t="s">
        <v>2195</v>
      </c>
      <c r="C1594" t="s">
        <v>136</v>
      </c>
      <c r="D1594">
        <v>2800</v>
      </c>
      <c r="E1594">
        <v>19</v>
      </c>
      <c r="F1594">
        <v>2070</v>
      </c>
    </row>
    <row r="1595" spans="1:6" ht="14.25">
      <c r="A1595" t="s">
        <v>2196</v>
      </c>
      <c r="C1595" t="s">
        <v>136</v>
      </c>
      <c r="D1595">
        <v>2800</v>
      </c>
      <c r="E1595">
        <v>22</v>
      </c>
      <c r="F1595">
        <v>2070</v>
      </c>
    </row>
    <row r="1596" spans="1:6" ht="14.25">
      <c r="A1596" t="s">
        <v>2197</v>
      </c>
      <c r="B1596" t="s">
        <v>2165</v>
      </c>
      <c r="C1596" t="s">
        <v>136</v>
      </c>
      <c r="D1596">
        <v>2440</v>
      </c>
      <c r="E1596">
        <v>12</v>
      </c>
      <c r="F1596">
        <v>1220</v>
      </c>
    </row>
    <row r="1597" spans="1:6" ht="14.25">
      <c r="A1597" t="s">
        <v>5440</v>
      </c>
      <c r="B1597" t="s">
        <v>2165</v>
      </c>
      <c r="C1597" t="s">
        <v>136</v>
      </c>
      <c r="D1597">
        <v>2800</v>
      </c>
      <c r="E1597">
        <v>8</v>
      </c>
      <c r="F1597">
        <v>2070</v>
      </c>
    </row>
    <row r="1598" spans="1:6" ht="14.25">
      <c r="A1598" t="s">
        <v>2198</v>
      </c>
      <c r="B1598" t="s">
        <v>2165</v>
      </c>
      <c r="C1598" t="s">
        <v>136</v>
      </c>
      <c r="D1598">
        <v>2800</v>
      </c>
      <c r="E1598">
        <v>10</v>
      </c>
      <c r="F1598">
        <v>2070</v>
      </c>
    </row>
    <row r="1599" spans="1:6" ht="14.25">
      <c r="A1599" t="s">
        <v>2199</v>
      </c>
      <c r="B1599" t="s">
        <v>2165</v>
      </c>
      <c r="C1599" t="s">
        <v>136</v>
      </c>
      <c r="D1599">
        <v>2800</v>
      </c>
      <c r="E1599">
        <v>16</v>
      </c>
      <c r="F1599">
        <v>2070</v>
      </c>
    </row>
    <row r="1600" spans="1:6" ht="14.25">
      <c r="A1600" t="s">
        <v>2200</v>
      </c>
      <c r="B1600" t="s">
        <v>2165</v>
      </c>
      <c r="C1600" t="s">
        <v>136</v>
      </c>
      <c r="D1600">
        <v>2800</v>
      </c>
      <c r="E1600">
        <v>18</v>
      </c>
      <c r="F1600">
        <v>2070</v>
      </c>
    </row>
    <row r="1601" spans="1:6" ht="14.25">
      <c r="A1601" t="s">
        <v>2201</v>
      </c>
      <c r="B1601" t="s">
        <v>2165</v>
      </c>
      <c r="C1601" t="s">
        <v>136</v>
      </c>
      <c r="D1601">
        <v>2800</v>
      </c>
      <c r="E1601">
        <v>19</v>
      </c>
      <c r="F1601">
        <v>2070</v>
      </c>
    </row>
    <row r="1602" spans="1:6" ht="14.25">
      <c r="A1602" t="s">
        <v>2202</v>
      </c>
      <c r="B1602" t="s">
        <v>2165</v>
      </c>
      <c r="C1602" t="s">
        <v>136</v>
      </c>
      <c r="D1602">
        <v>2800</v>
      </c>
      <c r="E1602">
        <v>22</v>
      </c>
      <c r="F1602">
        <v>2070</v>
      </c>
    </row>
    <row r="1603" spans="1:6" ht="14.25">
      <c r="A1603" t="s">
        <v>5660</v>
      </c>
      <c r="B1603" t="s">
        <v>2165</v>
      </c>
      <c r="C1603" t="s">
        <v>136</v>
      </c>
      <c r="D1603">
        <v>2800</v>
      </c>
      <c r="E1603">
        <v>25</v>
      </c>
      <c r="F1603">
        <v>2070</v>
      </c>
    </row>
    <row r="1604" spans="1:6" ht="14.25">
      <c r="A1604" t="s">
        <v>5661</v>
      </c>
      <c r="C1604" t="s">
        <v>136</v>
      </c>
      <c r="D1604">
        <v>2800</v>
      </c>
      <c r="E1604">
        <v>28</v>
      </c>
      <c r="F1604">
        <v>2070</v>
      </c>
    </row>
    <row r="1605" spans="1:6" ht="14.25">
      <c r="A1605" t="s">
        <v>2203</v>
      </c>
      <c r="B1605" t="s">
        <v>2165</v>
      </c>
      <c r="C1605" t="s">
        <v>136</v>
      </c>
      <c r="D1605">
        <v>2800</v>
      </c>
      <c r="E1605">
        <v>18</v>
      </c>
      <c r="F1605">
        <v>2070</v>
      </c>
    </row>
    <row r="1606" spans="1:6" ht="14.25">
      <c r="A1606" t="s">
        <v>2204</v>
      </c>
      <c r="B1606" t="s">
        <v>2165</v>
      </c>
      <c r="C1606" t="s">
        <v>136</v>
      </c>
      <c r="D1606">
        <v>2800</v>
      </c>
      <c r="E1606">
        <v>19</v>
      </c>
      <c r="F1606">
        <v>2070</v>
      </c>
    </row>
    <row r="1607" spans="1:6" ht="14.25">
      <c r="A1607" t="s">
        <v>2205</v>
      </c>
      <c r="B1607" t="s">
        <v>2165</v>
      </c>
      <c r="C1607" t="s">
        <v>136</v>
      </c>
      <c r="D1607">
        <v>2800</v>
      </c>
      <c r="E1607">
        <v>22</v>
      </c>
      <c r="F1607">
        <v>2070</v>
      </c>
    </row>
    <row r="1608" spans="1:6" ht="14.25">
      <c r="A1608" t="s">
        <v>2206</v>
      </c>
      <c r="B1608" t="s">
        <v>2165</v>
      </c>
      <c r="C1608" t="s">
        <v>143</v>
      </c>
      <c r="D1608">
        <v>2800</v>
      </c>
      <c r="E1608">
        <v>19</v>
      </c>
      <c r="F1608">
        <v>1220</v>
      </c>
    </row>
    <row r="1609" spans="1:6" ht="14.25">
      <c r="A1609" t="s">
        <v>2207</v>
      </c>
      <c r="B1609" t="s">
        <v>2165</v>
      </c>
      <c r="C1609" t="s">
        <v>143</v>
      </c>
      <c r="D1609">
        <v>2800</v>
      </c>
      <c r="E1609">
        <v>19</v>
      </c>
      <c r="F1609">
        <v>1220</v>
      </c>
    </row>
    <row r="1610" spans="1:6" ht="14.25">
      <c r="A1610" t="s">
        <v>5441</v>
      </c>
      <c r="B1610" t="s">
        <v>2165</v>
      </c>
      <c r="C1610" t="s">
        <v>143</v>
      </c>
      <c r="D1610">
        <v>2800</v>
      </c>
      <c r="E1610">
        <v>19</v>
      </c>
      <c r="F1610">
        <v>1220</v>
      </c>
    </row>
    <row r="1611" spans="1:6" ht="14.25">
      <c r="A1611" t="s">
        <v>5442</v>
      </c>
      <c r="B1611" t="s">
        <v>2165</v>
      </c>
      <c r="C1611" t="s">
        <v>143</v>
      </c>
      <c r="D1611">
        <v>2800</v>
      </c>
      <c r="E1611">
        <v>19</v>
      </c>
      <c r="F1611">
        <v>1220</v>
      </c>
    </row>
    <row r="1612" spans="1:6" ht="14.25">
      <c r="A1612" t="s">
        <v>2208</v>
      </c>
      <c r="B1612" t="s">
        <v>2165</v>
      </c>
      <c r="C1612" t="s">
        <v>136</v>
      </c>
      <c r="D1612">
        <v>2070</v>
      </c>
      <c r="E1612">
        <v>12</v>
      </c>
      <c r="F1612">
        <v>2800</v>
      </c>
    </row>
    <row r="1613" spans="1:6" ht="14.25">
      <c r="A1613" t="s">
        <v>2209</v>
      </c>
      <c r="B1613" t="s">
        <v>2165</v>
      </c>
      <c r="C1613" t="s">
        <v>136</v>
      </c>
      <c r="D1613">
        <v>2800</v>
      </c>
      <c r="E1613">
        <v>16</v>
      </c>
      <c r="F1613">
        <v>2070</v>
      </c>
    </row>
    <row r="1614" spans="1:6" ht="14.25">
      <c r="A1614" t="s">
        <v>2210</v>
      </c>
      <c r="B1614" t="s">
        <v>2165</v>
      </c>
      <c r="C1614" t="s">
        <v>136</v>
      </c>
      <c r="D1614">
        <v>2800</v>
      </c>
      <c r="E1614">
        <v>19</v>
      </c>
      <c r="F1614">
        <v>2070</v>
      </c>
    </row>
    <row r="1615" spans="1:6" ht="14.25">
      <c r="A1615" t="s">
        <v>5443</v>
      </c>
      <c r="B1615" t="s">
        <v>5444</v>
      </c>
      <c r="C1615" t="s">
        <v>136</v>
      </c>
      <c r="D1615">
        <v>2850</v>
      </c>
      <c r="E1615">
        <v>6</v>
      </c>
      <c r="F1615">
        <v>2100</v>
      </c>
    </row>
    <row r="1616" spans="1:6" ht="14.25">
      <c r="A1616" t="s">
        <v>5662</v>
      </c>
      <c r="B1616" t="s">
        <v>5663</v>
      </c>
      <c r="C1616" t="s">
        <v>136</v>
      </c>
      <c r="D1616">
        <v>2850</v>
      </c>
      <c r="E1616">
        <v>10</v>
      </c>
      <c r="F1616">
        <v>2100</v>
      </c>
    </row>
    <row r="1617" spans="1:6" ht="14.25">
      <c r="A1617" t="s">
        <v>2211</v>
      </c>
      <c r="B1617" t="s">
        <v>2212</v>
      </c>
      <c r="C1617" t="s">
        <v>136</v>
      </c>
      <c r="D1617">
        <v>2850</v>
      </c>
      <c r="E1617">
        <v>12</v>
      </c>
      <c r="F1617">
        <v>2100</v>
      </c>
    </row>
    <row r="1618" spans="1:6" ht="14.25">
      <c r="A1618" t="s">
        <v>2213</v>
      </c>
      <c r="B1618" t="s">
        <v>2214</v>
      </c>
      <c r="C1618" t="s">
        <v>136</v>
      </c>
      <c r="D1618">
        <v>2850</v>
      </c>
      <c r="E1618">
        <v>16</v>
      </c>
      <c r="F1618">
        <v>2100</v>
      </c>
    </row>
    <row r="1619" spans="1:6" ht="14.25">
      <c r="A1619" t="s">
        <v>2215</v>
      </c>
      <c r="B1619" t="s">
        <v>2216</v>
      </c>
      <c r="C1619" t="s">
        <v>136</v>
      </c>
      <c r="D1619">
        <v>2850</v>
      </c>
      <c r="E1619">
        <v>18</v>
      </c>
      <c r="F1619">
        <v>2100</v>
      </c>
    </row>
    <row r="1620" spans="1:6" ht="14.25">
      <c r="A1620" t="s">
        <v>2217</v>
      </c>
      <c r="B1620" t="s">
        <v>2218</v>
      </c>
      <c r="C1620" t="s">
        <v>136</v>
      </c>
      <c r="D1620">
        <v>2850</v>
      </c>
      <c r="E1620">
        <v>19</v>
      </c>
      <c r="F1620">
        <v>2100</v>
      </c>
    </row>
    <row r="1621" spans="1:6" ht="14.25">
      <c r="A1621" t="s">
        <v>2219</v>
      </c>
      <c r="B1621" t="s">
        <v>2220</v>
      </c>
      <c r="C1621" t="s">
        <v>143</v>
      </c>
      <c r="D1621">
        <v>2800</v>
      </c>
      <c r="E1621">
        <v>8</v>
      </c>
      <c r="F1621">
        <v>1030</v>
      </c>
    </row>
    <row r="1622" spans="1:6" ht="14.25">
      <c r="A1622" t="s">
        <v>2221</v>
      </c>
      <c r="B1622" t="s">
        <v>2222</v>
      </c>
      <c r="C1622" t="s">
        <v>143</v>
      </c>
      <c r="D1622">
        <v>1030</v>
      </c>
      <c r="E1622">
        <v>8</v>
      </c>
      <c r="F1622">
        <v>2850</v>
      </c>
    </row>
    <row r="1623" spans="1:6" ht="14.25">
      <c r="A1623" t="s">
        <v>2223</v>
      </c>
      <c r="B1623" t="s">
        <v>2224</v>
      </c>
      <c r="C1623" t="s">
        <v>136</v>
      </c>
      <c r="D1623">
        <v>2850</v>
      </c>
      <c r="E1623">
        <v>6</v>
      </c>
      <c r="F1623">
        <v>2100</v>
      </c>
    </row>
    <row r="1624" spans="1:6" ht="14.25">
      <c r="A1624" t="s">
        <v>2225</v>
      </c>
      <c r="B1624" t="s">
        <v>2165</v>
      </c>
      <c r="C1624" t="s">
        <v>136</v>
      </c>
      <c r="D1624">
        <v>3050</v>
      </c>
      <c r="E1624">
        <v>18</v>
      </c>
      <c r="F1624">
        <v>1220</v>
      </c>
    </row>
    <row r="1625" spans="1:6" ht="14.25">
      <c r="A1625" t="s">
        <v>2226</v>
      </c>
      <c r="B1625" t="s">
        <v>2220</v>
      </c>
      <c r="C1625" t="s">
        <v>143</v>
      </c>
      <c r="D1625">
        <v>2850</v>
      </c>
      <c r="E1625">
        <v>8</v>
      </c>
      <c r="F1625">
        <v>1030</v>
      </c>
    </row>
    <row r="1626" spans="1:6" ht="14.25">
      <c r="A1626" t="s">
        <v>2227</v>
      </c>
      <c r="B1626" t="s">
        <v>2165</v>
      </c>
      <c r="C1626" t="s">
        <v>136</v>
      </c>
      <c r="D1626">
        <v>3050</v>
      </c>
      <c r="E1626">
        <v>18</v>
      </c>
      <c r="F1626">
        <v>1220</v>
      </c>
    </row>
    <row r="1627" spans="1:6" ht="14.25">
      <c r="A1627" t="s">
        <v>2228</v>
      </c>
      <c r="B1627" t="s">
        <v>2165</v>
      </c>
      <c r="C1627" t="s">
        <v>136</v>
      </c>
      <c r="D1627">
        <v>2440</v>
      </c>
      <c r="E1627">
        <v>9</v>
      </c>
      <c r="F1627">
        <v>1220</v>
      </c>
    </row>
    <row r="1628" spans="1:6" ht="14.25">
      <c r="A1628" t="s">
        <v>2229</v>
      </c>
      <c r="B1628" t="s">
        <v>2165</v>
      </c>
      <c r="C1628" t="s">
        <v>136</v>
      </c>
      <c r="D1628">
        <v>2440</v>
      </c>
      <c r="E1628">
        <v>12</v>
      </c>
      <c r="F1628">
        <v>1220</v>
      </c>
    </row>
    <row r="1629" spans="1:6" ht="14.25">
      <c r="A1629" t="s">
        <v>2230</v>
      </c>
      <c r="B1629" t="s">
        <v>2165</v>
      </c>
      <c r="C1629" t="s">
        <v>136</v>
      </c>
      <c r="D1629">
        <v>2440</v>
      </c>
      <c r="E1629">
        <v>16</v>
      </c>
      <c r="F1629">
        <v>1220</v>
      </c>
    </row>
    <row r="1630" spans="1:6" ht="14.25">
      <c r="A1630" t="s">
        <v>2231</v>
      </c>
      <c r="B1630" t="s">
        <v>2165</v>
      </c>
      <c r="C1630" t="s">
        <v>136</v>
      </c>
      <c r="D1630">
        <v>2440</v>
      </c>
      <c r="E1630">
        <v>22</v>
      </c>
      <c r="F1630">
        <v>1220</v>
      </c>
    </row>
    <row r="1631" spans="1:6" ht="14.25">
      <c r="A1631" t="s">
        <v>2232</v>
      </c>
      <c r="B1631" t="s">
        <v>2165</v>
      </c>
      <c r="C1631" t="s">
        <v>136</v>
      </c>
      <c r="D1631">
        <v>2440</v>
      </c>
      <c r="E1631">
        <v>25</v>
      </c>
      <c r="F1631">
        <v>1220</v>
      </c>
    </row>
    <row r="1632" spans="1:6" ht="14.25">
      <c r="A1632" t="s">
        <v>2233</v>
      </c>
      <c r="B1632" t="s">
        <v>2165</v>
      </c>
      <c r="C1632" t="s">
        <v>136</v>
      </c>
      <c r="D1632">
        <v>2440</v>
      </c>
      <c r="E1632">
        <v>30</v>
      </c>
      <c r="F1632">
        <v>1220</v>
      </c>
    </row>
    <row r="1633" spans="1:6" ht="14.25">
      <c r="A1633" t="s">
        <v>5664</v>
      </c>
      <c r="C1633" t="s">
        <v>136</v>
      </c>
      <c r="D1633">
        <v>3050</v>
      </c>
      <c r="E1633">
        <v>25</v>
      </c>
      <c r="F1633">
        <v>1220</v>
      </c>
    </row>
    <row r="1634" spans="1:6" ht="14.25">
      <c r="A1634" t="s">
        <v>2234</v>
      </c>
      <c r="B1634" t="s">
        <v>2165</v>
      </c>
      <c r="C1634" t="s">
        <v>136</v>
      </c>
      <c r="D1634">
        <v>3050</v>
      </c>
      <c r="E1634">
        <v>16</v>
      </c>
      <c r="F1634">
        <v>1220</v>
      </c>
    </row>
    <row r="1635" spans="1:6" ht="14.25">
      <c r="A1635" t="s">
        <v>2235</v>
      </c>
      <c r="B1635" t="s">
        <v>2165</v>
      </c>
      <c r="C1635" t="s">
        <v>136</v>
      </c>
      <c r="D1635">
        <v>3050</v>
      </c>
      <c r="E1635">
        <v>18</v>
      </c>
      <c r="F1635">
        <v>1310</v>
      </c>
    </row>
    <row r="1636" spans="1:6" ht="14.25">
      <c r="A1636" t="s">
        <v>2236</v>
      </c>
      <c r="B1636" t="s">
        <v>2165</v>
      </c>
      <c r="C1636" t="s">
        <v>136</v>
      </c>
      <c r="D1636">
        <v>3050</v>
      </c>
      <c r="E1636">
        <v>25</v>
      </c>
      <c r="F1636">
        <v>1220</v>
      </c>
    </row>
    <row r="1637" spans="1:6" ht="14.25">
      <c r="A1637" t="s">
        <v>2237</v>
      </c>
      <c r="B1637" t="s">
        <v>2165</v>
      </c>
      <c r="C1637" t="s">
        <v>136</v>
      </c>
      <c r="D1637">
        <v>3050</v>
      </c>
      <c r="E1637">
        <v>6</v>
      </c>
      <c r="F1637">
        <v>1220</v>
      </c>
    </row>
    <row r="1638" spans="1:6" ht="14.25">
      <c r="A1638" t="s">
        <v>2238</v>
      </c>
      <c r="B1638" t="s">
        <v>2165</v>
      </c>
      <c r="C1638" t="s">
        <v>136</v>
      </c>
      <c r="D1638">
        <v>3050</v>
      </c>
      <c r="E1638">
        <v>12</v>
      </c>
      <c r="F1638">
        <v>1220</v>
      </c>
    </row>
    <row r="1639" spans="1:6" ht="14.25">
      <c r="A1639" t="s">
        <v>2239</v>
      </c>
      <c r="B1639" t="s">
        <v>2165</v>
      </c>
      <c r="C1639" t="s">
        <v>136</v>
      </c>
      <c r="D1639">
        <v>3050</v>
      </c>
      <c r="E1639">
        <v>16</v>
      </c>
      <c r="F1639">
        <v>1220</v>
      </c>
    </row>
    <row r="1640" spans="1:6" ht="14.25">
      <c r="A1640" t="s">
        <v>2240</v>
      </c>
      <c r="B1640" t="s">
        <v>2165</v>
      </c>
      <c r="C1640" t="s">
        <v>136</v>
      </c>
      <c r="D1640">
        <v>3050</v>
      </c>
      <c r="E1640">
        <v>18</v>
      </c>
      <c r="F1640">
        <v>1220</v>
      </c>
    </row>
    <row r="1641" spans="1:6" ht="14.25">
      <c r="A1641" t="s">
        <v>2241</v>
      </c>
      <c r="B1641" t="s">
        <v>2242</v>
      </c>
      <c r="C1641" t="s">
        <v>136</v>
      </c>
      <c r="D1641">
        <v>2800</v>
      </c>
      <c r="E1641">
        <v>19</v>
      </c>
      <c r="F1641">
        <v>2070</v>
      </c>
    </row>
    <row r="1642" spans="1:6" ht="14.25">
      <c r="A1642" t="s">
        <v>2243</v>
      </c>
      <c r="B1642" t="s">
        <v>2165</v>
      </c>
      <c r="C1642" t="s">
        <v>136</v>
      </c>
      <c r="D1642">
        <v>3050</v>
      </c>
      <c r="E1642">
        <v>8</v>
      </c>
      <c r="F1642">
        <v>1140</v>
      </c>
    </row>
    <row r="1643" spans="1:6" ht="14.25">
      <c r="A1643" t="s">
        <v>2244</v>
      </c>
      <c r="B1643" t="s">
        <v>2165</v>
      </c>
      <c r="C1643" t="s">
        <v>136</v>
      </c>
      <c r="D1643">
        <v>3050</v>
      </c>
      <c r="E1643">
        <v>8</v>
      </c>
      <c r="F1643">
        <v>1300</v>
      </c>
    </row>
    <row r="1644" spans="1:6" ht="14.25">
      <c r="A1644" t="s">
        <v>2245</v>
      </c>
      <c r="B1644" t="s">
        <v>2246</v>
      </c>
      <c r="C1644" t="s">
        <v>136</v>
      </c>
      <c r="D1644">
        <v>2850</v>
      </c>
      <c r="E1644">
        <v>40</v>
      </c>
      <c r="F1644">
        <v>2100</v>
      </c>
    </row>
    <row r="1645" spans="1:6" ht="14.25">
      <c r="A1645" t="s">
        <v>2247</v>
      </c>
      <c r="B1645" t="s">
        <v>2248</v>
      </c>
      <c r="C1645" t="s">
        <v>136</v>
      </c>
      <c r="D1645">
        <v>2440</v>
      </c>
      <c r="E1645">
        <v>6</v>
      </c>
      <c r="F1645">
        <v>2100</v>
      </c>
    </row>
    <row r="1646" spans="1:6" ht="14.25">
      <c r="A1646" t="s">
        <v>2249</v>
      </c>
      <c r="B1646" t="s">
        <v>5445</v>
      </c>
      <c r="C1646" t="s">
        <v>136</v>
      </c>
      <c r="D1646">
        <v>2800</v>
      </c>
      <c r="E1646">
        <v>12</v>
      </c>
      <c r="F1646">
        <v>2070</v>
      </c>
    </row>
    <row r="1647" spans="1:6" ht="14.25">
      <c r="A1647" t="s">
        <v>2250</v>
      </c>
      <c r="B1647" t="s">
        <v>2262</v>
      </c>
      <c r="C1647" t="s">
        <v>136</v>
      </c>
      <c r="D1647">
        <v>2800</v>
      </c>
      <c r="E1647">
        <v>16</v>
      </c>
      <c r="F1647">
        <v>2070</v>
      </c>
    </row>
    <row r="1648" spans="1:6" ht="14.25">
      <c r="A1648" t="s">
        <v>2251</v>
      </c>
      <c r="B1648" t="s">
        <v>2262</v>
      </c>
      <c r="C1648" t="s">
        <v>136</v>
      </c>
      <c r="D1648">
        <v>2800</v>
      </c>
      <c r="E1648">
        <v>18</v>
      </c>
      <c r="F1648">
        <v>2070</v>
      </c>
    </row>
    <row r="1649" spans="1:6" ht="14.25">
      <c r="A1649" t="s">
        <v>2252</v>
      </c>
      <c r="B1649" t="s">
        <v>2262</v>
      </c>
      <c r="C1649" t="s">
        <v>136</v>
      </c>
      <c r="D1649">
        <v>2800</v>
      </c>
      <c r="E1649">
        <v>22</v>
      </c>
      <c r="F1649">
        <v>2070</v>
      </c>
    </row>
    <row r="1650" spans="1:6" ht="14.25">
      <c r="A1650" t="s">
        <v>2253</v>
      </c>
      <c r="B1650" t="s">
        <v>2262</v>
      </c>
      <c r="C1650" t="s">
        <v>136</v>
      </c>
      <c r="D1650">
        <v>2800</v>
      </c>
      <c r="E1650">
        <v>25</v>
      </c>
      <c r="F1650">
        <v>2070</v>
      </c>
    </row>
    <row r="1651" spans="1:6" ht="14.25">
      <c r="A1651" t="s">
        <v>2254</v>
      </c>
      <c r="C1651" t="s">
        <v>136</v>
      </c>
      <c r="D1651">
        <v>2800</v>
      </c>
      <c r="E1651">
        <v>12</v>
      </c>
      <c r="F1651">
        <v>2070</v>
      </c>
    </row>
    <row r="1652" spans="1:6" ht="14.25">
      <c r="A1652" t="s">
        <v>2255</v>
      </c>
      <c r="C1652" t="s">
        <v>136</v>
      </c>
      <c r="D1652">
        <v>2800</v>
      </c>
      <c r="E1652">
        <v>16</v>
      </c>
      <c r="F1652">
        <v>2070</v>
      </c>
    </row>
    <row r="1653" spans="1:6" ht="14.25">
      <c r="A1653" t="s">
        <v>2256</v>
      </c>
      <c r="C1653" t="s">
        <v>136</v>
      </c>
      <c r="D1653">
        <v>2800</v>
      </c>
      <c r="E1653">
        <v>18</v>
      </c>
      <c r="F1653">
        <v>2070</v>
      </c>
    </row>
    <row r="1654" spans="1:6" ht="14.25">
      <c r="A1654" t="s">
        <v>2257</v>
      </c>
      <c r="C1654" t="s">
        <v>136</v>
      </c>
      <c r="D1654">
        <v>2800</v>
      </c>
      <c r="E1654">
        <v>22</v>
      </c>
      <c r="F1654">
        <v>2070</v>
      </c>
    </row>
    <row r="1655" spans="1:6" ht="14.25">
      <c r="A1655" t="s">
        <v>2258</v>
      </c>
      <c r="C1655" t="s">
        <v>136</v>
      </c>
      <c r="D1655">
        <v>2800</v>
      </c>
      <c r="E1655">
        <v>25</v>
      </c>
      <c r="F1655">
        <v>2070</v>
      </c>
    </row>
    <row r="1656" spans="1:6" ht="14.25">
      <c r="A1656" t="s">
        <v>2259</v>
      </c>
      <c r="C1656" t="s">
        <v>136</v>
      </c>
      <c r="D1656">
        <v>2800</v>
      </c>
      <c r="E1656">
        <v>28</v>
      </c>
      <c r="F1656">
        <v>2070</v>
      </c>
    </row>
    <row r="1657" spans="1:6" ht="14.25">
      <c r="A1657" t="s">
        <v>2260</v>
      </c>
      <c r="B1657" t="s">
        <v>2262</v>
      </c>
      <c r="C1657" t="s">
        <v>136</v>
      </c>
      <c r="D1657">
        <v>2800</v>
      </c>
      <c r="E1657">
        <v>38</v>
      </c>
      <c r="F1657">
        <v>2070</v>
      </c>
    </row>
    <row r="1658" spans="1:6" ht="14.25">
      <c r="A1658" t="s">
        <v>2261</v>
      </c>
      <c r="B1658" t="s">
        <v>2262</v>
      </c>
      <c r="C1658" t="s">
        <v>136</v>
      </c>
      <c r="D1658">
        <v>2800</v>
      </c>
      <c r="E1658">
        <v>16</v>
      </c>
      <c r="F1658">
        <v>742</v>
      </c>
    </row>
    <row r="1659" spans="1:6" ht="14.25">
      <c r="A1659" t="s">
        <v>2263</v>
      </c>
      <c r="B1659" t="s">
        <v>2262</v>
      </c>
      <c r="C1659" t="s">
        <v>136</v>
      </c>
      <c r="D1659">
        <v>2800</v>
      </c>
      <c r="E1659">
        <v>16</v>
      </c>
      <c r="F1659">
        <v>752</v>
      </c>
    </row>
    <row r="1660" spans="1:6" ht="14.25">
      <c r="A1660" t="s">
        <v>2264</v>
      </c>
      <c r="B1660" t="s">
        <v>2262</v>
      </c>
      <c r="C1660" t="s">
        <v>136</v>
      </c>
      <c r="D1660">
        <v>2800</v>
      </c>
      <c r="E1660">
        <v>25</v>
      </c>
      <c r="F1660">
        <v>810</v>
      </c>
    </row>
    <row r="1661" spans="1:6" ht="14.25">
      <c r="A1661" t="s">
        <v>2265</v>
      </c>
      <c r="B1661" t="s">
        <v>2266</v>
      </c>
      <c r="C1661" t="s">
        <v>136</v>
      </c>
      <c r="D1661">
        <v>2650</v>
      </c>
      <c r="E1661">
        <v>18</v>
      </c>
      <c r="F1661">
        <v>2070</v>
      </c>
    </row>
    <row r="1662" spans="1:6" ht="14.25">
      <c r="A1662" t="s">
        <v>2267</v>
      </c>
      <c r="B1662" t="s">
        <v>2268</v>
      </c>
      <c r="C1662" t="s">
        <v>136</v>
      </c>
      <c r="D1662">
        <v>2850</v>
      </c>
      <c r="E1662">
        <v>40</v>
      </c>
      <c r="F1662">
        <v>1200</v>
      </c>
    </row>
    <row r="1663" spans="1:6" ht="14.25">
      <c r="A1663" t="s">
        <v>5665</v>
      </c>
      <c r="B1663" t="s">
        <v>2262</v>
      </c>
      <c r="C1663" t="s">
        <v>136</v>
      </c>
      <c r="D1663">
        <v>3045</v>
      </c>
      <c r="E1663">
        <v>18</v>
      </c>
      <c r="F1663">
        <v>1290</v>
      </c>
    </row>
    <row r="1664" spans="1:6" ht="14.25">
      <c r="A1664" t="s">
        <v>2269</v>
      </c>
      <c r="B1664" t="s">
        <v>2270</v>
      </c>
      <c r="C1664" t="s">
        <v>136</v>
      </c>
      <c r="D1664">
        <v>3045</v>
      </c>
      <c r="E1664">
        <v>22</v>
      </c>
      <c r="F1664">
        <v>1290</v>
      </c>
    </row>
    <row r="1665" spans="1:6" ht="14.25">
      <c r="A1665" t="s">
        <v>5666</v>
      </c>
      <c r="B1665" t="s">
        <v>2165</v>
      </c>
      <c r="C1665" t="s">
        <v>136</v>
      </c>
      <c r="D1665">
        <v>3045</v>
      </c>
      <c r="E1665">
        <v>16</v>
      </c>
      <c r="F1665">
        <v>1290</v>
      </c>
    </row>
    <row r="1666" spans="1:6" ht="14.25">
      <c r="A1666" t="s">
        <v>2271</v>
      </c>
      <c r="B1666" t="s">
        <v>2272</v>
      </c>
      <c r="C1666" t="s">
        <v>136</v>
      </c>
      <c r="D1666">
        <v>3045</v>
      </c>
      <c r="E1666">
        <v>18</v>
      </c>
      <c r="F1666">
        <v>1290</v>
      </c>
    </row>
    <row r="1667" spans="1:6" ht="14.25">
      <c r="A1667" t="s">
        <v>2273</v>
      </c>
      <c r="B1667" t="s">
        <v>2274</v>
      </c>
      <c r="C1667" t="s">
        <v>136</v>
      </c>
      <c r="D1667">
        <v>3045</v>
      </c>
      <c r="E1667">
        <v>28</v>
      </c>
      <c r="F1667">
        <v>1290</v>
      </c>
    </row>
    <row r="1668" spans="1:6" ht="14.25">
      <c r="A1668" t="s">
        <v>2275</v>
      </c>
      <c r="B1668" t="s">
        <v>2276</v>
      </c>
      <c r="C1668" t="s">
        <v>136</v>
      </c>
      <c r="D1668">
        <v>3045</v>
      </c>
      <c r="E1668">
        <v>38</v>
      </c>
      <c r="F1668">
        <v>1290</v>
      </c>
    </row>
    <row r="1669" spans="1:6" ht="14.25">
      <c r="A1669" t="s">
        <v>2277</v>
      </c>
      <c r="B1669" t="s">
        <v>2165</v>
      </c>
      <c r="C1669" t="s">
        <v>136</v>
      </c>
      <c r="D1669">
        <v>2440</v>
      </c>
      <c r="E1669">
        <v>19</v>
      </c>
      <c r="F1669">
        <v>1220</v>
      </c>
    </row>
    <row r="1670" spans="1:6" ht="14.25">
      <c r="A1670" t="s">
        <v>2278</v>
      </c>
      <c r="B1670">
        <v>913</v>
      </c>
      <c r="C1670" t="s">
        <v>136</v>
      </c>
      <c r="D1670">
        <v>2440</v>
      </c>
      <c r="E1670">
        <v>12</v>
      </c>
      <c r="F1670">
        <v>1830</v>
      </c>
    </row>
    <row r="1671" spans="1:6" ht="14.25">
      <c r="A1671" t="s">
        <v>2279</v>
      </c>
      <c r="B1671">
        <v>913</v>
      </c>
      <c r="C1671" t="s">
        <v>136</v>
      </c>
      <c r="D1671">
        <v>2440</v>
      </c>
      <c r="E1671">
        <v>19</v>
      </c>
      <c r="F1671">
        <v>1830</v>
      </c>
    </row>
    <row r="1672" spans="1:6" ht="14.25">
      <c r="A1672" t="s">
        <v>2280</v>
      </c>
      <c r="B1672" t="s">
        <v>2281</v>
      </c>
      <c r="C1672" t="s">
        <v>136</v>
      </c>
      <c r="D1672">
        <v>2800</v>
      </c>
      <c r="E1672">
        <v>19</v>
      </c>
      <c r="F1672">
        <v>1250</v>
      </c>
    </row>
    <row r="1673" spans="1:6" ht="14.25">
      <c r="A1673" t="s">
        <v>2282</v>
      </c>
      <c r="B1673" t="s">
        <v>1715</v>
      </c>
      <c r="C1673" t="s">
        <v>143</v>
      </c>
      <c r="D1673">
        <v>2800</v>
      </c>
      <c r="E1673">
        <v>0.8</v>
      </c>
      <c r="F1673">
        <v>1300</v>
      </c>
    </row>
    <row r="1674" spans="1:6" ht="14.25">
      <c r="A1674" t="s">
        <v>2283</v>
      </c>
      <c r="B1674" t="s">
        <v>1730</v>
      </c>
      <c r="C1674" t="s">
        <v>143</v>
      </c>
      <c r="D1674">
        <v>2800</v>
      </c>
      <c r="E1674">
        <v>0.8</v>
      </c>
      <c r="F1674">
        <v>1300</v>
      </c>
    </row>
    <row r="1675" spans="1:6" ht="14.25">
      <c r="A1675" t="s">
        <v>2284</v>
      </c>
      <c r="B1675" t="s">
        <v>1764</v>
      </c>
      <c r="C1675" t="s">
        <v>143</v>
      </c>
      <c r="D1675">
        <v>2800</v>
      </c>
      <c r="E1675">
        <v>0.8</v>
      </c>
      <c r="F1675">
        <v>1300</v>
      </c>
    </row>
    <row r="1676" spans="1:6" ht="14.25">
      <c r="A1676" t="s">
        <v>2285</v>
      </c>
      <c r="B1676" t="s">
        <v>1770</v>
      </c>
      <c r="C1676" t="s">
        <v>143</v>
      </c>
      <c r="D1676">
        <v>2800</v>
      </c>
      <c r="E1676">
        <v>0.8</v>
      </c>
      <c r="F1676">
        <v>1300</v>
      </c>
    </row>
    <row r="1677" spans="1:6" ht="14.25">
      <c r="A1677" t="s">
        <v>2286</v>
      </c>
      <c r="B1677" t="s">
        <v>1781</v>
      </c>
      <c r="C1677" t="s">
        <v>143</v>
      </c>
      <c r="D1677">
        <v>2800</v>
      </c>
      <c r="E1677">
        <v>0.8</v>
      </c>
      <c r="F1677">
        <v>1300</v>
      </c>
    </row>
    <row r="1678" spans="1:6" ht="14.25">
      <c r="A1678" t="s">
        <v>2287</v>
      </c>
      <c r="B1678" t="s">
        <v>1784</v>
      </c>
      <c r="C1678" t="s">
        <v>143</v>
      </c>
      <c r="D1678">
        <v>2800</v>
      </c>
      <c r="E1678">
        <v>0.8</v>
      </c>
      <c r="F1678">
        <v>1300</v>
      </c>
    </row>
    <row r="1679" spans="1:6" ht="14.25">
      <c r="A1679" t="s">
        <v>2288</v>
      </c>
      <c r="B1679" t="s">
        <v>224</v>
      </c>
      <c r="C1679" t="s">
        <v>143</v>
      </c>
      <c r="D1679">
        <v>2800</v>
      </c>
      <c r="E1679">
        <v>0.8</v>
      </c>
      <c r="F1679">
        <v>1300</v>
      </c>
    </row>
    <row r="1680" spans="1:6" ht="14.25">
      <c r="A1680" t="s">
        <v>2289</v>
      </c>
      <c r="B1680" t="s">
        <v>1837</v>
      </c>
      <c r="C1680" t="s">
        <v>143</v>
      </c>
      <c r="D1680">
        <v>2800</v>
      </c>
      <c r="E1680">
        <v>0.8</v>
      </c>
      <c r="F1680">
        <v>1300</v>
      </c>
    </row>
    <row r="1681" spans="1:6" ht="14.25">
      <c r="A1681" t="s">
        <v>2290</v>
      </c>
      <c r="B1681" t="s">
        <v>1865</v>
      </c>
      <c r="C1681" t="s">
        <v>143</v>
      </c>
      <c r="D1681">
        <v>2800</v>
      </c>
      <c r="E1681">
        <v>0.8</v>
      </c>
      <c r="F1681">
        <v>1300</v>
      </c>
    </row>
    <row r="1682" spans="1:6" ht="14.25">
      <c r="A1682" t="s">
        <v>2291</v>
      </c>
      <c r="B1682" t="s">
        <v>1887</v>
      </c>
      <c r="C1682" t="s">
        <v>143</v>
      </c>
      <c r="D1682">
        <v>2800</v>
      </c>
      <c r="E1682">
        <v>0.8</v>
      </c>
      <c r="F1682">
        <v>1300</v>
      </c>
    </row>
    <row r="1683" spans="1:6" ht="14.25">
      <c r="A1683" t="s">
        <v>2292</v>
      </c>
      <c r="B1683" t="s">
        <v>1904</v>
      </c>
      <c r="C1683" t="s">
        <v>143</v>
      </c>
      <c r="D1683">
        <v>2800</v>
      </c>
      <c r="E1683">
        <v>0.8</v>
      </c>
      <c r="F1683">
        <v>1300</v>
      </c>
    </row>
    <row r="1684" spans="1:6" ht="14.25">
      <c r="A1684" t="s">
        <v>2293</v>
      </c>
      <c r="B1684" t="s">
        <v>1910</v>
      </c>
      <c r="C1684" t="s">
        <v>143</v>
      </c>
      <c r="D1684">
        <v>2800</v>
      </c>
      <c r="E1684">
        <v>0.8</v>
      </c>
      <c r="F1684">
        <v>1300</v>
      </c>
    </row>
    <row r="1685" spans="1:6" ht="14.25">
      <c r="A1685" t="s">
        <v>2294</v>
      </c>
      <c r="B1685" t="s">
        <v>1913</v>
      </c>
      <c r="C1685" t="s">
        <v>143</v>
      </c>
      <c r="D1685">
        <v>2800</v>
      </c>
      <c r="E1685">
        <v>0.8</v>
      </c>
      <c r="F1685">
        <v>1300</v>
      </c>
    </row>
    <row r="1686" spans="1:6" ht="14.25">
      <c r="A1686" t="s">
        <v>2295</v>
      </c>
      <c r="B1686" t="s">
        <v>1916</v>
      </c>
      <c r="C1686" t="s">
        <v>143</v>
      </c>
      <c r="D1686">
        <v>2800</v>
      </c>
      <c r="E1686">
        <v>0.8</v>
      </c>
      <c r="F1686">
        <v>1300</v>
      </c>
    </row>
    <row r="1687" spans="1:6" ht="14.25">
      <c r="A1687" t="s">
        <v>2296</v>
      </c>
      <c r="B1687" t="s">
        <v>1922</v>
      </c>
      <c r="C1687" t="s">
        <v>143</v>
      </c>
      <c r="D1687">
        <v>2800</v>
      </c>
      <c r="E1687">
        <v>0.8</v>
      </c>
      <c r="F1687">
        <v>1300</v>
      </c>
    </row>
    <row r="1688" spans="1:6" ht="14.25">
      <c r="A1688" t="s">
        <v>2297</v>
      </c>
      <c r="B1688" t="s">
        <v>1928</v>
      </c>
      <c r="C1688" t="s">
        <v>143</v>
      </c>
      <c r="D1688">
        <v>2800</v>
      </c>
      <c r="E1688">
        <v>0.8</v>
      </c>
      <c r="F1688">
        <v>1300</v>
      </c>
    </row>
    <row r="1689" spans="1:6" ht="14.25">
      <c r="A1689" t="s">
        <v>2298</v>
      </c>
      <c r="B1689" t="s">
        <v>289</v>
      </c>
      <c r="C1689" t="s">
        <v>143</v>
      </c>
      <c r="D1689">
        <v>2800</v>
      </c>
      <c r="E1689">
        <v>0.8</v>
      </c>
      <c r="F1689">
        <v>1300</v>
      </c>
    </row>
    <row r="1690" spans="1:6" ht="14.25">
      <c r="A1690" t="s">
        <v>2299</v>
      </c>
      <c r="B1690" t="s">
        <v>309</v>
      </c>
      <c r="C1690" t="s">
        <v>143</v>
      </c>
      <c r="D1690">
        <v>2800</v>
      </c>
      <c r="E1690">
        <v>0.8</v>
      </c>
      <c r="F1690">
        <v>1300</v>
      </c>
    </row>
    <row r="1691" spans="1:6" ht="14.25">
      <c r="A1691" t="s">
        <v>2300</v>
      </c>
      <c r="B1691" t="s">
        <v>2301</v>
      </c>
      <c r="C1691" t="s">
        <v>136</v>
      </c>
      <c r="D1691">
        <v>2800</v>
      </c>
      <c r="E1691">
        <v>0.9</v>
      </c>
      <c r="F1691">
        <v>1300</v>
      </c>
    </row>
    <row r="1692" spans="1:6" ht="14.25">
      <c r="A1692" t="s">
        <v>2302</v>
      </c>
      <c r="B1692" t="s">
        <v>2303</v>
      </c>
      <c r="C1692" t="s">
        <v>136</v>
      </c>
      <c r="D1692">
        <v>2800</v>
      </c>
      <c r="E1692">
        <v>0.9</v>
      </c>
      <c r="F1692">
        <v>1300</v>
      </c>
    </row>
    <row r="1693" spans="1:6" ht="14.25">
      <c r="A1693" t="s">
        <v>2304</v>
      </c>
      <c r="B1693" t="s">
        <v>1968</v>
      </c>
      <c r="C1693" t="s">
        <v>143</v>
      </c>
      <c r="D1693">
        <v>2800</v>
      </c>
      <c r="E1693">
        <v>0.8</v>
      </c>
      <c r="F1693">
        <v>1300</v>
      </c>
    </row>
    <row r="1694" spans="1:6" ht="14.25">
      <c r="A1694" t="s">
        <v>2305</v>
      </c>
      <c r="B1694" t="s">
        <v>605</v>
      </c>
      <c r="C1694" t="s">
        <v>143</v>
      </c>
      <c r="D1694">
        <v>2800</v>
      </c>
      <c r="E1694">
        <v>0.8</v>
      </c>
      <c r="F1694">
        <v>1300</v>
      </c>
    </row>
    <row r="1695" spans="1:6" ht="14.25">
      <c r="A1695" t="s">
        <v>2306</v>
      </c>
      <c r="B1695" t="s">
        <v>658</v>
      </c>
      <c r="C1695" t="s">
        <v>136</v>
      </c>
      <c r="D1695">
        <v>2800</v>
      </c>
      <c r="E1695">
        <v>0.8</v>
      </c>
      <c r="F1695">
        <v>1300</v>
      </c>
    </row>
    <row r="1696" spans="1:6" ht="14.25">
      <c r="A1696" t="s">
        <v>2307</v>
      </c>
      <c r="B1696" t="s">
        <v>2023</v>
      </c>
      <c r="C1696" t="s">
        <v>143</v>
      </c>
      <c r="D1696">
        <v>2800</v>
      </c>
      <c r="E1696">
        <v>0.8</v>
      </c>
      <c r="F1696">
        <v>1300</v>
      </c>
    </row>
    <row r="1697" spans="1:6" ht="14.25">
      <c r="A1697" t="s">
        <v>2308</v>
      </c>
      <c r="B1697" t="s">
        <v>2026</v>
      </c>
      <c r="C1697" t="s">
        <v>143</v>
      </c>
      <c r="D1697">
        <v>2800</v>
      </c>
      <c r="E1697">
        <v>0.8</v>
      </c>
      <c r="F1697">
        <v>1300</v>
      </c>
    </row>
    <row r="1698" spans="1:6" ht="14.25">
      <c r="A1698" t="s">
        <v>2309</v>
      </c>
      <c r="B1698" t="s">
        <v>2032</v>
      </c>
      <c r="C1698" t="s">
        <v>143</v>
      </c>
      <c r="D1698">
        <v>2800</v>
      </c>
      <c r="E1698">
        <v>0.8</v>
      </c>
      <c r="F1698">
        <v>1300</v>
      </c>
    </row>
    <row r="1699" spans="1:6" ht="14.25">
      <c r="A1699" t="s">
        <v>2310</v>
      </c>
      <c r="B1699" t="s">
        <v>2035</v>
      </c>
      <c r="C1699" t="s">
        <v>143</v>
      </c>
      <c r="D1699">
        <v>2800</v>
      </c>
      <c r="E1699">
        <v>0.8</v>
      </c>
      <c r="F1699">
        <v>1300</v>
      </c>
    </row>
    <row r="1700" spans="1:6" ht="14.25">
      <c r="A1700" t="s">
        <v>2311</v>
      </c>
      <c r="B1700" t="s">
        <v>826</v>
      </c>
      <c r="C1700" t="s">
        <v>143</v>
      </c>
      <c r="D1700">
        <v>2800</v>
      </c>
      <c r="E1700">
        <v>0.8</v>
      </c>
      <c r="F1700">
        <v>1300</v>
      </c>
    </row>
    <row r="1701" spans="1:6" ht="14.25">
      <c r="A1701" t="s">
        <v>2312</v>
      </c>
      <c r="B1701" t="s">
        <v>832</v>
      </c>
      <c r="C1701" t="s">
        <v>136</v>
      </c>
      <c r="D1701">
        <v>2800</v>
      </c>
      <c r="E1701">
        <v>0.8</v>
      </c>
      <c r="F1701">
        <v>1300</v>
      </c>
    </row>
    <row r="1702" spans="1:6" ht="14.25">
      <c r="A1702" t="s">
        <v>2313</v>
      </c>
      <c r="B1702" t="s">
        <v>908</v>
      </c>
      <c r="C1702" t="s">
        <v>136</v>
      </c>
      <c r="D1702">
        <v>2800</v>
      </c>
      <c r="E1702">
        <v>0.8</v>
      </c>
      <c r="F1702">
        <v>1300</v>
      </c>
    </row>
    <row r="1703" spans="1:6" ht="14.25">
      <c r="A1703" t="s">
        <v>2314</v>
      </c>
      <c r="B1703" t="s">
        <v>1403</v>
      </c>
      <c r="C1703" t="s">
        <v>136</v>
      </c>
      <c r="D1703">
        <v>2800</v>
      </c>
      <c r="E1703">
        <v>0.8</v>
      </c>
      <c r="F1703">
        <v>1300</v>
      </c>
    </row>
    <row r="1704" spans="1:6" ht="14.25">
      <c r="A1704" t="s">
        <v>2315</v>
      </c>
      <c r="B1704" t="s">
        <v>1437</v>
      </c>
      <c r="C1704" t="s">
        <v>136</v>
      </c>
      <c r="D1704">
        <v>2800</v>
      </c>
      <c r="E1704">
        <v>0.8</v>
      </c>
      <c r="F1704">
        <v>1300</v>
      </c>
    </row>
    <row r="1705" spans="1:6" ht="14.25">
      <c r="A1705" t="s">
        <v>2316</v>
      </c>
      <c r="B1705" t="s">
        <v>2129</v>
      </c>
      <c r="C1705" t="s">
        <v>136</v>
      </c>
      <c r="D1705">
        <v>2800</v>
      </c>
      <c r="E1705">
        <v>0.8</v>
      </c>
      <c r="F1705">
        <v>1300</v>
      </c>
    </row>
    <row r="1706" spans="1:6" ht="14.25">
      <c r="A1706" t="s">
        <v>2317</v>
      </c>
      <c r="B1706" t="s">
        <v>2160</v>
      </c>
      <c r="C1706" t="s">
        <v>136</v>
      </c>
      <c r="D1706">
        <v>2800</v>
      </c>
      <c r="E1706">
        <v>0.8</v>
      </c>
      <c r="F1706">
        <v>1310</v>
      </c>
    </row>
    <row r="1707" spans="1:6" ht="14.25">
      <c r="A1707" t="s">
        <v>2318</v>
      </c>
      <c r="B1707">
        <v>45</v>
      </c>
      <c r="C1707" t="s">
        <v>143</v>
      </c>
      <c r="D1707">
        <v>4100</v>
      </c>
      <c r="E1707">
        <v>8.1</v>
      </c>
      <c r="F1707">
        <v>1300</v>
      </c>
    </row>
    <row r="1708" spans="1:6" ht="14.25">
      <c r="A1708" t="s">
        <v>2319</v>
      </c>
      <c r="B1708">
        <v>45</v>
      </c>
      <c r="C1708" t="s">
        <v>143</v>
      </c>
      <c r="D1708">
        <v>4100</v>
      </c>
      <c r="E1708">
        <v>8.1</v>
      </c>
      <c r="F1708">
        <v>1300</v>
      </c>
    </row>
    <row r="1709" spans="1:6" ht="14.25">
      <c r="A1709" t="s">
        <v>2320</v>
      </c>
      <c r="B1709">
        <v>45</v>
      </c>
      <c r="C1709" t="s">
        <v>136</v>
      </c>
      <c r="D1709">
        <v>4100</v>
      </c>
      <c r="E1709">
        <v>8.1</v>
      </c>
      <c r="F1709">
        <v>1300</v>
      </c>
    </row>
    <row r="1710" spans="1:6" ht="14.25">
      <c r="A1710" t="s">
        <v>2321</v>
      </c>
      <c r="B1710">
        <v>45</v>
      </c>
      <c r="C1710" t="s">
        <v>136</v>
      </c>
      <c r="D1710">
        <v>4100</v>
      </c>
      <c r="E1710">
        <v>8.1</v>
      </c>
      <c r="F1710">
        <v>1300</v>
      </c>
    </row>
    <row r="1711" spans="1:6" ht="14.25">
      <c r="A1711" t="s">
        <v>2322</v>
      </c>
      <c r="B1711">
        <v>45</v>
      </c>
      <c r="C1711" t="s">
        <v>136</v>
      </c>
      <c r="D1711">
        <v>4100</v>
      </c>
      <c r="E1711">
        <v>8.1</v>
      </c>
      <c r="F1711">
        <v>1300</v>
      </c>
    </row>
    <row r="1712" spans="1:6" ht="14.25">
      <c r="A1712" t="s">
        <v>2323</v>
      </c>
      <c r="B1712">
        <v>45</v>
      </c>
      <c r="C1712" t="s">
        <v>136</v>
      </c>
      <c r="D1712">
        <v>4100</v>
      </c>
      <c r="E1712">
        <v>8.1</v>
      </c>
      <c r="F1712">
        <v>1300</v>
      </c>
    </row>
    <row r="1713" spans="1:6" ht="14.25">
      <c r="A1713" t="s">
        <v>2324</v>
      </c>
      <c r="B1713">
        <v>45</v>
      </c>
      <c r="C1713" t="s">
        <v>143</v>
      </c>
      <c r="D1713">
        <v>4200</v>
      </c>
      <c r="E1713">
        <v>4.0999999999999996</v>
      </c>
      <c r="F1713">
        <v>1310</v>
      </c>
    </row>
    <row r="1714" spans="1:6" ht="14.25">
      <c r="A1714" t="s">
        <v>2325</v>
      </c>
      <c r="B1714" t="s">
        <v>1583</v>
      </c>
      <c r="C1714" t="s">
        <v>143</v>
      </c>
      <c r="D1714">
        <v>3050</v>
      </c>
      <c r="E1714">
        <v>9.4</v>
      </c>
      <c r="F1714">
        <v>647</v>
      </c>
    </row>
    <row r="1715" spans="1:6" ht="14.25">
      <c r="A1715" t="s">
        <v>2326</v>
      </c>
      <c r="B1715">
        <v>45</v>
      </c>
      <c r="C1715" t="s">
        <v>143</v>
      </c>
      <c r="D1715">
        <v>4200</v>
      </c>
      <c r="E1715">
        <v>4.0999999999999996</v>
      </c>
      <c r="F1715">
        <v>1310</v>
      </c>
    </row>
    <row r="1716" spans="1:6" ht="14.25">
      <c r="A1716" t="s">
        <v>2327</v>
      </c>
      <c r="B1716" t="s">
        <v>2328</v>
      </c>
      <c r="C1716" t="s">
        <v>143</v>
      </c>
      <c r="D1716">
        <v>3050</v>
      </c>
      <c r="E1716">
        <v>9.4</v>
      </c>
      <c r="F1716">
        <v>647</v>
      </c>
    </row>
    <row r="1717" spans="1:6" ht="14.25">
      <c r="A1717" t="s">
        <v>2329</v>
      </c>
      <c r="B1717">
        <v>45</v>
      </c>
      <c r="C1717" t="s">
        <v>136</v>
      </c>
      <c r="D1717">
        <v>4200</v>
      </c>
      <c r="E1717">
        <v>4.0999999999999996</v>
      </c>
      <c r="F1717">
        <v>1310</v>
      </c>
    </row>
    <row r="1718" spans="1:6" ht="14.25">
      <c r="A1718" t="s">
        <v>2330</v>
      </c>
      <c r="B1718">
        <v>45</v>
      </c>
      <c r="C1718" t="s">
        <v>136</v>
      </c>
      <c r="D1718">
        <v>4200</v>
      </c>
      <c r="E1718">
        <v>4.0999999999999996</v>
      </c>
      <c r="F1718">
        <v>1310</v>
      </c>
    </row>
    <row r="1719" spans="1:6" ht="14.25">
      <c r="A1719" t="s">
        <v>2331</v>
      </c>
      <c r="B1719" t="s">
        <v>2332</v>
      </c>
      <c r="C1719" t="s">
        <v>143</v>
      </c>
      <c r="D1719">
        <v>3050</v>
      </c>
      <c r="E1719">
        <v>9.4</v>
      </c>
      <c r="F1719">
        <v>647</v>
      </c>
    </row>
    <row r="1720" spans="1:6" ht="14.25">
      <c r="A1720" t="s">
        <v>2333</v>
      </c>
      <c r="B1720">
        <v>45</v>
      </c>
      <c r="C1720" t="s">
        <v>143</v>
      </c>
      <c r="D1720">
        <v>4200</v>
      </c>
      <c r="E1720">
        <v>4.0999999999999996</v>
      </c>
      <c r="F1720">
        <v>1310</v>
      </c>
    </row>
    <row r="1721" spans="1:6" ht="14.25">
      <c r="A1721" t="s">
        <v>2334</v>
      </c>
      <c r="B1721">
        <v>45</v>
      </c>
      <c r="C1721" t="s">
        <v>143</v>
      </c>
      <c r="D1721">
        <v>4100</v>
      </c>
      <c r="E1721">
        <v>8.1</v>
      </c>
      <c r="F1721">
        <v>1300</v>
      </c>
    </row>
    <row r="1722" spans="1:6" ht="14.25">
      <c r="A1722" t="s">
        <v>2335</v>
      </c>
      <c r="B1722">
        <v>45</v>
      </c>
      <c r="C1722" t="s">
        <v>143</v>
      </c>
      <c r="D1722">
        <v>4100</v>
      </c>
      <c r="E1722">
        <v>8.1</v>
      </c>
      <c r="F1722">
        <v>1300</v>
      </c>
    </row>
    <row r="1723" spans="1:6" ht="14.25">
      <c r="A1723" t="s">
        <v>2336</v>
      </c>
      <c r="B1723">
        <v>45</v>
      </c>
      <c r="C1723" t="s">
        <v>143</v>
      </c>
      <c r="D1723">
        <v>4100</v>
      </c>
      <c r="E1723">
        <v>8.1</v>
      </c>
      <c r="F1723">
        <v>1300</v>
      </c>
    </row>
    <row r="1724" spans="1:6" ht="14.25">
      <c r="A1724" t="s">
        <v>2337</v>
      </c>
      <c r="B1724">
        <v>45</v>
      </c>
      <c r="C1724" t="s">
        <v>143</v>
      </c>
      <c r="D1724">
        <v>4100</v>
      </c>
      <c r="E1724">
        <v>8.1</v>
      </c>
      <c r="F1724">
        <v>1300</v>
      </c>
    </row>
    <row r="1725" spans="1:6" ht="14.25">
      <c r="A1725" t="s">
        <v>2338</v>
      </c>
      <c r="B1725">
        <v>45</v>
      </c>
      <c r="C1725" t="s">
        <v>143</v>
      </c>
      <c r="D1725">
        <v>4100</v>
      </c>
      <c r="E1725">
        <v>8.1</v>
      </c>
      <c r="F1725">
        <v>1300</v>
      </c>
    </row>
    <row r="1726" spans="1:6" ht="14.25">
      <c r="A1726" t="s">
        <v>2339</v>
      </c>
      <c r="B1726">
        <v>45</v>
      </c>
      <c r="C1726" t="s">
        <v>143</v>
      </c>
      <c r="D1726">
        <v>4100</v>
      </c>
      <c r="E1726">
        <v>8.1</v>
      </c>
      <c r="F1726">
        <v>1300</v>
      </c>
    </row>
    <row r="1727" spans="1:6" ht="14.25">
      <c r="A1727" t="s">
        <v>2340</v>
      </c>
      <c r="B1727">
        <v>45</v>
      </c>
      <c r="C1727" t="s">
        <v>143</v>
      </c>
      <c r="D1727">
        <v>4100</v>
      </c>
      <c r="E1727">
        <v>8.1</v>
      </c>
      <c r="F1727">
        <v>1300</v>
      </c>
    </row>
    <row r="1728" spans="1:6" ht="14.25">
      <c r="A1728" t="s">
        <v>2341</v>
      </c>
      <c r="B1728">
        <v>45</v>
      </c>
      <c r="C1728" t="s">
        <v>143</v>
      </c>
      <c r="D1728">
        <v>4100</v>
      </c>
      <c r="E1728">
        <v>8.1</v>
      </c>
      <c r="F1728">
        <v>1300</v>
      </c>
    </row>
    <row r="1729" spans="1:6" ht="14.25">
      <c r="A1729" t="s">
        <v>2342</v>
      </c>
      <c r="B1729">
        <v>45</v>
      </c>
      <c r="C1729" t="s">
        <v>143</v>
      </c>
      <c r="D1729">
        <v>4100</v>
      </c>
      <c r="E1729">
        <v>6.1</v>
      </c>
      <c r="F1729">
        <v>1300</v>
      </c>
    </row>
    <row r="1730" spans="1:6" ht="14.25">
      <c r="A1730" t="s">
        <v>2343</v>
      </c>
      <c r="B1730">
        <v>45</v>
      </c>
      <c r="C1730" t="s">
        <v>143</v>
      </c>
      <c r="D1730">
        <v>4100</v>
      </c>
      <c r="E1730">
        <v>6.1</v>
      </c>
      <c r="F1730">
        <v>1300</v>
      </c>
    </row>
    <row r="1731" spans="1:6" ht="14.25">
      <c r="A1731" t="s">
        <v>2344</v>
      </c>
      <c r="B1731">
        <v>45</v>
      </c>
      <c r="C1731" t="s">
        <v>143</v>
      </c>
      <c r="D1731">
        <v>4100</v>
      </c>
      <c r="E1731">
        <v>6.1</v>
      </c>
      <c r="F1731">
        <v>1300</v>
      </c>
    </row>
    <row r="1732" spans="1:6" ht="14.25">
      <c r="A1732" t="s">
        <v>2345</v>
      </c>
      <c r="B1732">
        <v>45</v>
      </c>
      <c r="C1732" t="s">
        <v>136</v>
      </c>
      <c r="D1732">
        <v>4100</v>
      </c>
      <c r="E1732">
        <v>8.1</v>
      </c>
      <c r="F1732">
        <v>1300</v>
      </c>
    </row>
    <row r="1733" spans="1:6" ht="14.25">
      <c r="A1733" t="s">
        <v>2346</v>
      </c>
      <c r="B1733">
        <v>45</v>
      </c>
      <c r="C1733" t="s">
        <v>136</v>
      </c>
      <c r="D1733">
        <v>4100</v>
      </c>
      <c r="E1733">
        <v>8.1</v>
      </c>
      <c r="F1733">
        <v>1300</v>
      </c>
    </row>
    <row r="1734" spans="1:6" ht="14.25">
      <c r="A1734" t="s">
        <v>2347</v>
      </c>
      <c r="B1734">
        <v>45</v>
      </c>
      <c r="C1734" t="s">
        <v>143</v>
      </c>
      <c r="D1734">
        <v>4100</v>
      </c>
      <c r="E1734">
        <v>6.1</v>
      </c>
      <c r="F1734">
        <v>1300</v>
      </c>
    </row>
    <row r="1735" spans="1:6" ht="14.25">
      <c r="A1735" t="s">
        <v>2348</v>
      </c>
      <c r="B1735">
        <v>45</v>
      </c>
      <c r="C1735" t="s">
        <v>143</v>
      </c>
      <c r="D1735">
        <v>4100</v>
      </c>
      <c r="E1735">
        <v>6.1</v>
      </c>
      <c r="F1735">
        <v>1300</v>
      </c>
    </row>
    <row r="1736" spans="1:6" ht="14.25">
      <c r="A1736" t="s">
        <v>2349</v>
      </c>
      <c r="B1736">
        <v>45</v>
      </c>
      <c r="C1736" t="s">
        <v>143</v>
      </c>
      <c r="D1736">
        <v>4100</v>
      </c>
      <c r="E1736">
        <v>6.1</v>
      </c>
      <c r="F1736">
        <v>1300</v>
      </c>
    </row>
    <row r="1737" spans="1:6" ht="14.25">
      <c r="A1737" t="s">
        <v>2350</v>
      </c>
      <c r="B1737">
        <v>45</v>
      </c>
      <c r="C1737" t="s">
        <v>143</v>
      </c>
      <c r="D1737">
        <v>4200</v>
      </c>
      <c r="E1737">
        <v>4.0999999999999996</v>
      </c>
      <c r="F1737">
        <v>1310</v>
      </c>
    </row>
    <row r="1738" spans="1:6" ht="14.25">
      <c r="A1738" t="s">
        <v>2351</v>
      </c>
      <c r="B1738" t="s">
        <v>2352</v>
      </c>
      <c r="C1738" t="s">
        <v>143</v>
      </c>
      <c r="D1738">
        <v>4200</v>
      </c>
      <c r="E1738">
        <v>4.0999999999999996</v>
      </c>
      <c r="F1738">
        <v>1310</v>
      </c>
    </row>
    <row r="1739" spans="1:6" ht="14.25">
      <c r="A1739" t="s">
        <v>2353</v>
      </c>
      <c r="B1739">
        <v>45</v>
      </c>
      <c r="C1739" t="s">
        <v>143</v>
      </c>
      <c r="D1739">
        <v>4200</v>
      </c>
      <c r="E1739">
        <v>4.0999999999999996</v>
      </c>
      <c r="F1739">
        <v>1310</v>
      </c>
    </row>
    <row r="1740" spans="1:6" ht="14.25">
      <c r="A1740" t="s">
        <v>2354</v>
      </c>
      <c r="B1740" t="s">
        <v>2352</v>
      </c>
      <c r="C1740" t="s">
        <v>143</v>
      </c>
      <c r="D1740">
        <v>3050</v>
      </c>
      <c r="E1740">
        <v>9.4</v>
      </c>
      <c r="F1740">
        <v>647</v>
      </c>
    </row>
    <row r="1741" spans="1:6" ht="14.25">
      <c r="A1741" t="s">
        <v>2355</v>
      </c>
      <c r="B1741" t="s">
        <v>2356</v>
      </c>
      <c r="C1741" t="s">
        <v>143</v>
      </c>
      <c r="D1741">
        <v>4100</v>
      </c>
      <c r="E1741">
        <v>15</v>
      </c>
      <c r="F1741">
        <v>640</v>
      </c>
    </row>
    <row r="1742" spans="1:6" ht="14.25">
      <c r="A1742" t="s">
        <v>2357</v>
      </c>
      <c r="B1742">
        <v>1106</v>
      </c>
      <c r="C1742" t="s">
        <v>136</v>
      </c>
      <c r="D1742">
        <v>4100</v>
      </c>
      <c r="E1742">
        <v>15</v>
      </c>
      <c r="F1742">
        <v>640</v>
      </c>
    </row>
    <row r="1743" spans="1:6" ht="14.25">
      <c r="A1743" t="s">
        <v>2358</v>
      </c>
      <c r="B1743">
        <v>2409</v>
      </c>
      <c r="C1743" t="s">
        <v>136</v>
      </c>
      <c r="D1743">
        <v>3050</v>
      </c>
      <c r="E1743">
        <v>4.0999999999999996</v>
      </c>
      <c r="F1743">
        <v>1300</v>
      </c>
    </row>
    <row r="1744" spans="1:6" ht="14.25">
      <c r="A1744" t="s">
        <v>2359</v>
      </c>
      <c r="B1744">
        <v>45</v>
      </c>
      <c r="C1744" t="s">
        <v>143</v>
      </c>
      <c r="D1744">
        <v>4200</v>
      </c>
      <c r="E1744">
        <v>4.0999999999999996</v>
      </c>
      <c r="F1744">
        <v>1310</v>
      </c>
    </row>
    <row r="1745" spans="1:6" ht="14.25">
      <c r="A1745" t="s">
        <v>2360</v>
      </c>
      <c r="B1745">
        <v>2409</v>
      </c>
      <c r="C1745" t="s">
        <v>143</v>
      </c>
      <c r="D1745">
        <v>3050</v>
      </c>
      <c r="E1745">
        <v>9.4</v>
      </c>
      <c r="F1745">
        <v>647</v>
      </c>
    </row>
    <row r="1746" spans="1:6" ht="14.25">
      <c r="A1746" t="s">
        <v>2361</v>
      </c>
      <c r="B1746">
        <v>45</v>
      </c>
      <c r="C1746" t="s">
        <v>143</v>
      </c>
      <c r="D1746">
        <v>4200</v>
      </c>
      <c r="E1746">
        <v>4.0999999999999996</v>
      </c>
      <c r="F1746">
        <v>1310</v>
      </c>
    </row>
    <row r="1747" spans="1:6" ht="14.25">
      <c r="A1747" t="s">
        <v>2362</v>
      </c>
      <c r="B1747">
        <v>2423</v>
      </c>
      <c r="C1747" t="s">
        <v>143</v>
      </c>
      <c r="D1747">
        <v>3050</v>
      </c>
      <c r="E1747">
        <v>9.4</v>
      </c>
      <c r="F1747">
        <v>647</v>
      </c>
    </row>
    <row r="1748" spans="1:6" ht="14.25">
      <c r="A1748" t="s">
        <v>2363</v>
      </c>
      <c r="B1748">
        <v>2633</v>
      </c>
      <c r="C1748" t="s">
        <v>136</v>
      </c>
      <c r="D1748">
        <v>4200</v>
      </c>
      <c r="E1748">
        <v>4.0999999999999996</v>
      </c>
      <c r="F1748">
        <v>1310</v>
      </c>
    </row>
    <row r="1749" spans="1:6" ht="14.25">
      <c r="A1749" t="s">
        <v>2364</v>
      </c>
      <c r="B1749">
        <v>45</v>
      </c>
      <c r="C1749" t="s">
        <v>143</v>
      </c>
      <c r="D1749">
        <v>4200</v>
      </c>
      <c r="E1749">
        <v>4.0999999999999996</v>
      </c>
      <c r="F1749">
        <v>1300</v>
      </c>
    </row>
    <row r="1750" spans="1:6" ht="14.25">
      <c r="A1750" t="s">
        <v>2365</v>
      </c>
      <c r="B1750" t="s">
        <v>2366</v>
      </c>
      <c r="C1750" t="s">
        <v>143</v>
      </c>
      <c r="D1750">
        <v>4100</v>
      </c>
      <c r="E1750">
        <v>15</v>
      </c>
      <c r="F1750">
        <v>640</v>
      </c>
    </row>
    <row r="1751" spans="1:6" ht="14.25">
      <c r="A1751" t="s">
        <v>2367</v>
      </c>
      <c r="B1751">
        <v>45</v>
      </c>
      <c r="C1751" t="s">
        <v>143</v>
      </c>
      <c r="D1751">
        <v>4200</v>
      </c>
      <c r="E1751">
        <v>4.0999999999999996</v>
      </c>
      <c r="F1751">
        <v>1310</v>
      </c>
    </row>
    <row r="1752" spans="1:6" ht="14.25">
      <c r="A1752" t="s">
        <v>2368</v>
      </c>
      <c r="B1752">
        <v>3505</v>
      </c>
      <c r="C1752" t="s">
        <v>143</v>
      </c>
      <c r="D1752">
        <v>3050</v>
      </c>
      <c r="E1752">
        <v>9.4</v>
      </c>
      <c r="F1752">
        <v>647</v>
      </c>
    </row>
    <row r="1753" spans="1:6" ht="14.25">
      <c r="A1753" t="s">
        <v>2369</v>
      </c>
      <c r="B1753" t="s">
        <v>2370</v>
      </c>
      <c r="C1753" t="s">
        <v>143</v>
      </c>
      <c r="D1753">
        <v>4100</v>
      </c>
      <c r="E1753">
        <v>15</v>
      </c>
      <c r="F1753">
        <v>640</v>
      </c>
    </row>
    <row r="1754" spans="1:6" ht="14.25">
      <c r="A1754" t="s">
        <v>2371</v>
      </c>
      <c r="B1754">
        <v>37905</v>
      </c>
      <c r="C1754" t="s">
        <v>136</v>
      </c>
      <c r="D1754">
        <v>4100</v>
      </c>
      <c r="E1754">
        <v>15</v>
      </c>
      <c r="F1754">
        <v>640</v>
      </c>
    </row>
    <row r="1755" spans="1:6" ht="14.25">
      <c r="A1755" t="s">
        <v>2372</v>
      </c>
      <c r="B1755">
        <v>37978</v>
      </c>
      <c r="C1755" t="s">
        <v>136</v>
      </c>
      <c r="D1755">
        <v>4100</v>
      </c>
      <c r="E1755">
        <v>15</v>
      </c>
      <c r="F1755">
        <v>640</v>
      </c>
    </row>
    <row r="1756" spans="1:6" ht="14.25">
      <c r="A1756" t="s">
        <v>2373</v>
      </c>
      <c r="B1756" t="s">
        <v>2374</v>
      </c>
      <c r="C1756" t="s">
        <v>136</v>
      </c>
      <c r="D1756">
        <v>4100</v>
      </c>
      <c r="E1756">
        <v>15</v>
      </c>
      <c r="F1756">
        <v>640</v>
      </c>
    </row>
    <row r="1757" spans="1:6" ht="14.25">
      <c r="A1757" t="s">
        <v>2375</v>
      </c>
      <c r="B1757">
        <v>38356</v>
      </c>
      <c r="C1757" t="s">
        <v>136</v>
      </c>
      <c r="D1757">
        <v>4100</v>
      </c>
      <c r="E1757">
        <v>15</v>
      </c>
      <c r="F1757">
        <v>640</v>
      </c>
    </row>
    <row r="1758" spans="1:6" ht="14.25">
      <c r="A1758" t="s">
        <v>2376</v>
      </c>
      <c r="B1758">
        <v>45</v>
      </c>
      <c r="C1758" t="s">
        <v>143</v>
      </c>
      <c r="D1758">
        <v>4200</v>
      </c>
      <c r="E1758">
        <v>4.0999999999999996</v>
      </c>
      <c r="F1758">
        <v>1310</v>
      </c>
    </row>
    <row r="1759" spans="1:6" ht="14.25">
      <c r="A1759" t="s">
        <v>2377</v>
      </c>
      <c r="B1759">
        <v>45</v>
      </c>
      <c r="C1759" t="s">
        <v>143</v>
      </c>
      <c r="D1759">
        <v>4200</v>
      </c>
      <c r="E1759">
        <v>4.0999999999999996</v>
      </c>
      <c r="F1759">
        <v>1310</v>
      </c>
    </row>
    <row r="1760" spans="1:6" ht="14.25">
      <c r="A1760" t="s">
        <v>2378</v>
      </c>
      <c r="B1760">
        <v>4064</v>
      </c>
      <c r="C1760" t="s">
        <v>143</v>
      </c>
      <c r="D1760">
        <v>3050</v>
      </c>
      <c r="E1760">
        <v>9.4</v>
      </c>
      <c r="F1760">
        <v>647</v>
      </c>
    </row>
    <row r="1761" spans="1:6" ht="14.25">
      <c r="A1761" t="s">
        <v>2379</v>
      </c>
      <c r="B1761" t="s">
        <v>2380</v>
      </c>
      <c r="C1761" t="s">
        <v>143</v>
      </c>
      <c r="D1761">
        <v>4100</v>
      </c>
      <c r="E1761">
        <v>15</v>
      </c>
      <c r="F1761">
        <v>640</v>
      </c>
    </row>
    <row r="1762" spans="1:6" ht="14.25">
      <c r="A1762" t="s">
        <v>2381</v>
      </c>
      <c r="B1762" t="s">
        <v>2382</v>
      </c>
      <c r="C1762" t="s">
        <v>143</v>
      </c>
      <c r="D1762">
        <v>4100</v>
      </c>
      <c r="E1762">
        <v>15</v>
      </c>
      <c r="F1762">
        <v>640</v>
      </c>
    </row>
    <row r="1763" spans="1:6" ht="14.25">
      <c r="A1763" t="s">
        <v>2383</v>
      </c>
      <c r="B1763" t="s">
        <v>2384</v>
      </c>
      <c r="C1763" t="s">
        <v>143</v>
      </c>
      <c r="D1763">
        <v>4100</v>
      </c>
      <c r="E1763">
        <v>15</v>
      </c>
      <c r="F1763">
        <v>640</v>
      </c>
    </row>
    <row r="1764" spans="1:6" ht="14.25">
      <c r="A1764" t="s">
        <v>2385</v>
      </c>
      <c r="B1764" t="s">
        <v>2386</v>
      </c>
      <c r="C1764" t="s">
        <v>136</v>
      </c>
      <c r="D1764">
        <v>4100</v>
      </c>
      <c r="E1764">
        <v>15</v>
      </c>
      <c r="F1764">
        <v>640</v>
      </c>
    </row>
    <row r="1765" spans="1:6" ht="14.25">
      <c r="A1765" t="s">
        <v>2387</v>
      </c>
      <c r="B1765">
        <v>45</v>
      </c>
      <c r="C1765" t="s">
        <v>143</v>
      </c>
      <c r="D1765">
        <v>4200</v>
      </c>
      <c r="E1765">
        <v>4.0999999999999996</v>
      </c>
      <c r="F1765">
        <v>1310</v>
      </c>
    </row>
    <row r="1766" spans="1:6" ht="14.25">
      <c r="A1766" t="s">
        <v>2388</v>
      </c>
      <c r="B1766">
        <v>5530</v>
      </c>
      <c r="C1766" t="s">
        <v>143</v>
      </c>
      <c r="D1766">
        <v>3050</v>
      </c>
      <c r="E1766">
        <v>9.4</v>
      </c>
      <c r="F1766">
        <v>647</v>
      </c>
    </row>
    <row r="1767" spans="1:6" ht="14.25">
      <c r="A1767" t="s">
        <v>2389</v>
      </c>
      <c r="B1767">
        <v>45</v>
      </c>
      <c r="C1767" t="s">
        <v>143</v>
      </c>
      <c r="D1767">
        <v>4200</v>
      </c>
      <c r="E1767">
        <v>4.0999999999999996</v>
      </c>
      <c r="F1767">
        <v>1310</v>
      </c>
    </row>
    <row r="1768" spans="1:6" ht="14.25">
      <c r="A1768" t="s">
        <v>2390</v>
      </c>
      <c r="B1768">
        <v>5540</v>
      </c>
      <c r="C1768" t="s">
        <v>143</v>
      </c>
      <c r="D1768">
        <v>3050</v>
      </c>
      <c r="E1768">
        <v>9.4</v>
      </c>
      <c r="F1768">
        <v>647</v>
      </c>
    </row>
    <row r="1769" spans="1:6" ht="14.25">
      <c r="A1769" t="s">
        <v>2391</v>
      </c>
      <c r="B1769">
        <v>45</v>
      </c>
      <c r="C1769" t="s">
        <v>143</v>
      </c>
      <c r="D1769">
        <v>4200</v>
      </c>
      <c r="E1769">
        <v>4.0999999999999996</v>
      </c>
      <c r="F1769">
        <v>1310</v>
      </c>
    </row>
    <row r="1770" spans="1:6" ht="14.25">
      <c r="A1770" t="s">
        <v>2392</v>
      </c>
      <c r="B1770">
        <v>5560</v>
      </c>
      <c r="C1770" t="s">
        <v>143</v>
      </c>
      <c r="D1770">
        <v>3050</v>
      </c>
      <c r="E1770">
        <v>9.4</v>
      </c>
      <c r="F1770">
        <v>647</v>
      </c>
    </row>
    <row r="1771" spans="1:6" ht="14.25">
      <c r="A1771" t="s">
        <v>2393</v>
      </c>
      <c r="B1771">
        <v>45</v>
      </c>
      <c r="C1771" t="s">
        <v>143</v>
      </c>
      <c r="D1771">
        <v>4200</v>
      </c>
      <c r="E1771">
        <v>4.0999999999999996</v>
      </c>
      <c r="F1771">
        <v>1300</v>
      </c>
    </row>
    <row r="1772" spans="1:6" ht="14.25">
      <c r="A1772" t="s">
        <v>2394</v>
      </c>
      <c r="B1772">
        <v>45</v>
      </c>
      <c r="C1772" t="s">
        <v>143</v>
      </c>
      <c r="D1772">
        <v>4200</v>
      </c>
      <c r="E1772">
        <v>4.0999999999999996</v>
      </c>
      <c r="F1772">
        <v>1310</v>
      </c>
    </row>
    <row r="1773" spans="1:6" ht="14.25">
      <c r="A1773" t="s">
        <v>2395</v>
      </c>
      <c r="B1773">
        <v>6014</v>
      </c>
      <c r="C1773" t="s">
        <v>143</v>
      </c>
      <c r="D1773">
        <v>3050</v>
      </c>
      <c r="E1773">
        <v>9.4</v>
      </c>
      <c r="F1773">
        <v>647</v>
      </c>
    </row>
    <row r="1774" spans="1:6" ht="14.25">
      <c r="A1774" t="s">
        <v>2396</v>
      </c>
      <c r="B1774">
        <v>45</v>
      </c>
      <c r="C1774" t="s">
        <v>143</v>
      </c>
      <c r="D1774">
        <v>4200</v>
      </c>
      <c r="E1774">
        <v>4.0999999999999996</v>
      </c>
      <c r="F1774">
        <v>1310</v>
      </c>
    </row>
    <row r="1775" spans="1:6" ht="14.25">
      <c r="A1775" t="s">
        <v>2397</v>
      </c>
      <c r="B1775" t="s">
        <v>2398</v>
      </c>
      <c r="C1775" t="s">
        <v>143</v>
      </c>
      <c r="D1775">
        <v>3050</v>
      </c>
      <c r="E1775">
        <v>9.4</v>
      </c>
      <c r="F1775">
        <v>647</v>
      </c>
    </row>
    <row r="1776" spans="1:6" ht="14.25">
      <c r="A1776" t="s">
        <v>2399</v>
      </c>
      <c r="B1776">
        <v>6014</v>
      </c>
      <c r="C1776" t="s">
        <v>143</v>
      </c>
      <c r="D1776">
        <v>3050</v>
      </c>
      <c r="E1776">
        <v>9.4</v>
      </c>
      <c r="F1776">
        <v>647</v>
      </c>
    </row>
    <row r="1777" spans="1:6" ht="14.25">
      <c r="A1777" t="s">
        <v>2400</v>
      </c>
      <c r="B1777">
        <v>45</v>
      </c>
      <c r="C1777" t="s">
        <v>143</v>
      </c>
      <c r="D1777">
        <v>4200</v>
      </c>
      <c r="E1777">
        <v>4.0999999999999996</v>
      </c>
      <c r="F1777">
        <v>1310</v>
      </c>
    </row>
    <row r="1778" spans="1:6" ht="14.25">
      <c r="A1778" t="s">
        <v>2401</v>
      </c>
      <c r="B1778">
        <v>6019</v>
      </c>
      <c r="C1778" t="s">
        <v>143</v>
      </c>
      <c r="D1778">
        <v>3050</v>
      </c>
      <c r="E1778">
        <v>9.4</v>
      </c>
      <c r="F1778">
        <v>647</v>
      </c>
    </row>
    <row r="1779" spans="1:6" ht="14.25">
      <c r="A1779" t="s">
        <v>2402</v>
      </c>
      <c r="B1779">
        <v>45</v>
      </c>
      <c r="C1779" t="s">
        <v>136</v>
      </c>
      <c r="D1779">
        <v>4200</v>
      </c>
      <c r="E1779">
        <v>4.0999999999999996</v>
      </c>
      <c r="F1779">
        <v>1310</v>
      </c>
    </row>
    <row r="1780" spans="1:6" ht="14.25">
      <c r="A1780" t="s">
        <v>2403</v>
      </c>
      <c r="B1780">
        <v>45</v>
      </c>
      <c r="C1780" t="s">
        <v>136</v>
      </c>
      <c r="D1780">
        <v>4200</v>
      </c>
      <c r="E1780">
        <v>4.0999999999999996</v>
      </c>
      <c r="F1780">
        <v>1620</v>
      </c>
    </row>
    <row r="1781" spans="1:6" ht="14.25">
      <c r="A1781" t="s">
        <v>2404</v>
      </c>
      <c r="B1781">
        <v>6026</v>
      </c>
      <c r="C1781" t="s">
        <v>143</v>
      </c>
      <c r="D1781">
        <v>3050</v>
      </c>
      <c r="E1781">
        <v>9.4</v>
      </c>
      <c r="F1781">
        <v>647</v>
      </c>
    </row>
    <row r="1782" spans="1:6" ht="14.25">
      <c r="A1782" t="s">
        <v>2405</v>
      </c>
      <c r="B1782">
        <v>45</v>
      </c>
      <c r="C1782" t="s">
        <v>143</v>
      </c>
      <c r="D1782">
        <v>4200</v>
      </c>
      <c r="E1782">
        <v>4.0999999999999996</v>
      </c>
      <c r="F1782">
        <v>1310</v>
      </c>
    </row>
    <row r="1783" spans="1:6" ht="14.25">
      <c r="A1783" t="s">
        <v>2406</v>
      </c>
      <c r="B1783">
        <v>45</v>
      </c>
      <c r="C1783" t="s">
        <v>143</v>
      </c>
      <c r="D1783">
        <v>4200</v>
      </c>
      <c r="E1783">
        <v>4.0999999999999996</v>
      </c>
      <c r="F1783">
        <v>1310</v>
      </c>
    </row>
    <row r="1784" spans="1:6" ht="14.25">
      <c r="A1784" t="s">
        <v>2407</v>
      </c>
      <c r="B1784" t="s">
        <v>2408</v>
      </c>
      <c r="C1784" t="s">
        <v>143</v>
      </c>
      <c r="D1784">
        <v>3050</v>
      </c>
      <c r="E1784">
        <v>9.4</v>
      </c>
      <c r="F1784">
        <v>647</v>
      </c>
    </row>
    <row r="1785" spans="1:6" ht="14.25">
      <c r="A1785" t="s">
        <v>2409</v>
      </c>
      <c r="B1785">
        <v>45</v>
      </c>
      <c r="C1785" t="s">
        <v>143</v>
      </c>
      <c r="D1785">
        <v>4200</v>
      </c>
      <c r="E1785">
        <v>4.0999999999999996</v>
      </c>
      <c r="F1785">
        <v>1310</v>
      </c>
    </row>
    <row r="1786" spans="1:6" ht="14.25">
      <c r="A1786" t="s">
        <v>2410</v>
      </c>
      <c r="B1786">
        <v>6111</v>
      </c>
      <c r="C1786" t="s">
        <v>143</v>
      </c>
      <c r="D1786">
        <v>3050</v>
      </c>
      <c r="E1786">
        <v>9.4</v>
      </c>
      <c r="F1786">
        <v>647</v>
      </c>
    </row>
    <row r="1787" spans="1:6" ht="14.25">
      <c r="A1787" t="s">
        <v>2411</v>
      </c>
      <c r="B1787">
        <v>45</v>
      </c>
      <c r="C1787" t="s">
        <v>143</v>
      </c>
      <c r="D1787">
        <v>4200</v>
      </c>
      <c r="E1787">
        <v>4.0999999999999996</v>
      </c>
      <c r="F1787">
        <v>1310</v>
      </c>
    </row>
    <row r="1788" spans="1:6" ht="14.25">
      <c r="A1788" t="s">
        <v>2412</v>
      </c>
      <c r="B1788">
        <v>6116</v>
      </c>
      <c r="C1788" t="s">
        <v>143</v>
      </c>
      <c r="D1788">
        <v>3050</v>
      </c>
      <c r="E1788">
        <v>9.4</v>
      </c>
      <c r="F1788">
        <v>647</v>
      </c>
    </row>
    <row r="1789" spans="1:6" ht="14.25">
      <c r="A1789" t="s">
        <v>2413</v>
      </c>
      <c r="B1789">
        <v>45</v>
      </c>
      <c r="C1789" t="s">
        <v>143</v>
      </c>
      <c r="D1789">
        <v>4200</v>
      </c>
      <c r="E1789">
        <v>4.0999999999999996</v>
      </c>
      <c r="F1789">
        <v>1310</v>
      </c>
    </row>
    <row r="1790" spans="1:6" ht="14.25">
      <c r="A1790" t="s">
        <v>2414</v>
      </c>
      <c r="B1790">
        <v>6120</v>
      </c>
      <c r="C1790" t="s">
        <v>143</v>
      </c>
      <c r="D1790">
        <v>3050</v>
      </c>
      <c r="E1790">
        <v>9.4</v>
      </c>
      <c r="F1790">
        <v>647</v>
      </c>
    </row>
    <row r="1791" spans="1:6" ht="14.25">
      <c r="A1791" t="s">
        <v>2415</v>
      </c>
      <c r="B1791">
        <v>45</v>
      </c>
      <c r="C1791" t="s">
        <v>143</v>
      </c>
      <c r="D1791">
        <v>4200</v>
      </c>
      <c r="E1791">
        <v>4.0999999999999996</v>
      </c>
      <c r="F1791">
        <v>1310</v>
      </c>
    </row>
    <row r="1792" spans="1:6" ht="14.25">
      <c r="A1792" t="s">
        <v>2416</v>
      </c>
      <c r="B1792">
        <v>6131</v>
      </c>
      <c r="C1792" t="s">
        <v>143</v>
      </c>
      <c r="D1792">
        <v>3050</v>
      </c>
      <c r="E1792">
        <v>9.4</v>
      </c>
      <c r="F1792">
        <v>647</v>
      </c>
    </row>
    <row r="1793" spans="1:6" ht="14.25">
      <c r="A1793" t="s">
        <v>2417</v>
      </c>
      <c r="B1793">
        <v>6133</v>
      </c>
      <c r="C1793" t="s">
        <v>143</v>
      </c>
      <c r="D1793">
        <v>4200</v>
      </c>
      <c r="E1793">
        <v>4.0999999999999996</v>
      </c>
      <c r="F1793">
        <v>1310</v>
      </c>
    </row>
    <row r="1794" spans="1:6" ht="14.25">
      <c r="A1794" t="s">
        <v>2418</v>
      </c>
      <c r="B1794">
        <v>45</v>
      </c>
      <c r="C1794" t="s">
        <v>143</v>
      </c>
      <c r="D1794">
        <v>4200</v>
      </c>
      <c r="E1794">
        <v>4.0999999999999996</v>
      </c>
      <c r="F1794">
        <v>1310</v>
      </c>
    </row>
    <row r="1795" spans="1:6" ht="14.25">
      <c r="A1795" t="s">
        <v>2419</v>
      </c>
      <c r="B1795">
        <v>6133</v>
      </c>
      <c r="C1795" t="s">
        <v>143</v>
      </c>
      <c r="D1795">
        <v>3050</v>
      </c>
      <c r="E1795">
        <v>9.4</v>
      </c>
      <c r="F1795">
        <v>647</v>
      </c>
    </row>
    <row r="1796" spans="1:6" ht="14.25">
      <c r="A1796" t="s">
        <v>2420</v>
      </c>
      <c r="B1796">
        <v>6140</v>
      </c>
      <c r="C1796" t="s">
        <v>143</v>
      </c>
      <c r="D1796">
        <v>3050</v>
      </c>
      <c r="E1796">
        <v>9.4</v>
      </c>
      <c r="F1796">
        <v>647</v>
      </c>
    </row>
    <row r="1797" spans="1:6" ht="14.25">
      <c r="A1797" t="s">
        <v>2421</v>
      </c>
      <c r="B1797">
        <v>45</v>
      </c>
      <c r="C1797" t="s">
        <v>143</v>
      </c>
      <c r="D1797">
        <v>4200</v>
      </c>
      <c r="E1797">
        <v>4.0999999999999996</v>
      </c>
      <c r="F1797">
        <v>1310</v>
      </c>
    </row>
    <row r="1798" spans="1:6" ht="14.25">
      <c r="A1798" t="s">
        <v>2422</v>
      </c>
      <c r="B1798">
        <v>45</v>
      </c>
      <c r="C1798" t="s">
        <v>143</v>
      </c>
      <c r="D1798">
        <v>4200</v>
      </c>
      <c r="E1798">
        <v>4.0999999999999996</v>
      </c>
      <c r="F1798">
        <v>1310</v>
      </c>
    </row>
    <row r="1799" spans="1:6" ht="14.25">
      <c r="A1799" t="s">
        <v>2423</v>
      </c>
      <c r="B1799">
        <v>6140</v>
      </c>
      <c r="C1799" t="s">
        <v>143</v>
      </c>
      <c r="D1799">
        <v>3050</v>
      </c>
      <c r="E1799">
        <v>9.4</v>
      </c>
      <c r="F1799">
        <v>647</v>
      </c>
    </row>
    <row r="1800" spans="1:6" ht="14.25">
      <c r="A1800" t="s">
        <v>2424</v>
      </c>
      <c r="B1800">
        <v>45</v>
      </c>
      <c r="C1800" t="s">
        <v>143</v>
      </c>
      <c r="D1800">
        <v>4200</v>
      </c>
      <c r="E1800">
        <v>4.0999999999999996</v>
      </c>
      <c r="F1800">
        <v>1310</v>
      </c>
    </row>
    <row r="1801" spans="1:6" ht="14.25">
      <c r="A1801" t="s">
        <v>2425</v>
      </c>
      <c r="B1801">
        <v>45</v>
      </c>
      <c r="C1801" t="s">
        <v>143</v>
      </c>
      <c r="D1801">
        <v>4200</v>
      </c>
      <c r="E1801">
        <v>4.0999999999999996</v>
      </c>
      <c r="F1801">
        <v>1310</v>
      </c>
    </row>
    <row r="1802" spans="1:6" ht="14.25">
      <c r="A1802" t="s">
        <v>2426</v>
      </c>
      <c r="B1802">
        <v>6151</v>
      </c>
      <c r="C1802" t="s">
        <v>143</v>
      </c>
      <c r="D1802">
        <v>3050</v>
      </c>
      <c r="E1802">
        <v>9.4</v>
      </c>
      <c r="F1802">
        <v>647</v>
      </c>
    </row>
    <row r="1803" spans="1:6" ht="14.25">
      <c r="A1803" t="s">
        <v>2427</v>
      </c>
      <c r="B1803">
        <v>45</v>
      </c>
      <c r="C1803" t="s">
        <v>143</v>
      </c>
      <c r="D1803">
        <v>4200</v>
      </c>
      <c r="E1803">
        <v>4.0999999999999996</v>
      </c>
      <c r="F1803">
        <v>1310</v>
      </c>
    </row>
    <row r="1804" spans="1:6" ht="14.25">
      <c r="A1804" t="s">
        <v>2428</v>
      </c>
      <c r="B1804">
        <v>6152</v>
      </c>
      <c r="C1804" t="s">
        <v>143</v>
      </c>
      <c r="D1804">
        <v>3050</v>
      </c>
      <c r="E1804">
        <v>9.4</v>
      </c>
      <c r="F1804">
        <v>647</v>
      </c>
    </row>
    <row r="1805" spans="1:6" ht="14.25">
      <c r="A1805" t="s">
        <v>2429</v>
      </c>
      <c r="B1805">
        <v>45</v>
      </c>
      <c r="C1805" t="s">
        <v>143</v>
      </c>
      <c r="D1805">
        <v>4200</v>
      </c>
      <c r="E1805">
        <v>4.0999999999999996</v>
      </c>
      <c r="F1805">
        <v>1310</v>
      </c>
    </row>
    <row r="1806" spans="1:6" ht="14.25">
      <c r="A1806" t="s">
        <v>2430</v>
      </c>
      <c r="B1806">
        <v>6230</v>
      </c>
      <c r="C1806" t="s">
        <v>143</v>
      </c>
      <c r="D1806">
        <v>3050</v>
      </c>
      <c r="E1806">
        <v>9.4</v>
      </c>
      <c r="F1806">
        <v>647</v>
      </c>
    </row>
    <row r="1807" spans="1:6" ht="14.25">
      <c r="A1807" t="s">
        <v>2431</v>
      </c>
      <c r="B1807">
        <v>45</v>
      </c>
      <c r="C1807" t="s">
        <v>143</v>
      </c>
      <c r="D1807">
        <v>4200</v>
      </c>
      <c r="E1807">
        <v>4.0999999999999996</v>
      </c>
      <c r="F1807">
        <v>1310</v>
      </c>
    </row>
    <row r="1808" spans="1:6" ht="14.25">
      <c r="A1808" t="s">
        <v>2432</v>
      </c>
      <c r="B1808">
        <v>6231</v>
      </c>
      <c r="C1808" t="s">
        <v>143</v>
      </c>
      <c r="D1808">
        <v>3050</v>
      </c>
      <c r="E1808">
        <v>9.4</v>
      </c>
      <c r="F1808">
        <v>647</v>
      </c>
    </row>
    <row r="1809" spans="1:6" ht="14.25">
      <c r="A1809" t="s">
        <v>2433</v>
      </c>
      <c r="B1809">
        <v>45</v>
      </c>
      <c r="C1809" t="s">
        <v>143</v>
      </c>
      <c r="D1809">
        <v>4200</v>
      </c>
      <c r="E1809">
        <v>4.0999999999999996</v>
      </c>
      <c r="F1809">
        <v>1310</v>
      </c>
    </row>
    <row r="1810" spans="1:6" ht="14.25">
      <c r="A1810" t="s">
        <v>2434</v>
      </c>
      <c r="B1810">
        <v>6240</v>
      </c>
      <c r="C1810" t="s">
        <v>143</v>
      </c>
      <c r="D1810">
        <v>3050</v>
      </c>
      <c r="E1810">
        <v>9.4</v>
      </c>
      <c r="F1810">
        <v>647</v>
      </c>
    </row>
    <row r="1811" spans="1:6" ht="14.25">
      <c r="A1811" t="s">
        <v>2435</v>
      </c>
      <c r="B1811">
        <v>45</v>
      </c>
      <c r="C1811" t="s">
        <v>143</v>
      </c>
      <c r="D1811">
        <v>4200</v>
      </c>
      <c r="E1811">
        <v>4.0999999999999996</v>
      </c>
      <c r="F1811">
        <v>1310</v>
      </c>
    </row>
    <row r="1812" spans="1:6" ht="14.25">
      <c r="A1812" t="s">
        <v>2436</v>
      </c>
      <c r="B1812">
        <v>6241</v>
      </c>
      <c r="C1812" t="s">
        <v>143</v>
      </c>
      <c r="D1812">
        <v>3050</v>
      </c>
      <c r="E1812">
        <v>9.4</v>
      </c>
      <c r="F1812">
        <v>647</v>
      </c>
    </row>
    <row r="1813" spans="1:6" ht="14.25">
      <c r="A1813" t="s">
        <v>2437</v>
      </c>
      <c r="B1813">
        <v>45</v>
      </c>
      <c r="C1813" t="s">
        <v>143</v>
      </c>
      <c r="D1813">
        <v>4200</v>
      </c>
      <c r="E1813">
        <v>4.0999999999999996</v>
      </c>
      <c r="F1813">
        <v>1310</v>
      </c>
    </row>
    <row r="1814" spans="1:6" ht="14.25">
      <c r="A1814" t="s">
        <v>2438</v>
      </c>
      <c r="B1814">
        <v>6242</v>
      </c>
      <c r="C1814" t="s">
        <v>143</v>
      </c>
      <c r="D1814">
        <v>3050</v>
      </c>
      <c r="E1814">
        <v>9.4</v>
      </c>
      <c r="F1814">
        <v>647</v>
      </c>
    </row>
    <row r="1815" spans="1:6" ht="14.25">
      <c r="A1815" t="s">
        <v>2439</v>
      </c>
      <c r="C1815" t="s">
        <v>143</v>
      </c>
      <c r="D1815">
        <v>4200</v>
      </c>
      <c r="E1815">
        <v>4.0999999999999996</v>
      </c>
      <c r="F1815">
        <v>1310</v>
      </c>
    </row>
    <row r="1816" spans="1:6" ht="14.25">
      <c r="A1816" t="s">
        <v>2440</v>
      </c>
      <c r="B1816">
        <v>6281</v>
      </c>
      <c r="C1816" t="s">
        <v>143</v>
      </c>
      <c r="D1816">
        <v>3050</v>
      </c>
      <c r="E1816">
        <v>9.4</v>
      </c>
      <c r="F1816">
        <v>647</v>
      </c>
    </row>
    <row r="1817" spans="1:6" ht="14.25">
      <c r="A1817" t="s">
        <v>2441</v>
      </c>
      <c r="B1817">
        <v>45</v>
      </c>
      <c r="C1817" t="s">
        <v>143</v>
      </c>
      <c r="D1817">
        <v>4200</v>
      </c>
      <c r="E1817">
        <v>4.0999999999999996</v>
      </c>
      <c r="F1817">
        <v>1310</v>
      </c>
    </row>
    <row r="1818" spans="1:6" ht="14.25">
      <c r="A1818" t="s">
        <v>2442</v>
      </c>
      <c r="B1818">
        <v>6300</v>
      </c>
      <c r="C1818" t="s">
        <v>143</v>
      </c>
      <c r="D1818">
        <v>3050</v>
      </c>
      <c r="E1818">
        <v>9.4</v>
      </c>
      <c r="F1818">
        <v>647</v>
      </c>
    </row>
    <row r="1819" spans="1:6" ht="14.25">
      <c r="A1819" t="s">
        <v>2443</v>
      </c>
      <c r="B1819" t="s">
        <v>2444</v>
      </c>
      <c r="C1819" t="s">
        <v>143</v>
      </c>
      <c r="D1819">
        <v>4100</v>
      </c>
      <c r="E1819">
        <v>9.1999999999999993</v>
      </c>
      <c r="F1819">
        <v>640</v>
      </c>
    </row>
    <row r="1820" spans="1:6" ht="14.25">
      <c r="A1820" t="s">
        <v>2445</v>
      </c>
      <c r="B1820" t="s">
        <v>2446</v>
      </c>
      <c r="C1820" t="s">
        <v>143</v>
      </c>
      <c r="D1820">
        <v>4100</v>
      </c>
      <c r="E1820">
        <v>9.1999999999999993</v>
      </c>
      <c r="F1820">
        <v>640</v>
      </c>
    </row>
    <row r="1821" spans="1:6" ht="14.25">
      <c r="A1821" t="s">
        <v>2447</v>
      </c>
      <c r="B1821" t="s">
        <v>2448</v>
      </c>
      <c r="C1821" t="s">
        <v>143</v>
      </c>
      <c r="D1821">
        <v>4100</v>
      </c>
      <c r="E1821">
        <v>9</v>
      </c>
      <c r="F1821">
        <v>640</v>
      </c>
    </row>
    <row r="1822" spans="1:6" ht="14.25">
      <c r="A1822" t="s">
        <v>2449</v>
      </c>
      <c r="B1822" t="s">
        <v>2450</v>
      </c>
      <c r="C1822" t="s">
        <v>143</v>
      </c>
      <c r="D1822">
        <v>4100</v>
      </c>
      <c r="E1822">
        <v>9</v>
      </c>
      <c r="F1822">
        <v>640</v>
      </c>
    </row>
    <row r="1823" spans="1:6" ht="14.25">
      <c r="A1823" t="s">
        <v>2451</v>
      </c>
      <c r="B1823" t="s">
        <v>2452</v>
      </c>
      <c r="C1823" t="s">
        <v>143</v>
      </c>
      <c r="D1823">
        <v>4100</v>
      </c>
      <c r="E1823">
        <v>9.1999999999999993</v>
      </c>
      <c r="F1823">
        <v>640</v>
      </c>
    </row>
    <row r="1824" spans="1:6" ht="14.25">
      <c r="A1824" t="s">
        <v>2453</v>
      </c>
      <c r="B1824" t="s">
        <v>2454</v>
      </c>
      <c r="C1824" t="s">
        <v>143</v>
      </c>
      <c r="D1824">
        <v>4100</v>
      </c>
      <c r="E1824">
        <v>9.1999999999999993</v>
      </c>
      <c r="F1824">
        <v>640</v>
      </c>
    </row>
    <row r="1825" spans="1:6" ht="14.25">
      <c r="A1825" t="s">
        <v>2455</v>
      </c>
      <c r="B1825" t="s">
        <v>1718</v>
      </c>
      <c r="C1825" t="s">
        <v>136</v>
      </c>
      <c r="D1825">
        <v>4100</v>
      </c>
      <c r="E1825">
        <v>10</v>
      </c>
      <c r="F1825">
        <v>650</v>
      </c>
    </row>
    <row r="1826" spans="1:6" ht="14.25">
      <c r="A1826" t="s">
        <v>2456</v>
      </c>
      <c r="B1826" t="s">
        <v>2457</v>
      </c>
      <c r="C1826" t="s">
        <v>143</v>
      </c>
      <c r="D1826">
        <v>4100</v>
      </c>
      <c r="E1826">
        <v>9</v>
      </c>
      <c r="F1826">
        <v>640</v>
      </c>
    </row>
    <row r="1827" spans="1:6" ht="14.25">
      <c r="A1827" t="s">
        <v>2458</v>
      </c>
      <c r="B1827" t="s">
        <v>2459</v>
      </c>
      <c r="C1827" t="s">
        <v>143</v>
      </c>
      <c r="D1827">
        <v>4100</v>
      </c>
      <c r="E1827">
        <v>9.1999999999999993</v>
      </c>
      <c r="F1827">
        <v>640</v>
      </c>
    </row>
    <row r="1828" spans="1:6" ht="14.25">
      <c r="A1828" t="s">
        <v>2460</v>
      </c>
      <c r="B1828" t="s">
        <v>2461</v>
      </c>
      <c r="C1828" t="s">
        <v>143</v>
      </c>
      <c r="D1828">
        <v>4100</v>
      </c>
      <c r="E1828">
        <v>9</v>
      </c>
      <c r="F1828">
        <v>640</v>
      </c>
    </row>
    <row r="1829" spans="1:6" ht="14.25">
      <c r="A1829" t="s">
        <v>2462</v>
      </c>
      <c r="B1829" t="s">
        <v>1730</v>
      </c>
      <c r="C1829" t="s">
        <v>136</v>
      </c>
      <c r="D1829">
        <v>4100</v>
      </c>
      <c r="E1829">
        <v>10</v>
      </c>
      <c r="F1829">
        <v>650</v>
      </c>
    </row>
    <row r="1830" spans="1:6" ht="14.25">
      <c r="A1830" t="s">
        <v>2463</v>
      </c>
      <c r="B1830" t="s">
        <v>2464</v>
      </c>
      <c r="C1830" t="s">
        <v>143</v>
      </c>
      <c r="D1830">
        <v>4100</v>
      </c>
      <c r="E1830">
        <v>9.1999999999999993</v>
      </c>
      <c r="F1830">
        <v>640</v>
      </c>
    </row>
    <row r="1831" spans="1:6" ht="14.25">
      <c r="A1831" t="s">
        <v>2465</v>
      </c>
      <c r="B1831" t="s">
        <v>1738</v>
      </c>
      <c r="C1831" t="s">
        <v>143</v>
      </c>
      <c r="D1831">
        <v>4100</v>
      </c>
      <c r="E1831">
        <v>10</v>
      </c>
      <c r="F1831">
        <v>650</v>
      </c>
    </row>
    <row r="1832" spans="1:6" ht="14.25">
      <c r="A1832" t="s">
        <v>2466</v>
      </c>
      <c r="B1832" t="s">
        <v>1741</v>
      </c>
      <c r="C1832" t="s">
        <v>136</v>
      </c>
      <c r="D1832">
        <v>4100</v>
      </c>
      <c r="E1832">
        <v>10</v>
      </c>
      <c r="F1832">
        <v>650</v>
      </c>
    </row>
    <row r="1833" spans="1:6" ht="14.25">
      <c r="A1833" t="s">
        <v>2467</v>
      </c>
      <c r="B1833" t="s">
        <v>1744</v>
      </c>
      <c r="C1833" t="s">
        <v>143</v>
      </c>
      <c r="D1833">
        <v>4100</v>
      </c>
      <c r="E1833">
        <v>10</v>
      </c>
      <c r="F1833">
        <v>650</v>
      </c>
    </row>
    <row r="1834" spans="1:6" ht="14.25">
      <c r="A1834" t="s">
        <v>2468</v>
      </c>
      <c r="B1834" t="s">
        <v>1747</v>
      </c>
      <c r="C1834" t="s">
        <v>136</v>
      </c>
      <c r="D1834">
        <v>4100</v>
      </c>
      <c r="E1834">
        <v>10</v>
      </c>
      <c r="F1834">
        <v>650</v>
      </c>
    </row>
    <row r="1835" spans="1:6" ht="14.25">
      <c r="A1835" t="s">
        <v>2469</v>
      </c>
      <c r="B1835" t="s">
        <v>1750</v>
      </c>
      <c r="C1835" t="s">
        <v>136</v>
      </c>
      <c r="D1835">
        <v>4100</v>
      </c>
      <c r="E1835">
        <v>10</v>
      </c>
      <c r="F1835">
        <v>650</v>
      </c>
    </row>
    <row r="1836" spans="1:6" ht="14.25">
      <c r="A1836" t="s">
        <v>2470</v>
      </c>
      <c r="B1836" t="s">
        <v>1753</v>
      </c>
      <c r="C1836" t="s">
        <v>136</v>
      </c>
      <c r="D1836">
        <v>4100</v>
      </c>
      <c r="E1836">
        <v>10</v>
      </c>
      <c r="F1836">
        <v>650</v>
      </c>
    </row>
    <row r="1837" spans="1:6" ht="14.25">
      <c r="A1837" t="s">
        <v>2471</v>
      </c>
      <c r="B1837" t="s">
        <v>2472</v>
      </c>
      <c r="C1837" t="s">
        <v>143</v>
      </c>
      <c r="D1837">
        <v>4100</v>
      </c>
      <c r="E1837">
        <v>9.1999999999999993</v>
      </c>
      <c r="F1837">
        <v>640</v>
      </c>
    </row>
    <row r="1838" spans="1:6" ht="14.25">
      <c r="A1838" t="s">
        <v>2473</v>
      </c>
      <c r="B1838" t="s">
        <v>2474</v>
      </c>
      <c r="C1838" t="s">
        <v>143</v>
      </c>
      <c r="D1838">
        <v>4100</v>
      </c>
      <c r="E1838">
        <v>9</v>
      </c>
      <c r="F1838">
        <v>640</v>
      </c>
    </row>
    <row r="1839" spans="1:6" ht="14.25">
      <c r="A1839" t="s">
        <v>2475</v>
      </c>
      <c r="B1839" t="s">
        <v>1758</v>
      </c>
      <c r="C1839" t="s">
        <v>136</v>
      </c>
      <c r="D1839">
        <v>4100</v>
      </c>
      <c r="E1839">
        <v>10</v>
      </c>
      <c r="F1839">
        <v>650</v>
      </c>
    </row>
    <row r="1840" spans="1:6" ht="14.25">
      <c r="A1840" t="s">
        <v>2476</v>
      </c>
      <c r="B1840" t="s">
        <v>2477</v>
      </c>
      <c r="C1840" t="s">
        <v>143</v>
      </c>
      <c r="D1840">
        <v>4100</v>
      </c>
      <c r="E1840">
        <v>10</v>
      </c>
      <c r="F1840">
        <v>650</v>
      </c>
    </row>
    <row r="1841" spans="1:6" ht="14.25">
      <c r="A1841" t="s">
        <v>2478</v>
      </c>
      <c r="B1841" t="s">
        <v>2479</v>
      </c>
      <c r="C1841" t="s">
        <v>143</v>
      </c>
      <c r="D1841">
        <v>4100</v>
      </c>
      <c r="E1841">
        <v>9</v>
      </c>
      <c r="F1841">
        <v>640</v>
      </c>
    </row>
    <row r="1842" spans="1:6" ht="14.25">
      <c r="A1842" t="s">
        <v>2480</v>
      </c>
      <c r="B1842" t="s">
        <v>2481</v>
      </c>
      <c r="C1842" t="s">
        <v>143</v>
      </c>
      <c r="D1842">
        <v>4100</v>
      </c>
      <c r="E1842">
        <v>9.1999999999999993</v>
      </c>
      <c r="F1842">
        <v>640</v>
      </c>
    </row>
    <row r="1843" spans="1:6" ht="14.25">
      <c r="A1843" t="s">
        <v>2482</v>
      </c>
      <c r="B1843" t="s">
        <v>1779</v>
      </c>
      <c r="C1843" t="s">
        <v>136</v>
      </c>
      <c r="D1843">
        <v>4100</v>
      </c>
      <c r="E1843">
        <v>10</v>
      </c>
      <c r="F1843">
        <v>650</v>
      </c>
    </row>
    <row r="1844" spans="1:6" ht="14.25">
      <c r="A1844" t="s">
        <v>2483</v>
      </c>
      <c r="B1844" t="s">
        <v>2484</v>
      </c>
      <c r="C1844" t="s">
        <v>143</v>
      </c>
      <c r="D1844">
        <v>4100</v>
      </c>
      <c r="E1844">
        <v>9</v>
      </c>
      <c r="F1844">
        <v>640</v>
      </c>
    </row>
    <row r="1845" spans="1:6" ht="14.25">
      <c r="A1845" t="s">
        <v>2485</v>
      </c>
      <c r="B1845" t="s">
        <v>1784</v>
      </c>
      <c r="C1845" t="s">
        <v>143</v>
      </c>
      <c r="D1845">
        <v>4100</v>
      </c>
      <c r="E1845">
        <v>9.1999999999999993</v>
      </c>
      <c r="F1845">
        <v>640</v>
      </c>
    </row>
    <row r="1846" spans="1:6" ht="14.25">
      <c r="A1846" t="s">
        <v>5446</v>
      </c>
      <c r="B1846" t="s">
        <v>5417</v>
      </c>
      <c r="C1846" t="s">
        <v>143</v>
      </c>
      <c r="D1846">
        <v>4100</v>
      </c>
      <c r="E1846">
        <v>9.1999999999999993</v>
      </c>
      <c r="F1846">
        <v>640</v>
      </c>
    </row>
    <row r="1847" spans="1:6" ht="14.25">
      <c r="A1847" t="s">
        <v>5447</v>
      </c>
      <c r="B1847" t="s">
        <v>5420</v>
      </c>
      <c r="C1847" t="s">
        <v>143</v>
      </c>
      <c r="D1847">
        <v>4100</v>
      </c>
      <c r="E1847">
        <v>9.1999999999999993</v>
      </c>
      <c r="F1847">
        <v>640</v>
      </c>
    </row>
    <row r="1848" spans="1:6" ht="14.25">
      <c r="A1848" t="s">
        <v>2486</v>
      </c>
      <c r="B1848" t="s">
        <v>1790</v>
      </c>
      <c r="C1848" t="s">
        <v>136</v>
      </c>
      <c r="D1848">
        <v>4100</v>
      </c>
      <c r="E1848">
        <v>10</v>
      </c>
      <c r="F1848">
        <v>650</v>
      </c>
    </row>
    <row r="1849" spans="1:6" ht="14.25">
      <c r="A1849" t="s">
        <v>2487</v>
      </c>
      <c r="B1849" t="s">
        <v>1794</v>
      </c>
      <c r="C1849" t="s">
        <v>136</v>
      </c>
      <c r="D1849">
        <v>4100</v>
      </c>
      <c r="E1849">
        <v>10</v>
      </c>
      <c r="F1849">
        <v>650</v>
      </c>
    </row>
    <row r="1850" spans="1:6" ht="14.25">
      <c r="A1850" t="s">
        <v>2488</v>
      </c>
      <c r="B1850" t="s">
        <v>1796</v>
      </c>
      <c r="C1850" t="s">
        <v>136</v>
      </c>
      <c r="D1850">
        <v>4100</v>
      </c>
      <c r="E1850">
        <v>10</v>
      </c>
      <c r="F1850">
        <v>650</v>
      </c>
    </row>
    <row r="1851" spans="1:6" ht="14.25">
      <c r="A1851" t="s">
        <v>2489</v>
      </c>
      <c r="B1851" t="s">
        <v>2490</v>
      </c>
      <c r="C1851" t="s">
        <v>143</v>
      </c>
      <c r="D1851">
        <v>4100</v>
      </c>
      <c r="E1851">
        <v>10</v>
      </c>
      <c r="F1851">
        <v>650</v>
      </c>
    </row>
    <row r="1852" spans="1:6" ht="14.25">
      <c r="A1852" t="s">
        <v>2491</v>
      </c>
      <c r="B1852" t="s">
        <v>1799</v>
      </c>
      <c r="C1852" t="s">
        <v>143</v>
      </c>
      <c r="D1852">
        <v>4100</v>
      </c>
      <c r="E1852">
        <v>10</v>
      </c>
      <c r="F1852">
        <v>650</v>
      </c>
    </row>
    <row r="1853" spans="1:6" ht="14.25">
      <c r="A1853" t="s">
        <v>2492</v>
      </c>
      <c r="B1853" t="s">
        <v>1802</v>
      </c>
      <c r="C1853" t="s">
        <v>136</v>
      </c>
      <c r="D1853">
        <v>4100</v>
      </c>
      <c r="E1853">
        <v>10</v>
      </c>
      <c r="F1853">
        <v>650</v>
      </c>
    </row>
    <row r="1854" spans="1:6" ht="14.25">
      <c r="A1854" t="s">
        <v>2493</v>
      </c>
      <c r="B1854" t="s">
        <v>1802</v>
      </c>
      <c r="C1854" t="s">
        <v>136</v>
      </c>
      <c r="D1854">
        <v>4100</v>
      </c>
      <c r="E1854">
        <v>10</v>
      </c>
      <c r="F1854">
        <v>650</v>
      </c>
    </row>
    <row r="1855" spans="1:6" ht="14.25">
      <c r="A1855" t="s">
        <v>2494</v>
      </c>
      <c r="B1855" t="s">
        <v>2495</v>
      </c>
      <c r="C1855" t="s">
        <v>143</v>
      </c>
      <c r="D1855">
        <v>4100</v>
      </c>
      <c r="E1855">
        <v>9</v>
      </c>
      <c r="F1855">
        <v>640</v>
      </c>
    </row>
    <row r="1856" spans="1:6" ht="14.25">
      <c r="A1856" t="s">
        <v>5448</v>
      </c>
      <c r="B1856" t="s">
        <v>5423</v>
      </c>
      <c r="C1856" t="s">
        <v>143</v>
      </c>
      <c r="D1856">
        <v>4100</v>
      </c>
      <c r="E1856">
        <v>9.1999999999999993</v>
      </c>
      <c r="F1856">
        <v>640</v>
      </c>
    </row>
    <row r="1857" spans="1:6" ht="14.25">
      <c r="A1857" t="s">
        <v>2496</v>
      </c>
      <c r="B1857" t="s">
        <v>2497</v>
      </c>
      <c r="C1857" t="s">
        <v>136</v>
      </c>
      <c r="D1857">
        <v>4100</v>
      </c>
      <c r="E1857">
        <v>15</v>
      </c>
      <c r="F1857">
        <v>640</v>
      </c>
    </row>
    <row r="1858" spans="1:6" ht="14.25">
      <c r="A1858" t="s">
        <v>2498</v>
      </c>
      <c r="B1858" t="s">
        <v>2499</v>
      </c>
      <c r="C1858" t="s">
        <v>143</v>
      </c>
      <c r="D1858">
        <v>4100</v>
      </c>
      <c r="E1858">
        <v>9</v>
      </c>
      <c r="F1858">
        <v>640</v>
      </c>
    </row>
    <row r="1859" spans="1:6" ht="14.25">
      <c r="A1859" t="s">
        <v>2500</v>
      </c>
      <c r="B1859" t="s">
        <v>2501</v>
      </c>
      <c r="C1859" t="s">
        <v>143</v>
      </c>
      <c r="D1859">
        <v>4100</v>
      </c>
      <c r="E1859">
        <v>9.1999999999999993</v>
      </c>
      <c r="F1859">
        <v>640</v>
      </c>
    </row>
    <row r="1860" spans="1:6" ht="14.25">
      <c r="A1860" t="s">
        <v>2502</v>
      </c>
      <c r="B1860" t="s">
        <v>2503</v>
      </c>
      <c r="C1860" t="s">
        <v>143</v>
      </c>
      <c r="D1860">
        <v>4100</v>
      </c>
      <c r="E1860">
        <v>9</v>
      </c>
      <c r="F1860">
        <v>640</v>
      </c>
    </row>
    <row r="1861" spans="1:6" ht="14.25">
      <c r="A1861" t="s">
        <v>2504</v>
      </c>
      <c r="B1861" t="s">
        <v>1821</v>
      </c>
      <c r="C1861" t="s">
        <v>143</v>
      </c>
      <c r="D1861">
        <v>4100</v>
      </c>
      <c r="E1861">
        <v>9</v>
      </c>
      <c r="F1861">
        <v>640</v>
      </c>
    </row>
    <row r="1862" spans="1:6" ht="14.25">
      <c r="A1862" t="s">
        <v>2505</v>
      </c>
      <c r="B1862" t="s">
        <v>1824</v>
      </c>
      <c r="C1862" t="s">
        <v>143</v>
      </c>
      <c r="D1862">
        <v>4100</v>
      </c>
      <c r="E1862">
        <v>9</v>
      </c>
      <c r="F1862">
        <v>640</v>
      </c>
    </row>
    <row r="1863" spans="1:6" ht="14.25">
      <c r="A1863" t="s">
        <v>2506</v>
      </c>
      <c r="B1863" t="s">
        <v>1830</v>
      </c>
      <c r="C1863" t="s">
        <v>136</v>
      </c>
      <c r="D1863">
        <v>4100</v>
      </c>
      <c r="E1863">
        <v>15</v>
      </c>
      <c r="F1863">
        <v>650</v>
      </c>
    </row>
    <row r="1864" spans="1:6" ht="14.25">
      <c r="A1864" t="s">
        <v>2507</v>
      </c>
      <c r="B1864" t="s">
        <v>1832</v>
      </c>
      <c r="C1864" t="s">
        <v>136</v>
      </c>
      <c r="D1864">
        <v>4100</v>
      </c>
      <c r="E1864">
        <v>15</v>
      </c>
      <c r="F1864">
        <v>650</v>
      </c>
    </row>
    <row r="1865" spans="1:6" ht="14.25">
      <c r="A1865" t="s">
        <v>2508</v>
      </c>
      <c r="B1865" t="s">
        <v>2509</v>
      </c>
      <c r="C1865" t="s">
        <v>143</v>
      </c>
      <c r="D1865">
        <v>4100</v>
      </c>
      <c r="E1865">
        <v>9.1999999999999993</v>
      </c>
      <c r="F1865">
        <v>640</v>
      </c>
    </row>
    <row r="1866" spans="1:6" ht="14.25">
      <c r="A1866" t="s">
        <v>2510</v>
      </c>
      <c r="B1866" t="s">
        <v>1832</v>
      </c>
      <c r="C1866" t="s">
        <v>143</v>
      </c>
      <c r="D1866">
        <v>4100</v>
      </c>
      <c r="E1866">
        <v>10</v>
      </c>
      <c r="F1866">
        <v>650</v>
      </c>
    </row>
    <row r="1867" spans="1:6" ht="14.25">
      <c r="A1867" t="s">
        <v>2511</v>
      </c>
      <c r="B1867" t="s">
        <v>1837</v>
      </c>
      <c r="C1867" t="s">
        <v>136</v>
      </c>
      <c r="D1867">
        <v>4100</v>
      </c>
      <c r="E1867">
        <v>10</v>
      </c>
      <c r="F1867">
        <v>650</v>
      </c>
    </row>
    <row r="1868" spans="1:6" ht="14.25">
      <c r="A1868" t="s">
        <v>2512</v>
      </c>
      <c r="B1868" t="s">
        <v>2513</v>
      </c>
      <c r="C1868" t="s">
        <v>143</v>
      </c>
      <c r="D1868">
        <v>4100</v>
      </c>
      <c r="E1868">
        <v>9.1999999999999993</v>
      </c>
      <c r="F1868">
        <v>640</v>
      </c>
    </row>
    <row r="1869" spans="1:6" ht="14.25">
      <c r="A1869" t="s">
        <v>2514</v>
      </c>
      <c r="B1869" t="s">
        <v>2515</v>
      </c>
      <c r="C1869" t="s">
        <v>143</v>
      </c>
      <c r="D1869">
        <v>4100</v>
      </c>
      <c r="E1869">
        <v>9.1999999999999993</v>
      </c>
      <c r="F1869">
        <v>640</v>
      </c>
    </row>
    <row r="1870" spans="1:6" ht="14.25">
      <c r="A1870" t="s">
        <v>2516</v>
      </c>
      <c r="B1870" t="s">
        <v>2517</v>
      </c>
      <c r="C1870" t="s">
        <v>143</v>
      </c>
      <c r="D1870">
        <v>4100</v>
      </c>
      <c r="E1870">
        <v>9.1999999999999993</v>
      </c>
      <c r="F1870">
        <v>640</v>
      </c>
    </row>
    <row r="1871" spans="1:6" ht="14.25">
      <c r="A1871" t="s">
        <v>2518</v>
      </c>
      <c r="B1871" t="s">
        <v>2519</v>
      </c>
      <c r="C1871" t="s">
        <v>143</v>
      </c>
      <c r="D1871">
        <v>4100</v>
      </c>
      <c r="E1871">
        <v>9</v>
      </c>
      <c r="F1871">
        <v>640</v>
      </c>
    </row>
    <row r="1872" spans="1:6" ht="14.25">
      <c r="A1872" t="s">
        <v>2520</v>
      </c>
      <c r="B1872" t="s">
        <v>2521</v>
      </c>
      <c r="C1872" t="s">
        <v>143</v>
      </c>
      <c r="D1872">
        <v>4100</v>
      </c>
      <c r="E1872">
        <v>9</v>
      </c>
      <c r="F1872">
        <v>640</v>
      </c>
    </row>
    <row r="1873" spans="1:6" ht="14.25">
      <c r="A1873" t="s">
        <v>2522</v>
      </c>
      <c r="B1873" t="s">
        <v>2523</v>
      </c>
      <c r="C1873" t="s">
        <v>143</v>
      </c>
      <c r="D1873">
        <v>4100</v>
      </c>
      <c r="E1873">
        <v>9</v>
      </c>
      <c r="F1873">
        <v>640</v>
      </c>
    </row>
    <row r="1874" spans="1:6" ht="14.25">
      <c r="A1874" t="s">
        <v>2524</v>
      </c>
      <c r="B1874" t="s">
        <v>1875</v>
      </c>
      <c r="C1874" t="s">
        <v>143</v>
      </c>
      <c r="D1874">
        <v>4100</v>
      </c>
      <c r="E1874">
        <v>10</v>
      </c>
      <c r="F1874">
        <v>650</v>
      </c>
    </row>
    <row r="1875" spans="1:6" ht="14.25">
      <c r="A1875" t="s">
        <v>2525</v>
      </c>
      <c r="B1875" t="s">
        <v>2526</v>
      </c>
      <c r="C1875" t="s">
        <v>143</v>
      </c>
      <c r="D1875">
        <v>4100</v>
      </c>
      <c r="E1875">
        <v>9.1999999999999993</v>
      </c>
      <c r="F1875">
        <v>640</v>
      </c>
    </row>
    <row r="1876" spans="1:6" ht="14.25">
      <c r="A1876" t="s">
        <v>2527</v>
      </c>
      <c r="B1876" t="s">
        <v>1877</v>
      </c>
      <c r="C1876" t="s">
        <v>143</v>
      </c>
      <c r="D1876">
        <v>4100</v>
      </c>
      <c r="E1876">
        <v>10</v>
      </c>
      <c r="F1876">
        <v>650</v>
      </c>
    </row>
    <row r="1877" spans="1:6" ht="14.25">
      <c r="A1877" t="s">
        <v>2528</v>
      </c>
      <c r="B1877" t="s">
        <v>1877</v>
      </c>
      <c r="C1877" t="s">
        <v>136</v>
      </c>
      <c r="D1877">
        <v>4100</v>
      </c>
      <c r="E1877">
        <v>10</v>
      </c>
      <c r="F1877">
        <v>650</v>
      </c>
    </row>
    <row r="1878" spans="1:6" ht="14.25">
      <c r="A1878" t="s">
        <v>2529</v>
      </c>
      <c r="B1878" t="s">
        <v>1882</v>
      </c>
      <c r="C1878" t="s">
        <v>136</v>
      </c>
      <c r="D1878">
        <v>4100</v>
      </c>
      <c r="E1878">
        <v>10</v>
      </c>
      <c r="F1878">
        <v>650</v>
      </c>
    </row>
    <row r="1879" spans="1:6" ht="14.25">
      <c r="A1879" t="s">
        <v>2530</v>
      </c>
      <c r="B1879" t="s">
        <v>1882</v>
      </c>
      <c r="C1879" t="s">
        <v>136</v>
      </c>
      <c r="D1879">
        <v>4100</v>
      </c>
      <c r="E1879">
        <v>10</v>
      </c>
      <c r="F1879">
        <v>650</v>
      </c>
    </row>
    <row r="1880" spans="1:6" ht="14.25">
      <c r="A1880" t="s">
        <v>2531</v>
      </c>
      <c r="B1880" t="s">
        <v>1885</v>
      </c>
      <c r="C1880" t="s">
        <v>136</v>
      </c>
      <c r="D1880">
        <v>4100</v>
      </c>
      <c r="E1880">
        <v>10</v>
      </c>
      <c r="F1880">
        <v>650</v>
      </c>
    </row>
    <row r="1881" spans="1:6" ht="14.25">
      <c r="A1881" t="s">
        <v>2532</v>
      </c>
      <c r="B1881" t="s">
        <v>1887</v>
      </c>
      <c r="C1881" t="s">
        <v>136</v>
      </c>
      <c r="D1881">
        <v>4100</v>
      </c>
      <c r="E1881">
        <v>10</v>
      </c>
      <c r="F1881">
        <v>650</v>
      </c>
    </row>
    <row r="1882" spans="1:6" ht="14.25">
      <c r="A1882" t="s">
        <v>2533</v>
      </c>
      <c r="B1882" t="s">
        <v>2534</v>
      </c>
      <c r="C1882" t="s">
        <v>143</v>
      </c>
      <c r="D1882">
        <v>4100</v>
      </c>
      <c r="E1882">
        <v>9</v>
      </c>
      <c r="F1882">
        <v>640</v>
      </c>
    </row>
    <row r="1883" spans="1:6" ht="14.25">
      <c r="A1883" t="s">
        <v>2535</v>
      </c>
      <c r="B1883" t="s">
        <v>1887</v>
      </c>
      <c r="C1883" t="s">
        <v>143</v>
      </c>
      <c r="D1883">
        <v>4100</v>
      </c>
      <c r="E1883">
        <v>10</v>
      </c>
      <c r="F1883">
        <v>650</v>
      </c>
    </row>
    <row r="1884" spans="1:6" ht="14.25">
      <c r="A1884" t="s">
        <v>2536</v>
      </c>
      <c r="B1884" t="s">
        <v>2537</v>
      </c>
      <c r="C1884" t="s">
        <v>143</v>
      </c>
      <c r="D1884">
        <v>4100</v>
      </c>
      <c r="E1884">
        <v>9.1999999999999993</v>
      </c>
      <c r="F1884">
        <v>640</v>
      </c>
    </row>
    <row r="1885" spans="1:6" ht="14.25">
      <c r="A1885" t="s">
        <v>2538</v>
      </c>
      <c r="B1885" t="s">
        <v>236</v>
      </c>
      <c r="C1885" t="s">
        <v>136</v>
      </c>
      <c r="D1885">
        <v>4100</v>
      </c>
      <c r="E1885">
        <v>10</v>
      </c>
      <c r="F1885">
        <v>650</v>
      </c>
    </row>
    <row r="1886" spans="1:6" ht="14.25">
      <c r="A1886" t="s">
        <v>2539</v>
      </c>
      <c r="B1886" t="s">
        <v>2540</v>
      </c>
      <c r="C1886" t="s">
        <v>143</v>
      </c>
      <c r="D1886">
        <v>4100</v>
      </c>
      <c r="E1886">
        <v>9</v>
      </c>
      <c r="F1886">
        <v>640</v>
      </c>
    </row>
    <row r="1887" spans="1:6" ht="14.25">
      <c r="A1887" t="s">
        <v>2541</v>
      </c>
      <c r="B1887" t="s">
        <v>2542</v>
      </c>
      <c r="C1887" t="s">
        <v>143</v>
      </c>
      <c r="D1887">
        <v>4100</v>
      </c>
      <c r="E1887">
        <v>9.1999999999999993</v>
      </c>
      <c r="F1887">
        <v>640</v>
      </c>
    </row>
    <row r="1888" spans="1:6" ht="14.25">
      <c r="A1888" t="s">
        <v>2543</v>
      </c>
      <c r="B1888" t="s">
        <v>1910</v>
      </c>
      <c r="C1888" t="s">
        <v>136</v>
      </c>
      <c r="D1888">
        <v>4100</v>
      </c>
      <c r="E1888">
        <v>15</v>
      </c>
      <c r="F1888">
        <v>650</v>
      </c>
    </row>
    <row r="1889" spans="1:6" ht="14.25">
      <c r="A1889" t="s">
        <v>2544</v>
      </c>
      <c r="B1889" t="s">
        <v>1910</v>
      </c>
      <c r="C1889" t="s">
        <v>136</v>
      </c>
      <c r="D1889">
        <v>4100</v>
      </c>
      <c r="E1889">
        <v>10</v>
      </c>
      <c r="F1889">
        <v>650</v>
      </c>
    </row>
    <row r="1890" spans="1:6" ht="14.25">
      <c r="A1890" t="s">
        <v>2545</v>
      </c>
      <c r="B1890" t="s">
        <v>1913</v>
      </c>
      <c r="C1890" t="s">
        <v>136</v>
      </c>
      <c r="D1890">
        <v>4100</v>
      </c>
      <c r="E1890">
        <v>10</v>
      </c>
      <c r="F1890">
        <v>650</v>
      </c>
    </row>
    <row r="1891" spans="1:6" ht="14.25">
      <c r="A1891" t="s">
        <v>2546</v>
      </c>
      <c r="B1891" t="s">
        <v>1913</v>
      </c>
      <c r="C1891" t="s">
        <v>136</v>
      </c>
      <c r="D1891">
        <v>4100</v>
      </c>
      <c r="E1891">
        <v>10</v>
      </c>
      <c r="F1891">
        <v>650</v>
      </c>
    </row>
    <row r="1892" spans="1:6" ht="14.25">
      <c r="A1892" t="s">
        <v>2547</v>
      </c>
      <c r="B1892" t="s">
        <v>2548</v>
      </c>
      <c r="C1892" t="s">
        <v>136</v>
      </c>
      <c r="D1892">
        <v>4100</v>
      </c>
      <c r="E1892">
        <v>10</v>
      </c>
      <c r="F1892">
        <v>650</v>
      </c>
    </row>
    <row r="1893" spans="1:6" ht="14.25">
      <c r="A1893" t="s">
        <v>2549</v>
      </c>
      <c r="B1893" t="s">
        <v>2550</v>
      </c>
      <c r="C1893" t="s">
        <v>136</v>
      </c>
      <c r="D1893">
        <v>4100</v>
      </c>
      <c r="E1893">
        <v>10</v>
      </c>
      <c r="F1893">
        <v>650</v>
      </c>
    </row>
    <row r="1894" spans="1:6" ht="14.25">
      <c r="A1894" t="s">
        <v>2551</v>
      </c>
      <c r="B1894" t="s">
        <v>2552</v>
      </c>
      <c r="C1894" t="s">
        <v>136</v>
      </c>
      <c r="D1894">
        <v>4100</v>
      </c>
      <c r="E1894">
        <v>10</v>
      </c>
      <c r="F1894">
        <v>650</v>
      </c>
    </row>
    <row r="1895" spans="1:6" ht="14.25">
      <c r="A1895" t="s">
        <v>2553</v>
      </c>
      <c r="B1895" t="s">
        <v>1916</v>
      </c>
      <c r="C1895" t="s">
        <v>143</v>
      </c>
      <c r="D1895">
        <v>4100</v>
      </c>
      <c r="E1895">
        <v>9</v>
      </c>
      <c r="F1895">
        <v>640</v>
      </c>
    </row>
    <row r="1896" spans="1:6" ht="14.25">
      <c r="A1896" t="s">
        <v>2554</v>
      </c>
      <c r="B1896" t="s">
        <v>1922</v>
      </c>
      <c r="C1896" t="s">
        <v>136</v>
      </c>
      <c r="D1896">
        <v>4100</v>
      </c>
      <c r="E1896">
        <v>10</v>
      </c>
      <c r="F1896">
        <v>650</v>
      </c>
    </row>
    <row r="1897" spans="1:6" ht="14.25">
      <c r="A1897" t="s">
        <v>2555</v>
      </c>
      <c r="B1897" t="s">
        <v>1922</v>
      </c>
      <c r="C1897" t="s">
        <v>136</v>
      </c>
      <c r="D1897">
        <v>4100</v>
      </c>
      <c r="E1897">
        <v>10</v>
      </c>
      <c r="F1897">
        <v>650</v>
      </c>
    </row>
    <row r="1898" spans="1:6" ht="14.25">
      <c r="A1898" t="s">
        <v>2556</v>
      </c>
      <c r="B1898" t="s">
        <v>2557</v>
      </c>
      <c r="C1898" t="s">
        <v>143</v>
      </c>
      <c r="D1898">
        <v>4100</v>
      </c>
      <c r="E1898">
        <v>9</v>
      </c>
      <c r="F1898">
        <v>640</v>
      </c>
    </row>
    <row r="1899" spans="1:6" ht="14.25">
      <c r="A1899" t="s">
        <v>2558</v>
      </c>
      <c r="B1899" t="s">
        <v>1936</v>
      </c>
      <c r="C1899" t="s">
        <v>143</v>
      </c>
      <c r="D1899">
        <v>4100</v>
      </c>
      <c r="E1899">
        <v>9</v>
      </c>
      <c r="F1899">
        <v>640</v>
      </c>
    </row>
    <row r="1900" spans="1:6" ht="14.25">
      <c r="A1900" t="s">
        <v>2559</v>
      </c>
      <c r="B1900" t="s">
        <v>286</v>
      </c>
      <c r="C1900" t="s">
        <v>136</v>
      </c>
      <c r="D1900">
        <v>4100</v>
      </c>
      <c r="E1900">
        <v>10</v>
      </c>
      <c r="F1900">
        <v>650</v>
      </c>
    </row>
    <row r="1901" spans="1:6" ht="14.25">
      <c r="A1901" t="s">
        <v>2560</v>
      </c>
      <c r="B1901" t="s">
        <v>2561</v>
      </c>
      <c r="C1901" t="s">
        <v>143</v>
      </c>
      <c r="D1901">
        <v>4100</v>
      </c>
      <c r="E1901">
        <v>9.1999999999999993</v>
      </c>
      <c r="F1901">
        <v>640</v>
      </c>
    </row>
    <row r="1902" spans="1:6" ht="14.25">
      <c r="A1902" t="s">
        <v>5449</v>
      </c>
      <c r="B1902" t="s">
        <v>5450</v>
      </c>
      <c r="C1902" t="s">
        <v>143</v>
      </c>
      <c r="D1902">
        <v>4100</v>
      </c>
      <c r="E1902">
        <v>9.1999999999999993</v>
      </c>
      <c r="F1902">
        <v>640</v>
      </c>
    </row>
    <row r="1903" spans="1:6" ht="14.25">
      <c r="A1903" t="s">
        <v>2562</v>
      </c>
      <c r="B1903" t="s">
        <v>2563</v>
      </c>
      <c r="C1903" t="s">
        <v>143</v>
      </c>
      <c r="D1903">
        <v>4100</v>
      </c>
      <c r="E1903">
        <v>9</v>
      </c>
      <c r="F1903">
        <v>640</v>
      </c>
    </row>
    <row r="1904" spans="1:6" ht="14.25">
      <c r="A1904" t="s">
        <v>2564</v>
      </c>
      <c r="B1904" t="s">
        <v>1960</v>
      </c>
      <c r="C1904" t="s">
        <v>143</v>
      </c>
      <c r="D1904">
        <v>4100</v>
      </c>
      <c r="E1904">
        <v>9</v>
      </c>
      <c r="F1904">
        <v>640</v>
      </c>
    </row>
    <row r="1905" spans="1:6" ht="14.25">
      <c r="A1905" t="s">
        <v>5451</v>
      </c>
      <c r="B1905" t="s">
        <v>5452</v>
      </c>
      <c r="C1905" t="s">
        <v>143</v>
      </c>
      <c r="D1905">
        <v>4100</v>
      </c>
      <c r="E1905">
        <v>9.1999999999999993</v>
      </c>
      <c r="F1905">
        <v>640</v>
      </c>
    </row>
    <row r="1906" spans="1:6" ht="14.25">
      <c r="A1906" t="s">
        <v>2565</v>
      </c>
      <c r="B1906" t="s">
        <v>2566</v>
      </c>
      <c r="C1906" t="s">
        <v>143</v>
      </c>
      <c r="D1906">
        <v>4100</v>
      </c>
      <c r="E1906">
        <v>9.1999999999999993</v>
      </c>
      <c r="F1906">
        <v>640</v>
      </c>
    </row>
    <row r="1907" spans="1:6" ht="14.25">
      <c r="A1907" t="s">
        <v>2567</v>
      </c>
      <c r="B1907" t="s">
        <v>2568</v>
      </c>
      <c r="C1907" t="s">
        <v>143</v>
      </c>
      <c r="D1907">
        <v>4100</v>
      </c>
      <c r="E1907">
        <v>9</v>
      </c>
      <c r="F1907">
        <v>640</v>
      </c>
    </row>
    <row r="1908" spans="1:6" ht="14.25">
      <c r="A1908" t="s">
        <v>2569</v>
      </c>
      <c r="B1908" t="s">
        <v>1974</v>
      </c>
      <c r="C1908" t="s">
        <v>143</v>
      </c>
      <c r="D1908">
        <v>4100</v>
      </c>
      <c r="E1908">
        <v>10</v>
      </c>
      <c r="F1908">
        <v>650</v>
      </c>
    </row>
    <row r="1909" spans="1:6" ht="14.25">
      <c r="A1909" t="s">
        <v>2570</v>
      </c>
      <c r="B1909" t="s">
        <v>2571</v>
      </c>
      <c r="C1909" t="s">
        <v>143</v>
      </c>
      <c r="D1909">
        <v>4100</v>
      </c>
      <c r="E1909">
        <v>9.1999999999999993</v>
      </c>
      <c r="F1909">
        <v>640</v>
      </c>
    </row>
    <row r="1910" spans="1:6" ht="14.25">
      <c r="A1910" t="s">
        <v>2572</v>
      </c>
      <c r="B1910" t="s">
        <v>457</v>
      </c>
      <c r="C1910" t="s">
        <v>143</v>
      </c>
      <c r="D1910">
        <v>4100</v>
      </c>
      <c r="E1910">
        <v>9</v>
      </c>
      <c r="F1910">
        <v>640</v>
      </c>
    </row>
    <row r="1911" spans="1:6" ht="14.25">
      <c r="A1911" t="s">
        <v>2573</v>
      </c>
      <c r="B1911" t="s">
        <v>459</v>
      </c>
      <c r="C1911" t="s">
        <v>143</v>
      </c>
      <c r="D1911">
        <v>4100</v>
      </c>
      <c r="E1911">
        <v>8.8000000000000007</v>
      </c>
      <c r="F1911">
        <v>640</v>
      </c>
    </row>
    <row r="1912" spans="1:6" ht="14.25">
      <c r="A1912" t="s">
        <v>2574</v>
      </c>
      <c r="B1912" t="s">
        <v>462</v>
      </c>
      <c r="C1912" t="s">
        <v>143</v>
      </c>
      <c r="D1912">
        <v>4100</v>
      </c>
      <c r="E1912">
        <v>8.8000000000000007</v>
      </c>
      <c r="F1912">
        <v>640</v>
      </c>
    </row>
    <row r="1913" spans="1:6" ht="14.25">
      <c r="A1913" t="s">
        <v>2575</v>
      </c>
      <c r="B1913" t="s">
        <v>2576</v>
      </c>
      <c r="C1913" t="s">
        <v>143</v>
      </c>
      <c r="D1913">
        <v>4100</v>
      </c>
      <c r="E1913">
        <v>9.1999999999999993</v>
      </c>
      <c r="F1913">
        <v>640</v>
      </c>
    </row>
    <row r="1914" spans="1:6" ht="14.25">
      <c r="A1914" t="s">
        <v>2577</v>
      </c>
      <c r="B1914" t="s">
        <v>2578</v>
      </c>
      <c r="C1914" t="s">
        <v>143</v>
      </c>
      <c r="D1914">
        <v>4100</v>
      </c>
      <c r="E1914">
        <v>9.1999999999999993</v>
      </c>
      <c r="F1914">
        <v>640</v>
      </c>
    </row>
    <row r="1915" spans="1:6" ht="14.25">
      <c r="A1915" t="s">
        <v>2579</v>
      </c>
      <c r="B1915" t="s">
        <v>2580</v>
      </c>
      <c r="C1915" t="s">
        <v>143</v>
      </c>
      <c r="D1915">
        <v>4100</v>
      </c>
      <c r="E1915">
        <v>9</v>
      </c>
      <c r="F1915">
        <v>640</v>
      </c>
    </row>
    <row r="1916" spans="1:6" ht="14.25">
      <c r="A1916" t="s">
        <v>2581</v>
      </c>
      <c r="B1916" t="s">
        <v>537</v>
      </c>
      <c r="C1916" t="s">
        <v>143</v>
      </c>
      <c r="D1916">
        <v>4100</v>
      </c>
      <c r="E1916">
        <v>8.8000000000000007</v>
      </c>
      <c r="F1916">
        <v>640</v>
      </c>
    </row>
    <row r="1917" spans="1:6" ht="14.25">
      <c r="A1917" t="s">
        <v>2582</v>
      </c>
      <c r="B1917" t="s">
        <v>2583</v>
      </c>
      <c r="C1917" t="s">
        <v>143</v>
      </c>
      <c r="D1917">
        <v>4100</v>
      </c>
      <c r="E1917">
        <v>9.1999999999999993</v>
      </c>
      <c r="F1917">
        <v>640</v>
      </c>
    </row>
    <row r="1918" spans="1:6" ht="14.25">
      <c r="A1918" t="s">
        <v>2584</v>
      </c>
      <c r="B1918" t="s">
        <v>559</v>
      </c>
      <c r="C1918" t="s">
        <v>143</v>
      </c>
      <c r="D1918">
        <v>4100</v>
      </c>
      <c r="E1918">
        <v>8.8000000000000007</v>
      </c>
      <c r="F1918">
        <v>640</v>
      </c>
    </row>
    <row r="1919" spans="1:6" ht="14.25">
      <c r="A1919" t="s">
        <v>2585</v>
      </c>
      <c r="B1919" t="s">
        <v>563</v>
      </c>
      <c r="C1919" t="s">
        <v>143</v>
      </c>
      <c r="D1919">
        <v>4100</v>
      </c>
      <c r="E1919">
        <v>8.8000000000000007</v>
      </c>
      <c r="F1919">
        <v>640</v>
      </c>
    </row>
    <row r="1920" spans="1:6" ht="14.25">
      <c r="A1920" t="s">
        <v>2586</v>
      </c>
      <c r="B1920" t="s">
        <v>2587</v>
      </c>
      <c r="C1920" t="s">
        <v>143</v>
      </c>
      <c r="D1920">
        <v>4100</v>
      </c>
      <c r="E1920">
        <v>9.1999999999999993</v>
      </c>
      <c r="F1920">
        <v>640</v>
      </c>
    </row>
    <row r="1921" spans="1:6" ht="14.25">
      <c r="A1921" t="s">
        <v>2588</v>
      </c>
      <c r="B1921" t="s">
        <v>615</v>
      </c>
      <c r="C1921" t="s">
        <v>143</v>
      </c>
      <c r="D1921">
        <v>4100</v>
      </c>
      <c r="E1921">
        <v>10</v>
      </c>
      <c r="F1921">
        <v>650</v>
      </c>
    </row>
    <row r="1922" spans="1:6" ht="14.25">
      <c r="A1922" t="s">
        <v>2589</v>
      </c>
      <c r="B1922" t="s">
        <v>2590</v>
      </c>
      <c r="C1922" t="s">
        <v>143</v>
      </c>
      <c r="D1922">
        <v>4100</v>
      </c>
      <c r="E1922">
        <v>9</v>
      </c>
      <c r="F1922">
        <v>640</v>
      </c>
    </row>
    <row r="1923" spans="1:6" ht="14.25">
      <c r="A1923" t="s">
        <v>2591</v>
      </c>
      <c r="B1923" t="s">
        <v>2592</v>
      </c>
      <c r="C1923" t="s">
        <v>143</v>
      </c>
      <c r="D1923">
        <v>4100</v>
      </c>
      <c r="E1923">
        <v>9</v>
      </c>
      <c r="F1923">
        <v>640</v>
      </c>
    </row>
    <row r="1924" spans="1:6" ht="14.25">
      <c r="A1924" t="s">
        <v>2593</v>
      </c>
      <c r="B1924" t="s">
        <v>2594</v>
      </c>
      <c r="C1924" t="s">
        <v>143</v>
      </c>
      <c r="D1924">
        <v>4100</v>
      </c>
      <c r="E1924">
        <v>9</v>
      </c>
      <c r="F1924">
        <v>640</v>
      </c>
    </row>
    <row r="1925" spans="1:6" ht="14.25">
      <c r="A1925" t="s">
        <v>2595</v>
      </c>
      <c r="B1925" t="s">
        <v>2596</v>
      </c>
      <c r="C1925" t="s">
        <v>143</v>
      </c>
      <c r="D1925">
        <v>4100</v>
      </c>
      <c r="E1925">
        <v>9</v>
      </c>
      <c r="F1925">
        <v>640</v>
      </c>
    </row>
    <row r="1926" spans="1:6" ht="14.25">
      <c r="A1926" t="s">
        <v>2597</v>
      </c>
      <c r="B1926" t="s">
        <v>2598</v>
      </c>
      <c r="C1926" t="s">
        <v>143</v>
      </c>
      <c r="D1926">
        <v>4100</v>
      </c>
      <c r="E1926">
        <v>9.1999999999999993</v>
      </c>
      <c r="F1926">
        <v>640</v>
      </c>
    </row>
    <row r="1927" spans="1:6" ht="14.25">
      <c r="A1927" t="s">
        <v>2599</v>
      </c>
      <c r="B1927" t="s">
        <v>2600</v>
      </c>
      <c r="C1927" t="s">
        <v>143</v>
      </c>
      <c r="D1927">
        <v>4100</v>
      </c>
      <c r="E1927">
        <v>9.1999999999999993</v>
      </c>
      <c r="F1927">
        <v>640</v>
      </c>
    </row>
    <row r="1928" spans="1:6" ht="14.25">
      <c r="A1928" t="s">
        <v>2601</v>
      </c>
      <c r="B1928" t="s">
        <v>2602</v>
      </c>
      <c r="C1928" t="s">
        <v>143</v>
      </c>
      <c r="D1928">
        <v>4100</v>
      </c>
      <c r="E1928">
        <v>9.1999999999999993</v>
      </c>
      <c r="F1928">
        <v>640</v>
      </c>
    </row>
    <row r="1929" spans="1:6" ht="14.25">
      <c r="A1929" t="s">
        <v>2603</v>
      </c>
      <c r="B1929" t="s">
        <v>704</v>
      </c>
      <c r="C1929" t="s">
        <v>143</v>
      </c>
      <c r="D1929">
        <v>4100</v>
      </c>
      <c r="E1929">
        <v>10</v>
      </c>
      <c r="F1929">
        <v>650</v>
      </c>
    </row>
    <row r="1930" spans="1:6" ht="14.25">
      <c r="A1930" t="s">
        <v>2604</v>
      </c>
      <c r="B1930" t="s">
        <v>739</v>
      </c>
      <c r="C1930" t="s">
        <v>143</v>
      </c>
      <c r="D1930">
        <v>4100</v>
      </c>
      <c r="E1930">
        <v>10</v>
      </c>
      <c r="F1930">
        <v>650</v>
      </c>
    </row>
    <row r="1931" spans="1:6" ht="14.25">
      <c r="A1931" t="s">
        <v>2605</v>
      </c>
      <c r="B1931" t="s">
        <v>776</v>
      </c>
      <c r="C1931" t="s">
        <v>143</v>
      </c>
      <c r="D1931">
        <v>4100</v>
      </c>
      <c r="E1931">
        <v>8.8000000000000007</v>
      </c>
      <c r="F1931">
        <v>640</v>
      </c>
    </row>
    <row r="1932" spans="1:6" ht="14.25">
      <c r="A1932" t="s">
        <v>2606</v>
      </c>
      <c r="B1932" t="s">
        <v>2607</v>
      </c>
      <c r="C1932" t="s">
        <v>143</v>
      </c>
      <c r="D1932">
        <v>4100</v>
      </c>
      <c r="E1932">
        <v>9.1999999999999993</v>
      </c>
      <c r="F1932">
        <v>640</v>
      </c>
    </row>
    <row r="1933" spans="1:6" ht="14.25">
      <c r="A1933" t="s">
        <v>2608</v>
      </c>
      <c r="B1933" t="s">
        <v>2609</v>
      </c>
      <c r="C1933" t="s">
        <v>143</v>
      </c>
      <c r="D1933">
        <v>4100</v>
      </c>
      <c r="E1933">
        <v>9</v>
      </c>
      <c r="F1933">
        <v>640</v>
      </c>
    </row>
    <row r="1934" spans="1:6" ht="14.25">
      <c r="A1934" t="s">
        <v>2610</v>
      </c>
      <c r="B1934" t="s">
        <v>796</v>
      </c>
      <c r="C1934" t="s">
        <v>143</v>
      </c>
      <c r="D1934">
        <v>4100</v>
      </c>
      <c r="E1934">
        <v>10</v>
      </c>
      <c r="F1934">
        <v>650</v>
      </c>
    </row>
    <row r="1935" spans="1:6" ht="14.25">
      <c r="A1935" t="s">
        <v>2611</v>
      </c>
      <c r="B1935" t="s">
        <v>812</v>
      </c>
      <c r="C1935" t="s">
        <v>143</v>
      </c>
      <c r="D1935">
        <v>4100</v>
      </c>
      <c r="E1935">
        <v>10</v>
      </c>
      <c r="F1935">
        <v>650</v>
      </c>
    </row>
    <row r="1936" spans="1:6" ht="14.25">
      <c r="A1936" t="s">
        <v>2612</v>
      </c>
      <c r="B1936" t="s">
        <v>818</v>
      </c>
      <c r="C1936" t="s">
        <v>143</v>
      </c>
      <c r="D1936">
        <v>4100</v>
      </c>
      <c r="E1936">
        <v>10</v>
      </c>
      <c r="F1936">
        <v>650</v>
      </c>
    </row>
    <row r="1937" spans="1:6" ht="14.25">
      <c r="A1937" t="s">
        <v>2613</v>
      </c>
      <c r="B1937" t="s">
        <v>2614</v>
      </c>
      <c r="C1937" t="s">
        <v>143</v>
      </c>
      <c r="D1937">
        <v>4100</v>
      </c>
      <c r="E1937">
        <v>9.1999999999999993</v>
      </c>
      <c r="F1937">
        <v>640</v>
      </c>
    </row>
    <row r="1938" spans="1:6" ht="14.25">
      <c r="A1938" t="s">
        <v>2615</v>
      </c>
      <c r="B1938" t="s">
        <v>828</v>
      </c>
      <c r="C1938" t="s">
        <v>143</v>
      </c>
      <c r="D1938">
        <v>4100</v>
      </c>
      <c r="E1938">
        <v>9</v>
      </c>
      <c r="F1938">
        <v>640</v>
      </c>
    </row>
    <row r="1939" spans="1:6" ht="14.25">
      <c r="A1939" t="s">
        <v>2616</v>
      </c>
      <c r="B1939" t="s">
        <v>861</v>
      </c>
      <c r="C1939" t="s">
        <v>143</v>
      </c>
      <c r="D1939">
        <v>4100</v>
      </c>
      <c r="E1939">
        <v>8.8000000000000007</v>
      </c>
      <c r="F1939">
        <v>640</v>
      </c>
    </row>
    <row r="1940" spans="1:6" ht="14.25">
      <c r="A1940" t="s">
        <v>2617</v>
      </c>
      <c r="B1940" t="s">
        <v>911</v>
      </c>
      <c r="C1940" t="s">
        <v>143</v>
      </c>
      <c r="D1940">
        <v>4100</v>
      </c>
      <c r="E1940">
        <v>10</v>
      </c>
      <c r="F1940">
        <v>650</v>
      </c>
    </row>
    <row r="1941" spans="1:6" ht="14.25">
      <c r="A1941" t="s">
        <v>2618</v>
      </c>
      <c r="B1941" t="s">
        <v>2619</v>
      </c>
      <c r="C1941" t="s">
        <v>143</v>
      </c>
      <c r="D1941">
        <v>4100</v>
      </c>
      <c r="E1941">
        <v>15</v>
      </c>
      <c r="F1941">
        <v>640</v>
      </c>
    </row>
    <row r="1942" spans="1:6" ht="14.25">
      <c r="A1942" t="s">
        <v>2620</v>
      </c>
      <c r="B1942" t="s">
        <v>2621</v>
      </c>
      <c r="C1942" t="s">
        <v>143</v>
      </c>
      <c r="D1942">
        <v>4100</v>
      </c>
      <c r="E1942">
        <v>15</v>
      </c>
      <c r="F1942">
        <v>640</v>
      </c>
    </row>
    <row r="1943" spans="1:6" ht="14.25">
      <c r="A1943" t="s">
        <v>2622</v>
      </c>
      <c r="B1943" t="s">
        <v>2090</v>
      </c>
      <c r="C1943" t="s">
        <v>136</v>
      </c>
      <c r="D1943">
        <v>4100</v>
      </c>
      <c r="E1943">
        <v>15</v>
      </c>
      <c r="F1943">
        <v>640</v>
      </c>
    </row>
    <row r="1944" spans="1:6" ht="14.25">
      <c r="A1944" t="s">
        <v>2623</v>
      </c>
      <c r="B1944" t="s">
        <v>2093</v>
      </c>
      <c r="C1944" t="s">
        <v>143</v>
      </c>
      <c r="D1944">
        <v>4100</v>
      </c>
      <c r="E1944">
        <v>15</v>
      </c>
      <c r="F1944">
        <v>640</v>
      </c>
    </row>
    <row r="1945" spans="1:6" ht="14.25">
      <c r="A1945" t="s">
        <v>2624</v>
      </c>
      <c r="B1945" t="s">
        <v>2625</v>
      </c>
      <c r="C1945" t="s">
        <v>143</v>
      </c>
      <c r="D1945">
        <v>4100</v>
      </c>
      <c r="E1945">
        <v>15</v>
      </c>
      <c r="F1945">
        <v>640</v>
      </c>
    </row>
    <row r="1946" spans="1:6" ht="14.25">
      <c r="A1946" t="s">
        <v>2626</v>
      </c>
      <c r="B1946" t="s">
        <v>2099</v>
      </c>
      <c r="C1946" t="s">
        <v>143</v>
      </c>
      <c r="D1946">
        <v>4100</v>
      </c>
      <c r="E1946">
        <v>15</v>
      </c>
      <c r="F1946">
        <v>640</v>
      </c>
    </row>
    <row r="1947" spans="1:6" ht="14.25">
      <c r="A1947" t="s">
        <v>2627</v>
      </c>
      <c r="B1947" t="s">
        <v>2105</v>
      </c>
      <c r="C1947" t="s">
        <v>143</v>
      </c>
      <c r="D1947">
        <v>4100</v>
      </c>
      <c r="E1947">
        <v>15</v>
      </c>
      <c r="F1947">
        <v>640</v>
      </c>
    </row>
    <row r="1948" spans="1:6" ht="14.25">
      <c r="A1948" t="s">
        <v>2628</v>
      </c>
      <c r="B1948" t="s">
        <v>2108</v>
      </c>
      <c r="C1948" t="s">
        <v>143</v>
      </c>
      <c r="D1948">
        <v>4100</v>
      </c>
      <c r="E1948">
        <v>15</v>
      </c>
      <c r="F1948">
        <v>640</v>
      </c>
    </row>
    <row r="1949" spans="1:6" ht="14.25">
      <c r="A1949" t="s">
        <v>2629</v>
      </c>
      <c r="B1949" t="s">
        <v>2111</v>
      </c>
      <c r="C1949" t="s">
        <v>143</v>
      </c>
      <c r="D1949">
        <v>4100</v>
      </c>
      <c r="E1949">
        <v>15</v>
      </c>
      <c r="F1949">
        <v>640</v>
      </c>
    </row>
    <row r="1950" spans="1:6" ht="14.25">
      <c r="A1950" t="s">
        <v>2630</v>
      </c>
      <c r="B1950" t="s">
        <v>1110</v>
      </c>
      <c r="C1950" t="s">
        <v>136</v>
      </c>
      <c r="D1950">
        <v>4100</v>
      </c>
      <c r="E1950">
        <v>10</v>
      </c>
      <c r="F1950">
        <v>650</v>
      </c>
    </row>
    <row r="1951" spans="1:6" ht="14.25">
      <c r="A1951" t="s">
        <v>2631</v>
      </c>
      <c r="B1951" t="s">
        <v>2632</v>
      </c>
      <c r="C1951" t="s">
        <v>136</v>
      </c>
      <c r="D1951">
        <v>4100</v>
      </c>
      <c r="E1951">
        <v>9.1999999999999993</v>
      </c>
      <c r="F1951">
        <v>640</v>
      </c>
    </row>
    <row r="1952" spans="1:6" ht="14.25">
      <c r="A1952" t="s">
        <v>2633</v>
      </c>
      <c r="B1952" t="s">
        <v>1280</v>
      </c>
      <c r="C1952" t="s">
        <v>136</v>
      </c>
      <c r="D1952">
        <v>4100</v>
      </c>
      <c r="E1952">
        <v>9</v>
      </c>
      <c r="F1952">
        <v>640</v>
      </c>
    </row>
    <row r="1953" spans="1:6" ht="14.25">
      <c r="A1953" t="s">
        <v>2634</v>
      </c>
      <c r="B1953" t="s">
        <v>1280</v>
      </c>
      <c r="C1953" t="s">
        <v>136</v>
      </c>
      <c r="D1953">
        <v>4100</v>
      </c>
      <c r="E1953">
        <v>10</v>
      </c>
      <c r="F1953">
        <v>650</v>
      </c>
    </row>
    <row r="1954" spans="1:6" ht="14.25">
      <c r="A1954" t="s">
        <v>2635</v>
      </c>
      <c r="B1954" t="s">
        <v>2636</v>
      </c>
      <c r="C1954" t="s">
        <v>136</v>
      </c>
      <c r="D1954">
        <v>4100</v>
      </c>
      <c r="E1954">
        <v>9.1999999999999993</v>
      </c>
      <c r="F1954">
        <v>640</v>
      </c>
    </row>
    <row r="1955" spans="1:6" ht="14.25">
      <c r="A1955" t="s">
        <v>2637</v>
      </c>
      <c r="B1955" t="s">
        <v>2638</v>
      </c>
      <c r="C1955" t="s">
        <v>136</v>
      </c>
      <c r="D1955">
        <v>4100</v>
      </c>
      <c r="E1955">
        <v>9.1999999999999993</v>
      </c>
      <c r="F1955">
        <v>640</v>
      </c>
    </row>
    <row r="1956" spans="1:6" ht="14.25">
      <c r="A1956" t="s">
        <v>2639</v>
      </c>
      <c r="B1956" t="s">
        <v>1353</v>
      </c>
      <c r="C1956" t="s">
        <v>136</v>
      </c>
      <c r="D1956">
        <v>4100</v>
      </c>
      <c r="E1956">
        <v>9</v>
      </c>
      <c r="F1956">
        <v>640</v>
      </c>
    </row>
    <row r="1957" spans="1:6" ht="14.25">
      <c r="A1957" t="s">
        <v>2640</v>
      </c>
      <c r="B1957" t="s">
        <v>1437</v>
      </c>
      <c r="C1957" t="s">
        <v>136</v>
      </c>
      <c r="D1957">
        <v>4100</v>
      </c>
      <c r="E1957">
        <v>9</v>
      </c>
      <c r="F1957">
        <v>640</v>
      </c>
    </row>
    <row r="1958" spans="1:6" ht="14.25">
      <c r="A1958" t="s">
        <v>2641</v>
      </c>
      <c r="B1958" t="s">
        <v>1437</v>
      </c>
      <c r="C1958" t="s">
        <v>136</v>
      </c>
      <c r="D1958">
        <v>4100</v>
      </c>
      <c r="E1958">
        <v>10</v>
      </c>
      <c r="F1958">
        <v>650</v>
      </c>
    </row>
    <row r="1959" spans="1:6" ht="14.25">
      <c r="A1959" t="s">
        <v>2642</v>
      </c>
      <c r="B1959" t="s">
        <v>1429</v>
      </c>
      <c r="C1959" t="s">
        <v>136</v>
      </c>
      <c r="D1959">
        <v>4100</v>
      </c>
      <c r="E1959">
        <v>9.1999999999999993</v>
      </c>
      <c r="F1959">
        <v>640</v>
      </c>
    </row>
    <row r="1960" spans="1:6" ht="14.25">
      <c r="A1960" t="s">
        <v>2643</v>
      </c>
      <c r="B1960" t="s">
        <v>2139</v>
      </c>
      <c r="C1960" t="s">
        <v>136</v>
      </c>
      <c r="D1960">
        <v>4100</v>
      </c>
      <c r="E1960">
        <v>9.1999999999999993</v>
      </c>
      <c r="F1960">
        <v>640</v>
      </c>
    </row>
    <row r="1961" spans="1:6" ht="14.25">
      <c r="A1961" t="s">
        <v>2644</v>
      </c>
      <c r="B1961" t="s">
        <v>1437</v>
      </c>
      <c r="C1961" t="s">
        <v>136</v>
      </c>
      <c r="D1961">
        <v>4100</v>
      </c>
      <c r="E1961">
        <v>10</v>
      </c>
      <c r="F1961">
        <v>650</v>
      </c>
    </row>
    <row r="1962" spans="1:6" ht="14.25">
      <c r="A1962" t="s">
        <v>2645</v>
      </c>
      <c r="B1962" t="s">
        <v>2646</v>
      </c>
      <c r="C1962" t="s">
        <v>143</v>
      </c>
      <c r="D1962">
        <v>4100</v>
      </c>
      <c r="E1962">
        <v>9.1999999999999993</v>
      </c>
      <c r="F1962">
        <v>650</v>
      </c>
    </row>
    <row r="1963" spans="1:6" ht="14.25">
      <c r="A1963" t="s">
        <v>2647</v>
      </c>
      <c r="B1963" t="s">
        <v>1504</v>
      </c>
      <c r="C1963" t="s">
        <v>136</v>
      </c>
      <c r="D1963">
        <v>4100</v>
      </c>
      <c r="E1963">
        <v>9.1999999999999993</v>
      </c>
      <c r="F1963">
        <v>640</v>
      </c>
    </row>
    <row r="1964" spans="1:6" ht="14.25">
      <c r="A1964" t="s">
        <v>2648</v>
      </c>
      <c r="B1964" t="s">
        <v>2154</v>
      </c>
      <c r="C1964" t="s">
        <v>136</v>
      </c>
      <c r="D1964">
        <v>4100</v>
      </c>
      <c r="E1964">
        <v>9</v>
      </c>
      <c r="F1964">
        <v>640</v>
      </c>
    </row>
    <row r="1965" spans="1:6" ht="14.25">
      <c r="A1965" t="s">
        <v>2649</v>
      </c>
      <c r="B1965" t="s">
        <v>1542</v>
      </c>
      <c r="C1965" t="s">
        <v>136</v>
      </c>
      <c r="D1965">
        <v>4100</v>
      </c>
      <c r="E1965">
        <v>10</v>
      </c>
      <c r="F1965">
        <v>650</v>
      </c>
    </row>
    <row r="1966" spans="1:6" ht="14.25">
      <c r="A1966" t="s">
        <v>2650</v>
      </c>
      <c r="B1966" t="s">
        <v>1542</v>
      </c>
      <c r="C1966" t="s">
        <v>136</v>
      </c>
      <c r="D1966">
        <v>4100</v>
      </c>
      <c r="E1966">
        <v>10</v>
      </c>
      <c r="F1966">
        <v>650</v>
      </c>
    </row>
    <row r="1967" spans="1:6" ht="14.25">
      <c r="A1967" t="s">
        <v>2651</v>
      </c>
      <c r="C1967" t="s">
        <v>136</v>
      </c>
      <c r="D1967">
        <v>4100</v>
      </c>
      <c r="E1967">
        <v>8</v>
      </c>
      <c r="F1967">
        <v>640</v>
      </c>
    </row>
    <row r="1968" spans="1:6" ht="14.25">
      <c r="A1968" t="s">
        <v>2652</v>
      </c>
      <c r="B1968" t="s">
        <v>2653</v>
      </c>
      <c r="C1968" t="s">
        <v>143</v>
      </c>
      <c r="D1968">
        <v>4100</v>
      </c>
      <c r="E1968">
        <v>9.1999999999999993</v>
      </c>
      <c r="F1968">
        <v>640</v>
      </c>
    </row>
    <row r="1969" spans="1:6" ht="14.25">
      <c r="A1969" t="s">
        <v>2654</v>
      </c>
      <c r="C1969" t="s">
        <v>143</v>
      </c>
      <c r="D1969">
        <v>1250</v>
      </c>
      <c r="E1969">
        <v>4</v>
      </c>
      <c r="F1969">
        <v>2500</v>
      </c>
    </row>
    <row r="1970" spans="1:6" ht="14.25">
      <c r="A1970" t="s">
        <v>2655</v>
      </c>
      <c r="C1970" t="s">
        <v>143</v>
      </c>
      <c r="D1970">
        <v>1250</v>
      </c>
      <c r="E1970">
        <v>18</v>
      </c>
      <c r="F1970">
        <v>2500</v>
      </c>
    </row>
    <row r="1971" spans="1:6" ht="14.25">
      <c r="A1971" t="s">
        <v>5453</v>
      </c>
      <c r="C1971" t="s">
        <v>143</v>
      </c>
      <c r="D1971">
        <v>1525</v>
      </c>
      <c r="E1971">
        <v>15</v>
      </c>
      <c r="F1971">
        <v>3050</v>
      </c>
    </row>
    <row r="1972" spans="1:6" ht="14.25">
      <c r="A1972" t="s">
        <v>5454</v>
      </c>
      <c r="C1972" t="s">
        <v>143</v>
      </c>
      <c r="D1972">
        <v>1525</v>
      </c>
      <c r="E1972">
        <v>18</v>
      </c>
      <c r="F1972">
        <v>3050</v>
      </c>
    </row>
    <row r="1973" spans="1:6" ht="14.25">
      <c r="A1973" t="s">
        <v>5455</v>
      </c>
      <c r="C1973" t="s">
        <v>143</v>
      </c>
      <c r="D1973">
        <v>1525</v>
      </c>
      <c r="E1973">
        <v>12</v>
      </c>
      <c r="F1973">
        <v>3050</v>
      </c>
    </row>
    <row r="1974" spans="1:6" ht="14.25">
      <c r="A1974" t="s">
        <v>5456</v>
      </c>
      <c r="C1974" t="s">
        <v>143</v>
      </c>
      <c r="D1974">
        <v>1525</v>
      </c>
      <c r="E1974">
        <v>15</v>
      </c>
      <c r="F1974">
        <v>3050</v>
      </c>
    </row>
    <row r="1975" spans="1:6" ht="14.25">
      <c r="A1975" t="s">
        <v>5457</v>
      </c>
      <c r="C1975" t="s">
        <v>143</v>
      </c>
      <c r="D1975">
        <v>1525</v>
      </c>
      <c r="E1975">
        <v>18</v>
      </c>
      <c r="F1975">
        <v>3050</v>
      </c>
    </row>
    <row r="1976" spans="1:6" ht="14.25">
      <c r="A1976" t="s">
        <v>5458</v>
      </c>
      <c r="C1976" t="s">
        <v>143</v>
      </c>
      <c r="D1976">
        <v>1525</v>
      </c>
      <c r="E1976">
        <v>21</v>
      </c>
      <c r="F1976">
        <v>3050</v>
      </c>
    </row>
    <row r="1977" spans="1:6" ht="14.25">
      <c r="A1977" t="s">
        <v>2656</v>
      </c>
      <c r="C1977" t="s">
        <v>143</v>
      </c>
      <c r="D1977">
        <v>2500</v>
      </c>
      <c r="E1977">
        <v>15</v>
      </c>
      <c r="F1977">
        <v>1250</v>
      </c>
    </row>
    <row r="1978" spans="1:6" ht="14.25">
      <c r="A1978" t="s">
        <v>2657</v>
      </c>
      <c r="C1978" t="s">
        <v>143</v>
      </c>
      <c r="D1978">
        <v>2500</v>
      </c>
      <c r="E1978">
        <v>18</v>
      </c>
      <c r="F1978">
        <v>1250</v>
      </c>
    </row>
    <row r="1979" spans="1:6" ht="14.25">
      <c r="A1979" t="s">
        <v>2658</v>
      </c>
      <c r="C1979" t="s">
        <v>136</v>
      </c>
      <c r="D1979">
        <v>2500</v>
      </c>
      <c r="E1979">
        <v>21</v>
      </c>
      <c r="F1979">
        <v>1250</v>
      </c>
    </row>
    <row r="1980" spans="1:6" ht="14.25">
      <c r="A1980" t="s">
        <v>2659</v>
      </c>
      <c r="C1980" t="s">
        <v>143</v>
      </c>
      <c r="D1980">
        <v>2500</v>
      </c>
      <c r="E1980">
        <v>4</v>
      </c>
      <c r="F1980">
        <v>1250</v>
      </c>
    </row>
    <row r="1981" spans="1:6" ht="14.25">
      <c r="A1981" t="s">
        <v>2660</v>
      </c>
      <c r="C1981" t="s">
        <v>143</v>
      </c>
      <c r="D1981">
        <v>2500</v>
      </c>
      <c r="E1981">
        <v>6.5</v>
      </c>
      <c r="F1981">
        <v>1250</v>
      </c>
    </row>
    <row r="1982" spans="1:6" ht="14.25">
      <c r="A1982" t="s">
        <v>2661</v>
      </c>
      <c r="C1982" t="s">
        <v>143</v>
      </c>
      <c r="D1982">
        <v>2500</v>
      </c>
      <c r="E1982">
        <v>9</v>
      </c>
      <c r="F1982">
        <v>1250</v>
      </c>
    </row>
    <row r="1983" spans="1:6" ht="14.25">
      <c r="A1983" t="s">
        <v>2662</v>
      </c>
      <c r="C1983" t="s">
        <v>143</v>
      </c>
      <c r="D1983">
        <v>2500</v>
      </c>
      <c r="E1983">
        <v>12</v>
      </c>
      <c r="F1983">
        <v>1250</v>
      </c>
    </row>
    <row r="1984" spans="1:6" ht="14.25">
      <c r="A1984" t="s">
        <v>2663</v>
      </c>
      <c r="C1984" t="s">
        <v>143</v>
      </c>
      <c r="D1984">
        <v>2500</v>
      </c>
      <c r="E1984">
        <v>15</v>
      </c>
      <c r="F1984">
        <v>1250</v>
      </c>
    </row>
    <row r="1985" spans="1:6" ht="14.25">
      <c r="A1985" t="s">
        <v>2664</v>
      </c>
      <c r="C1985" t="s">
        <v>143</v>
      </c>
      <c r="D1985">
        <v>2500</v>
      </c>
      <c r="E1985">
        <v>18</v>
      </c>
      <c r="F1985">
        <v>1250</v>
      </c>
    </row>
    <row r="1986" spans="1:6" ht="14.25">
      <c r="A1986" t="s">
        <v>2665</v>
      </c>
      <c r="B1986" t="s">
        <v>5667</v>
      </c>
      <c r="C1986" t="s">
        <v>143</v>
      </c>
      <c r="D1986">
        <v>2500</v>
      </c>
      <c r="E1986">
        <v>21</v>
      </c>
      <c r="F1986">
        <v>1250</v>
      </c>
    </row>
    <row r="1987" spans="1:6" ht="14.25">
      <c r="A1987" t="s">
        <v>2666</v>
      </c>
      <c r="C1987" t="s">
        <v>143</v>
      </c>
      <c r="D1987">
        <v>2500</v>
      </c>
      <c r="E1987">
        <v>24</v>
      </c>
      <c r="F1987">
        <v>1250</v>
      </c>
    </row>
    <row r="1988" spans="1:6" ht="14.25">
      <c r="A1988" t="s">
        <v>2667</v>
      </c>
      <c r="B1988" t="s">
        <v>5667</v>
      </c>
      <c r="C1988" t="s">
        <v>143</v>
      </c>
      <c r="D1988">
        <v>2500</v>
      </c>
      <c r="E1988">
        <v>30</v>
      </c>
      <c r="F1988">
        <v>1250</v>
      </c>
    </row>
    <row r="1989" spans="1:6" ht="14.25">
      <c r="A1989" t="s">
        <v>2668</v>
      </c>
      <c r="C1989" t="s">
        <v>143</v>
      </c>
      <c r="D1989">
        <v>2500</v>
      </c>
      <c r="E1989">
        <v>35</v>
      </c>
      <c r="F1989">
        <v>1250</v>
      </c>
    </row>
    <row r="1990" spans="1:6" ht="14.25">
      <c r="A1990" t="s">
        <v>2669</v>
      </c>
      <c r="C1990" t="s">
        <v>136</v>
      </c>
      <c r="D1990">
        <v>2500</v>
      </c>
      <c r="E1990">
        <v>9</v>
      </c>
      <c r="F1990">
        <v>607</v>
      </c>
    </row>
    <row r="1991" spans="1:6" ht="14.25">
      <c r="A1991" t="s">
        <v>2670</v>
      </c>
      <c r="C1991" t="s">
        <v>136</v>
      </c>
      <c r="D1991">
        <v>1250</v>
      </c>
      <c r="E1991">
        <v>18</v>
      </c>
      <c r="F1991">
        <v>2500</v>
      </c>
    </row>
    <row r="1992" spans="1:6" ht="14.25">
      <c r="A1992" t="s">
        <v>2671</v>
      </c>
      <c r="B1992" t="s">
        <v>5667</v>
      </c>
      <c r="C1992" t="s">
        <v>136</v>
      </c>
      <c r="D1992">
        <v>1250</v>
      </c>
      <c r="E1992">
        <v>6.5</v>
      </c>
      <c r="F1992">
        <v>2500</v>
      </c>
    </row>
    <row r="1993" spans="1:6" ht="14.25">
      <c r="A1993" t="s">
        <v>2672</v>
      </c>
      <c r="C1993" t="s">
        <v>143</v>
      </c>
      <c r="D1993">
        <v>2500</v>
      </c>
      <c r="E1993">
        <v>15</v>
      </c>
      <c r="F1993">
        <v>1250</v>
      </c>
    </row>
    <row r="1994" spans="1:6" ht="14.25">
      <c r="A1994" t="s">
        <v>2673</v>
      </c>
      <c r="C1994" t="s">
        <v>143</v>
      </c>
      <c r="D1994">
        <v>2500</v>
      </c>
      <c r="E1994">
        <v>18</v>
      </c>
      <c r="F1994">
        <v>1250</v>
      </c>
    </row>
    <row r="1995" spans="1:6" ht="14.25">
      <c r="A1995" t="s">
        <v>2674</v>
      </c>
      <c r="B1995" t="s">
        <v>2675</v>
      </c>
      <c r="C1995" t="s">
        <v>143</v>
      </c>
      <c r="D1995">
        <v>2800</v>
      </c>
      <c r="E1995">
        <v>16</v>
      </c>
      <c r="F1995">
        <v>2070</v>
      </c>
    </row>
    <row r="1996" spans="1:6" ht="14.25">
      <c r="A1996" t="s">
        <v>2676</v>
      </c>
      <c r="C1996" t="s">
        <v>143</v>
      </c>
      <c r="D1996">
        <v>2800</v>
      </c>
      <c r="E1996">
        <v>19</v>
      </c>
      <c r="F1996">
        <v>2070</v>
      </c>
    </row>
    <row r="1997" spans="1:6" ht="14.25">
      <c r="A1997" t="s">
        <v>2677</v>
      </c>
      <c r="B1997" t="s">
        <v>2675</v>
      </c>
      <c r="C1997" t="s">
        <v>143</v>
      </c>
      <c r="D1997">
        <v>2500</v>
      </c>
      <c r="E1997">
        <v>16</v>
      </c>
      <c r="F1997">
        <v>1240</v>
      </c>
    </row>
    <row r="1998" spans="1:6" ht="14.25">
      <c r="A1998" t="s">
        <v>2678</v>
      </c>
      <c r="B1998" t="s">
        <v>2675</v>
      </c>
      <c r="C1998" t="s">
        <v>143</v>
      </c>
      <c r="D1998">
        <v>2500</v>
      </c>
      <c r="E1998">
        <v>39</v>
      </c>
      <c r="F1998">
        <v>1240</v>
      </c>
    </row>
    <row r="1999" spans="1:6" ht="14.25">
      <c r="A1999" t="s">
        <v>2679</v>
      </c>
      <c r="B1999" t="s">
        <v>2675</v>
      </c>
      <c r="C1999" t="s">
        <v>143</v>
      </c>
      <c r="D1999">
        <v>2500</v>
      </c>
      <c r="E1999">
        <v>9</v>
      </c>
      <c r="F1999">
        <v>1250</v>
      </c>
    </row>
    <row r="2000" spans="1:6" ht="14.25">
      <c r="A2000" t="s">
        <v>2680</v>
      </c>
      <c r="B2000" t="s">
        <v>2675</v>
      </c>
      <c r="C2000" t="s">
        <v>143</v>
      </c>
      <c r="D2000">
        <v>2500</v>
      </c>
      <c r="E2000">
        <v>16</v>
      </c>
      <c r="F2000">
        <v>1240</v>
      </c>
    </row>
    <row r="2001" spans="1:6" ht="14.25">
      <c r="A2001" t="s">
        <v>2681</v>
      </c>
      <c r="B2001" t="s">
        <v>2675</v>
      </c>
      <c r="C2001" t="s">
        <v>143</v>
      </c>
      <c r="D2001">
        <v>2500</v>
      </c>
      <c r="E2001">
        <v>9</v>
      </c>
      <c r="F2001">
        <v>1240</v>
      </c>
    </row>
    <row r="2002" spans="1:6" ht="14.25">
      <c r="A2002" t="s">
        <v>2682</v>
      </c>
      <c r="B2002" t="s">
        <v>2675</v>
      </c>
      <c r="C2002" t="s">
        <v>143</v>
      </c>
      <c r="D2002">
        <v>2800</v>
      </c>
      <c r="E2002">
        <v>16</v>
      </c>
      <c r="F2002">
        <v>2070</v>
      </c>
    </row>
    <row r="2003" spans="1:6" ht="14.25">
      <c r="A2003" t="s">
        <v>2683</v>
      </c>
      <c r="B2003" t="s">
        <v>2675</v>
      </c>
      <c r="C2003" t="s">
        <v>143</v>
      </c>
      <c r="D2003">
        <v>2800</v>
      </c>
      <c r="E2003">
        <v>19</v>
      </c>
      <c r="F2003">
        <v>2070</v>
      </c>
    </row>
    <row r="2004" spans="1:6" ht="14.25">
      <c r="A2004" t="s">
        <v>2684</v>
      </c>
      <c r="B2004" t="s">
        <v>2675</v>
      </c>
      <c r="C2004" t="s">
        <v>143</v>
      </c>
      <c r="D2004">
        <v>2800</v>
      </c>
      <c r="E2004">
        <v>16</v>
      </c>
      <c r="F2004">
        <v>2070</v>
      </c>
    </row>
    <row r="2005" spans="1:6" ht="14.25">
      <c r="A2005" t="s">
        <v>2685</v>
      </c>
      <c r="B2005" t="s">
        <v>2675</v>
      </c>
      <c r="C2005" t="s">
        <v>143</v>
      </c>
      <c r="D2005">
        <v>2800</v>
      </c>
      <c r="E2005">
        <v>19</v>
      </c>
      <c r="F2005">
        <v>2070</v>
      </c>
    </row>
    <row r="2006" spans="1:6" ht="14.25">
      <c r="A2006" t="s">
        <v>2686</v>
      </c>
      <c r="B2006" t="s">
        <v>2675</v>
      </c>
      <c r="C2006" t="s">
        <v>143</v>
      </c>
      <c r="D2006">
        <v>2800</v>
      </c>
      <c r="E2006">
        <v>16</v>
      </c>
      <c r="F2006">
        <v>2070</v>
      </c>
    </row>
    <row r="2007" spans="1:6" ht="14.25">
      <c r="A2007" t="s">
        <v>2687</v>
      </c>
      <c r="B2007" t="s">
        <v>2675</v>
      </c>
      <c r="C2007" t="s">
        <v>143</v>
      </c>
      <c r="D2007">
        <v>2800</v>
      </c>
      <c r="E2007">
        <v>19</v>
      </c>
      <c r="F2007">
        <v>2070</v>
      </c>
    </row>
    <row r="2008" spans="1:6" ht="14.25">
      <c r="A2008" t="s">
        <v>2688</v>
      </c>
      <c r="B2008" t="s">
        <v>2675</v>
      </c>
      <c r="C2008" t="s">
        <v>143</v>
      </c>
      <c r="D2008">
        <v>2800</v>
      </c>
      <c r="E2008">
        <v>26</v>
      </c>
      <c r="F2008">
        <v>2070</v>
      </c>
    </row>
    <row r="2009" spans="1:6" ht="14.25">
      <c r="A2009" t="s">
        <v>2689</v>
      </c>
      <c r="B2009" t="s">
        <v>2675</v>
      </c>
      <c r="C2009" t="s">
        <v>143</v>
      </c>
      <c r="D2009">
        <v>2500</v>
      </c>
      <c r="E2009">
        <v>39</v>
      </c>
      <c r="F2009">
        <v>1240</v>
      </c>
    </row>
    <row r="2010" spans="1:6" ht="14.25">
      <c r="A2010" t="s">
        <v>2690</v>
      </c>
      <c r="B2010" t="s">
        <v>2675</v>
      </c>
      <c r="C2010" t="s">
        <v>143</v>
      </c>
      <c r="D2010">
        <v>2500</v>
      </c>
      <c r="E2010">
        <v>16</v>
      </c>
      <c r="F2010">
        <v>1240</v>
      </c>
    </row>
    <row r="2011" spans="1:6" ht="14.25">
      <c r="A2011" t="s">
        <v>2691</v>
      </c>
      <c r="B2011" t="s">
        <v>2675</v>
      </c>
      <c r="C2011" t="s">
        <v>143</v>
      </c>
      <c r="D2011">
        <v>2800</v>
      </c>
      <c r="E2011">
        <v>26</v>
      </c>
      <c r="F2011">
        <v>2070</v>
      </c>
    </row>
    <row r="2012" spans="1:6" ht="14.25">
      <c r="A2012" t="s">
        <v>5668</v>
      </c>
      <c r="B2012" t="s">
        <v>2675</v>
      </c>
      <c r="C2012" t="s">
        <v>143</v>
      </c>
      <c r="D2012">
        <v>2800</v>
      </c>
      <c r="E2012">
        <v>19</v>
      </c>
      <c r="F2012">
        <v>2070</v>
      </c>
    </row>
    <row r="2013" spans="1:6" ht="14.25">
      <c r="A2013" t="s">
        <v>5669</v>
      </c>
      <c r="B2013" t="s">
        <v>2675</v>
      </c>
      <c r="C2013" t="s">
        <v>143</v>
      </c>
      <c r="D2013">
        <v>2800</v>
      </c>
      <c r="E2013">
        <v>23</v>
      </c>
      <c r="F2013">
        <v>2070</v>
      </c>
    </row>
    <row r="2014" spans="1:6" ht="14.25">
      <c r="A2014" t="s">
        <v>5670</v>
      </c>
      <c r="B2014" t="s">
        <v>2675</v>
      </c>
      <c r="C2014" t="s">
        <v>143</v>
      </c>
      <c r="D2014">
        <v>2800</v>
      </c>
      <c r="E2014">
        <v>39</v>
      </c>
      <c r="F2014">
        <v>2070</v>
      </c>
    </row>
    <row r="2015" spans="1:6" ht="14.25">
      <c r="A2015" t="s">
        <v>2692</v>
      </c>
      <c r="B2015" t="s">
        <v>2675</v>
      </c>
      <c r="C2015" t="s">
        <v>143</v>
      </c>
      <c r="D2015">
        <v>2800</v>
      </c>
      <c r="E2015">
        <v>16</v>
      </c>
      <c r="F2015">
        <v>2070</v>
      </c>
    </row>
    <row r="2016" spans="1:6" ht="14.25">
      <c r="A2016" t="s">
        <v>2693</v>
      </c>
      <c r="B2016" t="s">
        <v>2694</v>
      </c>
      <c r="C2016" t="s">
        <v>143</v>
      </c>
      <c r="D2016">
        <v>2800</v>
      </c>
      <c r="E2016">
        <v>9</v>
      </c>
      <c r="F2016">
        <v>2070</v>
      </c>
    </row>
    <row r="2017" spans="1:6" ht="14.25">
      <c r="A2017" t="s">
        <v>2695</v>
      </c>
      <c r="B2017" t="s">
        <v>2694</v>
      </c>
      <c r="C2017" t="s">
        <v>143</v>
      </c>
      <c r="D2017">
        <v>2800</v>
      </c>
      <c r="E2017">
        <v>16</v>
      </c>
      <c r="F2017">
        <v>2070</v>
      </c>
    </row>
    <row r="2018" spans="1:6" ht="14.25">
      <c r="A2018" t="s">
        <v>2696</v>
      </c>
      <c r="B2018" t="s">
        <v>2694</v>
      </c>
      <c r="C2018" t="s">
        <v>143</v>
      </c>
      <c r="D2018">
        <v>2800</v>
      </c>
      <c r="E2018">
        <v>16</v>
      </c>
      <c r="F2018">
        <v>2070</v>
      </c>
    </row>
    <row r="2019" spans="1:6" ht="14.25">
      <c r="A2019" t="s">
        <v>2697</v>
      </c>
      <c r="B2019" t="s">
        <v>2694</v>
      </c>
      <c r="C2019" t="s">
        <v>143</v>
      </c>
      <c r="D2019">
        <v>2800</v>
      </c>
      <c r="E2019">
        <v>19</v>
      </c>
      <c r="F2019">
        <v>2070</v>
      </c>
    </row>
    <row r="2020" spans="1:6" ht="14.25">
      <c r="A2020" t="s">
        <v>2698</v>
      </c>
      <c r="C2020" t="s">
        <v>136</v>
      </c>
      <c r="D2020">
        <v>2800</v>
      </c>
      <c r="E2020">
        <v>19</v>
      </c>
      <c r="F2020">
        <v>2070</v>
      </c>
    </row>
    <row r="2021" spans="1:6" ht="14.25">
      <c r="A2021" t="s">
        <v>2699</v>
      </c>
      <c r="B2021" t="s">
        <v>2675</v>
      </c>
      <c r="C2021" t="s">
        <v>143</v>
      </c>
      <c r="D2021">
        <v>2800</v>
      </c>
      <c r="E2021">
        <v>13</v>
      </c>
      <c r="F2021">
        <v>2070</v>
      </c>
    </row>
    <row r="2022" spans="1:6" ht="14.25">
      <c r="A2022" t="s">
        <v>2700</v>
      </c>
      <c r="B2022" t="s">
        <v>2675</v>
      </c>
      <c r="C2022" t="s">
        <v>143</v>
      </c>
      <c r="D2022">
        <v>2800</v>
      </c>
      <c r="E2022">
        <v>16</v>
      </c>
      <c r="F2022">
        <v>2070</v>
      </c>
    </row>
    <row r="2023" spans="1:6" ht="14.25">
      <c r="A2023" t="s">
        <v>2701</v>
      </c>
      <c r="B2023" t="s">
        <v>2675</v>
      </c>
      <c r="C2023" t="s">
        <v>143</v>
      </c>
      <c r="D2023">
        <v>2800</v>
      </c>
      <c r="E2023">
        <v>19</v>
      </c>
      <c r="F2023">
        <v>2070</v>
      </c>
    </row>
    <row r="2024" spans="1:6" ht="14.25">
      <c r="A2024" t="s">
        <v>2702</v>
      </c>
      <c r="B2024" t="s">
        <v>2675</v>
      </c>
      <c r="C2024" t="s">
        <v>143</v>
      </c>
      <c r="D2024">
        <v>2800</v>
      </c>
      <c r="E2024">
        <v>26</v>
      </c>
      <c r="F2024">
        <v>2070</v>
      </c>
    </row>
    <row r="2025" spans="1:6" ht="14.25">
      <c r="A2025" t="s">
        <v>2703</v>
      </c>
      <c r="B2025" t="s">
        <v>2675</v>
      </c>
      <c r="C2025" t="s">
        <v>143</v>
      </c>
      <c r="D2025">
        <v>2800</v>
      </c>
      <c r="E2025">
        <v>6</v>
      </c>
      <c r="F2025">
        <v>2070</v>
      </c>
    </row>
    <row r="2026" spans="1:6" ht="14.25">
      <c r="A2026" t="s">
        <v>2704</v>
      </c>
      <c r="B2026" t="s">
        <v>2675</v>
      </c>
      <c r="C2026" t="s">
        <v>143</v>
      </c>
      <c r="D2026">
        <v>2800</v>
      </c>
      <c r="E2026">
        <v>13</v>
      </c>
      <c r="F2026">
        <v>2070</v>
      </c>
    </row>
    <row r="2027" spans="1:6" ht="14.25">
      <c r="A2027" t="s">
        <v>2705</v>
      </c>
      <c r="B2027" t="s">
        <v>2675</v>
      </c>
      <c r="C2027" t="s">
        <v>143</v>
      </c>
      <c r="D2027">
        <v>2800</v>
      </c>
      <c r="E2027">
        <v>16</v>
      </c>
      <c r="F2027">
        <v>2070</v>
      </c>
    </row>
    <row r="2028" spans="1:6" ht="14.25">
      <c r="A2028" t="s">
        <v>2706</v>
      </c>
      <c r="B2028" t="s">
        <v>2675</v>
      </c>
      <c r="C2028" t="s">
        <v>143</v>
      </c>
      <c r="D2028">
        <v>2800</v>
      </c>
      <c r="E2028">
        <v>19</v>
      </c>
      <c r="F2028">
        <v>2070</v>
      </c>
    </row>
    <row r="2029" spans="1:6" ht="14.25">
      <c r="A2029" t="s">
        <v>2707</v>
      </c>
      <c r="B2029" t="s">
        <v>2675</v>
      </c>
      <c r="C2029" t="s">
        <v>143</v>
      </c>
      <c r="D2029">
        <v>2800</v>
      </c>
      <c r="E2029">
        <v>23</v>
      </c>
      <c r="F2029">
        <v>2070</v>
      </c>
    </row>
    <row r="2030" spans="1:6" ht="14.25">
      <c r="A2030" t="s">
        <v>2708</v>
      </c>
      <c r="B2030" t="s">
        <v>2675</v>
      </c>
      <c r="C2030" t="s">
        <v>143</v>
      </c>
      <c r="D2030">
        <v>2800</v>
      </c>
      <c r="E2030">
        <v>29</v>
      </c>
      <c r="F2030">
        <v>2070</v>
      </c>
    </row>
    <row r="2031" spans="1:6" ht="14.25">
      <c r="A2031" t="s">
        <v>2709</v>
      </c>
      <c r="C2031" t="s">
        <v>136</v>
      </c>
      <c r="D2031">
        <v>2800</v>
      </c>
      <c r="E2031">
        <v>16</v>
      </c>
      <c r="F2031">
        <v>2070</v>
      </c>
    </row>
    <row r="2032" spans="1:6" ht="14.25">
      <c r="A2032" t="s">
        <v>2710</v>
      </c>
      <c r="B2032" t="s">
        <v>2675</v>
      </c>
      <c r="C2032" t="s">
        <v>143</v>
      </c>
      <c r="D2032">
        <v>2440</v>
      </c>
      <c r="E2032">
        <v>6</v>
      </c>
      <c r="F2032">
        <v>1220</v>
      </c>
    </row>
    <row r="2033" spans="1:6" ht="14.25">
      <c r="A2033" t="s">
        <v>2711</v>
      </c>
      <c r="B2033" t="s">
        <v>2675</v>
      </c>
      <c r="C2033" t="s">
        <v>143</v>
      </c>
      <c r="D2033">
        <v>2440</v>
      </c>
      <c r="E2033">
        <v>4</v>
      </c>
      <c r="F2033">
        <v>1220</v>
      </c>
    </row>
    <row r="2034" spans="1:6" ht="14.25">
      <c r="A2034" t="s">
        <v>2712</v>
      </c>
      <c r="B2034" t="s">
        <v>2675</v>
      </c>
      <c r="C2034" t="s">
        <v>143</v>
      </c>
      <c r="D2034">
        <v>2440</v>
      </c>
      <c r="E2034">
        <v>23</v>
      </c>
      <c r="F2034">
        <v>1220</v>
      </c>
    </row>
    <row r="2035" spans="1:6" ht="14.25">
      <c r="A2035" t="s">
        <v>2713</v>
      </c>
      <c r="B2035" t="s">
        <v>2675</v>
      </c>
      <c r="C2035" t="s">
        <v>143</v>
      </c>
      <c r="D2035">
        <v>2440</v>
      </c>
      <c r="E2035">
        <v>16</v>
      </c>
      <c r="F2035">
        <v>1220</v>
      </c>
    </row>
    <row r="2036" spans="1:6" ht="14.25">
      <c r="A2036" t="s">
        <v>2714</v>
      </c>
      <c r="B2036" t="s">
        <v>2675</v>
      </c>
      <c r="C2036" t="s">
        <v>143</v>
      </c>
      <c r="D2036">
        <v>2440</v>
      </c>
      <c r="E2036">
        <v>19</v>
      </c>
      <c r="F2036">
        <v>1220</v>
      </c>
    </row>
    <row r="2037" spans="1:6" ht="14.25">
      <c r="A2037" t="s">
        <v>2715</v>
      </c>
      <c r="B2037" t="s">
        <v>2675</v>
      </c>
      <c r="C2037" t="s">
        <v>143</v>
      </c>
      <c r="D2037">
        <v>2800</v>
      </c>
      <c r="E2037">
        <v>19</v>
      </c>
      <c r="F2037">
        <v>2070</v>
      </c>
    </row>
    <row r="2038" spans="1:6" ht="14.25">
      <c r="A2038" t="s">
        <v>2716</v>
      </c>
      <c r="B2038" t="s">
        <v>2717</v>
      </c>
      <c r="C2038" t="s">
        <v>143</v>
      </c>
      <c r="D2038">
        <v>2800</v>
      </c>
      <c r="E2038">
        <v>19</v>
      </c>
      <c r="F2038">
        <v>2070</v>
      </c>
    </row>
    <row r="2039" spans="1:6" ht="14.25">
      <c r="A2039" t="s">
        <v>2718</v>
      </c>
      <c r="B2039" t="s">
        <v>2675</v>
      </c>
      <c r="C2039" t="s">
        <v>143</v>
      </c>
      <c r="D2039">
        <v>2800</v>
      </c>
      <c r="E2039">
        <v>4</v>
      </c>
      <c r="F2039">
        <v>2070</v>
      </c>
    </row>
    <row r="2040" spans="1:6" ht="14.25">
      <c r="A2040" t="s">
        <v>2719</v>
      </c>
      <c r="B2040" t="s">
        <v>2675</v>
      </c>
      <c r="C2040" t="s">
        <v>143</v>
      </c>
      <c r="D2040">
        <v>2800</v>
      </c>
      <c r="E2040">
        <v>26</v>
      </c>
      <c r="F2040">
        <v>2070</v>
      </c>
    </row>
    <row r="2041" spans="1:6" ht="14.25">
      <c r="A2041" t="s">
        <v>2720</v>
      </c>
      <c r="B2041" t="s">
        <v>2675</v>
      </c>
      <c r="C2041" t="s">
        <v>143</v>
      </c>
      <c r="D2041">
        <v>3050</v>
      </c>
      <c r="E2041">
        <v>16</v>
      </c>
      <c r="F2041">
        <v>1525</v>
      </c>
    </row>
    <row r="2042" spans="1:6" ht="14.25">
      <c r="A2042" t="s">
        <v>2721</v>
      </c>
      <c r="B2042" t="s">
        <v>2675</v>
      </c>
      <c r="C2042" t="s">
        <v>143</v>
      </c>
      <c r="D2042">
        <v>3050</v>
      </c>
      <c r="E2042">
        <v>16</v>
      </c>
      <c r="F2042">
        <v>1220</v>
      </c>
    </row>
    <row r="2043" spans="1:6" ht="14.25">
      <c r="A2043" t="s">
        <v>2722</v>
      </c>
      <c r="B2043" t="s">
        <v>2723</v>
      </c>
      <c r="C2043" t="s">
        <v>143</v>
      </c>
      <c r="D2043">
        <v>3050</v>
      </c>
      <c r="E2043">
        <v>19</v>
      </c>
      <c r="F2043">
        <v>1220</v>
      </c>
    </row>
    <row r="2044" spans="1:6" ht="14.25">
      <c r="A2044" t="s">
        <v>2724</v>
      </c>
      <c r="B2044" t="s">
        <v>2675</v>
      </c>
      <c r="C2044" t="s">
        <v>143</v>
      </c>
      <c r="D2044">
        <v>3050</v>
      </c>
      <c r="E2044">
        <v>19</v>
      </c>
      <c r="F2044">
        <v>1220</v>
      </c>
    </row>
    <row r="2045" spans="1:6" ht="14.25">
      <c r="A2045" t="s">
        <v>2725</v>
      </c>
      <c r="C2045" t="s">
        <v>143</v>
      </c>
      <c r="D2045">
        <v>2440</v>
      </c>
      <c r="E2045">
        <v>19</v>
      </c>
      <c r="F2045">
        <v>1220</v>
      </c>
    </row>
    <row r="2046" spans="1:6" ht="14.25">
      <c r="A2046" t="s">
        <v>2726</v>
      </c>
      <c r="B2046" t="s">
        <v>2727</v>
      </c>
      <c r="C2046" t="s">
        <v>143</v>
      </c>
      <c r="D2046">
        <v>2800</v>
      </c>
      <c r="E2046">
        <v>19</v>
      </c>
      <c r="F2046">
        <v>2070</v>
      </c>
    </row>
    <row r="2047" spans="1:6" ht="14.25">
      <c r="A2047" t="s">
        <v>2728</v>
      </c>
      <c r="B2047" t="s">
        <v>2675</v>
      </c>
      <c r="C2047" t="s">
        <v>143</v>
      </c>
      <c r="D2047">
        <v>2800</v>
      </c>
      <c r="E2047">
        <v>19</v>
      </c>
      <c r="F2047">
        <v>2070</v>
      </c>
    </row>
    <row r="2048" spans="1:6" ht="14.25">
      <c r="A2048" t="s">
        <v>2729</v>
      </c>
      <c r="B2048" t="s">
        <v>2675</v>
      </c>
      <c r="C2048" t="s">
        <v>143</v>
      </c>
      <c r="D2048">
        <v>2800</v>
      </c>
      <c r="E2048">
        <v>9</v>
      </c>
      <c r="F2048">
        <v>2070</v>
      </c>
    </row>
    <row r="2049" spans="1:6" ht="14.25">
      <c r="A2049" t="s">
        <v>2730</v>
      </c>
      <c r="B2049" t="s">
        <v>2675</v>
      </c>
      <c r="C2049" t="s">
        <v>143</v>
      </c>
      <c r="D2049">
        <v>2800</v>
      </c>
      <c r="E2049">
        <v>16</v>
      </c>
      <c r="F2049">
        <v>2070</v>
      </c>
    </row>
    <row r="2050" spans="1:6" ht="14.25">
      <c r="A2050" t="s">
        <v>2731</v>
      </c>
      <c r="B2050" t="s">
        <v>2675</v>
      </c>
      <c r="C2050" t="s">
        <v>143</v>
      </c>
      <c r="D2050">
        <v>2800</v>
      </c>
      <c r="E2050">
        <v>19</v>
      </c>
      <c r="F2050">
        <v>2070</v>
      </c>
    </row>
    <row r="2051" spans="1:6" ht="14.25">
      <c r="A2051" t="s">
        <v>2732</v>
      </c>
      <c r="B2051" t="s">
        <v>2675</v>
      </c>
      <c r="C2051" t="s">
        <v>143</v>
      </c>
      <c r="D2051">
        <v>2800</v>
      </c>
      <c r="E2051">
        <v>23</v>
      </c>
      <c r="F2051">
        <v>2070</v>
      </c>
    </row>
    <row r="2052" spans="1:6" ht="14.25">
      <c r="A2052" t="s">
        <v>2733</v>
      </c>
      <c r="B2052" t="s">
        <v>2675</v>
      </c>
      <c r="C2052" t="s">
        <v>143</v>
      </c>
      <c r="D2052">
        <v>2800</v>
      </c>
      <c r="E2052">
        <v>26</v>
      </c>
      <c r="F2052">
        <v>2070</v>
      </c>
    </row>
    <row r="2053" spans="1:6" ht="14.25">
      <c r="A2053" t="s">
        <v>2734</v>
      </c>
      <c r="C2053" t="s">
        <v>136</v>
      </c>
      <c r="D2053">
        <v>2800</v>
      </c>
      <c r="E2053">
        <v>19</v>
      </c>
      <c r="F2053">
        <v>2070</v>
      </c>
    </row>
    <row r="2054" spans="1:6" ht="14.25">
      <c r="A2054" t="s">
        <v>2735</v>
      </c>
      <c r="B2054" t="s">
        <v>2675</v>
      </c>
      <c r="C2054" t="s">
        <v>143</v>
      </c>
      <c r="D2054">
        <v>2800</v>
      </c>
      <c r="E2054">
        <v>16</v>
      </c>
      <c r="F2054">
        <v>2070</v>
      </c>
    </row>
    <row r="2055" spans="1:6" ht="14.25">
      <c r="A2055" t="s">
        <v>2736</v>
      </c>
      <c r="B2055" t="s">
        <v>2675</v>
      </c>
      <c r="C2055" t="s">
        <v>143</v>
      </c>
      <c r="D2055">
        <v>2800</v>
      </c>
      <c r="E2055">
        <v>19</v>
      </c>
      <c r="F2055">
        <v>2070</v>
      </c>
    </row>
    <row r="2056" spans="1:6" ht="14.25">
      <c r="A2056" t="s">
        <v>2737</v>
      </c>
      <c r="B2056" t="s">
        <v>2694</v>
      </c>
      <c r="C2056" t="s">
        <v>143</v>
      </c>
      <c r="D2056">
        <v>2800</v>
      </c>
      <c r="E2056">
        <v>4</v>
      </c>
      <c r="F2056">
        <v>2070</v>
      </c>
    </row>
    <row r="2057" spans="1:6" ht="14.25">
      <c r="A2057" t="s">
        <v>2738</v>
      </c>
      <c r="B2057" t="s">
        <v>2694</v>
      </c>
      <c r="C2057" t="s">
        <v>143</v>
      </c>
      <c r="D2057">
        <v>2800</v>
      </c>
      <c r="E2057">
        <v>19</v>
      </c>
      <c r="F2057">
        <v>2070</v>
      </c>
    </row>
    <row r="2058" spans="1:6" ht="14.25">
      <c r="A2058" t="s">
        <v>2739</v>
      </c>
      <c r="B2058" t="s">
        <v>2694</v>
      </c>
      <c r="C2058" t="s">
        <v>143</v>
      </c>
      <c r="D2058">
        <v>2800</v>
      </c>
      <c r="E2058">
        <v>19</v>
      </c>
      <c r="F2058">
        <v>2070</v>
      </c>
    </row>
    <row r="2059" spans="1:6" ht="14.25">
      <c r="A2059" t="s">
        <v>2740</v>
      </c>
      <c r="C2059" t="s">
        <v>143</v>
      </c>
      <c r="D2059">
        <v>2500</v>
      </c>
      <c r="E2059">
        <v>19</v>
      </c>
      <c r="F2059">
        <v>1240</v>
      </c>
    </row>
    <row r="2060" spans="1:6" ht="14.25">
      <c r="A2060" t="s">
        <v>2741</v>
      </c>
      <c r="C2060" t="s">
        <v>143</v>
      </c>
      <c r="D2060">
        <v>2500</v>
      </c>
      <c r="E2060">
        <v>19</v>
      </c>
      <c r="F2060">
        <v>1240</v>
      </c>
    </row>
    <row r="2061" spans="1:6" ht="14.25">
      <c r="A2061" t="s">
        <v>2742</v>
      </c>
      <c r="C2061" t="s">
        <v>143</v>
      </c>
      <c r="D2061">
        <v>2800</v>
      </c>
      <c r="E2061">
        <v>19</v>
      </c>
      <c r="F2061">
        <v>2070</v>
      </c>
    </row>
    <row r="2062" spans="1:6" ht="14.25">
      <c r="A2062" t="s">
        <v>2743</v>
      </c>
      <c r="B2062" t="s">
        <v>2744</v>
      </c>
      <c r="C2062" t="s">
        <v>143</v>
      </c>
      <c r="D2062">
        <v>2790</v>
      </c>
      <c r="E2062">
        <v>19</v>
      </c>
      <c r="F2062">
        <v>1240</v>
      </c>
    </row>
    <row r="2063" spans="1:6" ht="14.25">
      <c r="A2063" t="s">
        <v>2745</v>
      </c>
      <c r="B2063" t="s">
        <v>2746</v>
      </c>
      <c r="C2063" t="s">
        <v>143</v>
      </c>
      <c r="D2063">
        <v>2790</v>
      </c>
      <c r="E2063">
        <v>19</v>
      </c>
      <c r="F2063">
        <v>1240</v>
      </c>
    </row>
    <row r="2064" spans="1:6" ht="14.25">
      <c r="A2064" t="s">
        <v>2747</v>
      </c>
      <c r="B2064" t="s">
        <v>2748</v>
      </c>
      <c r="C2064" t="s">
        <v>143</v>
      </c>
      <c r="D2064">
        <v>2790</v>
      </c>
      <c r="E2064">
        <v>19</v>
      </c>
      <c r="F2064">
        <v>1240</v>
      </c>
    </row>
    <row r="2065" spans="1:6" ht="14.25">
      <c r="A2065" t="s">
        <v>2749</v>
      </c>
      <c r="B2065" t="s">
        <v>2750</v>
      </c>
      <c r="C2065" t="s">
        <v>143</v>
      </c>
      <c r="D2065">
        <v>2790</v>
      </c>
      <c r="E2065">
        <v>19</v>
      </c>
      <c r="F2065">
        <v>1240</v>
      </c>
    </row>
    <row r="2066" spans="1:6" ht="14.25">
      <c r="A2066" t="s">
        <v>2751</v>
      </c>
      <c r="B2066" t="s">
        <v>2752</v>
      </c>
      <c r="C2066" t="s">
        <v>143</v>
      </c>
      <c r="D2066">
        <v>2790</v>
      </c>
      <c r="E2066">
        <v>19</v>
      </c>
      <c r="F2066">
        <v>1240</v>
      </c>
    </row>
    <row r="2067" spans="1:6" ht="14.25">
      <c r="A2067" t="s">
        <v>2753</v>
      </c>
      <c r="B2067" t="s">
        <v>2754</v>
      </c>
      <c r="C2067" t="s">
        <v>143</v>
      </c>
      <c r="D2067">
        <v>2790</v>
      </c>
      <c r="E2067">
        <v>19</v>
      </c>
      <c r="F2067">
        <v>1240</v>
      </c>
    </row>
    <row r="2068" spans="1:6" ht="14.25">
      <c r="A2068" t="s">
        <v>2755</v>
      </c>
      <c r="B2068" t="s">
        <v>2756</v>
      </c>
      <c r="C2068" t="s">
        <v>143</v>
      </c>
      <c r="D2068">
        <v>2790</v>
      </c>
      <c r="E2068">
        <v>19</v>
      </c>
      <c r="F2068">
        <v>1240</v>
      </c>
    </row>
    <row r="2069" spans="1:6" ht="14.25">
      <c r="A2069" t="s">
        <v>2757</v>
      </c>
      <c r="B2069" t="s">
        <v>2758</v>
      </c>
      <c r="C2069" t="s">
        <v>143</v>
      </c>
      <c r="D2069">
        <v>2790</v>
      </c>
      <c r="E2069">
        <v>19</v>
      </c>
      <c r="F2069">
        <v>1240</v>
      </c>
    </row>
    <row r="2070" spans="1:6" ht="14.25">
      <c r="A2070" t="s">
        <v>2759</v>
      </c>
      <c r="B2070" t="s">
        <v>2760</v>
      </c>
      <c r="C2070" t="s">
        <v>143</v>
      </c>
      <c r="D2070">
        <v>2790</v>
      </c>
      <c r="E2070">
        <v>19</v>
      </c>
      <c r="F2070">
        <v>1240</v>
      </c>
    </row>
    <row r="2071" spans="1:6" ht="14.25">
      <c r="A2071" t="s">
        <v>2761</v>
      </c>
      <c r="B2071" t="s">
        <v>2762</v>
      </c>
      <c r="C2071" t="s">
        <v>143</v>
      </c>
      <c r="D2071">
        <v>2790</v>
      </c>
      <c r="E2071">
        <v>19</v>
      </c>
      <c r="F2071">
        <v>1240</v>
      </c>
    </row>
    <row r="2072" spans="1:6" ht="14.25">
      <c r="A2072" t="s">
        <v>2763</v>
      </c>
      <c r="B2072" t="s">
        <v>2764</v>
      </c>
      <c r="C2072" t="s">
        <v>143</v>
      </c>
      <c r="D2072">
        <v>2790</v>
      </c>
      <c r="E2072">
        <v>19</v>
      </c>
      <c r="F2072">
        <v>1240</v>
      </c>
    </row>
    <row r="2073" spans="1:6" ht="14.25">
      <c r="A2073" t="s">
        <v>2765</v>
      </c>
      <c r="B2073" t="s">
        <v>2766</v>
      </c>
      <c r="C2073" t="s">
        <v>143</v>
      </c>
      <c r="D2073">
        <v>2790</v>
      </c>
      <c r="E2073">
        <v>19</v>
      </c>
      <c r="F2073">
        <v>1240</v>
      </c>
    </row>
    <row r="2074" spans="1:6" ht="14.25">
      <c r="A2074" t="s">
        <v>2767</v>
      </c>
      <c r="B2074">
        <v>10</v>
      </c>
      <c r="C2074" t="s">
        <v>143</v>
      </c>
      <c r="D2074">
        <v>2790</v>
      </c>
      <c r="E2074">
        <v>19</v>
      </c>
      <c r="F2074">
        <v>1240</v>
      </c>
    </row>
    <row r="2075" spans="1:6" ht="14.25">
      <c r="A2075" t="s">
        <v>2768</v>
      </c>
      <c r="B2075">
        <v>11</v>
      </c>
      <c r="C2075" t="s">
        <v>143</v>
      </c>
      <c r="D2075">
        <v>2790</v>
      </c>
      <c r="E2075">
        <v>19</v>
      </c>
      <c r="F2075">
        <v>1240</v>
      </c>
    </row>
    <row r="2076" spans="1:6" ht="14.25">
      <c r="A2076" t="s">
        <v>2769</v>
      </c>
      <c r="B2076">
        <v>12</v>
      </c>
      <c r="C2076" t="s">
        <v>143</v>
      </c>
      <c r="D2076">
        <v>2790</v>
      </c>
      <c r="E2076">
        <v>19</v>
      </c>
      <c r="F2076">
        <v>1240</v>
      </c>
    </row>
    <row r="2077" spans="1:6" ht="14.25">
      <c r="A2077" t="s">
        <v>2770</v>
      </c>
      <c r="B2077">
        <v>13</v>
      </c>
      <c r="C2077" t="s">
        <v>143</v>
      </c>
      <c r="D2077">
        <v>2790</v>
      </c>
      <c r="E2077">
        <v>19</v>
      </c>
      <c r="F2077">
        <v>1240</v>
      </c>
    </row>
    <row r="2078" spans="1:6" ht="14.25">
      <c r="A2078" t="s">
        <v>2771</v>
      </c>
      <c r="B2078">
        <v>14</v>
      </c>
      <c r="C2078" t="s">
        <v>143</v>
      </c>
      <c r="D2078">
        <v>2790</v>
      </c>
      <c r="E2078">
        <v>19</v>
      </c>
      <c r="F2078">
        <v>1240</v>
      </c>
    </row>
    <row r="2079" spans="1:6" ht="14.25">
      <c r="A2079" t="s">
        <v>2772</v>
      </c>
      <c r="B2079">
        <v>15</v>
      </c>
      <c r="C2079" t="s">
        <v>143</v>
      </c>
      <c r="D2079">
        <v>2790</v>
      </c>
      <c r="E2079">
        <v>19</v>
      </c>
      <c r="F2079">
        <v>1240</v>
      </c>
    </row>
    <row r="2080" spans="1:6" ht="14.25">
      <c r="A2080" t="s">
        <v>2773</v>
      </c>
      <c r="B2080" t="s">
        <v>2774</v>
      </c>
      <c r="C2080" t="s">
        <v>143</v>
      </c>
      <c r="D2080">
        <v>2790</v>
      </c>
      <c r="E2080">
        <v>19</v>
      </c>
      <c r="F2080">
        <v>1240</v>
      </c>
    </row>
    <row r="2081" spans="1:6" ht="14.25">
      <c r="A2081" t="s">
        <v>2775</v>
      </c>
      <c r="B2081">
        <v>16</v>
      </c>
      <c r="C2081" t="s">
        <v>143</v>
      </c>
      <c r="D2081">
        <v>2790</v>
      </c>
      <c r="E2081">
        <v>19</v>
      </c>
      <c r="F2081">
        <v>1240</v>
      </c>
    </row>
    <row r="2082" spans="1:6" ht="14.25">
      <c r="A2082" t="s">
        <v>2776</v>
      </c>
      <c r="B2082">
        <v>17</v>
      </c>
      <c r="C2082" t="s">
        <v>143</v>
      </c>
      <c r="D2082">
        <v>2790</v>
      </c>
      <c r="E2082">
        <v>19</v>
      </c>
      <c r="F2082">
        <v>1240</v>
      </c>
    </row>
    <row r="2083" spans="1:6" ht="14.25">
      <c r="A2083" t="s">
        <v>2777</v>
      </c>
      <c r="B2083">
        <v>18</v>
      </c>
      <c r="C2083" t="s">
        <v>143</v>
      </c>
      <c r="D2083">
        <v>2790</v>
      </c>
      <c r="E2083">
        <v>19</v>
      </c>
      <c r="F2083">
        <v>1240</v>
      </c>
    </row>
    <row r="2084" spans="1:6" ht="14.25">
      <c r="A2084" t="s">
        <v>2778</v>
      </c>
      <c r="B2084" t="s">
        <v>2779</v>
      </c>
      <c r="C2084" t="s">
        <v>143</v>
      </c>
      <c r="D2084">
        <v>2790</v>
      </c>
      <c r="E2084">
        <v>19</v>
      </c>
      <c r="F2084">
        <v>1240</v>
      </c>
    </row>
    <row r="2085" spans="1:6" ht="14.25">
      <c r="A2085" t="s">
        <v>2780</v>
      </c>
      <c r="B2085" t="s">
        <v>2781</v>
      </c>
      <c r="C2085" t="s">
        <v>143</v>
      </c>
      <c r="D2085">
        <v>2790</v>
      </c>
      <c r="E2085">
        <v>19</v>
      </c>
      <c r="F2085">
        <v>1240</v>
      </c>
    </row>
    <row r="2086" spans="1:6" ht="14.25">
      <c r="A2086" t="s">
        <v>2782</v>
      </c>
      <c r="B2086" t="s">
        <v>2783</v>
      </c>
      <c r="C2086" t="s">
        <v>143</v>
      </c>
      <c r="D2086">
        <v>2790</v>
      </c>
      <c r="E2086">
        <v>19</v>
      </c>
      <c r="F2086">
        <v>1240</v>
      </c>
    </row>
    <row r="2087" spans="1:6" ht="14.25">
      <c r="A2087" t="s">
        <v>2784</v>
      </c>
      <c r="B2087" t="s">
        <v>2785</v>
      </c>
      <c r="C2087" t="s">
        <v>143</v>
      </c>
      <c r="D2087">
        <v>2790</v>
      </c>
      <c r="E2087">
        <v>19</v>
      </c>
      <c r="F2087">
        <v>1240</v>
      </c>
    </row>
    <row r="2088" spans="1:6" ht="14.25">
      <c r="A2088" t="s">
        <v>2786</v>
      </c>
      <c r="B2088" t="s">
        <v>2746</v>
      </c>
      <c r="C2088" t="s">
        <v>143</v>
      </c>
      <c r="D2088">
        <v>2790</v>
      </c>
      <c r="E2088">
        <v>19</v>
      </c>
      <c r="F2088">
        <v>1240</v>
      </c>
    </row>
    <row r="2089" spans="1:6" ht="14.25">
      <c r="A2089" t="s">
        <v>2787</v>
      </c>
      <c r="B2089" t="s">
        <v>2788</v>
      </c>
      <c r="C2089" t="s">
        <v>143</v>
      </c>
      <c r="D2089">
        <v>2790</v>
      </c>
      <c r="E2089">
        <v>19</v>
      </c>
      <c r="F2089">
        <v>1240</v>
      </c>
    </row>
    <row r="2090" spans="1:6" ht="14.25">
      <c r="A2090" t="s">
        <v>2789</v>
      </c>
      <c r="B2090" t="s">
        <v>2727</v>
      </c>
      <c r="C2090" t="s">
        <v>143</v>
      </c>
      <c r="D2090">
        <v>2790</v>
      </c>
      <c r="E2090">
        <v>19</v>
      </c>
      <c r="F2090">
        <v>1240</v>
      </c>
    </row>
    <row r="2091" spans="1:6" ht="14.25">
      <c r="A2091" t="s">
        <v>2790</v>
      </c>
      <c r="B2091" t="s">
        <v>2791</v>
      </c>
      <c r="C2091" t="s">
        <v>136</v>
      </c>
      <c r="D2091">
        <v>2800</v>
      </c>
      <c r="E2091">
        <v>19.05</v>
      </c>
      <c r="F2091">
        <v>1020</v>
      </c>
    </row>
    <row r="2092" spans="1:6" ht="14.25">
      <c r="A2092" t="s">
        <v>2792</v>
      </c>
      <c r="B2092">
        <v>1684</v>
      </c>
      <c r="C2092" t="s">
        <v>136</v>
      </c>
      <c r="D2092">
        <v>2800</v>
      </c>
      <c r="E2092">
        <v>19.05</v>
      </c>
      <c r="F2092">
        <v>1300</v>
      </c>
    </row>
    <row r="2093" spans="1:6" ht="14.25">
      <c r="A2093" t="s">
        <v>2793</v>
      </c>
      <c r="B2093">
        <v>1686</v>
      </c>
      <c r="C2093" t="s">
        <v>136</v>
      </c>
      <c r="D2093">
        <v>2800</v>
      </c>
      <c r="E2093">
        <v>19.05</v>
      </c>
      <c r="F2093">
        <v>1300</v>
      </c>
    </row>
    <row r="2094" spans="1:6" ht="14.25">
      <c r="A2094" t="s">
        <v>2794</v>
      </c>
      <c r="B2094">
        <v>1687</v>
      </c>
      <c r="C2094" t="s">
        <v>136</v>
      </c>
      <c r="D2094">
        <v>2800</v>
      </c>
      <c r="E2094">
        <v>19.05</v>
      </c>
      <c r="F2094">
        <v>1300</v>
      </c>
    </row>
    <row r="2095" spans="1:6" ht="14.25">
      <c r="A2095" t="s">
        <v>2795</v>
      </c>
      <c r="B2095">
        <v>1696</v>
      </c>
      <c r="C2095" t="s">
        <v>136</v>
      </c>
      <c r="D2095">
        <v>2800</v>
      </c>
      <c r="E2095">
        <v>19.05</v>
      </c>
      <c r="F2095">
        <v>1300</v>
      </c>
    </row>
    <row r="2096" spans="1:6" ht="14.25">
      <c r="A2096" t="s">
        <v>2796</v>
      </c>
      <c r="B2096">
        <v>1697</v>
      </c>
      <c r="C2096" t="s">
        <v>136</v>
      </c>
      <c r="D2096">
        <v>2800</v>
      </c>
      <c r="E2096">
        <v>19.05</v>
      </c>
      <c r="F2096">
        <v>1300</v>
      </c>
    </row>
    <row r="2097" spans="1:6" ht="14.25">
      <c r="A2097" t="s">
        <v>2797</v>
      </c>
      <c r="B2097">
        <v>1698</v>
      </c>
      <c r="C2097" t="s">
        <v>136</v>
      </c>
      <c r="D2097">
        <v>2800</v>
      </c>
      <c r="E2097">
        <v>19.05</v>
      </c>
      <c r="F2097">
        <v>1300</v>
      </c>
    </row>
    <row r="2098" spans="1:6" ht="14.25">
      <c r="A2098" t="s">
        <v>2798</v>
      </c>
      <c r="B2098">
        <v>1700</v>
      </c>
      <c r="C2098" t="s">
        <v>136</v>
      </c>
      <c r="D2098">
        <v>2800</v>
      </c>
      <c r="E2098">
        <v>19.05</v>
      </c>
      <c r="F2098">
        <v>1300</v>
      </c>
    </row>
    <row r="2099" spans="1:6" ht="14.25">
      <c r="A2099" t="s">
        <v>2799</v>
      </c>
      <c r="B2099">
        <v>1702</v>
      </c>
      <c r="C2099" t="s">
        <v>136</v>
      </c>
      <c r="D2099">
        <v>2800</v>
      </c>
      <c r="E2099">
        <v>19.05</v>
      </c>
      <c r="F2099">
        <v>1300</v>
      </c>
    </row>
    <row r="2100" spans="1:6" ht="14.25">
      <c r="A2100" t="s">
        <v>2800</v>
      </c>
      <c r="B2100">
        <v>1703</v>
      </c>
      <c r="C2100" t="s">
        <v>136</v>
      </c>
      <c r="D2100">
        <v>2800</v>
      </c>
      <c r="E2100">
        <v>19.05</v>
      </c>
      <c r="F2100">
        <v>1300</v>
      </c>
    </row>
    <row r="2101" spans="1:6" ht="14.25">
      <c r="A2101" t="s">
        <v>2801</v>
      </c>
      <c r="B2101">
        <v>1696</v>
      </c>
      <c r="C2101" t="s">
        <v>136</v>
      </c>
      <c r="D2101">
        <v>2440</v>
      </c>
      <c r="E2101">
        <v>19.05</v>
      </c>
      <c r="F2101">
        <v>1220</v>
      </c>
    </row>
    <row r="2102" spans="1:6" ht="14.25">
      <c r="A2102" t="s">
        <v>2802</v>
      </c>
      <c r="B2102">
        <v>1721</v>
      </c>
      <c r="C2102" t="s">
        <v>136</v>
      </c>
      <c r="D2102">
        <v>2440</v>
      </c>
      <c r="E2102">
        <v>19.05</v>
      </c>
      <c r="F2102">
        <v>1220</v>
      </c>
    </row>
    <row r="2103" spans="1:6" ht="14.25">
      <c r="A2103" t="s">
        <v>2803</v>
      </c>
      <c r="B2103">
        <v>1686</v>
      </c>
      <c r="C2103" t="s">
        <v>136</v>
      </c>
      <c r="D2103">
        <v>2440</v>
      </c>
      <c r="E2103">
        <v>19.05</v>
      </c>
      <c r="F2103">
        <v>1220</v>
      </c>
    </row>
    <row r="2104" spans="1:6" ht="14.25">
      <c r="A2104" t="s">
        <v>2804</v>
      </c>
      <c r="B2104">
        <v>1744</v>
      </c>
      <c r="C2104" t="s">
        <v>143</v>
      </c>
      <c r="D2104">
        <v>2800</v>
      </c>
      <c r="E2104">
        <v>19.05</v>
      </c>
      <c r="F2104">
        <v>1300</v>
      </c>
    </row>
    <row r="2105" spans="1:6" ht="14.25">
      <c r="A2105" t="s">
        <v>2805</v>
      </c>
      <c r="B2105">
        <v>1745</v>
      </c>
      <c r="C2105" t="s">
        <v>143</v>
      </c>
      <c r="D2105">
        <v>2800</v>
      </c>
      <c r="E2105">
        <v>19.05</v>
      </c>
      <c r="F2105">
        <v>1300</v>
      </c>
    </row>
    <row r="2106" spans="1:6" ht="14.25">
      <c r="A2106" t="s">
        <v>2806</v>
      </c>
      <c r="B2106">
        <v>1746</v>
      </c>
      <c r="C2106" t="s">
        <v>143</v>
      </c>
      <c r="D2106">
        <v>2800</v>
      </c>
      <c r="E2106">
        <v>19.05</v>
      </c>
      <c r="F2106">
        <v>1300</v>
      </c>
    </row>
    <row r="2107" spans="1:6" ht="14.25">
      <c r="A2107" t="s">
        <v>2807</v>
      </c>
      <c r="B2107">
        <v>1910</v>
      </c>
      <c r="C2107" t="s">
        <v>136</v>
      </c>
      <c r="D2107">
        <v>2800</v>
      </c>
      <c r="E2107">
        <v>19.05</v>
      </c>
      <c r="F2107">
        <v>1300</v>
      </c>
    </row>
    <row r="2108" spans="1:6" ht="14.25">
      <c r="A2108" t="s">
        <v>2808</v>
      </c>
      <c r="B2108">
        <v>1911</v>
      </c>
      <c r="C2108" t="s">
        <v>136</v>
      </c>
      <c r="D2108">
        <v>2800</v>
      </c>
      <c r="E2108">
        <v>19.05</v>
      </c>
      <c r="F2108">
        <v>1300</v>
      </c>
    </row>
    <row r="2109" spans="1:6" ht="14.25">
      <c r="A2109" t="s">
        <v>2809</v>
      </c>
      <c r="B2109">
        <v>1923</v>
      </c>
      <c r="C2109" t="s">
        <v>143</v>
      </c>
      <c r="D2109">
        <v>2800</v>
      </c>
      <c r="E2109">
        <v>19.05</v>
      </c>
      <c r="F2109">
        <v>1300</v>
      </c>
    </row>
    <row r="2110" spans="1:6" ht="14.25">
      <c r="A2110" t="s">
        <v>2810</v>
      </c>
      <c r="B2110">
        <v>1967</v>
      </c>
      <c r="C2110" t="s">
        <v>136</v>
      </c>
      <c r="D2110">
        <v>2800</v>
      </c>
      <c r="E2110">
        <v>19.05</v>
      </c>
      <c r="F2110">
        <v>1300</v>
      </c>
    </row>
    <row r="2111" spans="1:6" ht="14.25">
      <c r="A2111" t="s">
        <v>2811</v>
      </c>
      <c r="B2111">
        <v>1970</v>
      </c>
      <c r="C2111" t="s">
        <v>143</v>
      </c>
      <c r="D2111">
        <v>2800</v>
      </c>
      <c r="E2111">
        <v>19.05</v>
      </c>
      <c r="F2111">
        <v>1300</v>
      </c>
    </row>
    <row r="2112" spans="1:6" ht="14.25">
      <c r="A2112" t="s">
        <v>2812</v>
      </c>
      <c r="B2112">
        <v>1973</v>
      </c>
      <c r="C2112" t="s">
        <v>143</v>
      </c>
      <c r="D2112">
        <v>2800</v>
      </c>
      <c r="E2112">
        <v>19.05</v>
      </c>
      <c r="F2112">
        <v>1300</v>
      </c>
    </row>
    <row r="2113" spans="1:6" ht="14.25">
      <c r="A2113" t="s">
        <v>2813</v>
      </c>
      <c r="B2113">
        <v>2015</v>
      </c>
      <c r="C2113" t="s">
        <v>136</v>
      </c>
      <c r="D2113">
        <v>2800</v>
      </c>
      <c r="E2113">
        <v>19.05</v>
      </c>
      <c r="F2113">
        <v>1300</v>
      </c>
    </row>
    <row r="2114" spans="1:6" ht="14.25">
      <c r="A2114" t="s">
        <v>2814</v>
      </c>
      <c r="B2114">
        <v>2016</v>
      </c>
      <c r="C2114" t="s">
        <v>143</v>
      </c>
      <c r="D2114">
        <v>2800</v>
      </c>
      <c r="E2114">
        <v>19.05</v>
      </c>
      <c r="F2114">
        <v>1300</v>
      </c>
    </row>
    <row r="2115" spans="1:6" ht="14.25">
      <c r="A2115" t="s">
        <v>2815</v>
      </c>
      <c r="B2115">
        <v>2106</v>
      </c>
      <c r="C2115" t="s">
        <v>143</v>
      </c>
      <c r="D2115">
        <v>2800</v>
      </c>
      <c r="E2115">
        <v>19.05</v>
      </c>
      <c r="F2115">
        <v>1300</v>
      </c>
    </row>
    <row r="2116" spans="1:6" ht="14.25">
      <c r="A2116" t="s">
        <v>2816</v>
      </c>
      <c r="B2116">
        <v>2107</v>
      </c>
      <c r="C2116" t="s">
        <v>143</v>
      </c>
      <c r="D2116">
        <v>2800</v>
      </c>
      <c r="E2116">
        <v>19.05</v>
      </c>
      <c r="F2116">
        <v>1300</v>
      </c>
    </row>
    <row r="2117" spans="1:6" ht="14.25">
      <c r="A2117" t="s">
        <v>2817</v>
      </c>
      <c r="B2117">
        <v>2108</v>
      </c>
      <c r="C2117" t="s">
        <v>136</v>
      </c>
      <c r="D2117">
        <v>2800</v>
      </c>
      <c r="E2117">
        <v>19.05</v>
      </c>
      <c r="F2117">
        <v>1300</v>
      </c>
    </row>
    <row r="2118" spans="1:6" ht="14.25">
      <c r="A2118" t="s">
        <v>2818</v>
      </c>
      <c r="B2118">
        <v>2109</v>
      </c>
      <c r="C2118" t="s">
        <v>143</v>
      </c>
      <c r="D2118">
        <v>2800</v>
      </c>
      <c r="E2118">
        <v>19.05</v>
      </c>
      <c r="F2118">
        <v>1300</v>
      </c>
    </row>
    <row r="2119" spans="1:6" ht="14.25">
      <c r="A2119" t="s">
        <v>2819</v>
      </c>
      <c r="B2119">
        <v>2405</v>
      </c>
      <c r="C2119" t="s">
        <v>143</v>
      </c>
      <c r="D2119">
        <v>2800</v>
      </c>
      <c r="E2119">
        <v>19.05</v>
      </c>
      <c r="F2119">
        <v>1300</v>
      </c>
    </row>
    <row r="2120" spans="1:6" ht="14.25">
      <c r="A2120" t="s">
        <v>2820</v>
      </c>
      <c r="B2120">
        <v>2406</v>
      </c>
      <c r="C2120" t="s">
        <v>143</v>
      </c>
      <c r="D2120">
        <v>2800</v>
      </c>
      <c r="E2120">
        <v>19.05</v>
      </c>
      <c r="F2120">
        <v>1300</v>
      </c>
    </row>
    <row r="2121" spans="1:6" ht="14.25">
      <c r="A2121" t="s">
        <v>2821</v>
      </c>
      <c r="B2121">
        <v>2407</v>
      </c>
      <c r="C2121" t="s">
        <v>136</v>
      </c>
      <c r="D2121">
        <v>2800</v>
      </c>
      <c r="E2121">
        <v>19.05</v>
      </c>
      <c r="F2121">
        <v>1300</v>
      </c>
    </row>
    <row r="2122" spans="1:6" ht="14.25">
      <c r="A2122" t="s">
        <v>2822</v>
      </c>
      <c r="B2122">
        <v>2408</v>
      </c>
      <c r="C2122" t="s">
        <v>136</v>
      </c>
      <c r="D2122">
        <v>2800</v>
      </c>
      <c r="E2122">
        <v>19.05</v>
      </c>
      <c r="F2122">
        <v>1300</v>
      </c>
    </row>
    <row r="2123" spans="1:6" ht="14.25">
      <c r="A2123" t="s">
        <v>2823</v>
      </c>
      <c r="B2123">
        <v>2409</v>
      </c>
      <c r="C2123" t="s">
        <v>136</v>
      </c>
      <c r="D2123">
        <v>2800</v>
      </c>
      <c r="E2123">
        <v>19.05</v>
      </c>
      <c r="F2123">
        <v>1300</v>
      </c>
    </row>
    <row r="2124" spans="1:6" ht="14.25">
      <c r="A2124" t="s">
        <v>2824</v>
      </c>
      <c r="B2124">
        <v>2140</v>
      </c>
      <c r="C2124" t="s">
        <v>136</v>
      </c>
      <c r="D2124">
        <v>2800</v>
      </c>
      <c r="E2124">
        <v>19.05</v>
      </c>
      <c r="F2124">
        <v>1300</v>
      </c>
    </row>
    <row r="2125" spans="1:6" ht="14.25">
      <c r="A2125" t="s">
        <v>2825</v>
      </c>
      <c r="B2125">
        <v>2473</v>
      </c>
      <c r="C2125" t="s">
        <v>136</v>
      </c>
      <c r="D2125">
        <v>2800</v>
      </c>
      <c r="E2125">
        <v>19.05</v>
      </c>
      <c r="F2125">
        <v>1300</v>
      </c>
    </row>
    <row r="2126" spans="1:6" ht="14.25">
      <c r="A2126" t="s">
        <v>2826</v>
      </c>
      <c r="B2126">
        <v>2474</v>
      </c>
      <c r="C2126" t="s">
        <v>136</v>
      </c>
      <c r="D2126">
        <v>2800</v>
      </c>
      <c r="E2126">
        <v>19.05</v>
      </c>
      <c r="F2126">
        <v>1300</v>
      </c>
    </row>
    <row r="2127" spans="1:6" ht="14.25">
      <c r="A2127" t="s">
        <v>2827</v>
      </c>
      <c r="B2127">
        <v>2578</v>
      </c>
      <c r="C2127" t="s">
        <v>143</v>
      </c>
      <c r="D2127">
        <v>2800</v>
      </c>
      <c r="E2127">
        <v>19.05</v>
      </c>
      <c r="F2127">
        <v>1300</v>
      </c>
    </row>
    <row r="2128" spans="1:6" ht="14.25">
      <c r="A2128" t="s">
        <v>2828</v>
      </c>
      <c r="B2128">
        <v>2584</v>
      </c>
      <c r="C2128" t="s">
        <v>143</v>
      </c>
      <c r="D2128">
        <v>2800</v>
      </c>
      <c r="E2128">
        <v>19.05</v>
      </c>
      <c r="F2128">
        <v>1300</v>
      </c>
    </row>
    <row r="2129" spans="1:6" ht="14.25">
      <c r="A2129" t="s">
        <v>2829</v>
      </c>
      <c r="B2129">
        <v>2585</v>
      </c>
      <c r="C2129" t="s">
        <v>143</v>
      </c>
      <c r="D2129">
        <v>2800</v>
      </c>
      <c r="E2129">
        <v>19.05</v>
      </c>
      <c r="F2129">
        <v>1300</v>
      </c>
    </row>
    <row r="2130" spans="1:6" ht="14.25">
      <c r="A2130" t="s">
        <v>2830</v>
      </c>
      <c r="B2130">
        <v>2586</v>
      </c>
      <c r="C2130" t="s">
        <v>143</v>
      </c>
      <c r="D2130">
        <v>2800</v>
      </c>
      <c r="E2130">
        <v>19.05</v>
      </c>
      <c r="F2130">
        <v>1300</v>
      </c>
    </row>
    <row r="2131" spans="1:6" ht="14.25">
      <c r="A2131" t="s">
        <v>2831</v>
      </c>
      <c r="B2131">
        <v>2587</v>
      </c>
      <c r="C2131" t="s">
        <v>143</v>
      </c>
      <c r="D2131">
        <v>2800</v>
      </c>
      <c r="E2131">
        <v>19.05</v>
      </c>
      <c r="F2131">
        <v>1300</v>
      </c>
    </row>
    <row r="2132" spans="1:6" ht="14.25">
      <c r="A2132" t="s">
        <v>2832</v>
      </c>
      <c r="B2132">
        <v>2588</v>
      </c>
      <c r="C2132" t="s">
        <v>143</v>
      </c>
      <c r="D2132">
        <v>2800</v>
      </c>
      <c r="E2132">
        <v>19.05</v>
      </c>
      <c r="F2132">
        <v>1300</v>
      </c>
    </row>
    <row r="2133" spans="1:6" ht="14.25">
      <c r="A2133" t="s">
        <v>2833</v>
      </c>
      <c r="B2133">
        <v>2724</v>
      </c>
      <c r="C2133" t="s">
        <v>136</v>
      </c>
      <c r="D2133">
        <v>2760</v>
      </c>
      <c r="E2133">
        <v>19.05</v>
      </c>
      <c r="F2133">
        <v>1220</v>
      </c>
    </row>
    <row r="2134" spans="1:6" ht="14.25">
      <c r="A2134" t="s">
        <v>2834</v>
      </c>
      <c r="B2134">
        <v>2725</v>
      </c>
      <c r="C2134" t="s">
        <v>136</v>
      </c>
      <c r="D2134">
        <v>2760</v>
      </c>
      <c r="E2134">
        <v>19.05</v>
      </c>
      <c r="F2134">
        <v>1220</v>
      </c>
    </row>
    <row r="2135" spans="1:6" ht="14.25">
      <c r="A2135" t="s">
        <v>2835</v>
      </c>
      <c r="B2135">
        <v>2726</v>
      </c>
      <c r="C2135" t="s">
        <v>136</v>
      </c>
      <c r="D2135">
        <v>2760</v>
      </c>
      <c r="E2135">
        <v>19.05</v>
      </c>
      <c r="F2135">
        <v>1220</v>
      </c>
    </row>
    <row r="2136" spans="1:6" ht="14.25">
      <c r="A2136" t="s">
        <v>2836</v>
      </c>
      <c r="B2136">
        <v>2727</v>
      </c>
      <c r="C2136" t="s">
        <v>136</v>
      </c>
      <c r="D2136">
        <v>2760</v>
      </c>
      <c r="E2136">
        <v>19.05</v>
      </c>
      <c r="F2136">
        <v>1220</v>
      </c>
    </row>
    <row r="2137" spans="1:6" ht="14.25">
      <c r="A2137" t="s">
        <v>2837</v>
      </c>
      <c r="B2137">
        <v>2728</v>
      </c>
      <c r="C2137" t="s">
        <v>136</v>
      </c>
      <c r="D2137">
        <v>2760</v>
      </c>
      <c r="E2137">
        <v>19.05</v>
      </c>
      <c r="F2137">
        <v>1220</v>
      </c>
    </row>
    <row r="2138" spans="1:6" ht="14.25">
      <c r="A2138" t="s">
        <v>2838</v>
      </c>
      <c r="B2138">
        <v>2729</v>
      </c>
      <c r="C2138" t="s">
        <v>136</v>
      </c>
      <c r="D2138">
        <v>2760</v>
      </c>
      <c r="E2138">
        <v>19.05</v>
      </c>
      <c r="F2138">
        <v>1220</v>
      </c>
    </row>
    <row r="2139" spans="1:6" ht="14.25">
      <c r="A2139" t="s">
        <v>2839</v>
      </c>
      <c r="B2139">
        <v>3146</v>
      </c>
      <c r="C2139" t="s">
        <v>143</v>
      </c>
      <c r="D2139">
        <v>2800</v>
      </c>
      <c r="E2139">
        <v>19.05</v>
      </c>
      <c r="F2139">
        <v>1300</v>
      </c>
    </row>
    <row r="2140" spans="1:6" ht="14.25">
      <c r="A2140" t="s">
        <v>2840</v>
      </c>
      <c r="B2140">
        <v>3147</v>
      </c>
      <c r="C2140" t="s">
        <v>143</v>
      </c>
      <c r="D2140">
        <v>2800</v>
      </c>
      <c r="E2140">
        <v>19.05</v>
      </c>
      <c r="F2140">
        <v>1300</v>
      </c>
    </row>
    <row r="2141" spans="1:6" ht="14.25">
      <c r="A2141" t="s">
        <v>2841</v>
      </c>
      <c r="B2141">
        <v>3199</v>
      </c>
      <c r="C2141" t="s">
        <v>136</v>
      </c>
      <c r="D2141">
        <v>2800</v>
      </c>
      <c r="E2141">
        <v>19.05</v>
      </c>
      <c r="F2141">
        <v>1300</v>
      </c>
    </row>
    <row r="2142" spans="1:6" ht="14.25">
      <c r="A2142" t="s">
        <v>2842</v>
      </c>
      <c r="B2142">
        <v>3200</v>
      </c>
      <c r="C2142" t="s">
        <v>136</v>
      </c>
      <c r="D2142">
        <v>2800</v>
      </c>
      <c r="E2142">
        <v>19.05</v>
      </c>
      <c r="F2142">
        <v>1300</v>
      </c>
    </row>
    <row r="2143" spans="1:6" ht="14.25">
      <c r="A2143" t="s">
        <v>2843</v>
      </c>
      <c r="B2143">
        <v>3201</v>
      </c>
      <c r="C2143" t="s">
        <v>136</v>
      </c>
      <c r="D2143">
        <v>2800</v>
      </c>
      <c r="E2143">
        <v>19.05</v>
      </c>
      <c r="F2143">
        <v>1300</v>
      </c>
    </row>
    <row r="2144" spans="1:6" ht="14.25">
      <c r="A2144" t="s">
        <v>2844</v>
      </c>
      <c r="B2144">
        <v>3202</v>
      </c>
      <c r="C2144" t="s">
        <v>136</v>
      </c>
      <c r="D2144">
        <v>2800</v>
      </c>
      <c r="E2144">
        <v>19.05</v>
      </c>
      <c r="F2144">
        <v>1300</v>
      </c>
    </row>
    <row r="2145" spans="1:6" ht="14.25">
      <c r="A2145" t="s">
        <v>2845</v>
      </c>
      <c r="B2145">
        <v>3203</v>
      </c>
      <c r="C2145" t="s">
        <v>136</v>
      </c>
      <c r="D2145">
        <v>2800</v>
      </c>
      <c r="E2145">
        <v>19.05</v>
      </c>
      <c r="F2145">
        <v>1300</v>
      </c>
    </row>
    <row r="2146" spans="1:6" ht="14.25">
      <c r="A2146" t="s">
        <v>2846</v>
      </c>
      <c r="B2146">
        <v>3204</v>
      </c>
      <c r="C2146" t="s">
        <v>136</v>
      </c>
      <c r="D2146">
        <v>2800</v>
      </c>
      <c r="E2146">
        <v>19.05</v>
      </c>
      <c r="F2146">
        <v>1300</v>
      </c>
    </row>
    <row r="2147" spans="1:6" ht="14.25">
      <c r="A2147" t="s">
        <v>2847</v>
      </c>
      <c r="B2147">
        <v>3205</v>
      </c>
      <c r="C2147" t="s">
        <v>136</v>
      </c>
      <c r="D2147">
        <v>2800</v>
      </c>
      <c r="E2147">
        <v>19.05</v>
      </c>
      <c r="F2147">
        <v>1300</v>
      </c>
    </row>
    <row r="2148" spans="1:6" ht="14.25">
      <c r="A2148" t="s">
        <v>2848</v>
      </c>
      <c r="B2148">
        <v>3206</v>
      </c>
      <c r="C2148" t="s">
        <v>136</v>
      </c>
      <c r="D2148">
        <v>2800</v>
      </c>
      <c r="E2148">
        <v>19.05</v>
      </c>
      <c r="F2148">
        <v>1300</v>
      </c>
    </row>
    <row r="2149" spans="1:6" ht="14.25">
      <c r="A2149" t="s">
        <v>2849</v>
      </c>
      <c r="B2149">
        <v>3207</v>
      </c>
      <c r="C2149" t="s">
        <v>136</v>
      </c>
      <c r="D2149">
        <v>2800</v>
      </c>
      <c r="E2149">
        <v>19.05</v>
      </c>
      <c r="F2149">
        <v>1300</v>
      </c>
    </row>
    <row r="2150" spans="1:6" ht="14.25">
      <c r="A2150" t="s">
        <v>2850</v>
      </c>
      <c r="B2150">
        <v>3208</v>
      </c>
      <c r="C2150" t="s">
        <v>136</v>
      </c>
      <c r="D2150">
        <v>2800</v>
      </c>
      <c r="E2150">
        <v>19.05</v>
      </c>
      <c r="F2150">
        <v>1300</v>
      </c>
    </row>
    <row r="2151" spans="1:6" ht="14.25">
      <c r="A2151" t="s">
        <v>2851</v>
      </c>
      <c r="B2151">
        <v>73703</v>
      </c>
      <c r="C2151" t="s">
        <v>136</v>
      </c>
      <c r="D2151">
        <v>2800</v>
      </c>
      <c r="E2151">
        <v>19.05</v>
      </c>
      <c r="F2151">
        <v>1300</v>
      </c>
    </row>
    <row r="2152" spans="1:6" ht="14.25">
      <c r="A2152" t="s">
        <v>2852</v>
      </c>
      <c r="B2152">
        <v>2473</v>
      </c>
      <c r="C2152" t="s">
        <v>136</v>
      </c>
      <c r="D2152">
        <v>3050</v>
      </c>
      <c r="E2152">
        <v>19.05</v>
      </c>
      <c r="F2152">
        <v>1300</v>
      </c>
    </row>
    <row r="2153" spans="1:6" ht="14.25">
      <c r="A2153" t="s">
        <v>2853</v>
      </c>
      <c r="B2153" t="s">
        <v>2854</v>
      </c>
      <c r="C2153" t="s">
        <v>136</v>
      </c>
      <c r="D2153">
        <v>3050</v>
      </c>
      <c r="E2153">
        <v>19.05</v>
      </c>
      <c r="F2153">
        <v>1300</v>
      </c>
    </row>
    <row r="2154" spans="1:6" ht="14.25">
      <c r="A2154" t="s">
        <v>2855</v>
      </c>
      <c r="B2154" t="s">
        <v>2856</v>
      </c>
      <c r="C2154" t="s">
        <v>143</v>
      </c>
      <c r="D2154">
        <v>3050</v>
      </c>
      <c r="E2154">
        <v>19.05</v>
      </c>
      <c r="F2154">
        <v>1220</v>
      </c>
    </row>
    <row r="2155" spans="1:6" ht="14.25">
      <c r="A2155" t="s">
        <v>2857</v>
      </c>
      <c r="B2155" t="s">
        <v>2858</v>
      </c>
      <c r="C2155" t="s">
        <v>143</v>
      </c>
      <c r="D2155">
        <v>3050</v>
      </c>
      <c r="E2155">
        <v>19.05</v>
      </c>
      <c r="F2155">
        <v>1220</v>
      </c>
    </row>
    <row r="2156" spans="1:6" ht="14.25">
      <c r="A2156" t="s">
        <v>2859</v>
      </c>
      <c r="B2156" t="s">
        <v>2860</v>
      </c>
      <c r="C2156" t="s">
        <v>143</v>
      </c>
      <c r="D2156">
        <v>3050</v>
      </c>
      <c r="E2156">
        <v>19.05</v>
      </c>
      <c r="F2156">
        <v>1220</v>
      </c>
    </row>
    <row r="2157" spans="1:6" ht="14.25">
      <c r="A2157" t="s">
        <v>2861</v>
      </c>
      <c r="B2157" t="s">
        <v>2862</v>
      </c>
      <c r="C2157" t="s">
        <v>143</v>
      </c>
      <c r="D2157">
        <v>3050</v>
      </c>
      <c r="E2157">
        <v>19.05</v>
      </c>
      <c r="F2157">
        <v>1220</v>
      </c>
    </row>
    <row r="2158" spans="1:6" ht="14.25">
      <c r="A2158" t="s">
        <v>2863</v>
      </c>
      <c r="B2158" t="s">
        <v>2864</v>
      </c>
      <c r="C2158" t="s">
        <v>143</v>
      </c>
      <c r="D2158">
        <v>3050</v>
      </c>
      <c r="E2158">
        <v>19.05</v>
      </c>
      <c r="F2158">
        <v>1220</v>
      </c>
    </row>
    <row r="2159" spans="1:6" ht="14.25">
      <c r="A2159" t="s">
        <v>2865</v>
      </c>
      <c r="B2159" t="s">
        <v>2866</v>
      </c>
      <c r="C2159" t="s">
        <v>143</v>
      </c>
      <c r="D2159">
        <v>3050</v>
      </c>
      <c r="E2159">
        <v>19.05</v>
      </c>
      <c r="F2159">
        <v>1220</v>
      </c>
    </row>
    <row r="2160" spans="1:6" ht="14.25">
      <c r="A2160" t="s">
        <v>2867</v>
      </c>
      <c r="B2160" t="s">
        <v>2868</v>
      </c>
      <c r="C2160" t="s">
        <v>143</v>
      </c>
      <c r="D2160">
        <v>3050</v>
      </c>
      <c r="E2160">
        <v>19.05</v>
      </c>
      <c r="F2160">
        <v>1220</v>
      </c>
    </row>
    <row r="2161" spans="1:6" ht="14.25">
      <c r="A2161" t="s">
        <v>2869</v>
      </c>
      <c r="B2161" t="s">
        <v>2870</v>
      </c>
      <c r="C2161" t="s">
        <v>143</v>
      </c>
      <c r="D2161">
        <v>3050</v>
      </c>
      <c r="E2161">
        <v>19.05</v>
      </c>
      <c r="F2161">
        <v>1220</v>
      </c>
    </row>
    <row r="2162" spans="1:6" ht="14.25">
      <c r="A2162" t="s">
        <v>2871</v>
      </c>
      <c r="B2162" t="s">
        <v>2872</v>
      </c>
      <c r="C2162" t="s">
        <v>143</v>
      </c>
      <c r="D2162">
        <v>3050</v>
      </c>
      <c r="E2162">
        <v>19.05</v>
      </c>
      <c r="F2162">
        <v>1220</v>
      </c>
    </row>
    <row r="2163" spans="1:6" ht="14.25">
      <c r="A2163" t="s">
        <v>2873</v>
      </c>
      <c r="B2163" t="s">
        <v>2874</v>
      </c>
      <c r="C2163" t="s">
        <v>136</v>
      </c>
      <c r="D2163">
        <v>2800</v>
      </c>
      <c r="E2163">
        <v>19.05</v>
      </c>
      <c r="F2163">
        <v>1300</v>
      </c>
    </row>
    <row r="2164" spans="1:6" ht="14.25">
      <c r="A2164" t="s">
        <v>2875</v>
      </c>
      <c r="B2164" t="s">
        <v>2876</v>
      </c>
      <c r="C2164" t="s">
        <v>136</v>
      </c>
      <c r="D2164">
        <v>2800</v>
      </c>
      <c r="E2164">
        <v>19.05</v>
      </c>
      <c r="F2164">
        <v>1300</v>
      </c>
    </row>
    <row r="2165" spans="1:6" ht="14.25">
      <c r="A2165" t="s">
        <v>2877</v>
      </c>
      <c r="B2165" t="s">
        <v>2878</v>
      </c>
      <c r="C2165" t="s">
        <v>136</v>
      </c>
      <c r="D2165">
        <v>2440</v>
      </c>
      <c r="E2165">
        <v>16</v>
      </c>
      <c r="F2165">
        <v>1220</v>
      </c>
    </row>
    <row r="2166" spans="1:6" ht="14.25">
      <c r="A2166" t="s">
        <v>2879</v>
      </c>
      <c r="B2166" t="s">
        <v>2880</v>
      </c>
      <c r="C2166" t="s">
        <v>136</v>
      </c>
      <c r="D2166">
        <v>2440</v>
      </c>
      <c r="E2166">
        <v>16</v>
      </c>
      <c r="F2166">
        <v>1220</v>
      </c>
    </row>
    <row r="2167" spans="1:6" ht="14.25">
      <c r="A2167" t="s">
        <v>2881</v>
      </c>
      <c r="B2167" t="s">
        <v>2882</v>
      </c>
      <c r="C2167" t="s">
        <v>136</v>
      </c>
      <c r="D2167">
        <v>2440</v>
      </c>
      <c r="E2167">
        <v>16</v>
      </c>
      <c r="F2167">
        <v>1220</v>
      </c>
    </row>
    <row r="2168" spans="1:6" ht="14.25">
      <c r="A2168" t="s">
        <v>2883</v>
      </c>
      <c r="B2168" t="s">
        <v>2884</v>
      </c>
      <c r="C2168" t="s">
        <v>136</v>
      </c>
      <c r="D2168">
        <v>2440</v>
      </c>
      <c r="E2168">
        <v>16</v>
      </c>
      <c r="F2168">
        <v>1220</v>
      </c>
    </row>
    <row r="2169" spans="1:6" ht="14.25">
      <c r="A2169" t="s">
        <v>2885</v>
      </c>
      <c r="B2169" t="s">
        <v>2886</v>
      </c>
      <c r="C2169" t="s">
        <v>136</v>
      </c>
      <c r="D2169">
        <v>2800</v>
      </c>
      <c r="E2169">
        <v>16</v>
      </c>
      <c r="F2169">
        <v>1000</v>
      </c>
    </row>
    <row r="2170" spans="1:6" ht="14.25">
      <c r="A2170" t="s">
        <v>2887</v>
      </c>
      <c r="B2170">
        <v>1644</v>
      </c>
      <c r="C2170" t="s">
        <v>136</v>
      </c>
      <c r="D2170">
        <v>2800</v>
      </c>
      <c r="E2170">
        <v>18.399999999999999</v>
      </c>
      <c r="F2170">
        <v>1300</v>
      </c>
    </row>
    <row r="2171" spans="1:6" ht="14.25">
      <c r="A2171" t="s">
        <v>2888</v>
      </c>
      <c r="B2171">
        <v>1678</v>
      </c>
      <c r="C2171" t="s">
        <v>143</v>
      </c>
      <c r="D2171">
        <v>2800</v>
      </c>
      <c r="E2171">
        <v>18.399999999999999</v>
      </c>
      <c r="F2171">
        <v>1300</v>
      </c>
    </row>
    <row r="2172" spans="1:6" ht="14.25">
      <c r="A2172" t="s">
        <v>2889</v>
      </c>
      <c r="B2172">
        <v>1678</v>
      </c>
      <c r="C2172" t="s">
        <v>143</v>
      </c>
      <c r="D2172">
        <v>2800</v>
      </c>
      <c r="E2172">
        <v>18.399999999999999</v>
      </c>
      <c r="F2172">
        <v>1300</v>
      </c>
    </row>
    <row r="2173" spans="1:6" ht="14.25">
      <c r="A2173" t="s">
        <v>2890</v>
      </c>
      <c r="B2173">
        <v>1895</v>
      </c>
      <c r="C2173" t="s">
        <v>136</v>
      </c>
      <c r="D2173">
        <v>2800</v>
      </c>
      <c r="E2173">
        <v>18.399999999999999</v>
      </c>
      <c r="F2173">
        <v>1300</v>
      </c>
    </row>
    <row r="2174" spans="1:6" ht="14.25">
      <c r="A2174" t="s">
        <v>2891</v>
      </c>
      <c r="B2174">
        <v>1896</v>
      </c>
      <c r="C2174" t="s">
        <v>136</v>
      </c>
      <c r="D2174">
        <v>2800</v>
      </c>
      <c r="E2174">
        <v>18.399999999999999</v>
      </c>
      <c r="F2174">
        <v>1300</v>
      </c>
    </row>
    <row r="2175" spans="1:6" ht="14.25">
      <c r="A2175" t="s">
        <v>2892</v>
      </c>
      <c r="B2175">
        <v>1897</v>
      </c>
      <c r="C2175" t="s">
        <v>136</v>
      </c>
      <c r="D2175">
        <v>2800</v>
      </c>
      <c r="E2175">
        <v>18.399999999999999</v>
      </c>
      <c r="F2175">
        <v>1300</v>
      </c>
    </row>
    <row r="2176" spans="1:6" ht="14.25">
      <c r="A2176" t="s">
        <v>2893</v>
      </c>
      <c r="B2176">
        <v>1898</v>
      </c>
      <c r="C2176" t="s">
        <v>143</v>
      </c>
      <c r="D2176">
        <v>2800</v>
      </c>
      <c r="E2176">
        <v>18.399999999999999</v>
      </c>
      <c r="F2176">
        <v>1300</v>
      </c>
    </row>
    <row r="2177" spans="1:6" ht="14.25">
      <c r="A2177" t="s">
        <v>2894</v>
      </c>
      <c r="B2177">
        <v>1899</v>
      </c>
      <c r="C2177" t="s">
        <v>143</v>
      </c>
      <c r="D2177">
        <v>2800</v>
      </c>
      <c r="E2177">
        <v>18.399999999999999</v>
      </c>
      <c r="F2177">
        <v>1300</v>
      </c>
    </row>
    <row r="2178" spans="1:6" ht="14.25">
      <c r="A2178" t="s">
        <v>2895</v>
      </c>
      <c r="B2178">
        <v>1900</v>
      </c>
      <c r="C2178" t="s">
        <v>143</v>
      </c>
      <c r="D2178">
        <v>2800</v>
      </c>
      <c r="E2178">
        <v>18.399999999999999</v>
      </c>
      <c r="F2178">
        <v>1300</v>
      </c>
    </row>
    <row r="2179" spans="1:6" ht="14.25">
      <c r="A2179" t="s">
        <v>2896</v>
      </c>
      <c r="B2179">
        <v>1901</v>
      </c>
      <c r="C2179" t="s">
        <v>136</v>
      </c>
      <c r="D2179">
        <v>2800</v>
      </c>
      <c r="E2179">
        <v>18.399999999999999</v>
      </c>
      <c r="F2179">
        <v>1300</v>
      </c>
    </row>
    <row r="2180" spans="1:6" ht="14.25">
      <c r="A2180" t="s">
        <v>2897</v>
      </c>
      <c r="B2180">
        <v>1902</v>
      </c>
      <c r="C2180" t="s">
        <v>136</v>
      </c>
      <c r="D2180">
        <v>2800</v>
      </c>
      <c r="E2180">
        <v>18.399999999999999</v>
      </c>
      <c r="F2180">
        <v>1300</v>
      </c>
    </row>
    <row r="2181" spans="1:6" ht="14.25">
      <c r="A2181" t="s">
        <v>2898</v>
      </c>
      <c r="B2181">
        <v>1903</v>
      </c>
      <c r="C2181" t="s">
        <v>136</v>
      </c>
      <c r="D2181">
        <v>2800</v>
      </c>
      <c r="E2181">
        <v>18.399999999999999</v>
      </c>
      <c r="F2181">
        <v>1300</v>
      </c>
    </row>
    <row r="2182" spans="1:6" ht="14.25">
      <c r="A2182" t="s">
        <v>2899</v>
      </c>
      <c r="B2182">
        <v>1904</v>
      </c>
      <c r="C2182" t="s">
        <v>143</v>
      </c>
      <c r="D2182">
        <v>2800</v>
      </c>
      <c r="E2182">
        <v>18.399999999999999</v>
      </c>
      <c r="F2182">
        <v>1300</v>
      </c>
    </row>
    <row r="2183" spans="1:6" ht="14.25">
      <c r="A2183" t="s">
        <v>2900</v>
      </c>
      <c r="B2183">
        <v>1917</v>
      </c>
      <c r="C2183" t="s">
        <v>136</v>
      </c>
      <c r="D2183">
        <v>2800</v>
      </c>
      <c r="E2183">
        <v>18.399999999999999</v>
      </c>
      <c r="F2183">
        <v>1300</v>
      </c>
    </row>
    <row r="2184" spans="1:6" ht="14.25">
      <c r="A2184" t="s">
        <v>2901</v>
      </c>
      <c r="B2184">
        <v>1918</v>
      </c>
      <c r="C2184" t="s">
        <v>136</v>
      </c>
      <c r="D2184">
        <v>2800</v>
      </c>
      <c r="E2184">
        <v>18.399999999999999</v>
      </c>
      <c r="F2184">
        <v>1300</v>
      </c>
    </row>
    <row r="2185" spans="1:6" ht="14.25">
      <c r="A2185" t="s">
        <v>2902</v>
      </c>
      <c r="B2185">
        <v>1919</v>
      </c>
      <c r="C2185" t="s">
        <v>136</v>
      </c>
      <c r="D2185">
        <v>2800</v>
      </c>
      <c r="E2185">
        <v>18.399999999999999</v>
      </c>
      <c r="F2185">
        <v>1300</v>
      </c>
    </row>
    <row r="2186" spans="1:6" ht="14.25">
      <c r="A2186" t="s">
        <v>2903</v>
      </c>
      <c r="B2186">
        <v>1920</v>
      </c>
      <c r="C2186" t="s">
        <v>136</v>
      </c>
      <c r="D2186">
        <v>2800</v>
      </c>
      <c r="E2186">
        <v>18.399999999999999</v>
      </c>
      <c r="F2186">
        <v>1300</v>
      </c>
    </row>
    <row r="2187" spans="1:6" ht="14.25">
      <c r="A2187" t="s">
        <v>2904</v>
      </c>
      <c r="B2187">
        <v>2100</v>
      </c>
      <c r="C2187" t="s">
        <v>136</v>
      </c>
      <c r="D2187">
        <v>2800</v>
      </c>
      <c r="E2187">
        <v>18.399999999999999</v>
      </c>
      <c r="F2187">
        <v>1300</v>
      </c>
    </row>
    <row r="2188" spans="1:6" ht="14.25">
      <c r="A2188" t="s">
        <v>2905</v>
      </c>
      <c r="B2188">
        <v>2101</v>
      </c>
      <c r="C2188" t="s">
        <v>136</v>
      </c>
      <c r="D2188">
        <v>2800</v>
      </c>
      <c r="E2188">
        <v>18.399999999999999</v>
      </c>
      <c r="F2188">
        <v>1300</v>
      </c>
    </row>
    <row r="2189" spans="1:6" ht="14.25">
      <c r="A2189" t="s">
        <v>2906</v>
      </c>
      <c r="B2189">
        <v>2102</v>
      </c>
      <c r="C2189" t="s">
        <v>143</v>
      </c>
      <c r="D2189">
        <v>2800</v>
      </c>
      <c r="E2189">
        <v>18.399999999999999</v>
      </c>
      <c r="F2189">
        <v>1300</v>
      </c>
    </row>
    <row r="2190" spans="1:6" ht="14.25">
      <c r="A2190" t="s">
        <v>2907</v>
      </c>
      <c r="B2190">
        <v>2103</v>
      </c>
      <c r="C2190" t="s">
        <v>136</v>
      </c>
      <c r="D2190">
        <v>2800</v>
      </c>
      <c r="E2190">
        <v>18.399999999999999</v>
      </c>
      <c r="F2190">
        <v>1300</v>
      </c>
    </row>
    <row r="2191" spans="1:6" ht="14.25">
      <c r="A2191" t="s">
        <v>2908</v>
      </c>
      <c r="B2191">
        <v>2104</v>
      </c>
      <c r="C2191" t="s">
        <v>136</v>
      </c>
      <c r="D2191">
        <v>2800</v>
      </c>
      <c r="E2191">
        <v>18.399999999999999</v>
      </c>
      <c r="F2191">
        <v>1300</v>
      </c>
    </row>
    <row r="2192" spans="1:6" ht="14.25">
      <c r="A2192" t="s">
        <v>2909</v>
      </c>
      <c r="B2192">
        <v>2105</v>
      </c>
      <c r="C2192" t="s">
        <v>143</v>
      </c>
      <c r="D2192">
        <v>2800</v>
      </c>
      <c r="E2192">
        <v>18.399999999999999</v>
      </c>
      <c r="F2192">
        <v>1300</v>
      </c>
    </row>
    <row r="2193" spans="1:6" ht="14.25">
      <c r="A2193" t="s">
        <v>2910</v>
      </c>
      <c r="B2193">
        <v>1904</v>
      </c>
      <c r="C2193" t="s">
        <v>136</v>
      </c>
      <c r="D2193">
        <v>2800</v>
      </c>
      <c r="E2193">
        <v>18.399999999999999</v>
      </c>
      <c r="F2193">
        <v>1300</v>
      </c>
    </row>
    <row r="2194" spans="1:6" ht="14.25">
      <c r="A2194" t="s">
        <v>2911</v>
      </c>
      <c r="B2194">
        <v>2262</v>
      </c>
      <c r="C2194" t="s">
        <v>136</v>
      </c>
      <c r="D2194">
        <v>2800</v>
      </c>
      <c r="E2194">
        <v>18.399999999999999</v>
      </c>
      <c r="F2194">
        <v>1300</v>
      </c>
    </row>
    <row r="2195" spans="1:6" ht="14.25">
      <c r="A2195" t="s">
        <v>2912</v>
      </c>
      <c r="B2195">
        <v>2411</v>
      </c>
      <c r="C2195" t="s">
        <v>136</v>
      </c>
      <c r="D2195">
        <v>2800</v>
      </c>
      <c r="E2195">
        <v>18.399999999999999</v>
      </c>
      <c r="F2195">
        <v>1300</v>
      </c>
    </row>
    <row r="2196" spans="1:6" ht="14.25">
      <c r="A2196" t="s">
        <v>2913</v>
      </c>
      <c r="B2196">
        <v>2412</v>
      </c>
      <c r="C2196" t="s">
        <v>136</v>
      </c>
      <c r="D2196">
        <v>2800</v>
      </c>
      <c r="E2196">
        <v>18.399999999999999</v>
      </c>
      <c r="F2196">
        <v>1300</v>
      </c>
    </row>
    <row r="2197" spans="1:6" ht="14.25">
      <c r="A2197" t="s">
        <v>2914</v>
      </c>
      <c r="B2197">
        <v>2453</v>
      </c>
      <c r="C2197" t="s">
        <v>136</v>
      </c>
      <c r="D2197">
        <v>2800</v>
      </c>
      <c r="E2197">
        <v>18.399999999999999</v>
      </c>
      <c r="F2197">
        <v>1300</v>
      </c>
    </row>
    <row r="2198" spans="1:6" ht="14.25">
      <c r="A2198" t="s">
        <v>2915</v>
      </c>
      <c r="B2198">
        <v>2454</v>
      </c>
      <c r="C2198" t="s">
        <v>136</v>
      </c>
      <c r="D2198">
        <v>2800</v>
      </c>
      <c r="E2198">
        <v>18.399999999999999</v>
      </c>
      <c r="F2198">
        <v>1300</v>
      </c>
    </row>
    <row r="2199" spans="1:6" ht="14.25">
      <c r="A2199" t="s">
        <v>2916</v>
      </c>
      <c r="B2199">
        <v>2455</v>
      </c>
      <c r="C2199" t="s">
        <v>136</v>
      </c>
      <c r="D2199">
        <v>2800</v>
      </c>
      <c r="E2199">
        <v>18.399999999999999</v>
      </c>
      <c r="F2199">
        <v>1300</v>
      </c>
    </row>
    <row r="2200" spans="1:6" ht="14.25">
      <c r="A2200" t="s">
        <v>2917</v>
      </c>
      <c r="B2200">
        <v>2456</v>
      </c>
      <c r="C2200" t="s">
        <v>136</v>
      </c>
      <c r="D2200">
        <v>2800</v>
      </c>
      <c r="E2200">
        <v>18.399999999999999</v>
      </c>
      <c r="F2200">
        <v>1300</v>
      </c>
    </row>
    <row r="2201" spans="1:6" ht="14.25">
      <c r="A2201" t="s">
        <v>2918</v>
      </c>
      <c r="B2201">
        <v>2457</v>
      </c>
      <c r="C2201" t="s">
        <v>136</v>
      </c>
      <c r="D2201">
        <v>2800</v>
      </c>
      <c r="E2201">
        <v>18.399999999999999</v>
      </c>
      <c r="F2201">
        <v>1300</v>
      </c>
    </row>
    <row r="2202" spans="1:6" ht="14.25">
      <c r="A2202" t="s">
        <v>2919</v>
      </c>
      <c r="B2202">
        <v>2458</v>
      </c>
      <c r="C2202" t="s">
        <v>136</v>
      </c>
      <c r="D2202">
        <v>2800</v>
      </c>
      <c r="E2202">
        <v>18.399999999999999</v>
      </c>
      <c r="F2202">
        <v>1300</v>
      </c>
    </row>
    <row r="2203" spans="1:6" ht="14.25">
      <c r="A2203" t="s">
        <v>2920</v>
      </c>
      <c r="B2203">
        <v>2459</v>
      </c>
      <c r="C2203" t="s">
        <v>136</v>
      </c>
      <c r="D2203">
        <v>2800</v>
      </c>
      <c r="E2203">
        <v>18.399999999999999</v>
      </c>
      <c r="F2203">
        <v>1300</v>
      </c>
    </row>
    <row r="2204" spans="1:6" ht="14.25">
      <c r="A2204" t="s">
        <v>2921</v>
      </c>
      <c r="B2204">
        <v>3141</v>
      </c>
      <c r="C2204" t="s">
        <v>136</v>
      </c>
      <c r="D2204">
        <v>2800</v>
      </c>
      <c r="E2204">
        <v>18.399999999999999</v>
      </c>
      <c r="F2204">
        <v>1300</v>
      </c>
    </row>
    <row r="2205" spans="1:6" ht="14.25">
      <c r="A2205" t="s">
        <v>2922</v>
      </c>
      <c r="B2205">
        <v>2461</v>
      </c>
      <c r="C2205" t="s">
        <v>136</v>
      </c>
      <c r="D2205">
        <v>2800</v>
      </c>
      <c r="E2205">
        <v>18.399999999999999</v>
      </c>
      <c r="F2205">
        <v>1300</v>
      </c>
    </row>
    <row r="2206" spans="1:6" ht="14.25">
      <c r="A2206" t="s">
        <v>2923</v>
      </c>
      <c r="B2206">
        <v>2461</v>
      </c>
      <c r="C2206" t="s">
        <v>136</v>
      </c>
      <c r="D2206">
        <v>2800</v>
      </c>
      <c r="E2206">
        <v>18.399999999999999</v>
      </c>
      <c r="F2206">
        <v>1300</v>
      </c>
    </row>
    <row r="2207" spans="1:6" ht="14.25">
      <c r="A2207" t="s">
        <v>2924</v>
      </c>
      <c r="B2207">
        <v>3145</v>
      </c>
      <c r="C2207" t="s">
        <v>143</v>
      </c>
      <c r="D2207">
        <v>2800</v>
      </c>
      <c r="E2207">
        <v>18.399999999999999</v>
      </c>
      <c r="F2207">
        <v>1300</v>
      </c>
    </row>
    <row r="2208" spans="1:6" ht="14.25">
      <c r="A2208" t="s">
        <v>2925</v>
      </c>
      <c r="B2208">
        <v>2463</v>
      </c>
      <c r="C2208" t="s">
        <v>136</v>
      </c>
      <c r="D2208">
        <v>2800</v>
      </c>
      <c r="E2208">
        <v>18.399999999999999</v>
      </c>
      <c r="F2208">
        <v>1300</v>
      </c>
    </row>
    <row r="2209" spans="1:6" ht="14.25">
      <c r="A2209" t="s">
        <v>2926</v>
      </c>
      <c r="B2209">
        <v>2464</v>
      </c>
      <c r="C2209" t="s">
        <v>136</v>
      </c>
      <c r="D2209">
        <v>2800</v>
      </c>
      <c r="E2209">
        <v>18.399999999999999</v>
      </c>
      <c r="F2209">
        <v>1300</v>
      </c>
    </row>
    <row r="2210" spans="1:6" ht="14.25">
      <c r="A2210" t="s">
        <v>2927</v>
      </c>
      <c r="B2210">
        <v>2464</v>
      </c>
      <c r="C2210" t="s">
        <v>136</v>
      </c>
      <c r="D2210">
        <v>2800</v>
      </c>
      <c r="E2210">
        <v>18.399999999999999</v>
      </c>
      <c r="F2210">
        <v>1300</v>
      </c>
    </row>
    <row r="2211" spans="1:6" ht="14.25">
      <c r="A2211" t="s">
        <v>2928</v>
      </c>
      <c r="B2211">
        <v>3140</v>
      </c>
      <c r="C2211" t="s">
        <v>143</v>
      </c>
      <c r="D2211">
        <v>2800</v>
      </c>
      <c r="E2211">
        <v>18.399999999999999</v>
      </c>
      <c r="F2211">
        <v>1300</v>
      </c>
    </row>
    <row r="2212" spans="1:6" ht="14.25">
      <c r="A2212" t="s">
        <v>2929</v>
      </c>
      <c r="B2212">
        <v>2736</v>
      </c>
      <c r="C2212" t="s">
        <v>136</v>
      </c>
      <c r="D2212">
        <v>2800</v>
      </c>
      <c r="E2212">
        <v>18.399999999999999</v>
      </c>
      <c r="F2212">
        <v>1300</v>
      </c>
    </row>
    <row r="2213" spans="1:6" ht="14.25">
      <c r="A2213" t="s">
        <v>2930</v>
      </c>
      <c r="B2213">
        <v>2737</v>
      </c>
      <c r="C2213" t="s">
        <v>136</v>
      </c>
      <c r="D2213">
        <v>2800</v>
      </c>
      <c r="E2213">
        <v>18.399999999999999</v>
      </c>
      <c r="F2213">
        <v>1300</v>
      </c>
    </row>
    <row r="2214" spans="1:6" ht="14.25">
      <c r="A2214" t="s">
        <v>2931</v>
      </c>
      <c r="B2214">
        <v>2738</v>
      </c>
      <c r="C2214" t="s">
        <v>136</v>
      </c>
      <c r="D2214">
        <v>2800</v>
      </c>
      <c r="E2214">
        <v>18.399999999999999</v>
      </c>
      <c r="F2214">
        <v>1300</v>
      </c>
    </row>
    <row r="2215" spans="1:6" ht="14.25">
      <c r="A2215" t="s">
        <v>2932</v>
      </c>
      <c r="B2215">
        <v>2739</v>
      </c>
      <c r="C2215" t="s">
        <v>136</v>
      </c>
      <c r="D2215">
        <v>2800</v>
      </c>
      <c r="E2215">
        <v>18.399999999999999</v>
      </c>
      <c r="F2215">
        <v>1300</v>
      </c>
    </row>
    <row r="2216" spans="1:6" ht="14.25">
      <c r="A2216" t="s">
        <v>2933</v>
      </c>
      <c r="B2216">
        <v>2740</v>
      </c>
      <c r="C2216" t="s">
        <v>136</v>
      </c>
      <c r="D2216">
        <v>2800</v>
      </c>
      <c r="E2216">
        <v>18.399999999999999</v>
      </c>
      <c r="F2216">
        <v>1300</v>
      </c>
    </row>
    <row r="2217" spans="1:6" ht="14.25">
      <c r="A2217" t="s">
        <v>2934</v>
      </c>
      <c r="B2217">
        <v>2741</v>
      </c>
      <c r="C2217" t="s">
        <v>136</v>
      </c>
      <c r="D2217">
        <v>2800</v>
      </c>
      <c r="E2217">
        <v>18.399999999999999</v>
      </c>
      <c r="F2217">
        <v>1300</v>
      </c>
    </row>
    <row r="2218" spans="1:6" ht="14.25">
      <c r="A2218" t="s">
        <v>2935</v>
      </c>
      <c r="B2218">
        <v>2742</v>
      </c>
      <c r="C2218" t="s">
        <v>136</v>
      </c>
      <c r="D2218">
        <v>2800</v>
      </c>
      <c r="E2218">
        <v>18.399999999999999</v>
      </c>
      <c r="F2218">
        <v>1300</v>
      </c>
    </row>
    <row r="2219" spans="1:6" ht="14.25">
      <c r="A2219" t="s">
        <v>2936</v>
      </c>
      <c r="B2219">
        <v>3228</v>
      </c>
      <c r="C2219" t="s">
        <v>136</v>
      </c>
      <c r="D2219">
        <v>2800</v>
      </c>
      <c r="E2219">
        <v>18.399999999999999</v>
      </c>
      <c r="F2219">
        <v>1300</v>
      </c>
    </row>
    <row r="2220" spans="1:6" ht="14.25">
      <c r="A2220" t="s">
        <v>2937</v>
      </c>
      <c r="B2220">
        <v>5000</v>
      </c>
      <c r="C2220" t="s">
        <v>136</v>
      </c>
      <c r="D2220">
        <v>2800</v>
      </c>
      <c r="E2220">
        <v>18.399999999999999</v>
      </c>
      <c r="F2220">
        <v>1300</v>
      </c>
    </row>
    <row r="2221" spans="1:6" ht="14.25">
      <c r="A2221" t="s">
        <v>2938</v>
      </c>
      <c r="B2221">
        <v>5026</v>
      </c>
      <c r="C2221" t="s">
        <v>136</v>
      </c>
      <c r="D2221">
        <v>2800</v>
      </c>
      <c r="E2221">
        <v>18.399999999999999</v>
      </c>
      <c r="F2221">
        <v>1300</v>
      </c>
    </row>
    <row r="2222" spans="1:6" ht="14.25">
      <c r="A2222" t="s">
        <v>2939</v>
      </c>
      <c r="B2222">
        <v>5112</v>
      </c>
      <c r="C2222" t="s">
        <v>136</v>
      </c>
      <c r="D2222">
        <v>2800</v>
      </c>
      <c r="E2222">
        <v>18.399999999999999</v>
      </c>
      <c r="F2222">
        <v>1300</v>
      </c>
    </row>
    <row r="2223" spans="1:6" ht="14.25">
      <c r="A2223" t="s">
        <v>2940</v>
      </c>
      <c r="B2223">
        <v>5335</v>
      </c>
      <c r="C2223" t="s">
        <v>136</v>
      </c>
      <c r="D2223">
        <v>2800</v>
      </c>
      <c r="E2223">
        <v>10</v>
      </c>
      <c r="F2223">
        <v>1300</v>
      </c>
    </row>
    <row r="2224" spans="1:6" ht="14.25">
      <c r="A2224" t="s">
        <v>2941</v>
      </c>
      <c r="B2224">
        <v>5335</v>
      </c>
      <c r="C2224" t="s">
        <v>136</v>
      </c>
      <c r="D2224">
        <v>2800</v>
      </c>
      <c r="E2224">
        <v>18.399999999999999</v>
      </c>
      <c r="F2224">
        <v>1300</v>
      </c>
    </row>
    <row r="2225" spans="1:6" ht="14.25">
      <c r="A2225" t="s">
        <v>2942</v>
      </c>
      <c r="B2225">
        <v>5338</v>
      </c>
      <c r="C2225" t="s">
        <v>143</v>
      </c>
      <c r="D2225">
        <v>2800</v>
      </c>
      <c r="E2225">
        <v>18.399999999999999</v>
      </c>
      <c r="F2225">
        <v>1300</v>
      </c>
    </row>
    <row r="2226" spans="1:6" ht="14.25">
      <c r="A2226" t="s">
        <v>2943</v>
      </c>
      <c r="B2226">
        <v>5641</v>
      </c>
      <c r="C2226" t="s">
        <v>136</v>
      </c>
      <c r="D2226">
        <v>2800</v>
      </c>
      <c r="E2226">
        <v>18.399999999999999</v>
      </c>
      <c r="F2226">
        <v>1300</v>
      </c>
    </row>
    <row r="2227" spans="1:6" ht="14.25">
      <c r="A2227" t="s">
        <v>2944</v>
      </c>
      <c r="B2227">
        <v>5642</v>
      </c>
      <c r="C2227" t="s">
        <v>136</v>
      </c>
      <c r="D2227">
        <v>2800</v>
      </c>
      <c r="E2227">
        <v>18.399999999999999</v>
      </c>
      <c r="F2227">
        <v>1300</v>
      </c>
    </row>
    <row r="2228" spans="1:6" ht="14.25">
      <c r="A2228" t="s">
        <v>5671</v>
      </c>
      <c r="B2228" t="s">
        <v>5672</v>
      </c>
      <c r="C2228" t="s">
        <v>143</v>
      </c>
      <c r="D2228">
        <v>2850</v>
      </c>
      <c r="E2228">
        <v>16</v>
      </c>
      <c r="F2228">
        <v>1220</v>
      </c>
    </row>
    <row r="2229" spans="1:6" ht="14.25">
      <c r="A2229" t="s">
        <v>5673</v>
      </c>
      <c r="B2229" t="s">
        <v>2880</v>
      </c>
      <c r="C2229" t="s">
        <v>143</v>
      </c>
      <c r="D2229">
        <v>2850</v>
      </c>
      <c r="E2229">
        <v>16</v>
      </c>
      <c r="F2229">
        <v>1220</v>
      </c>
    </row>
    <row r="2230" spans="1:6" ht="14.25">
      <c r="A2230" t="s">
        <v>2945</v>
      </c>
      <c r="B2230">
        <v>6339</v>
      </c>
      <c r="C2230" t="s">
        <v>143</v>
      </c>
      <c r="D2230">
        <v>2800</v>
      </c>
      <c r="E2230">
        <v>18.399999999999999</v>
      </c>
      <c r="F2230">
        <v>1300</v>
      </c>
    </row>
    <row r="2231" spans="1:6" ht="14.25">
      <c r="A2231" t="s">
        <v>2946</v>
      </c>
      <c r="B2231">
        <v>6340</v>
      </c>
      <c r="C2231" t="s">
        <v>143</v>
      </c>
      <c r="D2231">
        <v>2800</v>
      </c>
      <c r="E2231">
        <v>18.399999999999999</v>
      </c>
      <c r="F2231">
        <v>1300</v>
      </c>
    </row>
    <row r="2232" spans="1:6" ht="14.25">
      <c r="A2232" t="s">
        <v>2947</v>
      </c>
      <c r="B2232" t="s">
        <v>2948</v>
      </c>
      <c r="C2232" t="s">
        <v>136</v>
      </c>
      <c r="D2232">
        <v>2800</v>
      </c>
      <c r="E2232">
        <v>16</v>
      </c>
      <c r="F2232">
        <v>1000</v>
      </c>
    </row>
    <row r="2233" spans="1:6" ht="14.25">
      <c r="A2233" t="s">
        <v>2949</v>
      </c>
      <c r="B2233">
        <v>1920</v>
      </c>
      <c r="C2233" t="s">
        <v>136</v>
      </c>
      <c r="D2233">
        <v>2800</v>
      </c>
      <c r="E2233">
        <v>19</v>
      </c>
      <c r="F2233">
        <v>1300</v>
      </c>
    </row>
    <row r="2234" spans="1:6" ht="14.25">
      <c r="A2234" t="s">
        <v>2950</v>
      </c>
      <c r="B2234">
        <v>5000</v>
      </c>
      <c r="C2234" t="s">
        <v>136</v>
      </c>
      <c r="D2234">
        <v>2800</v>
      </c>
      <c r="E2234">
        <v>19</v>
      </c>
      <c r="F2234">
        <v>1300</v>
      </c>
    </row>
    <row r="2235" spans="1:6" ht="14.25">
      <c r="A2235" t="s">
        <v>2951</v>
      </c>
      <c r="B2235">
        <v>154367</v>
      </c>
      <c r="C2235" t="s">
        <v>136</v>
      </c>
      <c r="D2235">
        <v>2040</v>
      </c>
      <c r="E2235">
        <v>16</v>
      </c>
      <c r="F2235">
        <v>1150</v>
      </c>
    </row>
    <row r="2236" spans="1:6" ht="14.25">
      <c r="A2236" t="s">
        <v>2952</v>
      </c>
      <c r="B2236" t="s">
        <v>2953</v>
      </c>
      <c r="C2236" t="s">
        <v>136</v>
      </c>
      <c r="D2236">
        <v>2800</v>
      </c>
      <c r="E2236">
        <v>18</v>
      </c>
      <c r="F2236">
        <v>1300</v>
      </c>
    </row>
    <row r="2237" spans="1:6" ht="14.25">
      <c r="A2237" t="s">
        <v>2954</v>
      </c>
      <c r="B2237" t="s">
        <v>2953</v>
      </c>
      <c r="C2237" t="s">
        <v>136</v>
      </c>
      <c r="D2237">
        <v>2800</v>
      </c>
      <c r="E2237">
        <v>18</v>
      </c>
      <c r="F2237">
        <v>1300</v>
      </c>
    </row>
    <row r="2238" spans="1:6" ht="14.25">
      <c r="A2238" t="s">
        <v>2955</v>
      </c>
      <c r="B2238" t="s">
        <v>2956</v>
      </c>
      <c r="C2238" t="s">
        <v>136</v>
      </c>
      <c r="D2238">
        <v>2800</v>
      </c>
      <c r="E2238">
        <v>18</v>
      </c>
      <c r="F2238">
        <v>1300</v>
      </c>
    </row>
    <row r="2239" spans="1:6" ht="14.25">
      <c r="A2239" t="s">
        <v>2957</v>
      </c>
      <c r="B2239" t="s">
        <v>2956</v>
      </c>
      <c r="C2239" t="s">
        <v>136</v>
      </c>
      <c r="D2239">
        <v>2800</v>
      </c>
      <c r="E2239">
        <v>18</v>
      </c>
      <c r="F2239">
        <v>1300</v>
      </c>
    </row>
    <row r="2240" spans="1:6" ht="14.25">
      <c r="A2240" t="s">
        <v>2958</v>
      </c>
      <c r="B2240">
        <v>2453</v>
      </c>
      <c r="C2240" t="s">
        <v>136</v>
      </c>
      <c r="D2240">
        <v>2800</v>
      </c>
      <c r="E2240">
        <v>19</v>
      </c>
      <c r="F2240">
        <v>1300</v>
      </c>
    </row>
    <row r="2241" spans="1:6" ht="14.25">
      <c r="A2241" t="s">
        <v>2959</v>
      </c>
      <c r="B2241">
        <v>2454</v>
      </c>
      <c r="C2241" t="s">
        <v>136</v>
      </c>
      <c r="D2241">
        <v>2800</v>
      </c>
      <c r="E2241">
        <v>19</v>
      </c>
      <c r="F2241">
        <v>1300</v>
      </c>
    </row>
    <row r="2242" spans="1:6" ht="14.25">
      <c r="A2242" t="s">
        <v>2960</v>
      </c>
      <c r="B2242">
        <v>2455</v>
      </c>
      <c r="C2242" t="s">
        <v>136</v>
      </c>
      <c r="D2242">
        <v>2800</v>
      </c>
      <c r="E2242">
        <v>19</v>
      </c>
      <c r="F2242">
        <v>1300</v>
      </c>
    </row>
    <row r="2243" spans="1:6" ht="14.25">
      <c r="A2243" t="s">
        <v>2961</v>
      </c>
      <c r="B2243">
        <v>2456</v>
      </c>
      <c r="C2243" t="s">
        <v>136</v>
      </c>
      <c r="D2243">
        <v>2800</v>
      </c>
      <c r="E2243">
        <v>19</v>
      </c>
      <c r="F2243">
        <v>1300</v>
      </c>
    </row>
    <row r="2244" spans="1:6" ht="14.25">
      <c r="A2244" t="s">
        <v>2962</v>
      </c>
      <c r="B2244">
        <v>2457</v>
      </c>
      <c r="C2244" t="s">
        <v>136</v>
      </c>
      <c r="D2244">
        <v>2800</v>
      </c>
      <c r="E2244">
        <v>19</v>
      </c>
      <c r="F2244">
        <v>1300</v>
      </c>
    </row>
    <row r="2245" spans="1:6" ht="14.25">
      <c r="A2245" t="s">
        <v>2963</v>
      </c>
      <c r="C2245" t="s">
        <v>136</v>
      </c>
      <c r="D2245">
        <v>2800</v>
      </c>
      <c r="E2245">
        <v>17.8</v>
      </c>
      <c r="F2245">
        <v>1300</v>
      </c>
    </row>
    <row r="2246" spans="1:6" ht="14.25">
      <c r="A2246" t="s">
        <v>2964</v>
      </c>
      <c r="B2246">
        <v>2458</v>
      </c>
      <c r="C2246" t="s">
        <v>136</v>
      </c>
      <c r="D2246">
        <v>2800</v>
      </c>
      <c r="E2246">
        <v>19</v>
      </c>
      <c r="F2246">
        <v>1300</v>
      </c>
    </row>
    <row r="2247" spans="1:6" ht="14.25">
      <c r="A2247" t="s">
        <v>2965</v>
      </c>
      <c r="B2247">
        <v>2459</v>
      </c>
      <c r="C2247" t="s">
        <v>136</v>
      </c>
      <c r="D2247">
        <v>2800</v>
      </c>
      <c r="E2247">
        <v>19</v>
      </c>
      <c r="F2247">
        <v>1300</v>
      </c>
    </row>
    <row r="2248" spans="1:6" ht="14.25">
      <c r="A2248" t="s">
        <v>2966</v>
      </c>
      <c r="B2248">
        <v>2460</v>
      </c>
      <c r="C2248" t="s">
        <v>136</v>
      </c>
      <c r="D2248">
        <v>2800</v>
      </c>
      <c r="E2248">
        <v>18</v>
      </c>
      <c r="F2248">
        <v>1300</v>
      </c>
    </row>
    <row r="2249" spans="1:6" ht="14.25">
      <c r="A2249" t="s">
        <v>2967</v>
      </c>
      <c r="B2249">
        <v>2460</v>
      </c>
      <c r="C2249" t="s">
        <v>136</v>
      </c>
      <c r="D2249">
        <v>2800</v>
      </c>
      <c r="E2249">
        <v>19</v>
      </c>
      <c r="F2249">
        <v>1300</v>
      </c>
    </row>
    <row r="2250" spans="1:6" ht="14.25">
      <c r="A2250" t="s">
        <v>2968</v>
      </c>
      <c r="C2250" t="s">
        <v>136</v>
      </c>
      <c r="D2250">
        <v>2800</v>
      </c>
      <c r="E2250">
        <v>17.8</v>
      </c>
      <c r="F2250">
        <v>1300</v>
      </c>
    </row>
    <row r="2251" spans="1:6" ht="14.25">
      <c r="A2251" t="s">
        <v>2969</v>
      </c>
      <c r="B2251">
        <v>2461</v>
      </c>
      <c r="C2251" t="s">
        <v>136</v>
      </c>
      <c r="D2251">
        <v>2800</v>
      </c>
      <c r="E2251">
        <v>19</v>
      </c>
      <c r="F2251">
        <v>1300</v>
      </c>
    </row>
    <row r="2252" spans="1:6" ht="14.25">
      <c r="A2252" t="s">
        <v>2970</v>
      </c>
      <c r="B2252">
        <v>2462</v>
      </c>
      <c r="C2252" t="s">
        <v>136</v>
      </c>
      <c r="D2252">
        <v>2800</v>
      </c>
      <c r="E2252">
        <v>19</v>
      </c>
      <c r="F2252">
        <v>1300</v>
      </c>
    </row>
    <row r="2253" spans="1:6" ht="14.25">
      <c r="A2253" t="s">
        <v>2971</v>
      </c>
      <c r="B2253">
        <v>2463</v>
      </c>
      <c r="C2253" t="s">
        <v>136</v>
      </c>
      <c r="D2253">
        <v>2800</v>
      </c>
      <c r="E2253">
        <v>19</v>
      </c>
      <c r="F2253">
        <v>1300</v>
      </c>
    </row>
    <row r="2254" spans="1:6" ht="14.25">
      <c r="A2254" t="s">
        <v>2972</v>
      </c>
      <c r="B2254">
        <v>2464</v>
      </c>
      <c r="C2254" t="s">
        <v>136</v>
      </c>
      <c r="D2254">
        <v>2800</v>
      </c>
      <c r="E2254">
        <v>19</v>
      </c>
      <c r="F2254">
        <v>1300</v>
      </c>
    </row>
    <row r="2255" spans="1:6" ht="14.25">
      <c r="A2255" t="s">
        <v>2973</v>
      </c>
      <c r="B2255">
        <v>2735</v>
      </c>
      <c r="C2255" t="s">
        <v>136</v>
      </c>
      <c r="D2255">
        <v>2800</v>
      </c>
      <c r="E2255">
        <v>19</v>
      </c>
      <c r="F2255">
        <v>1300</v>
      </c>
    </row>
    <row r="2256" spans="1:6" ht="14.25">
      <c r="A2256" t="s">
        <v>2974</v>
      </c>
      <c r="B2256">
        <v>2736</v>
      </c>
      <c r="C2256" t="s">
        <v>136</v>
      </c>
      <c r="D2256">
        <v>2800</v>
      </c>
      <c r="E2256">
        <v>19</v>
      </c>
      <c r="F2256">
        <v>1300</v>
      </c>
    </row>
    <row r="2257" spans="1:6" ht="14.25">
      <c r="A2257" t="s">
        <v>2975</v>
      </c>
      <c r="B2257">
        <v>2737</v>
      </c>
      <c r="C2257" t="s">
        <v>136</v>
      </c>
      <c r="D2257">
        <v>2800</v>
      </c>
      <c r="E2257">
        <v>19</v>
      </c>
      <c r="F2257">
        <v>1300</v>
      </c>
    </row>
    <row r="2258" spans="1:6" ht="14.25">
      <c r="A2258" t="s">
        <v>2976</v>
      </c>
      <c r="B2258">
        <v>2738</v>
      </c>
      <c r="C2258" t="s">
        <v>136</v>
      </c>
      <c r="D2258">
        <v>2800</v>
      </c>
      <c r="E2258">
        <v>19</v>
      </c>
      <c r="F2258">
        <v>1300</v>
      </c>
    </row>
    <row r="2259" spans="1:6" ht="14.25">
      <c r="A2259" t="s">
        <v>2977</v>
      </c>
      <c r="B2259">
        <v>2739</v>
      </c>
      <c r="C2259" t="s">
        <v>136</v>
      </c>
      <c r="D2259">
        <v>2800</v>
      </c>
      <c r="E2259">
        <v>19</v>
      </c>
      <c r="F2259">
        <v>1300</v>
      </c>
    </row>
    <row r="2260" spans="1:6" ht="14.25">
      <c r="A2260" t="s">
        <v>2978</v>
      </c>
      <c r="B2260">
        <v>2740</v>
      </c>
      <c r="C2260" t="s">
        <v>136</v>
      </c>
      <c r="D2260">
        <v>2800</v>
      </c>
      <c r="E2260">
        <v>19</v>
      </c>
      <c r="F2260">
        <v>1300</v>
      </c>
    </row>
    <row r="2261" spans="1:6" ht="14.25">
      <c r="A2261" t="s">
        <v>2979</v>
      </c>
      <c r="B2261">
        <v>2741</v>
      </c>
      <c r="C2261" t="s">
        <v>136</v>
      </c>
      <c r="D2261">
        <v>2800</v>
      </c>
      <c r="E2261">
        <v>19</v>
      </c>
      <c r="F2261">
        <v>1300</v>
      </c>
    </row>
    <row r="2262" spans="1:6" ht="14.25">
      <c r="A2262" t="s">
        <v>2980</v>
      </c>
      <c r="B2262">
        <v>2742</v>
      </c>
      <c r="C2262" t="s">
        <v>136</v>
      </c>
      <c r="D2262">
        <v>2800</v>
      </c>
      <c r="E2262">
        <v>19</v>
      </c>
      <c r="F2262">
        <v>1300</v>
      </c>
    </row>
    <row r="2263" spans="1:6" ht="14.25">
      <c r="A2263" t="s">
        <v>2981</v>
      </c>
      <c r="B2263">
        <v>1744</v>
      </c>
      <c r="C2263" t="s">
        <v>143</v>
      </c>
      <c r="D2263">
        <v>2800</v>
      </c>
      <c r="E2263">
        <v>2</v>
      </c>
      <c r="F2263">
        <v>1300</v>
      </c>
    </row>
    <row r="2264" spans="1:6" ht="14.25">
      <c r="A2264" t="s">
        <v>2982</v>
      </c>
      <c r="C2264" t="s">
        <v>136</v>
      </c>
      <c r="D2264">
        <v>0</v>
      </c>
      <c r="E2264">
        <v>0</v>
      </c>
      <c r="F2264">
        <v>0</v>
      </c>
    </row>
    <row r="2265" spans="1:6" ht="14.25">
      <c r="A2265" t="s">
        <v>2983</v>
      </c>
      <c r="B2265">
        <v>1745</v>
      </c>
      <c r="C2265" t="s">
        <v>143</v>
      </c>
      <c r="D2265">
        <v>2800</v>
      </c>
      <c r="E2265">
        <v>2</v>
      </c>
      <c r="F2265">
        <v>1300</v>
      </c>
    </row>
    <row r="2266" spans="1:6" ht="14.25">
      <c r="A2266" t="s">
        <v>2984</v>
      </c>
      <c r="B2266" t="s">
        <v>135</v>
      </c>
      <c r="C2266" t="s">
        <v>136</v>
      </c>
      <c r="D2266">
        <v>2800</v>
      </c>
      <c r="E2266">
        <v>18</v>
      </c>
      <c r="F2266">
        <v>2070</v>
      </c>
    </row>
    <row r="2267" spans="1:6" ht="14.25">
      <c r="A2267" t="s">
        <v>2985</v>
      </c>
      <c r="B2267" t="s">
        <v>142</v>
      </c>
      <c r="C2267" t="s">
        <v>143</v>
      </c>
      <c r="D2267">
        <v>2800</v>
      </c>
      <c r="E2267">
        <v>18</v>
      </c>
      <c r="F2267">
        <v>2070</v>
      </c>
    </row>
    <row r="2268" spans="1:6" ht="14.25">
      <c r="A2268" t="s">
        <v>2986</v>
      </c>
      <c r="B2268" t="s">
        <v>2987</v>
      </c>
      <c r="C2268" t="s">
        <v>136</v>
      </c>
      <c r="D2268">
        <v>2800</v>
      </c>
      <c r="E2268">
        <v>18</v>
      </c>
      <c r="F2268">
        <v>2070</v>
      </c>
    </row>
    <row r="2269" spans="1:6" ht="14.25">
      <c r="A2269" t="s">
        <v>2988</v>
      </c>
      <c r="B2269" t="s">
        <v>2989</v>
      </c>
      <c r="C2269" t="s">
        <v>143</v>
      </c>
      <c r="D2269">
        <v>2800</v>
      </c>
      <c r="E2269">
        <v>18</v>
      </c>
      <c r="F2269">
        <v>2070</v>
      </c>
    </row>
    <row r="2270" spans="1:6" ht="14.25">
      <c r="A2270" t="s">
        <v>2990</v>
      </c>
      <c r="B2270" t="s">
        <v>2990</v>
      </c>
      <c r="C2270" t="s">
        <v>136</v>
      </c>
      <c r="D2270">
        <v>2800</v>
      </c>
      <c r="E2270">
        <v>18</v>
      </c>
      <c r="F2270">
        <v>2070</v>
      </c>
    </row>
    <row r="2271" spans="1:6" ht="14.25">
      <c r="A2271" t="s">
        <v>2991</v>
      </c>
      <c r="B2271" t="s">
        <v>2992</v>
      </c>
      <c r="C2271" t="s">
        <v>136</v>
      </c>
      <c r="D2271">
        <v>2800</v>
      </c>
      <c r="E2271">
        <v>18</v>
      </c>
      <c r="F2271">
        <v>2070</v>
      </c>
    </row>
    <row r="2272" spans="1:6" ht="14.25">
      <c r="A2272" t="s">
        <v>2993</v>
      </c>
      <c r="B2272" t="s">
        <v>2992</v>
      </c>
      <c r="C2272" t="s">
        <v>136</v>
      </c>
      <c r="D2272">
        <v>2800</v>
      </c>
      <c r="E2272">
        <v>38</v>
      </c>
      <c r="F2272">
        <v>2070</v>
      </c>
    </row>
    <row r="2273" spans="1:8" ht="14.25">
      <c r="A2273" t="s">
        <v>2994</v>
      </c>
      <c r="B2273" t="s">
        <v>2992</v>
      </c>
      <c r="C2273" t="s">
        <v>136</v>
      </c>
      <c r="D2273">
        <v>4100</v>
      </c>
      <c r="E2273">
        <v>38</v>
      </c>
      <c r="F2273">
        <v>920</v>
      </c>
      <c r="G2273" t="s">
        <v>1611</v>
      </c>
      <c r="H2273" t="s">
        <v>1611</v>
      </c>
    </row>
    <row r="2274" spans="1:8" ht="14.25">
      <c r="A2274" t="s">
        <v>2995</v>
      </c>
      <c r="B2274">
        <v>45</v>
      </c>
      <c r="C2274" t="s">
        <v>136</v>
      </c>
      <c r="D2274">
        <v>4200</v>
      </c>
      <c r="E2274">
        <v>12</v>
      </c>
      <c r="F2274">
        <v>1610</v>
      </c>
    </row>
    <row r="2275" spans="1:8" ht="14.25">
      <c r="A2275" t="s">
        <v>2996</v>
      </c>
      <c r="C2275" t="s">
        <v>136</v>
      </c>
      <c r="D2275">
        <v>2800</v>
      </c>
      <c r="E2275">
        <v>4.5</v>
      </c>
      <c r="F2275">
        <v>1800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56"/>
  <sheetViews>
    <sheetView topLeftCell="A2" workbookViewId="0">
      <selection activeCell="A2" sqref="A2:E1449"/>
    </sheetView>
  </sheetViews>
  <sheetFormatPr defaultColWidth="12.625" defaultRowHeight="15" customHeight="1"/>
  <cols>
    <col min="1" max="1" width="21.375" customWidth="1"/>
    <col min="2" max="24" width="7.625" customWidth="1"/>
  </cols>
  <sheetData>
    <row r="1" spans="1:4">
      <c r="A1" s="62" t="s">
        <v>83</v>
      </c>
      <c r="B1" s="62" t="s">
        <v>84</v>
      </c>
      <c r="C1" s="62" t="s">
        <v>132</v>
      </c>
      <c r="D1" s="62" t="s">
        <v>133</v>
      </c>
    </row>
    <row r="2" spans="1:4" ht="14.25">
      <c r="A2" t="s">
        <v>2997</v>
      </c>
      <c r="B2">
        <v>35252</v>
      </c>
      <c r="C2">
        <v>8</v>
      </c>
      <c r="D2">
        <v>40</v>
      </c>
    </row>
    <row r="3" spans="1:4" ht="14.25">
      <c r="A3" t="s">
        <v>2998</v>
      </c>
      <c r="B3">
        <v>38356</v>
      </c>
      <c r="C3">
        <v>8</v>
      </c>
      <c r="D3">
        <v>40</v>
      </c>
    </row>
    <row r="4" spans="1:4" ht="14.25">
      <c r="A4" t="s">
        <v>2999</v>
      </c>
      <c r="B4">
        <v>47981</v>
      </c>
      <c r="C4">
        <v>8</v>
      </c>
      <c r="D4">
        <v>40</v>
      </c>
    </row>
    <row r="5" spans="1:4" ht="14.25">
      <c r="A5" t="s">
        <v>3000</v>
      </c>
      <c r="B5" t="s">
        <v>201</v>
      </c>
      <c r="C5">
        <v>8</v>
      </c>
      <c r="D5">
        <v>20</v>
      </c>
    </row>
    <row r="6" spans="1:4" ht="14.25">
      <c r="A6" t="s">
        <v>3001</v>
      </c>
      <c r="B6" t="s">
        <v>203</v>
      </c>
      <c r="C6">
        <v>8</v>
      </c>
      <c r="D6">
        <v>20</v>
      </c>
    </row>
    <row r="7" spans="1:4" ht="14.25">
      <c r="A7" t="s">
        <v>3002</v>
      </c>
      <c r="B7" t="s">
        <v>205</v>
      </c>
      <c r="C7">
        <v>8</v>
      </c>
      <c r="D7">
        <v>20</v>
      </c>
    </row>
    <row r="8" spans="1:4" ht="14.25">
      <c r="A8" t="s">
        <v>3003</v>
      </c>
      <c r="B8" t="s">
        <v>207</v>
      </c>
      <c r="C8">
        <v>8</v>
      </c>
      <c r="D8">
        <v>20</v>
      </c>
    </row>
    <row r="9" spans="1:4" ht="14.25">
      <c r="A9" t="s">
        <v>3004</v>
      </c>
      <c r="B9" t="s">
        <v>211</v>
      </c>
      <c r="C9">
        <v>8</v>
      </c>
      <c r="D9">
        <v>20</v>
      </c>
    </row>
    <row r="10" spans="1:4" ht="14.25">
      <c r="A10" t="s">
        <v>3005</v>
      </c>
      <c r="B10" t="s">
        <v>1101</v>
      </c>
      <c r="C10">
        <v>9</v>
      </c>
      <c r="D10">
        <v>20</v>
      </c>
    </row>
    <row r="11" spans="1:4" ht="14.25">
      <c r="A11" t="s">
        <v>3006</v>
      </c>
      <c r="B11" t="s">
        <v>1101</v>
      </c>
      <c r="C11">
        <v>8</v>
      </c>
      <c r="D11">
        <v>40</v>
      </c>
    </row>
    <row r="12" spans="1:4" ht="14.25">
      <c r="A12" t="s">
        <v>3007</v>
      </c>
      <c r="B12" t="s">
        <v>1280</v>
      </c>
      <c r="C12">
        <v>9</v>
      </c>
      <c r="D12">
        <v>20</v>
      </c>
    </row>
    <row r="13" spans="1:4" ht="14.25">
      <c r="A13" t="s">
        <v>3008</v>
      </c>
      <c r="B13" t="s">
        <v>1703</v>
      </c>
      <c r="C13">
        <v>8</v>
      </c>
      <c r="D13">
        <v>40</v>
      </c>
    </row>
    <row r="14" spans="1:4" ht="14.25">
      <c r="A14" t="s">
        <v>3009</v>
      </c>
      <c r="B14" t="s">
        <v>1706</v>
      </c>
      <c r="C14">
        <v>8</v>
      </c>
      <c r="D14">
        <v>40</v>
      </c>
    </row>
    <row r="15" spans="1:4" ht="14.25">
      <c r="A15" t="s">
        <v>3010</v>
      </c>
      <c r="B15" t="s">
        <v>1709</v>
      </c>
      <c r="C15">
        <v>8</v>
      </c>
      <c r="D15">
        <v>40</v>
      </c>
    </row>
    <row r="16" spans="1:4" ht="14.25">
      <c r="A16" t="s">
        <v>3011</v>
      </c>
      <c r="B16" t="s">
        <v>1712</v>
      </c>
      <c r="C16">
        <v>8</v>
      </c>
      <c r="D16">
        <v>40</v>
      </c>
    </row>
    <row r="17" spans="1:4" ht="14.25">
      <c r="A17" t="s">
        <v>3012</v>
      </c>
      <c r="B17" t="s">
        <v>1715</v>
      </c>
      <c r="C17">
        <v>8</v>
      </c>
      <c r="D17">
        <v>40</v>
      </c>
    </row>
    <row r="18" spans="1:4" ht="14.25">
      <c r="A18" t="s">
        <v>3013</v>
      </c>
      <c r="B18" t="s">
        <v>1718</v>
      </c>
      <c r="C18">
        <v>8</v>
      </c>
      <c r="D18">
        <v>40</v>
      </c>
    </row>
    <row r="19" spans="1:4" ht="14.25">
      <c r="A19" t="s">
        <v>3014</v>
      </c>
      <c r="B19" t="s">
        <v>1721</v>
      </c>
      <c r="C19">
        <v>8</v>
      </c>
      <c r="D19">
        <v>40</v>
      </c>
    </row>
    <row r="20" spans="1:4" ht="14.25">
      <c r="A20" t="s">
        <v>3015</v>
      </c>
      <c r="B20" t="s">
        <v>1724</v>
      </c>
      <c r="C20">
        <v>8</v>
      </c>
      <c r="D20">
        <v>40</v>
      </c>
    </row>
    <row r="21" spans="1:4" ht="15.75" customHeight="1">
      <c r="A21" t="s">
        <v>3016</v>
      </c>
      <c r="B21" t="s">
        <v>1727</v>
      </c>
      <c r="C21">
        <v>8</v>
      </c>
      <c r="D21">
        <v>40</v>
      </c>
    </row>
    <row r="22" spans="1:4" ht="15.75" customHeight="1">
      <c r="A22" t="s">
        <v>3017</v>
      </c>
      <c r="B22" t="s">
        <v>1730</v>
      </c>
      <c r="C22">
        <v>8</v>
      </c>
      <c r="D22">
        <v>40</v>
      </c>
    </row>
    <row r="23" spans="1:4" ht="15.75" customHeight="1">
      <c r="A23" t="s">
        <v>3018</v>
      </c>
      <c r="B23" t="s">
        <v>1735</v>
      </c>
      <c r="C23">
        <v>8</v>
      </c>
      <c r="D23">
        <v>40</v>
      </c>
    </row>
    <row r="24" spans="1:4" ht="15.75" customHeight="1">
      <c r="A24" t="s">
        <v>3019</v>
      </c>
      <c r="B24" t="s">
        <v>1738</v>
      </c>
      <c r="C24">
        <v>8</v>
      </c>
      <c r="D24">
        <v>40</v>
      </c>
    </row>
    <row r="25" spans="1:4" ht="15.75" customHeight="1">
      <c r="A25" t="s">
        <v>3020</v>
      </c>
      <c r="B25" t="s">
        <v>1741</v>
      </c>
      <c r="C25">
        <v>8</v>
      </c>
      <c r="D25">
        <v>40</v>
      </c>
    </row>
    <row r="26" spans="1:4" ht="15.75" customHeight="1">
      <c r="A26" t="s">
        <v>3021</v>
      </c>
      <c r="B26" t="s">
        <v>3022</v>
      </c>
      <c r="C26">
        <v>8</v>
      </c>
      <c r="D26">
        <v>40</v>
      </c>
    </row>
    <row r="27" spans="1:4" ht="15.75" customHeight="1">
      <c r="A27" t="s">
        <v>3023</v>
      </c>
      <c r="B27" t="s">
        <v>3024</v>
      </c>
      <c r="C27">
        <v>8</v>
      </c>
      <c r="D27">
        <v>40</v>
      </c>
    </row>
    <row r="28" spans="1:4" ht="15.75" customHeight="1">
      <c r="A28" t="s">
        <v>3025</v>
      </c>
      <c r="B28" t="s">
        <v>1744</v>
      </c>
      <c r="C28">
        <v>8</v>
      </c>
      <c r="D28">
        <v>40</v>
      </c>
    </row>
    <row r="29" spans="1:4" ht="15.75" customHeight="1">
      <c r="A29" t="s">
        <v>3026</v>
      </c>
      <c r="B29" t="s">
        <v>1747</v>
      </c>
      <c r="C29">
        <v>8</v>
      </c>
      <c r="D29">
        <v>40</v>
      </c>
    </row>
    <row r="30" spans="1:4" ht="15.75" customHeight="1">
      <c r="A30" t="s">
        <v>3027</v>
      </c>
      <c r="B30" t="s">
        <v>1758</v>
      </c>
      <c r="C30">
        <v>8</v>
      </c>
      <c r="D30">
        <v>40</v>
      </c>
    </row>
    <row r="31" spans="1:4" ht="15.75" customHeight="1">
      <c r="A31" t="s">
        <v>3028</v>
      </c>
      <c r="B31" t="s">
        <v>1758</v>
      </c>
      <c r="C31">
        <v>8</v>
      </c>
      <c r="D31">
        <v>40</v>
      </c>
    </row>
    <row r="32" spans="1:4" ht="15.75" customHeight="1">
      <c r="A32" t="s">
        <v>3029</v>
      </c>
      <c r="B32" t="s">
        <v>1764</v>
      </c>
      <c r="C32">
        <v>8</v>
      </c>
      <c r="D32">
        <v>40</v>
      </c>
    </row>
    <row r="33" spans="1:4" ht="15.75" customHeight="1">
      <c r="A33" t="s">
        <v>3030</v>
      </c>
      <c r="B33" t="s">
        <v>1767</v>
      </c>
      <c r="C33">
        <v>8</v>
      </c>
      <c r="D33">
        <v>40</v>
      </c>
    </row>
    <row r="34" spans="1:4" ht="15.75" customHeight="1">
      <c r="A34" t="s">
        <v>3031</v>
      </c>
      <c r="B34" t="s">
        <v>1770</v>
      </c>
      <c r="C34">
        <v>8</v>
      </c>
      <c r="D34">
        <v>40</v>
      </c>
    </row>
    <row r="35" spans="1:4" ht="15.75" customHeight="1">
      <c r="A35" t="s">
        <v>3032</v>
      </c>
      <c r="B35" t="s">
        <v>1773</v>
      </c>
      <c r="C35">
        <v>8</v>
      </c>
      <c r="D35">
        <v>40</v>
      </c>
    </row>
    <row r="36" spans="1:4" ht="15.75" customHeight="1">
      <c r="A36" t="s">
        <v>3033</v>
      </c>
      <c r="B36" t="s">
        <v>1776</v>
      </c>
      <c r="C36">
        <v>8</v>
      </c>
      <c r="D36">
        <v>40</v>
      </c>
    </row>
    <row r="37" spans="1:4" ht="15.75" customHeight="1">
      <c r="A37" t="s">
        <v>3034</v>
      </c>
      <c r="B37" t="s">
        <v>1779</v>
      </c>
      <c r="C37">
        <v>8</v>
      </c>
      <c r="D37">
        <v>40</v>
      </c>
    </row>
    <row r="38" spans="1:4" ht="15.75" customHeight="1">
      <c r="A38" t="s">
        <v>3035</v>
      </c>
      <c r="B38" t="s">
        <v>1781</v>
      </c>
      <c r="C38">
        <v>8</v>
      </c>
      <c r="D38">
        <v>40</v>
      </c>
    </row>
    <row r="39" spans="1:4" ht="15.75" customHeight="1">
      <c r="A39" t="s">
        <v>3036</v>
      </c>
      <c r="B39" t="s">
        <v>1784</v>
      </c>
      <c r="C39">
        <v>8</v>
      </c>
      <c r="D39">
        <v>40</v>
      </c>
    </row>
    <row r="40" spans="1:4" ht="15.75" customHeight="1">
      <c r="A40" t="s">
        <v>3037</v>
      </c>
      <c r="B40" t="s">
        <v>214</v>
      </c>
      <c r="C40">
        <v>9</v>
      </c>
      <c r="D40">
        <v>20</v>
      </c>
    </row>
    <row r="41" spans="1:4" ht="15.75" customHeight="1">
      <c r="A41" t="s">
        <v>3038</v>
      </c>
      <c r="B41" t="s">
        <v>1787</v>
      </c>
      <c r="C41">
        <v>8</v>
      </c>
      <c r="D41">
        <v>40</v>
      </c>
    </row>
    <row r="42" spans="1:4" ht="15.75" customHeight="1">
      <c r="A42" t="s">
        <v>5459</v>
      </c>
      <c r="B42" t="s">
        <v>5417</v>
      </c>
      <c r="C42">
        <v>9</v>
      </c>
      <c r="D42">
        <v>20</v>
      </c>
    </row>
    <row r="43" spans="1:4" ht="15.75" customHeight="1">
      <c r="A43" t="s">
        <v>5460</v>
      </c>
      <c r="B43" t="s">
        <v>5420</v>
      </c>
      <c r="C43">
        <v>9</v>
      </c>
      <c r="D43">
        <v>20</v>
      </c>
    </row>
    <row r="44" spans="1:4" ht="15.75" customHeight="1">
      <c r="A44" t="s">
        <v>3039</v>
      </c>
      <c r="B44" t="s">
        <v>3040</v>
      </c>
      <c r="C44">
        <v>8</v>
      </c>
      <c r="D44">
        <v>40</v>
      </c>
    </row>
    <row r="45" spans="1:4" ht="15.75" customHeight="1">
      <c r="A45" t="s">
        <v>3041</v>
      </c>
      <c r="B45" t="s">
        <v>1792</v>
      </c>
      <c r="C45">
        <v>8</v>
      </c>
      <c r="D45">
        <v>40</v>
      </c>
    </row>
    <row r="46" spans="1:4" ht="15.75" customHeight="1">
      <c r="A46" t="s">
        <v>3042</v>
      </c>
      <c r="B46" t="s">
        <v>1794</v>
      </c>
      <c r="C46">
        <v>8</v>
      </c>
      <c r="D46">
        <v>40</v>
      </c>
    </row>
    <row r="47" spans="1:4" ht="15.75" customHeight="1">
      <c r="A47" t="s">
        <v>3043</v>
      </c>
      <c r="B47" t="s">
        <v>1796</v>
      </c>
      <c r="C47">
        <v>8</v>
      </c>
      <c r="D47">
        <v>40</v>
      </c>
    </row>
    <row r="48" spans="1:4" ht="15.75" customHeight="1">
      <c r="A48" t="s">
        <v>3044</v>
      </c>
      <c r="B48" t="s">
        <v>3045</v>
      </c>
      <c r="C48">
        <v>8</v>
      </c>
      <c r="D48">
        <v>40</v>
      </c>
    </row>
    <row r="49" spans="1:4" ht="15.75" customHeight="1">
      <c r="A49" t="s">
        <v>3046</v>
      </c>
      <c r="B49" t="s">
        <v>1802</v>
      </c>
      <c r="C49">
        <v>8</v>
      </c>
      <c r="D49">
        <v>40</v>
      </c>
    </row>
    <row r="50" spans="1:4" ht="15.75" customHeight="1">
      <c r="A50" t="s">
        <v>3047</v>
      </c>
      <c r="B50" t="s">
        <v>216</v>
      </c>
      <c r="C50">
        <v>9</v>
      </c>
      <c r="D50">
        <v>20</v>
      </c>
    </row>
    <row r="51" spans="1:4" ht="15.75" customHeight="1">
      <c r="A51" t="s">
        <v>3048</v>
      </c>
      <c r="B51" t="s">
        <v>216</v>
      </c>
      <c r="C51">
        <v>8</v>
      </c>
      <c r="D51">
        <v>40</v>
      </c>
    </row>
    <row r="52" spans="1:4" ht="15.75" customHeight="1">
      <c r="A52" t="s">
        <v>3049</v>
      </c>
      <c r="B52" t="s">
        <v>216</v>
      </c>
      <c r="C52">
        <v>9</v>
      </c>
      <c r="D52">
        <v>20</v>
      </c>
    </row>
    <row r="53" spans="1:4" ht="15.75" customHeight="1">
      <c r="A53" t="s">
        <v>3050</v>
      </c>
      <c r="B53" t="s">
        <v>216</v>
      </c>
      <c r="C53">
        <v>19</v>
      </c>
      <c r="D53">
        <v>25</v>
      </c>
    </row>
    <row r="54" spans="1:4" ht="15.75" customHeight="1">
      <c r="A54" t="s">
        <v>3051</v>
      </c>
      <c r="B54" t="s">
        <v>221</v>
      </c>
      <c r="C54">
        <v>9</v>
      </c>
      <c r="D54">
        <v>20</v>
      </c>
    </row>
    <row r="55" spans="1:4" ht="15.75" customHeight="1">
      <c r="A55" t="s">
        <v>3052</v>
      </c>
      <c r="B55" t="s">
        <v>221</v>
      </c>
      <c r="C55">
        <v>8</v>
      </c>
      <c r="D55">
        <v>40</v>
      </c>
    </row>
    <row r="56" spans="1:4" ht="15.75" customHeight="1">
      <c r="A56" t="s">
        <v>3053</v>
      </c>
      <c r="B56" t="s">
        <v>221</v>
      </c>
      <c r="C56">
        <v>9</v>
      </c>
      <c r="D56">
        <v>20</v>
      </c>
    </row>
    <row r="57" spans="1:4" ht="15.75" customHeight="1">
      <c r="A57" t="s">
        <v>5461</v>
      </c>
      <c r="B57" t="s">
        <v>5423</v>
      </c>
      <c r="C57">
        <v>9</v>
      </c>
      <c r="D57">
        <v>20</v>
      </c>
    </row>
    <row r="58" spans="1:4" ht="15.75" customHeight="1">
      <c r="A58" t="s">
        <v>3054</v>
      </c>
      <c r="B58" t="s">
        <v>224</v>
      </c>
      <c r="C58">
        <v>9</v>
      </c>
      <c r="D58">
        <v>20</v>
      </c>
    </row>
    <row r="59" spans="1:4" ht="15.75" customHeight="1">
      <c r="A59" t="s">
        <v>3055</v>
      </c>
      <c r="B59" t="s">
        <v>224</v>
      </c>
      <c r="C59">
        <v>8</v>
      </c>
      <c r="D59">
        <v>40</v>
      </c>
    </row>
    <row r="60" spans="1:4" ht="15.75" customHeight="1">
      <c r="A60" t="s">
        <v>3056</v>
      </c>
      <c r="B60" t="s">
        <v>224</v>
      </c>
      <c r="C60">
        <v>9</v>
      </c>
      <c r="D60">
        <v>20</v>
      </c>
    </row>
    <row r="61" spans="1:4" ht="15.75" customHeight="1">
      <c r="A61" t="s">
        <v>3057</v>
      </c>
      <c r="B61" t="s">
        <v>1813</v>
      </c>
      <c r="C61">
        <v>8</v>
      </c>
      <c r="D61">
        <v>40</v>
      </c>
    </row>
    <row r="62" spans="1:4" ht="15.75" customHeight="1">
      <c r="A62" t="s">
        <v>3058</v>
      </c>
      <c r="B62" t="s">
        <v>226</v>
      </c>
      <c r="C62">
        <v>9</v>
      </c>
      <c r="D62">
        <v>20</v>
      </c>
    </row>
    <row r="63" spans="1:4" ht="15.75" customHeight="1">
      <c r="A63" t="s">
        <v>3059</v>
      </c>
      <c r="B63" t="s">
        <v>226</v>
      </c>
      <c r="C63">
        <v>8</v>
      </c>
      <c r="D63">
        <v>40</v>
      </c>
    </row>
    <row r="64" spans="1:4" ht="15.75" customHeight="1">
      <c r="A64" t="s">
        <v>3060</v>
      </c>
      <c r="B64" t="s">
        <v>226</v>
      </c>
      <c r="C64">
        <v>9</v>
      </c>
      <c r="D64">
        <v>20</v>
      </c>
    </row>
    <row r="65" spans="1:4" ht="15.75" customHeight="1">
      <c r="A65" t="s">
        <v>3061</v>
      </c>
      <c r="B65" t="s">
        <v>228</v>
      </c>
      <c r="C65">
        <v>9</v>
      </c>
      <c r="D65">
        <v>20</v>
      </c>
    </row>
    <row r="66" spans="1:4" ht="15.75" customHeight="1">
      <c r="A66" t="s">
        <v>3062</v>
      </c>
      <c r="C66">
        <v>9</v>
      </c>
      <c r="D66">
        <v>20</v>
      </c>
    </row>
    <row r="67" spans="1:4" ht="15.75" customHeight="1">
      <c r="A67" t="s">
        <v>3063</v>
      </c>
      <c r="B67" t="s">
        <v>1821</v>
      </c>
      <c r="C67">
        <v>8</v>
      </c>
      <c r="D67">
        <v>40</v>
      </c>
    </row>
    <row r="68" spans="1:4" ht="15.75" customHeight="1">
      <c r="A68" t="s">
        <v>3064</v>
      </c>
      <c r="B68" t="s">
        <v>1827</v>
      </c>
      <c r="C68">
        <v>8</v>
      </c>
      <c r="D68">
        <v>40</v>
      </c>
    </row>
    <row r="69" spans="1:4" ht="15.75" customHeight="1">
      <c r="A69" t="s">
        <v>3065</v>
      </c>
      <c r="B69" t="s">
        <v>3066</v>
      </c>
      <c r="C69">
        <v>8</v>
      </c>
      <c r="D69">
        <v>40</v>
      </c>
    </row>
    <row r="70" spans="1:4" ht="15.75" customHeight="1">
      <c r="A70" t="s">
        <v>3067</v>
      </c>
      <c r="B70" t="s">
        <v>1830</v>
      </c>
      <c r="C70">
        <v>8</v>
      </c>
      <c r="D70">
        <v>40</v>
      </c>
    </row>
    <row r="71" spans="1:4" ht="15.75" customHeight="1">
      <c r="A71" t="s">
        <v>3068</v>
      </c>
      <c r="B71" t="s">
        <v>3069</v>
      </c>
      <c r="C71">
        <v>8</v>
      </c>
      <c r="D71">
        <v>40</v>
      </c>
    </row>
    <row r="72" spans="1:4" ht="15.75" customHeight="1">
      <c r="A72" t="s">
        <v>3070</v>
      </c>
      <c r="B72" t="s">
        <v>1832</v>
      </c>
      <c r="C72">
        <v>8</v>
      </c>
      <c r="D72">
        <v>40</v>
      </c>
    </row>
    <row r="73" spans="1:4" ht="15.75" customHeight="1">
      <c r="A73" t="s">
        <v>3071</v>
      </c>
      <c r="B73" t="s">
        <v>1837</v>
      </c>
      <c r="C73">
        <v>8</v>
      </c>
      <c r="D73">
        <v>40</v>
      </c>
    </row>
    <row r="74" spans="1:4" ht="15.75" customHeight="1">
      <c r="A74" t="s">
        <v>3072</v>
      </c>
      <c r="B74" t="s">
        <v>1842</v>
      </c>
      <c r="C74">
        <v>8</v>
      </c>
      <c r="D74">
        <v>40</v>
      </c>
    </row>
    <row r="75" spans="1:4" ht="15.75" customHeight="1">
      <c r="A75" t="s">
        <v>3073</v>
      </c>
      <c r="B75" t="s">
        <v>1845</v>
      </c>
      <c r="C75">
        <v>8</v>
      </c>
      <c r="D75">
        <v>40</v>
      </c>
    </row>
    <row r="76" spans="1:4" ht="15.75" customHeight="1">
      <c r="A76" t="s">
        <v>3074</v>
      </c>
      <c r="B76" t="s">
        <v>1848</v>
      </c>
      <c r="C76">
        <v>8</v>
      </c>
      <c r="D76">
        <v>40</v>
      </c>
    </row>
    <row r="77" spans="1:4" ht="15.75" customHeight="1">
      <c r="A77" t="s">
        <v>3075</v>
      </c>
      <c r="B77" t="s">
        <v>1851</v>
      </c>
      <c r="C77">
        <v>8</v>
      </c>
      <c r="D77">
        <v>40</v>
      </c>
    </row>
    <row r="78" spans="1:4" ht="15.75" customHeight="1">
      <c r="A78" t="s">
        <v>3076</v>
      </c>
      <c r="B78" t="s">
        <v>1854</v>
      </c>
      <c r="C78">
        <v>8</v>
      </c>
      <c r="D78">
        <v>40</v>
      </c>
    </row>
    <row r="79" spans="1:4" ht="15.75" customHeight="1">
      <c r="A79" t="s">
        <v>3077</v>
      </c>
      <c r="B79" t="s">
        <v>1857</v>
      </c>
      <c r="C79">
        <v>8</v>
      </c>
      <c r="D79">
        <v>40</v>
      </c>
    </row>
    <row r="80" spans="1:4" ht="15.75" customHeight="1">
      <c r="A80" t="s">
        <v>3078</v>
      </c>
      <c r="B80" t="s">
        <v>232</v>
      </c>
      <c r="C80">
        <v>9</v>
      </c>
      <c r="D80">
        <v>20</v>
      </c>
    </row>
    <row r="81" spans="1:4" ht="15.75" customHeight="1">
      <c r="A81" t="s">
        <v>3079</v>
      </c>
      <c r="B81" t="s">
        <v>232</v>
      </c>
      <c r="C81">
        <v>8</v>
      </c>
      <c r="D81">
        <v>40</v>
      </c>
    </row>
    <row r="82" spans="1:4" ht="15.75" customHeight="1">
      <c r="A82" t="s">
        <v>3080</v>
      </c>
      <c r="B82" t="s">
        <v>232</v>
      </c>
      <c r="C82">
        <v>9</v>
      </c>
      <c r="D82">
        <v>20</v>
      </c>
    </row>
    <row r="83" spans="1:4" ht="15.75" customHeight="1">
      <c r="A83" t="s">
        <v>3081</v>
      </c>
      <c r="B83" t="s">
        <v>1862</v>
      </c>
      <c r="C83">
        <v>8</v>
      </c>
      <c r="D83">
        <v>40</v>
      </c>
    </row>
    <row r="84" spans="1:4" ht="15.75" customHeight="1">
      <c r="A84" t="s">
        <v>3082</v>
      </c>
      <c r="B84" t="s">
        <v>1865</v>
      </c>
      <c r="C84">
        <v>8</v>
      </c>
      <c r="D84">
        <v>40</v>
      </c>
    </row>
    <row r="85" spans="1:4" ht="15.75" customHeight="1">
      <c r="A85" t="s">
        <v>3083</v>
      </c>
      <c r="B85" t="s">
        <v>234</v>
      </c>
      <c r="C85">
        <v>9</v>
      </c>
      <c r="D85">
        <v>20</v>
      </c>
    </row>
    <row r="86" spans="1:4" ht="15.75" customHeight="1">
      <c r="A86" t="s">
        <v>3084</v>
      </c>
      <c r="B86" t="s">
        <v>234</v>
      </c>
      <c r="C86">
        <v>8</v>
      </c>
      <c r="D86">
        <v>40</v>
      </c>
    </row>
    <row r="87" spans="1:4" ht="15.75" customHeight="1">
      <c r="A87" t="s">
        <v>3085</v>
      </c>
      <c r="B87" t="s">
        <v>234</v>
      </c>
      <c r="C87">
        <v>9</v>
      </c>
      <c r="D87">
        <v>20</v>
      </c>
    </row>
    <row r="88" spans="1:4" ht="15.75" customHeight="1">
      <c r="A88" t="s">
        <v>3086</v>
      </c>
      <c r="B88" t="s">
        <v>1872</v>
      </c>
      <c r="C88">
        <v>8</v>
      </c>
      <c r="D88">
        <v>40</v>
      </c>
    </row>
    <row r="89" spans="1:4" ht="15.75" customHeight="1">
      <c r="A89" t="s">
        <v>3087</v>
      </c>
      <c r="B89" t="s">
        <v>1875</v>
      </c>
      <c r="C89">
        <v>8</v>
      </c>
      <c r="D89">
        <v>40</v>
      </c>
    </row>
    <row r="90" spans="1:4" ht="15.75" customHeight="1">
      <c r="A90" t="s">
        <v>3088</v>
      </c>
      <c r="B90" t="s">
        <v>1877</v>
      </c>
      <c r="C90">
        <v>8</v>
      </c>
      <c r="D90">
        <v>40</v>
      </c>
    </row>
    <row r="91" spans="1:4" ht="15.75" customHeight="1">
      <c r="A91" t="s">
        <v>3089</v>
      </c>
      <c r="B91" t="s">
        <v>1882</v>
      </c>
      <c r="C91">
        <v>8</v>
      </c>
      <c r="D91">
        <v>38</v>
      </c>
    </row>
    <row r="92" spans="1:4" ht="15.75" customHeight="1">
      <c r="A92" t="s">
        <v>3090</v>
      </c>
      <c r="B92" t="s">
        <v>1887</v>
      </c>
      <c r="C92">
        <v>8</v>
      </c>
      <c r="D92">
        <v>40</v>
      </c>
    </row>
    <row r="93" spans="1:4" ht="15.75" customHeight="1">
      <c r="A93" t="s">
        <v>3091</v>
      </c>
      <c r="B93" t="s">
        <v>236</v>
      </c>
      <c r="C93">
        <v>9</v>
      </c>
      <c r="D93">
        <v>20</v>
      </c>
    </row>
    <row r="94" spans="1:4" ht="15.75" customHeight="1">
      <c r="A94" t="s">
        <v>3092</v>
      </c>
      <c r="B94" t="s">
        <v>236</v>
      </c>
      <c r="C94">
        <v>8</v>
      </c>
      <c r="D94">
        <v>40</v>
      </c>
    </row>
    <row r="95" spans="1:4" ht="15.75" customHeight="1">
      <c r="A95" t="s">
        <v>3093</v>
      </c>
      <c r="B95" t="s">
        <v>236</v>
      </c>
      <c r="C95">
        <v>9</v>
      </c>
      <c r="D95">
        <v>20</v>
      </c>
    </row>
    <row r="96" spans="1:4" ht="15.75" customHeight="1">
      <c r="A96" t="s">
        <v>3094</v>
      </c>
      <c r="B96" t="s">
        <v>236</v>
      </c>
      <c r="C96">
        <v>19</v>
      </c>
      <c r="D96">
        <v>25</v>
      </c>
    </row>
    <row r="97" spans="1:4" ht="15.75" customHeight="1">
      <c r="A97" t="s">
        <v>3095</v>
      </c>
      <c r="B97" t="s">
        <v>1892</v>
      </c>
      <c r="C97">
        <v>8</v>
      </c>
      <c r="D97">
        <v>40</v>
      </c>
    </row>
    <row r="98" spans="1:4" ht="15.75" customHeight="1">
      <c r="A98" t="s">
        <v>3096</v>
      </c>
      <c r="B98" t="s">
        <v>3097</v>
      </c>
      <c r="C98">
        <v>8</v>
      </c>
      <c r="D98">
        <v>40</v>
      </c>
    </row>
    <row r="99" spans="1:4" ht="15.75" customHeight="1">
      <c r="A99" t="s">
        <v>3098</v>
      </c>
      <c r="B99" t="s">
        <v>1895</v>
      </c>
      <c r="C99">
        <v>8</v>
      </c>
      <c r="D99">
        <v>40</v>
      </c>
    </row>
    <row r="100" spans="1:4" ht="15.75" customHeight="1">
      <c r="A100" t="s">
        <v>3099</v>
      </c>
      <c r="B100" t="s">
        <v>239</v>
      </c>
      <c r="C100">
        <v>8</v>
      </c>
      <c r="D100">
        <v>40</v>
      </c>
    </row>
    <row r="101" spans="1:4" ht="15.75" customHeight="1">
      <c r="A101" t="s">
        <v>3100</v>
      </c>
      <c r="B101" t="s">
        <v>239</v>
      </c>
      <c r="C101">
        <v>9</v>
      </c>
      <c r="D101">
        <v>20</v>
      </c>
    </row>
    <row r="102" spans="1:4" ht="15.75" customHeight="1">
      <c r="A102" t="s">
        <v>3101</v>
      </c>
      <c r="B102" t="s">
        <v>241</v>
      </c>
      <c r="C102">
        <v>9</v>
      </c>
      <c r="D102">
        <v>20</v>
      </c>
    </row>
    <row r="103" spans="1:4" ht="15.75" customHeight="1">
      <c r="A103" t="s">
        <v>3102</v>
      </c>
      <c r="B103" t="s">
        <v>241</v>
      </c>
      <c r="C103">
        <v>9</v>
      </c>
      <c r="D103">
        <v>20</v>
      </c>
    </row>
    <row r="104" spans="1:4" ht="15.75" customHeight="1">
      <c r="A104" t="s">
        <v>3103</v>
      </c>
      <c r="B104" t="s">
        <v>1904</v>
      </c>
      <c r="C104">
        <v>8</v>
      </c>
      <c r="D104">
        <v>40</v>
      </c>
    </row>
    <row r="105" spans="1:4" ht="15.75" customHeight="1">
      <c r="A105" t="s">
        <v>3104</v>
      </c>
      <c r="B105" t="s">
        <v>1907</v>
      </c>
      <c r="C105">
        <v>8</v>
      </c>
      <c r="D105">
        <v>40</v>
      </c>
    </row>
    <row r="106" spans="1:4" ht="15.75" customHeight="1">
      <c r="A106" t="s">
        <v>3105</v>
      </c>
      <c r="B106" t="s">
        <v>1910</v>
      </c>
      <c r="C106">
        <v>8</v>
      </c>
      <c r="D106">
        <v>40</v>
      </c>
    </row>
    <row r="107" spans="1:4" ht="15.75" customHeight="1">
      <c r="A107" t="s">
        <v>3106</v>
      </c>
      <c r="B107" t="s">
        <v>1913</v>
      </c>
      <c r="C107">
        <v>8</v>
      </c>
      <c r="D107">
        <v>40</v>
      </c>
    </row>
    <row r="108" spans="1:4" ht="15.75" customHeight="1">
      <c r="A108" t="s">
        <v>3107</v>
      </c>
      <c r="B108" t="s">
        <v>2548</v>
      </c>
      <c r="C108">
        <v>8</v>
      </c>
      <c r="D108">
        <v>40</v>
      </c>
    </row>
    <row r="109" spans="1:4" ht="15.75" customHeight="1">
      <c r="A109" t="s">
        <v>3108</v>
      </c>
      <c r="B109" t="s">
        <v>3109</v>
      </c>
      <c r="C109">
        <v>9</v>
      </c>
      <c r="D109">
        <v>20</v>
      </c>
    </row>
    <row r="110" spans="1:4" ht="15.75" customHeight="1">
      <c r="A110" t="s">
        <v>3110</v>
      </c>
      <c r="B110" t="s">
        <v>2550</v>
      </c>
      <c r="C110">
        <v>8</v>
      </c>
      <c r="D110">
        <v>40</v>
      </c>
    </row>
    <row r="111" spans="1:4" ht="15.75" customHeight="1">
      <c r="A111" t="s">
        <v>3111</v>
      </c>
      <c r="B111" t="s">
        <v>3112</v>
      </c>
      <c r="C111">
        <v>8</v>
      </c>
      <c r="D111">
        <v>40</v>
      </c>
    </row>
    <row r="112" spans="1:4" ht="15.75" customHeight="1">
      <c r="A112" t="s">
        <v>3113</v>
      </c>
      <c r="B112" t="s">
        <v>244</v>
      </c>
      <c r="C112">
        <v>9</v>
      </c>
      <c r="D112">
        <v>20</v>
      </c>
    </row>
    <row r="113" spans="1:4" ht="15.75" customHeight="1">
      <c r="A113" t="s">
        <v>3114</v>
      </c>
      <c r="B113" t="s">
        <v>244</v>
      </c>
      <c r="C113">
        <v>19</v>
      </c>
      <c r="D113">
        <v>25</v>
      </c>
    </row>
    <row r="114" spans="1:4" ht="15.75" customHeight="1">
      <c r="A114" t="s">
        <v>3115</v>
      </c>
      <c r="B114" t="s">
        <v>244</v>
      </c>
      <c r="C114">
        <v>9</v>
      </c>
      <c r="D114">
        <v>20</v>
      </c>
    </row>
    <row r="115" spans="1:4" ht="15.75" customHeight="1">
      <c r="A115" t="s">
        <v>3116</v>
      </c>
      <c r="B115" t="s">
        <v>244</v>
      </c>
      <c r="C115">
        <v>19</v>
      </c>
      <c r="D115">
        <v>25</v>
      </c>
    </row>
    <row r="116" spans="1:4" ht="15.75" customHeight="1">
      <c r="A116" t="s">
        <v>3117</v>
      </c>
      <c r="B116" t="s">
        <v>244</v>
      </c>
      <c r="C116">
        <v>9</v>
      </c>
      <c r="D116">
        <v>40</v>
      </c>
    </row>
    <row r="117" spans="1:4" ht="15.75" customHeight="1">
      <c r="A117" t="s">
        <v>3118</v>
      </c>
      <c r="B117" t="s">
        <v>248</v>
      </c>
      <c r="C117">
        <v>9</v>
      </c>
      <c r="D117">
        <v>20</v>
      </c>
    </row>
    <row r="118" spans="1:4" ht="15.75" customHeight="1">
      <c r="A118" t="s">
        <v>3119</v>
      </c>
      <c r="B118" t="s">
        <v>250</v>
      </c>
      <c r="C118">
        <v>9</v>
      </c>
      <c r="D118">
        <v>20</v>
      </c>
    </row>
    <row r="119" spans="1:4" ht="15.75" customHeight="1">
      <c r="A119" t="s">
        <v>3120</v>
      </c>
      <c r="B119" t="s">
        <v>250</v>
      </c>
      <c r="C119">
        <v>9</v>
      </c>
      <c r="D119">
        <v>20</v>
      </c>
    </row>
    <row r="120" spans="1:4" ht="15.75" customHeight="1">
      <c r="A120" t="s">
        <v>3121</v>
      </c>
      <c r="B120" t="s">
        <v>250</v>
      </c>
      <c r="C120">
        <v>19</v>
      </c>
      <c r="D120">
        <v>25</v>
      </c>
    </row>
    <row r="121" spans="1:4" ht="15.75" customHeight="1">
      <c r="A121" t="s">
        <v>3122</v>
      </c>
      <c r="B121" t="s">
        <v>250</v>
      </c>
      <c r="C121">
        <v>8</v>
      </c>
      <c r="D121">
        <v>40</v>
      </c>
    </row>
    <row r="122" spans="1:4" ht="15.75" customHeight="1">
      <c r="A122" t="s">
        <v>3123</v>
      </c>
      <c r="B122" t="s">
        <v>255</v>
      </c>
      <c r="C122">
        <v>9</v>
      </c>
      <c r="D122">
        <v>20</v>
      </c>
    </row>
    <row r="123" spans="1:4" ht="15.75" customHeight="1">
      <c r="A123" t="s">
        <v>3124</v>
      </c>
      <c r="B123" t="s">
        <v>255</v>
      </c>
      <c r="C123">
        <v>9</v>
      </c>
      <c r="D123">
        <v>20</v>
      </c>
    </row>
    <row r="124" spans="1:4" ht="15.75" customHeight="1">
      <c r="A124" t="s">
        <v>3125</v>
      </c>
      <c r="B124" t="s">
        <v>258</v>
      </c>
      <c r="C124">
        <v>9</v>
      </c>
      <c r="D124">
        <v>20</v>
      </c>
    </row>
    <row r="125" spans="1:4" ht="15.75" customHeight="1">
      <c r="A125" t="s">
        <v>3126</v>
      </c>
      <c r="B125" t="s">
        <v>258</v>
      </c>
      <c r="C125">
        <v>9</v>
      </c>
      <c r="D125">
        <v>20</v>
      </c>
    </row>
    <row r="126" spans="1:4" ht="15.75" customHeight="1">
      <c r="A126" t="s">
        <v>3127</v>
      </c>
      <c r="B126" t="s">
        <v>258</v>
      </c>
      <c r="C126">
        <v>19</v>
      </c>
      <c r="D126">
        <v>25</v>
      </c>
    </row>
    <row r="127" spans="1:4" ht="15.75" customHeight="1">
      <c r="A127" t="s">
        <v>3128</v>
      </c>
      <c r="B127" t="s">
        <v>1916</v>
      </c>
      <c r="C127">
        <v>8</v>
      </c>
      <c r="D127">
        <v>40</v>
      </c>
    </row>
    <row r="128" spans="1:4" ht="15.75" customHeight="1">
      <c r="A128" t="s">
        <v>3129</v>
      </c>
      <c r="B128" t="s">
        <v>1919</v>
      </c>
      <c r="C128">
        <v>8</v>
      </c>
      <c r="D128">
        <v>40</v>
      </c>
    </row>
    <row r="129" spans="1:4" ht="15.75" customHeight="1">
      <c r="A129" t="s">
        <v>3130</v>
      </c>
      <c r="B129" t="s">
        <v>3131</v>
      </c>
      <c r="C129">
        <v>8</v>
      </c>
      <c r="D129">
        <v>40</v>
      </c>
    </row>
    <row r="130" spans="1:4" ht="15.75" customHeight="1">
      <c r="A130" t="s">
        <v>3132</v>
      </c>
      <c r="B130" t="s">
        <v>263</v>
      </c>
      <c r="C130">
        <v>9</v>
      </c>
      <c r="D130">
        <v>20</v>
      </c>
    </row>
    <row r="131" spans="1:4" ht="15.75" customHeight="1">
      <c r="A131" t="s">
        <v>3133</v>
      </c>
      <c r="B131" t="s">
        <v>263</v>
      </c>
      <c r="C131">
        <v>9</v>
      </c>
      <c r="D131">
        <v>20</v>
      </c>
    </row>
    <row r="132" spans="1:4" ht="15.75" customHeight="1">
      <c r="A132" t="s">
        <v>3134</v>
      </c>
      <c r="B132" t="s">
        <v>263</v>
      </c>
      <c r="C132">
        <v>19</v>
      </c>
      <c r="D132">
        <v>25</v>
      </c>
    </row>
    <row r="133" spans="1:4" ht="15.75" customHeight="1">
      <c r="A133" t="s">
        <v>3135</v>
      </c>
      <c r="B133" t="s">
        <v>263</v>
      </c>
      <c r="C133">
        <v>8</v>
      </c>
      <c r="D133">
        <v>40</v>
      </c>
    </row>
    <row r="134" spans="1:4" ht="15.75" customHeight="1">
      <c r="A134" t="s">
        <v>3136</v>
      </c>
      <c r="B134" t="s">
        <v>1922</v>
      </c>
      <c r="C134">
        <v>8</v>
      </c>
      <c r="D134">
        <v>40</v>
      </c>
    </row>
    <row r="135" spans="1:4" ht="15.75" customHeight="1">
      <c r="A135" t="s">
        <v>3137</v>
      </c>
      <c r="B135" t="s">
        <v>1922</v>
      </c>
      <c r="C135">
        <v>8</v>
      </c>
      <c r="D135">
        <v>40</v>
      </c>
    </row>
    <row r="136" spans="1:4" ht="15.75" customHeight="1">
      <c r="A136" t="s">
        <v>3138</v>
      </c>
      <c r="B136" t="s">
        <v>1928</v>
      </c>
      <c r="C136">
        <v>8</v>
      </c>
      <c r="D136">
        <v>40</v>
      </c>
    </row>
    <row r="137" spans="1:4" ht="15.75" customHeight="1">
      <c r="A137" t="s">
        <v>3139</v>
      </c>
      <c r="B137" t="s">
        <v>269</v>
      </c>
      <c r="C137">
        <v>9</v>
      </c>
      <c r="D137">
        <v>20</v>
      </c>
    </row>
    <row r="138" spans="1:4" ht="15.75" customHeight="1">
      <c r="A138" t="s">
        <v>3140</v>
      </c>
      <c r="B138" t="s">
        <v>269</v>
      </c>
      <c r="C138">
        <v>9</v>
      </c>
      <c r="D138">
        <v>20</v>
      </c>
    </row>
    <row r="139" spans="1:4" ht="15.75" customHeight="1">
      <c r="A139" t="s">
        <v>3141</v>
      </c>
      <c r="B139" t="s">
        <v>269</v>
      </c>
      <c r="C139">
        <v>19</v>
      </c>
      <c r="D139">
        <v>25</v>
      </c>
    </row>
    <row r="140" spans="1:4" ht="15.75" customHeight="1">
      <c r="A140" t="s">
        <v>3142</v>
      </c>
      <c r="B140" t="s">
        <v>269</v>
      </c>
      <c r="C140">
        <v>8</v>
      </c>
      <c r="D140">
        <v>40</v>
      </c>
    </row>
    <row r="141" spans="1:4" ht="15.75" customHeight="1">
      <c r="A141" t="s">
        <v>3143</v>
      </c>
      <c r="B141" t="s">
        <v>274</v>
      </c>
      <c r="C141">
        <v>9</v>
      </c>
      <c r="D141">
        <v>20</v>
      </c>
    </row>
    <row r="142" spans="1:4" ht="15.75" customHeight="1">
      <c r="A142" t="s">
        <v>3144</v>
      </c>
      <c r="B142" t="s">
        <v>274</v>
      </c>
      <c r="C142">
        <v>9</v>
      </c>
      <c r="D142">
        <v>20</v>
      </c>
    </row>
    <row r="143" spans="1:4" ht="15.75" customHeight="1">
      <c r="A143" t="s">
        <v>3145</v>
      </c>
      <c r="B143" t="s">
        <v>274</v>
      </c>
      <c r="C143">
        <v>9</v>
      </c>
      <c r="D143">
        <v>40</v>
      </c>
    </row>
    <row r="144" spans="1:4" ht="15.75" customHeight="1">
      <c r="A144" t="s">
        <v>3146</v>
      </c>
      <c r="B144" t="s">
        <v>1931</v>
      </c>
      <c r="C144">
        <v>8</v>
      </c>
      <c r="D144">
        <v>40</v>
      </c>
    </row>
    <row r="145" spans="1:4" ht="15.75" customHeight="1">
      <c r="A145" t="s">
        <v>3147</v>
      </c>
      <c r="B145" t="s">
        <v>276</v>
      </c>
      <c r="C145">
        <v>9</v>
      </c>
      <c r="D145">
        <v>20</v>
      </c>
    </row>
    <row r="146" spans="1:4" ht="15.75" customHeight="1">
      <c r="A146" t="s">
        <v>3148</v>
      </c>
      <c r="B146" t="s">
        <v>276</v>
      </c>
      <c r="C146">
        <v>9</v>
      </c>
      <c r="D146">
        <v>20</v>
      </c>
    </row>
    <row r="147" spans="1:4" ht="15.75" customHeight="1">
      <c r="A147" t="s">
        <v>3149</v>
      </c>
      <c r="B147" t="s">
        <v>278</v>
      </c>
      <c r="C147">
        <v>9</v>
      </c>
      <c r="D147">
        <v>20</v>
      </c>
    </row>
    <row r="148" spans="1:4" ht="15.75" customHeight="1">
      <c r="A148" t="s">
        <v>3150</v>
      </c>
      <c r="B148" t="s">
        <v>278</v>
      </c>
      <c r="C148">
        <v>9</v>
      </c>
      <c r="D148">
        <v>20</v>
      </c>
    </row>
    <row r="149" spans="1:4" ht="15.75" customHeight="1">
      <c r="A149" t="s">
        <v>3151</v>
      </c>
      <c r="B149" t="s">
        <v>280</v>
      </c>
      <c r="C149">
        <v>9</v>
      </c>
      <c r="D149">
        <v>20</v>
      </c>
    </row>
    <row r="150" spans="1:4" ht="15.75" customHeight="1">
      <c r="A150" t="s">
        <v>3152</v>
      </c>
      <c r="B150" t="s">
        <v>280</v>
      </c>
      <c r="C150">
        <v>9</v>
      </c>
      <c r="D150">
        <v>20</v>
      </c>
    </row>
    <row r="151" spans="1:4" ht="15.75" customHeight="1">
      <c r="A151" t="s">
        <v>3153</v>
      </c>
      <c r="B151" t="s">
        <v>280</v>
      </c>
      <c r="C151">
        <v>8</v>
      </c>
      <c r="D151">
        <v>40</v>
      </c>
    </row>
    <row r="152" spans="1:4" ht="15.75" customHeight="1">
      <c r="A152" t="s">
        <v>3154</v>
      </c>
      <c r="B152" t="s">
        <v>1933</v>
      </c>
      <c r="C152">
        <v>8</v>
      </c>
      <c r="D152">
        <v>40</v>
      </c>
    </row>
    <row r="153" spans="1:4" ht="15.75" customHeight="1">
      <c r="A153" t="s">
        <v>3155</v>
      </c>
      <c r="C153">
        <v>9</v>
      </c>
      <c r="D153">
        <v>20</v>
      </c>
    </row>
    <row r="154" spans="1:4" ht="15.75" customHeight="1">
      <c r="A154" t="s">
        <v>3156</v>
      </c>
      <c r="B154" t="s">
        <v>289</v>
      </c>
      <c r="C154">
        <v>9</v>
      </c>
      <c r="D154">
        <v>20</v>
      </c>
    </row>
    <row r="155" spans="1:4" ht="15.75" customHeight="1">
      <c r="A155" t="s">
        <v>3157</v>
      </c>
      <c r="B155" t="s">
        <v>289</v>
      </c>
      <c r="C155">
        <v>8</v>
      </c>
      <c r="D155">
        <v>40</v>
      </c>
    </row>
    <row r="156" spans="1:4" ht="15.75" customHeight="1">
      <c r="A156" t="s">
        <v>3158</v>
      </c>
      <c r="B156" t="s">
        <v>289</v>
      </c>
      <c r="C156">
        <v>9</v>
      </c>
      <c r="D156">
        <v>20</v>
      </c>
    </row>
    <row r="157" spans="1:4" ht="15.75" customHeight="1">
      <c r="A157" t="s">
        <v>3159</v>
      </c>
      <c r="B157" t="s">
        <v>1941</v>
      </c>
      <c r="C157">
        <v>8</v>
      </c>
      <c r="D157">
        <v>40</v>
      </c>
    </row>
    <row r="158" spans="1:4" ht="15.75" customHeight="1">
      <c r="A158" t="s">
        <v>3160</v>
      </c>
      <c r="B158" t="s">
        <v>1944</v>
      </c>
      <c r="C158">
        <v>8</v>
      </c>
      <c r="D158">
        <v>40</v>
      </c>
    </row>
    <row r="159" spans="1:4" ht="15.75" customHeight="1">
      <c r="A159" t="s">
        <v>3161</v>
      </c>
      <c r="B159" t="s">
        <v>291</v>
      </c>
      <c r="C159">
        <v>9</v>
      </c>
      <c r="D159">
        <v>20</v>
      </c>
    </row>
    <row r="160" spans="1:4" ht="15.75" customHeight="1">
      <c r="A160" t="s">
        <v>3162</v>
      </c>
      <c r="B160" t="s">
        <v>291</v>
      </c>
      <c r="C160">
        <v>9</v>
      </c>
      <c r="D160">
        <v>20</v>
      </c>
    </row>
    <row r="161" spans="1:4" ht="15.75" customHeight="1">
      <c r="A161" t="s">
        <v>3163</v>
      </c>
      <c r="B161" t="s">
        <v>293</v>
      </c>
      <c r="C161">
        <v>9</v>
      </c>
      <c r="D161">
        <v>20</v>
      </c>
    </row>
    <row r="162" spans="1:4" ht="15.75" customHeight="1">
      <c r="A162" t="s">
        <v>3164</v>
      </c>
      <c r="B162" t="s">
        <v>293</v>
      </c>
      <c r="C162">
        <v>9</v>
      </c>
      <c r="D162">
        <v>20</v>
      </c>
    </row>
    <row r="163" spans="1:4" ht="15.75" customHeight="1">
      <c r="A163" t="s">
        <v>3165</v>
      </c>
      <c r="B163" t="s">
        <v>295</v>
      </c>
      <c r="C163">
        <v>9</v>
      </c>
      <c r="D163">
        <v>20</v>
      </c>
    </row>
    <row r="164" spans="1:4" ht="15.75" customHeight="1">
      <c r="A164" t="s">
        <v>3166</v>
      </c>
      <c r="B164" t="s">
        <v>295</v>
      </c>
      <c r="C164">
        <v>9</v>
      </c>
      <c r="D164">
        <v>20</v>
      </c>
    </row>
    <row r="165" spans="1:4" ht="15.75" customHeight="1">
      <c r="A165" t="s">
        <v>5462</v>
      </c>
      <c r="B165" t="s">
        <v>5428</v>
      </c>
      <c r="C165">
        <v>9</v>
      </c>
      <c r="D165">
        <v>20</v>
      </c>
    </row>
    <row r="166" spans="1:4" ht="15.75" customHeight="1">
      <c r="A166" t="s">
        <v>5463</v>
      </c>
      <c r="B166" t="s">
        <v>5431</v>
      </c>
      <c r="C166">
        <v>9</v>
      </c>
      <c r="D166">
        <v>20</v>
      </c>
    </row>
    <row r="167" spans="1:4" ht="15.75" customHeight="1">
      <c r="A167" t="s">
        <v>3167</v>
      </c>
      <c r="B167" t="s">
        <v>1950</v>
      </c>
      <c r="C167">
        <v>8</v>
      </c>
      <c r="D167">
        <v>40</v>
      </c>
    </row>
    <row r="168" spans="1:4" ht="15.75" customHeight="1">
      <c r="A168" t="s">
        <v>3168</v>
      </c>
      <c r="B168" t="s">
        <v>1953</v>
      </c>
      <c r="C168">
        <v>8</v>
      </c>
      <c r="D168">
        <v>40</v>
      </c>
    </row>
    <row r="169" spans="1:4" ht="15.75" customHeight="1">
      <c r="A169" t="s">
        <v>3169</v>
      </c>
      <c r="B169" t="s">
        <v>297</v>
      </c>
      <c r="C169">
        <v>9</v>
      </c>
      <c r="D169">
        <v>20</v>
      </c>
    </row>
    <row r="170" spans="1:4" ht="15.75" customHeight="1">
      <c r="A170" t="s">
        <v>3170</v>
      </c>
      <c r="B170" t="s">
        <v>297</v>
      </c>
      <c r="C170">
        <v>9</v>
      </c>
      <c r="D170">
        <v>20</v>
      </c>
    </row>
    <row r="171" spans="1:4" ht="15.75" customHeight="1">
      <c r="A171" t="s">
        <v>3171</v>
      </c>
      <c r="B171" t="s">
        <v>299</v>
      </c>
      <c r="C171">
        <v>9</v>
      </c>
      <c r="D171">
        <v>20</v>
      </c>
    </row>
    <row r="172" spans="1:4" ht="15.75" customHeight="1">
      <c r="A172" t="s">
        <v>3172</v>
      </c>
      <c r="B172" t="s">
        <v>299</v>
      </c>
      <c r="C172">
        <v>9</v>
      </c>
      <c r="D172">
        <v>20</v>
      </c>
    </row>
    <row r="173" spans="1:4" ht="15.75" customHeight="1">
      <c r="A173" t="s">
        <v>3173</v>
      </c>
      <c r="B173" t="s">
        <v>302</v>
      </c>
      <c r="C173">
        <v>9</v>
      </c>
      <c r="D173">
        <v>20</v>
      </c>
    </row>
    <row r="174" spans="1:4" ht="15.75" customHeight="1">
      <c r="A174" t="s">
        <v>3174</v>
      </c>
      <c r="B174" t="s">
        <v>302</v>
      </c>
      <c r="C174">
        <v>9</v>
      </c>
      <c r="D174">
        <v>20</v>
      </c>
    </row>
    <row r="175" spans="1:4" ht="15.75" customHeight="1">
      <c r="A175" t="s">
        <v>3175</v>
      </c>
      <c r="B175" t="s">
        <v>302</v>
      </c>
      <c r="C175">
        <v>19</v>
      </c>
      <c r="D175">
        <v>25</v>
      </c>
    </row>
    <row r="176" spans="1:4" ht="15.75" customHeight="1">
      <c r="A176" t="s">
        <v>3176</v>
      </c>
      <c r="B176" t="s">
        <v>307</v>
      </c>
      <c r="C176">
        <v>9</v>
      </c>
      <c r="D176">
        <v>20</v>
      </c>
    </row>
    <row r="177" spans="1:4" ht="15.75" customHeight="1">
      <c r="A177" t="s">
        <v>3177</v>
      </c>
      <c r="B177" t="s">
        <v>307</v>
      </c>
      <c r="C177">
        <v>8</v>
      </c>
      <c r="D177">
        <v>40</v>
      </c>
    </row>
    <row r="178" spans="1:4" ht="15.75" customHeight="1">
      <c r="A178" t="s">
        <v>3178</v>
      </c>
      <c r="B178" t="s">
        <v>307</v>
      </c>
      <c r="C178">
        <v>9</v>
      </c>
      <c r="D178">
        <v>20</v>
      </c>
    </row>
    <row r="179" spans="1:4" ht="15.75" customHeight="1">
      <c r="A179" t="s">
        <v>3179</v>
      </c>
      <c r="B179" t="s">
        <v>3180</v>
      </c>
      <c r="C179">
        <v>9</v>
      </c>
      <c r="D179">
        <v>20</v>
      </c>
    </row>
    <row r="180" spans="1:4" ht="15.75" customHeight="1">
      <c r="A180" t="s">
        <v>3181</v>
      </c>
      <c r="B180" t="s">
        <v>3180</v>
      </c>
      <c r="C180">
        <v>8</v>
      </c>
      <c r="D180">
        <v>40</v>
      </c>
    </row>
    <row r="181" spans="1:4" ht="15.75" customHeight="1">
      <c r="A181" t="s">
        <v>3182</v>
      </c>
      <c r="B181" t="s">
        <v>3180</v>
      </c>
      <c r="C181">
        <v>9</v>
      </c>
      <c r="D181">
        <v>20</v>
      </c>
    </row>
    <row r="182" spans="1:4" ht="15.75" customHeight="1">
      <c r="A182" t="s">
        <v>3183</v>
      </c>
      <c r="B182" t="s">
        <v>311</v>
      </c>
      <c r="C182">
        <v>9</v>
      </c>
      <c r="D182">
        <v>20</v>
      </c>
    </row>
    <row r="183" spans="1:4" ht="15.75" customHeight="1">
      <c r="A183" t="s">
        <v>3184</v>
      </c>
      <c r="B183" t="s">
        <v>313</v>
      </c>
      <c r="C183">
        <v>9</v>
      </c>
      <c r="D183">
        <v>20</v>
      </c>
    </row>
    <row r="184" spans="1:4" ht="15.75" customHeight="1">
      <c r="A184" t="s">
        <v>5464</v>
      </c>
      <c r="B184" t="s">
        <v>5436</v>
      </c>
      <c r="C184">
        <v>9</v>
      </c>
      <c r="D184">
        <v>20</v>
      </c>
    </row>
    <row r="185" spans="1:4" ht="15.75" customHeight="1">
      <c r="A185" t="s">
        <v>3185</v>
      </c>
      <c r="B185" t="s">
        <v>3186</v>
      </c>
      <c r="C185">
        <v>8</v>
      </c>
      <c r="D185">
        <v>40</v>
      </c>
    </row>
    <row r="186" spans="1:4" ht="15.75" customHeight="1">
      <c r="A186" t="s">
        <v>3187</v>
      </c>
      <c r="B186" t="s">
        <v>3188</v>
      </c>
      <c r="C186">
        <v>9</v>
      </c>
      <c r="D186">
        <v>20</v>
      </c>
    </row>
    <row r="187" spans="1:4" ht="15.75" customHeight="1">
      <c r="A187" t="s">
        <v>3189</v>
      </c>
      <c r="B187" t="s">
        <v>5674</v>
      </c>
      <c r="C187">
        <v>9</v>
      </c>
      <c r="D187">
        <v>20</v>
      </c>
    </row>
    <row r="188" spans="1:4" ht="15.75" customHeight="1">
      <c r="A188" t="s">
        <v>3190</v>
      </c>
      <c r="C188">
        <v>9</v>
      </c>
      <c r="D188">
        <v>20</v>
      </c>
    </row>
    <row r="189" spans="1:4" ht="15.75" customHeight="1">
      <c r="A189" t="s">
        <v>3191</v>
      </c>
      <c r="C189">
        <v>9</v>
      </c>
      <c r="D189">
        <v>20</v>
      </c>
    </row>
    <row r="190" spans="1:4" ht="15.75" customHeight="1">
      <c r="A190" t="s">
        <v>3192</v>
      </c>
      <c r="B190" t="s">
        <v>315</v>
      </c>
      <c r="C190">
        <v>8</v>
      </c>
      <c r="D190">
        <v>20</v>
      </c>
    </row>
    <row r="191" spans="1:4" ht="15.75" customHeight="1">
      <c r="A191" t="s">
        <v>3193</v>
      </c>
      <c r="B191" t="s">
        <v>317</v>
      </c>
      <c r="C191">
        <v>8</v>
      </c>
      <c r="D191">
        <v>20</v>
      </c>
    </row>
    <row r="192" spans="1:4" ht="15.75" customHeight="1">
      <c r="A192" t="s">
        <v>3194</v>
      </c>
      <c r="B192" t="s">
        <v>3195</v>
      </c>
      <c r="C192">
        <v>8</v>
      </c>
      <c r="D192">
        <v>20</v>
      </c>
    </row>
    <row r="193" spans="1:4" ht="15.75" customHeight="1">
      <c r="A193" t="s">
        <v>3196</v>
      </c>
      <c r="B193" t="s">
        <v>320</v>
      </c>
      <c r="C193">
        <v>8</v>
      </c>
      <c r="D193">
        <v>26</v>
      </c>
    </row>
    <row r="194" spans="1:4" ht="15.75" customHeight="1">
      <c r="A194" t="s">
        <v>3197</v>
      </c>
      <c r="B194" t="s">
        <v>324</v>
      </c>
      <c r="C194">
        <v>8</v>
      </c>
      <c r="D194">
        <v>20</v>
      </c>
    </row>
    <row r="195" spans="1:4" ht="15.75" customHeight="1">
      <c r="A195" t="s">
        <v>3198</v>
      </c>
      <c r="B195" t="s">
        <v>3199</v>
      </c>
      <c r="C195">
        <v>8</v>
      </c>
      <c r="D195">
        <v>20</v>
      </c>
    </row>
    <row r="196" spans="1:4" ht="15.75" customHeight="1">
      <c r="A196" t="s">
        <v>3200</v>
      </c>
      <c r="B196" t="s">
        <v>328</v>
      </c>
      <c r="C196">
        <v>8</v>
      </c>
      <c r="D196">
        <v>26</v>
      </c>
    </row>
    <row r="197" spans="1:4" ht="15.75" customHeight="1">
      <c r="A197" t="s">
        <v>5675</v>
      </c>
      <c r="B197" t="s">
        <v>5676</v>
      </c>
      <c r="C197">
        <v>9</v>
      </c>
      <c r="D197">
        <v>20</v>
      </c>
    </row>
    <row r="198" spans="1:4" ht="15.75" customHeight="1">
      <c r="A198" t="s">
        <v>5677</v>
      </c>
      <c r="B198" t="s">
        <v>5551</v>
      </c>
      <c r="C198">
        <v>8</v>
      </c>
      <c r="D198">
        <v>20</v>
      </c>
    </row>
    <row r="199" spans="1:4" ht="15.75" customHeight="1">
      <c r="A199" t="s">
        <v>3201</v>
      </c>
      <c r="B199" t="s">
        <v>342</v>
      </c>
      <c r="C199">
        <v>8</v>
      </c>
      <c r="D199">
        <v>20</v>
      </c>
    </row>
    <row r="200" spans="1:4" ht="15.75" customHeight="1">
      <c r="A200" t="s">
        <v>3202</v>
      </c>
      <c r="B200" t="s">
        <v>344</v>
      </c>
      <c r="C200">
        <v>8</v>
      </c>
      <c r="D200">
        <v>20</v>
      </c>
    </row>
    <row r="201" spans="1:4" ht="15.75" customHeight="1">
      <c r="A201" t="s">
        <v>3203</v>
      </c>
      <c r="B201" t="s">
        <v>346</v>
      </c>
      <c r="C201">
        <v>8</v>
      </c>
      <c r="D201">
        <v>20</v>
      </c>
    </row>
    <row r="202" spans="1:4" ht="15.75" customHeight="1">
      <c r="A202" t="s">
        <v>3204</v>
      </c>
      <c r="B202" t="s">
        <v>348</v>
      </c>
      <c r="C202">
        <v>8</v>
      </c>
      <c r="D202">
        <v>20</v>
      </c>
    </row>
    <row r="203" spans="1:4" ht="15.75" customHeight="1">
      <c r="A203" t="s">
        <v>3205</v>
      </c>
      <c r="B203" t="s">
        <v>350</v>
      </c>
      <c r="C203">
        <v>8</v>
      </c>
      <c r="D203">
        <v>20</v>
      </c>
    </row>
    <row r="204" spans="1:4" ht="15.75" customHeight="1">
      <c r="A204" t="s">
        <v>3206</v>
      </c>
      <c r="B204" t="s">
        <v>352</v>
      </c>
      <c r="C204">
        <v>8</v>
      </c>
      <c r="D204">
        <v>20</v>
      </c>
    </row>
    <row r="205" spans="1:4" ht="15.75" customHeight="1">
      <c r="A205" t="s">
        <v>3207</v>
      </c>
      <c r="B205" t="s">
        <v>354</v>
      </c>
      <c r="C205">
        <v>8</v>
      </c>
      <c r="D205">
        <v>20</v>
      </c>
    </row>
    <row r="206" spans="1:4" ht="15.75" customHeight="1">
      <c r="A206" t="s">
        <v>3208</v>
      </c>
      <c r="B206" t="s">
        <v>356</v>
      </c>
      <c r="C206">
        <v>8</v>
      </c>
      <c r="D206">
        <v>20</v>
      </c>
    </row>
    <row r="207" spans="1:4" ht="15.75" customHeight="1">
      <c r="A207" t="s">
        <v>3209</v>
      </c>
      <c r="B207" t="s">
        <v>359</v>
      </c>
      <c r="C207">
        <v>8</v>
      </c>
      <c r="D207">
        <v>20</v>
      </c>
    </row>
    <row r="208" spans="1:4" ht="15.75" customHeight="1">
      <c r="A208" t="s">
        <v>3210</v>
      </c>
      <c r="B208" t="s">
        <v>361</v>
      </c>
      <c r="C208">
        <v>8</v>
      </c>
      <c r="D208">
        <v>20</v>
      </c>
    </row>
    <row r="209" spans="1:4" ht="15.75" customHeight="1">
      <c r="A209" t="s">
        <v>3211</v>
      </c>
      <c r="B209" t="s">
        <v>363</v>
      </c>
      <c r="C209">
        <v>8</v>
      </c>
      <c r="D209">
        <v>20</v>
      </c>
    </row>
    <row r="210" spans="1:4" ht="15.75" customHeight="1">
      <c r="A210" t="s">
        <v>3212</v>
      </c>
      <c r="B210" t="s">
        <v>363</v>
      </c>
      <c r="C210">
        <v>9</v>
      </c>
      <c r="D210">
        <v>40</v>
      </c>
    </row>
    <row r="211" spans="1:4" ht="15.75" customHeight="1">
      <c r="A211" t="s">
        <v>3213</v>
      </c>
      <c r="B211" t="s">
        <v>373</v>
      </c>
      <c r="C211">
        <v>8</v>
      </c>
      <c r="D211">
        <v>20</v>
      </c>
    </row>
    <row r="212" spans="1:4" ht="15.75" customHeight="1">
      <c r="A212" t="s">
        <v>3214</v>
      </c>
      <c r="B212" t="s">
        <v>379</v>
      </c>
      <c r="C212">
        <v>8</v>
      </c>
      <c r="D212">
        <v>20</v>
      </c>
    </row>
    <row r="213" spans="1:4" ht="15.75" customHeight="1">
      <c r="A213" t="s">
        <v>3215</v>
      </c>
      <c r="B213" t="s">
        <v>381</v>
      </c>
      <c r="C213">
        <v>8</v>
      </c>
      <c r="D213">
        <v>20</v>
      </c>
    </row>
    <row r="214" spans="1:4" ht="15.75" customHeight="1">
      <c r="A214" t="s">
        <v>3216</v>
      </c>
      <c r="B214" t="s">
        <v>383</v>
      </c>
      <c r="C214">
        <v>8</v>
      </c>
      <c r="D214">
        <v>20</v>
      </c>
    </row>
    <row r="215" spans="1:4" ht="15.75" customHeight="1">
      <c r="A215" t="s">
        <v>3217</v>
      </c>
      <c r="B215" t="s">
        <v>385</v>
      </c>
      <c r="C215">
        <v>8</v>
      </c>
      <c r="D215">
        <v>20</v>
      </c>
    </row>
    <row r="216" spans="1:4" ht="15.75" customHeight="1">
      <c r="A216" t="s">
        <v>5465</v>
      </c>
      <c r="B216" t="s">
        <v>397</v>
      </c>
      <c r="C216">
        <v>9</v>
      </c>
      <c r="D216">
        <v>20</v>
      </c>
    </row>
    <row r="217" spans="1:4" ht="15.75" customHeight="1">
      <c r="A217" t="s">
        <v>3218</v>
      </c>
      <c r="B217" t="s">
        <v>399</v>
      </c>
      <c r="C217">
        <v>8</v>
      </c>
      <c r="D217">
        <v>20</v>
      </c>
    </row>
    <row r="218" spans="1:4" ht="15.75" customHeight="1">
      <c r="A218" t="s">
        <v>3219</v>
      </c>
      <c r="B218" t="s">
        <v>401</v>
      </c>
      <c r="C218">
        <v>8</v>
      </c>
      <c r="D218">
        <v>20</v>
      </c>
    </row>
    <row r="219" spans="1:4" ht="15.75" customHeight="1">
      <c r="A219" t="s">
        <v>3220</v>
      </c>
      <c r="B219" t="s">
        <v>403</v>
      </c>
      <c r="C219">
        <v>8</v>
      </c>
      <c r="D219">
        <v>20</v>
      </c>
    </row>
    <row r="220" spans="1:4" ht="15.75" customHeight="1">
      <c r="A220" t="s">
        <v>3221</v>
      </c>
      <c r="B220" t="s">
        <v>405</v>
      </c>
      <c r="C220">
        <v>8</v>
      </c>
      <c r="D220">
        <v>20</v>
      </c>
    </row>
    <row r="221" spans="1:4" ht="15.75" customHeight="1">
      <c r="A221" t="s">
        <v>5678</v>
      </c>
      <c r="B221" t="s">
        <v>5553</v>
      </c>
      <c r="C221">
        <v>8</v>
      </c>
      <c r="D221">
        <v>20</v>
      </c>
    </row>
    <row r="222" spans="1:4" ht="15.75" customHeight="1">
      <c r="A222" t="s">
        <v>5679</v>
      </c>
      <c r="B222" t="s">
        <v>5555</v>
      </c>
      <c r="C222">
        <v>8</v>
      </c>
      <c r="D222">
        <v>20</v>
      </c>
    </row>
    <row r="223" spans="1:4" ht="15.75" customHeight="1">
      <c r="A223" t="s">
        <v>5680</v>
      </c>
      <c r="B223" t="s">
        <v>5557</v>
      </c>
      <c r="C223">
        <v>8</v>
      </c>
      <c r="D223">
        <v>20</v>
      </c>
    </row>
    <row r="224" spans="1:4" ht="15.75" customHeight="1">
      <c r="A224" t="s">
        <v>5681</v>
      </c>
      <c r="B224" t="s">
        <v>5559</v>
      </c>
      <c r="C224">
        <v>8</v>
      </c>
      <c r="D224">
        <v>20</v>
      </c>
    </row>
    <row r="225" spans="1:4" ht="15.75" customHeight="1">
      <c r="A225" t="s">
        <v>5682</v>
      </c>
      <c r="B225" t="s">
        <v>5561</v>
      </c>
      <c r="C225">
        <v>8</v>
      </c>
      <c r="D225">
        <v>20</v>
      </c>
    </row>
    <row r="226" spans="1:4" ht="15.75" customHeight="1">
      <c r="A226" t="s">
        <v>5683</v>
      </c>
      <c r="B226" t="s">
        <v>5563</v>
      </c>
      <c r="C226">
        <v>8</v>
      </c>
      <c r="D226">
        <v>20</v>
      </c>
    </row>
    <row r="227" spans="1:4" ht="15.75" customHeight="1">
      <c r="A227" t="s">
        <v>5684</v>
      </c>
      <c r="B227" t="s">
        <v>5565</v>
      </c>
      <c r="C227">
        <v>8</v>
      </c>
      <c r="D227">
        <v>20</v>
      </c>
    </row>
    <row r="228" spans="1:4" ht="15.75" customHeight="1">
      <c r="A228" t="s">
        <v>5685</v>
      </c>
      <c r="B228" t="s">
        <v>5565</v>
      </c>
      <c r="C228">
        <v>8</v>
      </c>
      <c r="D228">
        <v>20</v>
      </c>
    </row>
    <row r="229" spans="1:4" ht="15.75" customHeight="1">
      <c r="A229" t="s">
        <v>5686</v>
      </c>
      <c r="B229" t="s">
        <v>5568</v>
      </c>
      <c r="C229">
        <v>8</v>
      </c>
      <c r="D229">
        <v>20</v>
      </c>
    </row>
    <row r="230" spans="1:4" ht="15.75" customHeight="1">
      <c r="A230" t="s">
        <v>5687</v>
      </c>
      <c r="B230" t="s">
        <v>5570</v>
      </c>
      <c r="C230">
        <v>8</v>
      </c>
      <c r="D230">
        <v>20</v>
      </c>
    </row>
    <row r="231" spans="1:4" ht="15.75" customHeight="1">
      <c r="A231" t="s">
        <v>5688</v>
      </c>
      <c r="B231" t="s">
        <v>5572</v>
      </c>
      <c r="C231">
        <v>8</v>
      </c>
      <c r="D231">
        <v>20</v>
      </c>
    </row>
    <row r="232" spans="1:4" ht="15.75" customHeight="1">
      <c r="A232" t="s">
        <v>5689</v>
      </c>
      <c r="B232" t="s">
        <v>5574</v>
      </c>
      <c r="C232">
        <v>8</v>
      </c>
      <c r="D232">
        <v>20</v>
      </c>
    </row>
    <row r="233" spans="1:4" ht="15.75" customHeight="1">
      <c r="A233" t="s">
        <v>5690</v>
      </c>
      <c r="B233" t="s">
        <v>5576</v>
      </c>
      <c r="C233">
        <v>8</v>
      </c>
      <c r="D233">
        <v>20</v>
      </c>
    </row>
    <row r="234" spans="1:4" ht="15.75" customHeight="1">
      <c r="A234" t="s">
        <v>3222</v>
      </c>
      <c r="B234" t="s">
        <v>1963</v>
      </c>
      <c r="C234">
        <v>19</v>
      </c>
      <c r="D234">
        <v>25</v>
      </c>
    </row>
    <row r="235" spans="1:4" ht="15.75" customHeight="1">
      <c r="A235" t="s">
        <v>3223</v>
      </c>
      <c r="B235" t="s">
        <v>1965</v>
      </c>
      <c r="C235">
        <v>8</v>
      </c>
      <c r="D235">
        <v>40</v>
      </c>
    </row>
    <row r="236" spans="1:4" ht="15.75" customHeight="1">
      <c r="A236" t="s">
        <v>3224</v>
      </c>
      <c r="B236" t="s">
        <v>3225</v>
      </c>
      <c r="C236">
        <v>8</v>
      </c>
      <c r="D236">
        <v>40</v>
      </c>
    </row>
    <row r="237" spans="1:4" ht="15.75" customHeight="1">
      <c r="A237" t="s">
        <v>3226</v>
      </c>
      <c r="B237" t="s">
        <v>3227</v>
      </c>
      <c r="C237">
        <v>8</v>
      </c>
      <c r="D237">
        <v>40</v>
      </c>
    </row>
    <row r="238" spans="1:4" ht="15.75" customHeight="1">
      <c r="A238" t="s">
        <v>3228</v>
      </c>
      <c r="B238" t="s">
        <v>1968</v>
      </c>
      <c r="C238">
        <v>8</v>
      </c>
      <c r="D238">
        <v>40</v>
      </c>
    </row>
    <row r="239" spans="1:4" ht="15.75" customHeight="1">
      <c r="A239" t="s">
        <v>3229</v>
      </c>
      <c r="B239" t="s">
        <v>1971</v>
      </c>
      <c r="C239">
        <v>9</v>
      </c>
      <c r="D239">
        <v>20</v>
      </c>
    </row>
    <row r="240" spans="1:4" ht="15.75" customHeight="1">
      <c r="A240" t="s">
        <v>3230</v>
      </c>
      <c r="B240" t="s">
        <v>1971</v>
      </c>
      <c r="C240">
        <v>9</v>
      </c>
      <c r="D240">
        <v>20</v>
      </c>
    </row>
    <row r="241" spans="1:4" ht="15.75" customHeight="1">
      <c r="A241" t="s">
        <v>3231</v>
      </c>
      <c r="B241" t="s">
        <v>1971</v>
      </c>
      <c r="C241">
        <v>19</v>
      </c>
      <c r="D241">
        <v>25</v>
      </c>
    </row>
    <row r="242" spans="1:4" ht="15.75" customHeight="1">
      <c r="A242" t="s">
        <v>3232</v>
      </c>
      <c r="B242" t="s">
        <v>1971</v>
      </c>
      <c r="C242">
        <v>8</v>
      </c>
      <c r="D242">
        <v>40</v>
      </c>
    </row>
    <row r="243" spans="1:4" ht="15.75" customHeight="1">
      <c r="A243" t="s">
        <v>3233</v>
      </c>
      <c r="B243" t="s">
        <v>418</v>
      </c>
      <c r="C243">
        <v>9</v>
      </c>
      <c r="D243">
        <v>20</v>
      </c>
    </row>
    <row r="244" spans="1:4" ht="15.75" customHeight="1">
      <c r="A244" t="s">
        <v>3234</v>
      </c>
      <c r="B244" t="s">
        <v>418</v>
      </c>
      <c r="C244">
        <v>19</v>
      </c>
      <c r="D244">
        <v>25</v>
      </c>
    </row>
    <row r="245" spans="1:4" ht="15.75" customHeight="1">
      <c r="A245" t="s">
        <v>3235</v>
      </c>
      <c r="B245" t="s">
        <v>418</v>
      </c>
      <c r="C245">
        <v>9</v>
      </c>
      <c r="D245">
        <v>20</v>
      </c>
    </row>
    <row r="246" spans="1:4" ht="15.75" customHeight="1">
      <c r="A246" t="s">
        <v>3236</v>
      </c>
      <c r="B246" t="s">
        <v>418</v>
      </c>
      <c r="C246">
        <v>19</v>
      </c>
      <c r="D246">
        <v>25</v>
      </c>
    </row>
    <row r="247" spans="1:4" ht="15.75" customHeight="1">
      <c r="A247" t="s">
        <v>3237</v>
      </c>
      <c r="B247" t="s">
        <v>418</v>
      </c>
      <c r="C247">
        <v>9</v>
      </c>
      <c r="D247">
        <v>40</v>
      </c>
    </row>
    <row r="248" spans="1:4" ht="15.75" customHeight="1">
      <c r="A248" t="s">
        <v>3238</v>
      </c>
      <c r="B248" t="s">
        <v>422</v>
      </c>
      <c r="C248">
        <v>9</v>
      </c>
      <c r="D248">
        <v>20</v>
      </c>
    </row>
    <row r="249" spans="1:4" ht="15.75" customHeight="1">
      <c r="A249" t="s">
        <v>3239</v>
      </c>
      <c r="B249" t="s">
        <v>422</v>
      </c>
      <c r="C249">
        <v>9</v>
      </c>
      <c r="D249">
        <v>20</v>
      </c>
    </row>
    <row r="250" spans="1:4" ht="15.75" customHeight="1">
      <c r="A250" t="s">
        <v>3240</v>
      </c>
      <c r="B250" t="s">
        <v>424</v>
      </c>
      <c r="C250">
        <v>9</v>
      </c>
      <c r="D250">
        <v>20</v>
      </c>
    </row>
    <row r="251" spans="1:4" ht="15.75" customHeight="1">
      <c r="A251" t="s">
        <v>3241</v>
      </c>
      <c r="B251" t="s">
        <v>424</v>
      </c>
      <c r="C251">
        <v>9</v>
      </c>
      <c r="D251">
        <v>20</v>
      </c>
    </row>
    <row r="252" spans="1:4" ht="15.75" customHeight="1">
      <c r="A252" t="s">
        <v>3242</v>
      </c>
      <c r="B252" t="s">
        <v>427</v>
      </c>
      <c r="C252">
        <v>9</v>
      </c>
      <c r="D252">
        <v>20</v>
      </c>
    </row>
    <row r="253" spans="1:4" ht="15.75" customHeight="1">
      <c r="A253" t="s">
        <v>3243</v>
      </c>
      <c r="B253" t="s">
        <v>427</v>
      </c>
      <c r="C253">
        <v>9</v>
      </c>
      <c r="D253">
        <v>20</v>
      </c>
    </row>
    <row r="254" spans="1:4" ht="15.75" customHeight="1">
      <c r="A254" t="s">
        <v>3244</v>
      </c>
      <c r="B254" t="s">
        <v>427</v>
      </c>
      <c r="C254">
        <v>19</v>
      </c>
      <c r="D254">
        <v>25</v>
      </c>
    </row>
    <row r="255" spans="1:4" ht="15.75" customHeight="1">
      <c r="A255" t="s">
        <v>3245</v>
      </c>
      <c r="B255" t="s">
        <v>427</v>
      </c>
      <c r="C255">
        <v>8</v>
      </c>
      <c r="D255">
        <v>40</v>
      </c>
    </row>
    <row r="256" spans="1:4" ht="15.75" customHeight="1">
      <c r="A256" t="s">
        <v>3246</v>
      </c>
      <c r="B256" t="s">
        <v>431</v>
      </c>
      <c r="C256">
        <v>9</v>
      </c>
      <c r="D256">
        <v>20</v>
      </c>
    </row>
    <row r="257" spans="1:4" ht="15.75" customHeight="1">
      <c r="A257" t="s">
        <v>3247</v>
      </c>
      <c r="B257" t="s">
        <v>431</v>
      </c>
      <c r="C257">
        <v>9</v>
      </c>
      <c r="D257">
        <v>20</v>
      </c>
    </row>
    <row r="258" spans="1:4" ht="15.75" customHeight="1">
      <c r="A258" t="s">
        <v>3248</v>
      </c>
      <c r="B258" t="s">
        <v>431</v>
      </c>
      <c r="C258">
        <v>19</v>
      </c>
      <c r="D258">
        <v>25</v>
      </c>
    </row>
    <row r="259" spans="1:4" ht="15.75" customHeight="1">
      <c r="A259" t="s">
        <v>3249</v>
      </c>
      <c r="B259" t="s">
        <v>435</v>
      </c>
      <c r="C259">
        <v>9</v>
      </c>
      <c r="D259">
        <v>20</v>
      </c>
    </row>
    <row r="260" spans="1:4" ht="15.75" customHeight="1">
      <c r="A260" t="s">
        <v>3250</v>
      </c>
      <c r="B260" t="s">
        <v>435</v>
      </c>
      <c r="C260">
        <v>9</v>
      </c>
      <c r="D260">
        <v>20</v>
      </c>
    </row>
    <row r="261" spans="1:4" ht="15.75" customHeight="1">
      <c r="A261" t="s">
        <v>3251</v>
      </c>
      <c r="B261" t="s">
        <v>435</v>
      </c>
      <c r="C261">
        <v>19</v>
      </c>
      <c r="D261">
        <v>25</v>
      </c>
    </row>
    <row r="262" spans="1:4" ht="15.75" customHeight="1">
      <c r="A262" t="s">
        <v>3252</v>
      </c>
      <c r="B262" t="s">
        <v>440</v>
      </c>
      <c r="C262">
        <v>9</v>
      </c>
      <c r="D262">
        <v>20</v>
      </c>
    </row>
    <row r="263" spans="1:4" ht="15.75" customHeight="1">
      <c r="A263" t="s">
        <v>3253</v>
      </c>
      <c r="B263" t="s">
        <v>440</v>
      </c>
      <c r="C263">
        <v>9</v>
      </c>
      <c r="D263">
        <v>20</v>
      </c>
    </row>
    <row r="264" spans="1:4" ht="15.75" customHeight="1">
      <c r="A264" t="s">
        <v>3254</v>
      </c>
      <c r="B264" t="s">
        <v>440</v>
      </c>
      <c r="C264">
        <v>8</v>
      </c>
      <c r="D264">
        <v>40</v>
      </c>
    </row>
    <row r="265" spans="1:4" ht="15.75" customHeight="1">
      <c r="A265" t="s">
        <v>3255</v>
      </c>
      <c r="B265" t="s">
        <v>445</v>
      </c>
      <c r="C265">
        <v>9</v>
      </c>
      <c r="D265">
        <v>20</v>
      </c>
    </row>
    <row r="266" spans="1:4" ht="15.75" customHeight="1">
      <c r="A266" t="s">
        <v>3256</v>
      </c>
      <c r="B266" t="s">
        <v>445</v>
      </c>
      <c r="C266">
        <v>9</v>
      </c>
      <c r="D266">
        <v>20</v>
      </c>
    </row>
    <row r="267" spans="1:4" ht="15.75" customHeight="1">
      <c r="A267" t="s">
        <v>5691</v>
      </c>
      <c r="B267" t="s">
        <v>445</v>
      </c>
      <c r="C267">
        <v>0</v>
      </c>
      <c r="D267">
        <v>0</v>
      </c>
    </row>
    <row r="268" spans="1:4" ht="15.75" customHeight="1">
      <c r="A268" t="s">
        <v>3257</v>
      </c>
      <c r="B268" t="s">
        <v>447</v>
      </c>
      <c r="C268">
        <v>9</v>
      </c>
      <c r="D268">
        <v>20</v>
      </c>
    </row>
    <row r="269" spans="1:4" ht="15.75" customHeight="1">
      <c r="A269" t="s">
        <v>3258</v>
      </c>
      <c r="B269" t="s">
        <v>447</v>
      </c>
      <c r="C269">
        <v>19</v>
      </c>
      <c r="D269">
        <v>25</v>
      </c>
    </row>
    <row r="270" spans="1:4" ht="15.75" customHeight="1">
      <c r="A270" t="s">
        <v>3259</v>
      </c>
      <c r="B270" t="s">
        <v>447</v>
      </c>
      <c r="C270">
        <v>8</v>
      </c>
      <c r="D270">
        <v>40</v>
      </c>
    </row>
    <row r="271" spans="1:4" ht="15.75" customHeight="1">
      <c r="A271" t="s">
        <v>3260</v>
      </c>
      <c r="B271" t="s">
        <v>447</v>
      </c>
      <c r="C271">
        <v>9</v>
      </c>
      <c r="D271">
        <v>20</v>
      </c>
    </row>
    <row r="272" spans="1:4" ht="15.75" customHeight="1">
      <c r="A272" t="s">
        <v>3261</v>
      </c>
      <c r="B272" t="s">
        <v>447</v>
      </c>
      <c r="C272">
        <v>19</v>
      </c>
      <c r="D272">
        <v>25</v>
      </c>
    </row>
    <row r="273" spans="1:4" ht="15.75" customHeight="1">
      <c r="A273" t="s">
        <v>3262</v>
      </c>
      <c r="B273" t="s">
        <v>451</v>
      </c>
      <c r="C273">
        <v>9</v>
      </c>
      <c r="D273">
        <v>20</v>
      </c>
    </row>
    <row r="274" spans="1:4" ht="15.75" customHeight="1">
      <c r="A274" t="s">
        <v>3263</v>
      </c>
      <c r="B274" t="s">
        <v>451</v>
      </c>
      <c r="C274">
        <v>9</v>
      </c>
      <c r="D274">
        <v>20</v>
      </c>
    </row>
    <row r="275" spans="1:4" ht="15.75" customHeight="1">
      <c r="A275" t="s">
        <v>3264</v>
      </c>
      <c r="B275" t="s">
        <v>451</v>
      </c>
      <c r="C275">
        <v>19</v>
      </c>
      <c r="D275">
        <v>25</v>
      </c>
    </row>
    <row r="276" spans="1:4" ht="15.75" customHeight="1">
      <c r="A276" t="s">
        <v>3265</v>
      </c>
      <c r="B276" t="s">
        <v>451</v>
      </c>
      <c r="C276">
        <v>8</v>
      </c>
      <c r="D276">
        <v>40</v>
      </c>
    </row>
    <row r="277" spans="1:4" ht="15.75" customHeight="1">
      <c r="A277" t="s">
        <v>3266</v>
      </c>
      <c r="B277" t="s">
        <v>3267</v>
      </c>
      <c r="C277">
        <v>8</v>
      </c>
      <c r="D277">
        <v>40</v>
      </c>
    </row>
    <row r="278" spans="1:4" ht="15.75" customHeight="1">
      <c r="A278" t="s">
        <v>3268</v>
      </c>
      <c r="B278" t="s">
        <v>455</v>
      </c>
      <c r="C278">
        <v>9</v>
      </c>
      <c r="D278">
        <v>20</v>
      </c>
    </row>
    <row r="279" spans="1:4" ht="15.75" customHeight="1">
      <c r="A279" t="s">
        <v>3269</v>
      </c>
      <c r="B279" t="s">
        <v>455</v>
      </c>
      <c r="C279">
        <v>9</v>
      </c>
      <c r="D279">
        <v>20</v>
      </c>
    </row>
    <row r="280" spans="1:4" ht="15.75" customHeight="1">
      <c r="A280" t="s">
        <v>3270</v>
      </c>
      <c r="B280" t="s">
        <v>455</v>
      </c>
      <c r="C280">
        <v>8</v>
      </c>
      <c r="D280">
        <v>40</v>
      </c>
    </row>
    <row r="281" spans="1:4" ht="15.75" customHeight="1">
      <c r="A281" t="s">
        <v>3271</v>
      </c>
      <c r="B281" t="s">
        <v>457</v>
      </c>
      <c r="C281">
        <v>9</v>
      </c>
      <c r="D281">
        <v>20</v>
      </c>
    </row>
    <row r="282" spans="1:4" ht="15.75" customHeight="1">
      <c r="A282" t="s">
        <v>3272</v>
      </c>
      <c r="B282" t="s">
        <v>457</v>
      </c>
      <c r="C282">
        <v>8</v>
      </c>
      <c r="D282">
        <v>40</v>
      </c>
    </row>
    <row r="283" spans="1:4" ht="15.75" customHeight="1">
      <c r="A283" t="s">
        <v>3273</v>
      </c>
      <c r="B283" t="s">
        <v>457</v>
      </c>
      <c r="C283">
        <v>9</v>
      </c>
      <c r="D283">
        <v>20</v>
      </c>
    </row>
    <row r="284" spans="1:4" ht="15.75" customHeight="1">
      <c r="A284" t="s">
        <v>3274</v>
      </c>
      <c r="B284" t="s">
        <v>457</v>
      </c>
      <c r="C284">
        <v>9</v>
      </c>
      <c r="D284">
        <v>40</v>
      </c>
    </row>
    <row r="285" spans="1:4" ht="15.75" customHeight="1">
      <c r="A285" t="s">
        <v>3275</v>
      </c>
      <c r="B285" t="s">
        <v>459</v>
      </c>
      <c r="C285">
        <v>9</v>
      </c>
      <c r="D285">
        <v>20</v>
      </c>
    </row>
    <row r="286" spans="1:4" ht="15.75" customHeight="1">
      <c r="A286" t="s">
        <v>3276</v>
      </c>
      <c r="B286" t="s">
        <v>459</v>
      </c>
      <c r="C286">
        <v>8</v>
      </c>
      <c r="D286">
        <v>40</v>
      </c>
    </row>
    <row r="287" spans="1:4" ht="15.75" customHeight="1">
      <c r="A287" t="s">
        <v>3277</v>
      </c>
      <c r="B287" t="s">
        <v>459</v>
      </c>
      <c r="C287">
        <v>9</v>
      </c>
      <c r="D287">
        <v>20</v>
      </c>
    </row>
    <row r="288" spans="1:4" ht="15.75" customHeight="1">
      <c r="A288" t="s">
        <v>3278</v>
      </c>
      <c r="B288" t="s">
        <v>462</v>
      </c>
      <c r="C288">
        <v>9</v>
      </c>
      <c r="D288">
        <v>20</v>
      </c>
    </row>
    <row r="289" spans="1:4" ht="15.75" customHeight="1">
      <c r="A289" t="s">
        <v>3279</v>
      </c>
      <c r="B289" t="s">
        <v>462</v>
      </c>
      <c r="C289">
        <v>8</v>
      </c>
      <c r="D289">
        <v>40</v>
      </c>
    </row>
    <row r="290" spans="1:4" ht="15.75" customHeight="1">
      <c r="A290" t="s">
        <v>3280</v>
      </c>
      <c r="B290" t="s">
        <v>462</v>
      </c>
      <c r="C290">
        <v>9</v>
      </c>
      <c r="D290">
        <v>20</v>
      </c>
    </row>
    <row r="291" spans="1:4" ht="15.75" customHeight="1">
      <c r="A291" t="s">
        <v>3281</v>
      </c>
      <c r="B291" t="s">
        <v>464</v>
      </c>
      <c r="C291">
        <v>16</v>
      </c>
      <c r="D291">
        <v>20</v>
      </c>
    </row>
    <row r="292" spans="1:4" ht="15.75" customHeight="1">
      <c r="A292" t="s">
        <v>3282</v>
      </c>
      <c r="B292" t="s">
        <v>3283</v>
      </c>
      <c r="C292">
        <v>8</v>
      </c>
      <c r="D292">
        <v>40</v>
      </c>
    </row>
    <row r="293" spans="1:4" ht="15.75" customHeight="1">
      <c r="A293" t="s">
        <v>3284</v>
      </c>
      <c r="B293" t="s">
        <v>466</v>
      </c>
      <c r="C293">
        <v>9</v>
      </c>
      <c r="D293">
        <v>20</v>
      </c>
    </row>
    <row r="294" spans="1:4" ht="15.75" customHeight="1">
      <c r="A294" t="s">
        <v>3285</v>
      </c>
      <c r="B294" t="s">
        <v>466</v>
      </c>
      <c r="C294">
        <v>9</v>
      </c>
      <c r="D294">
        <v>20</v>
      </c>
    </row>
    <row r="295" spans="1:4" ht="15.75" customHeight="1">
      <c r="A295" t="s">
        <v>3286</v>
      </c>
      <c r="B295" t="s">
        <v>466</v>
      </c>
      <c r="C295">
        <v>19</v>
      </c>
      <c r="D295">
        <v>25</v>
      </c>
    </row>
    <row r="296" spans="1:4" ht="15.75" customHeight="1">
      <c r="A296" t="s">
        <v>3287</v>
      </c>
      <c r="B296" t="s">
        <v>466</v>
      </c>
      <c r="C296">
        <v>9</v>
      </c>
      <c r="D296">
        <v>40</v>
      </c>
    </row>
    <row r="297" spans="1:4" ht="15.75" customHeight="1">
      <c r="A297" t="s">
        <v>3288</v>
      </c>
      <c r="B297" t="s">
        <v>470</v>
      </c>
      <c r="C297">
        <v>9</v>
      </c>
      <c r="D297">
        <v>20</v>
      </c>
    </row>
    <row r="298" spans="1:4" ht="15.75" customHeight="1">
      <c r="A298" t="s">
        <v>3289</v>
      </c>
      <c r="B298" t="s">
        <v>472</v>
      </c>
      <c r="C298">
        <v>9</v>
      </c>
      <c r="D298">
        <v>20</v>
      </c>
    </row>
    <row r="299" spans="1:4" ht="15.75" customHeight="1">
      <c r="A299" t="s">
        <v>3290</v>
      </c>
      <c r="B299" t="s">
        <v>472</v>
      </c>
      <c r="C299">
        <v>9</v>
      </c>
      <c r="D299">
        <v>20</v>
      </c>
    </row>
    <row r="300" spans="1:4" ht="15.75" customHeight="1">
      <c r="A300" t="s">
        <v>3291</v>
      </c>
      <c r="B300" t="s">
        <v>472</v>
      </c>
      <c r="C300">
        <v>19</v>
      </c>
      <c r="D300">
        <v>25</v>
      </c>
    </row>
    <row r="301" spans="1:4" ht="15.75" customHeight="1">
      <c r="A301" t="s">
        <v>3292</v>
      </c>
      <c r="B301" t="s">
        <v>476</v>
      </c>
      <c r="C301">
        <v>9</v>
      </c>
      <c r="D301">
        <v>20</v>
      </c>
    </row>
    <row r="302" spans="1:4" ht="15.75" customHeight="1">
      <c r="A302" t="s">
        <v>3293</v>
      </c>
      <c r="B302" t="s">
        <v>476</v>
      </c>
      <c r="C302">
        <v>9</v>
      </c>
      <c r="D302">
        <v>20</v>
      </c>
    </row>
    <row r="303" spans="1:4" ht="15.75" customHeight="1">
      <c r="A303" t="s">
        <v>3294</v>
      </c>
      <c r="B303" t="s">
        <v>478</v>
      </c>
      <c r="C303">
        <v>9</v>
      </c>
      <c r="D303">
        <v>20</v>
      </c>
    </row>
    <row r="304" spans="1:4" ht="15.75" customHeight="1">
      <c r="A304" t="s">
        <v>3295</v>
      </c>
      <c r="B304" t="s">
        <v>478</v>
      </c>
      <c r="C304">
        <v>9</v>
      </c>
      <c r="D304">
        <v>20</v>
      </c>
    </row>
    <row r="305" spans="1:4" ht="15.75" customHeight="1">
      <c r="A305" t="s">
        <v>3296</v>
      </c>
      <c r="B305" t="s">
        <v>3297</v>
      </c>
      <c r="C305">
        <v>9</v>
      </c>
      <c r="D305">
        <v>20</v>
      </c>
    </row>
    <row r="306" spans="1:4" ht="15.75" customHeight="1">
      <c r="A306" t="s">
        <v>3298</v>
      </c>
      <c r="B306" t="s">
        <v>480</v>
      </c>
      <c r="C306">
        <v>9</v>
      </c>
      <c r="D306">
        <v>20</v>
      </c>
    </row>
    <row r="307" spans="1:4" ht="15.75" customHeight="1">
      <c r="A307" t="s">
        <v>3299</v>
      </c>
      <c r="B307" t="s">
        <v>480</v>
      </c>
      <c r="C307">
        <v>19</v>
      </c>
      <c r="D307">
        <v>25</v>
      </c>
    </row>
    <row r="308" spans="1:4" ht="15.75" customHeight="1">
      <c r="A308" t="s">
        <v>3300</v>
      </c>
      <c r="B308" t="s">
        <v>480</v>
      </c>
      <c r="C308">
        <v>9</v>
      </c>
      <c r="D308">
        <v>20</v>
      </c>
    </row>
    <row r="309" spans="1:4" ht="15.75" customHeight="1">
      <c r="A309" t="s">
        <v>3301</v>
      </c>
      <c r="B309" t="s">
        <v>480</v>
      </c>
      <c r="C309">
        <v>19</v>
      </c>
      <c r="D309">
        <v>25</v>
      </c>
    </row>
    <row r="310" spans="1:4" ht="15.75" customHeight="1">
      <c r="A310" t="s">
        <v>3302</v>
      </c>
      <c r="B310" t="s">
        <v>480</v>
      </c>
      <c r="C310">
        <v>8</v>
      </c>
      <c r="D310">
        <v>40</v>
      </c>
    </row>
    <row r="311" spans="1:4" ht="15.75" customHeight="1">
      <c r="A311" t="s">
        <v>3303</v>
      </c>
      <c r="B311" t="s">
        <v>485</v>
      </c>
      <c r="C311">
        <v>9</v>
      </c>
      <c r="D311">
        <v>20</v>
      </c>
    </row>
    <row r="312" spans="1:4" ht="15.75" customHeight="1">
      <c r="A312" t="s">
        <v>3304</v>
      </c>
      <c r="B312" t="s">
        <v>485</v>
      </c>
      <c r="C312">
        <v>9</v>
      </c>
      <c r="D312">
        <v>20</v>
      </c>
    </row>
    <row r="313" spans="1:4" ht="15.75" customHeight="1">
      <c r="A313" t="s">
        <v>3305</v>
      </c>
      <c r="B313" t="s">
        <v>485</v>
      </c>
      <c r="C313">
        <v>9</v>
      </c>
      <c r="D313">
        <v>40</v>
      </c>
    </row>
    <row r="314" spans="1:4" ht="15.75" customHeight="1">
      <c r="A314" t="s">
        <v>3306</v>
      </c>
      <c r="B314" t="s">
        <v>487</v>
      </c>
      <c r="C314">
        <v>9</v>
      </c>
      <c r="D314">
        <v>20</v>
      </c>
    </row>
    <row r="315" spans="1:4" ht="15.75" customHeight="1">
      <c r="A315" t="s">
        <v>3307</v>
      </c>
      <c r="B315" t="s">
        <v>492</v>
      </c>
      <c r="C315">
        <v>9</v>
      </c>
      <c r="D315">
        <v>20</v>
      </c>
    </row>
    <row r="316" spans="1:4" ht="15.75" customHeight="1">
      <c r="A316" t="s">
        <v>3308</v>
      </c>
      <c r="B316" t="s">
        <v>492</v>
      </c>
      <c r="C316">
        <v>9</v>
      </c>
      <c r="D316">
        <v>20</v>
      </c>
    </row>
    <row r="317" spans="1:4" ht="15.75" customHeight="1">
      <c r="A317" t="s">
        <v>3309</v>
      </c>
      <c r="B317" t="s">
        <v>492</v>
      </c>
      <c r="C317">
        <v>8</v>
      </c>
      <c r="D317">
        <v>40</v>
      </c>
    </row>
    <row r="318" spans="1:4" ht="15.75" customHeight="1">
      <c r="A318" t="s">
        <v>3310</v>
      </c>
      <c r="B318" t="s">
        <v>494</v>
      </c>
      <c r="C318">
        <v>9</v>
      </c>
      <c r="D318">
        <v>20</v>
      </c>
    </row>
    <row r="319" spans="1:4" ht="15.75" customHeight="1">
      <c r="A319" t="s">
        <v>3311</v>
      </c>
      <c r="B319" t="s">
        <v>494</v>
      </c>
      <c r="C319">
        <v>9</v>
      </c>
      <c r="D319">
        <v>20</v>
      </c>
    </row>
    <row r="320" spans="1:4" ht="15.75" customHeight="1">
      <c r="A320" t="s">
        <v>3312</v>
      </c>
      <c r="B320" t="s">
        <v>494</v>
      </c>
      <c r="C320">
        <v>9</v>
      </c>
      <c r="D320">
        <v>40</v>
      </c>
    </row>
    <row r="321" spans="1:4" ht="15.75" customHeight="1">
      <c r="A321" t="s">
        <v>3313</v>
      </c>
      <c r="B321" t="s">
        <v>496</v>
      </c>
      <c r="C321">
        <v>9</v>
      </c>
      <c r="D321">
        <v>20</v>
      </c>
    </row>
    <row r="322" spans="1:4" ht="15.75" customHeight="1">
      <c r="A322" t="s">
        <v>3314</v>
      </c>
      <c r="B322" t="s">
        <v>496</v>
      </c>
      <c r="C322">
        <v>9</v>
      </c>
      <c r="D322">
        <v>20</v>
      </c>
    </row>
    <row r="323" spans="1:4" ht="15.75" customHeight="1">
      <c r="A323" t="s">
        <v>3315</v>
      </c>
      <c r="B323" t="s">
        <v>498</v>
      </c>
      <c r="C323">
        <v>9</v>
      </c>
      <c r="D323">
        <v>20</v>
      </c>
    </row>
    <row r="324" spans="1:4" ht="15.75" customHeight="1">
      <c r="A324" t="s">
        <v>3316</v>
      </c>
      <c r="B324" t="s">
        <v>498</v>
      </c>
      <c r="C324">
        <v>9</v>
      </c>
      <c r="D324">
        <v>20</v>
      </c>
    </row>
    <row r="325" spans="1:4" ht="15.75" customHeight="1">
      <c r="A325" t="s">
        <v>3317</v>
      </c>
      <c r="B325" t="s">
        <v>498</v>
      </c>
      <c r="C325">
        <v>19</v>
      </c>
      <c r="D325">
        <v>25</v>
      </c>
    </row>
    <row r="326" spans="1:4" ht="15.75" customHeight="1">
      <c r="A326" t="s">
        <v>3318</v>
      </c>
      <c r="B326" t="s">
        <v>503</v>
      </c>
      <c r="C326">
        <v>9</v>
      </c>
      <c r="D326">
        <v>20</v>
      </c>
    </row>
    <row r="327" spans="1:4" ht="15.75" customHeight="1">
      <c r="A327" t="s">
        <v>3319</v>
      </c>
      <c r="B327" t="s">
        <v>503</v>
      </c>
      <c r="C327">
        <v>9</v>
      </c>
      <c r="D327">
        <v>20</v>
      </c>
    </row>
    <row r="328" spans="1:4" ht="15.75" customHeight="1">
      <c r="A328" t="s">
        <v>3320</v>
      </c>
      <c r="B328" t="s">
        <v>503</v>
      </c>
      <c r="C328">
        <v>8</v>
      </c>
      <c r="D328">
        <v>40</v>
      </c>
    </row>
    <row r="329" spans="1:4" ht="15.75" customHeight="1">
      <c r="A329" t="s">
        <v>3321</v>
      </c>
      <c r="B329" t="s">
        <v>505</v>
      </c>
      <c r="C329">
        <v>9</v>
      </c>
      <c r="D329">
        <v>20</v>
      </c>
    </row>
    <row r="330" spans="1:4" ht="15.75" customHeight="1">
      <c r="A330" t="s">
        <v>3322</v>
      </c>
      <c r="B330" t="s">
        <v>505</v>
      </c>
      <c r="C330">
        <v>19</v>
      </c>
      <c r="D330">
        <v>25</v>
      </c>
    </row>
    <row r="331" spans="1:4" ht="15.75" customHeight="1">
      <c r="A331" t="s">
        <v>3323</v>
      </c>
      <c r="B331" t="s">
        <v>505</v>
      </c>
      <c r="C331">
        <v>9</v>
      </c>
      <c r="D331">
        <v>20</v>
      </c>
    </row>
    <row r="332" spans="1:4" ht="15.75" customHeight="1">
      <c r="A332" t="s">
        <v>3324</v>
      </c>
      <c r="B332" t="s">
        <v>505</v>
      </c>
      <c r="C332">
        <v>19</v>
      </c>
      <c r="D332">
        <v>25</v>
      </c>
    </row>
    <row r="333" spans="1:4" ht="15.75" customHeight="1">
      <c r="A333" t="s">
        <v>3325</v>
      </c>
      <c r="B333" t="s">
        <v>505</v>
      </c>
      <c r="C333">
        <v>8</v>
      </c>
      <c r="D333">
        <v>40</v>
      </c>
    </row>
    <row r="334" spans="1:4" ht="15.75" customHeight="1">
      <c r="A334" t="s">
        <v>3326</v>
      </c>
      <c r="B334" t="s">
        <v>512</v>
      </c>
      <c r="C334">
        <v>9</v>
      </c>
      <c r="D334">
        <v>20</v>
      </c>
    </row>
    <row r="335" spans="1:4" ht="15.75" customHeight="1">
      <c r="A335" t="s">
        <v>3327</v>
      </c>
      <c r="B335" t="s">
        <v>514</v>
      </c>
      <c r="C335">
        <v>9</v>
      </c>
      <c r="D335">
        <v>20</v>
      </c>
    </row>
    <row r="336" spans="1:4" ht="15.75" customHeight="1">
      <c r="A336" t="s">
        <v>3328</v>
      </c>
      <c r="B336" t="s">
        <v>514</v>
      </c>
      <c r="C336">
        <v>8</v>
      </c>
      <c r="D336">
        <v>40</v>
      </c>
    </row>
    <row r="337" spans="1:4" ht="15.75" customHeight="1">
      <c r="A337" t="s">
        <v>3329</v>
      </c>
      <c r="B337" t="s">
        <v>514</v>
      </c>
      <c r="C337">
        <v>9</v>
      </c>
      <c r="D337">
        <v>20</v>
      </c>
    </row>
    <row r="338" spans="1:4" ht="15.75" customHeight="1">
      <c r="A338" t="s">
        <v>3330</v>
      </c>
      <c r="B338" t="s">
        <v>516</v>
      </c>
      <c r="C338">
        <v>9</v>
      </c>
      <c r="D338">
        <v>20</v>
      </c>
    </row>
    <row r="339" spans="1:4" ht="15.75" customHeight="1">
      <c r="A339" t="s">
        <v>3331</v>
      </c>
      <c r="B339" t="s">
        <v>516</v>
      </c>
      <c r="C339">
        <v>19</v>
      </c>
      <c r="D339">
        <v>25</v>
      </c>
    </row>
    <row r="340" spans="1:4" ht="15.75" customHeight="1">
      <c r="A340" t="s">
        <v>3332</v>
      </c>
      <c r="B340" t="s">
        <v>516</v>
      </c>
      <c r="C340">
        <v>9</v>
      </c>
      <c r="D340">
        <v>20</v>
      </c>
    </row>
    <row r="341" spans="1:4" ht="15.75" customHeight="1">
      <c r="A341" t="s">
        <v>3333</v>
      </c>
      <c r="B341" t="s">
        <v>516</v>
      </c>
      <c r="C341">
        <v>19</v>
      </c>
      <c r="D341">
        <v>25</v>
      </c>
    </row>
    <row r="342" spans="1:4" ht="15.75" customHeight="1">
      <c r="A342" t="s">
        <v>3334</v>
      </c>
      <c r="B342" t="s">
        <v>516</v>
      </c>
      <c r="C342">
        <v>9</v>
      </c>
      <c r="D342">
        <v>40</v>
      </c>
    </row>
    <row r="343" spans="1:4" ht="15.75" customHeight="1">
      <c r="A343" t="s">
        <v>3335</v>
      </c>
      <c r="B343" t="s">
        <v>520</v>
      </c>
      <c r="C343">
        <v>9</v>
      </c>
      <c r="D343">
        <v>20</v>
      </c>
    </row>
    <row r="344" spans="1:4" ht="15.75" customHeight="1">
      <c r="A344" t="s">
        <v>3336</v>
      </c>
      <c r="B344" t="s">
        <v>520</v>
      </c>
      <c r="C344">
        <v>9</v>
      </c>
      <c r="D344">
        <v>20</v>
      </c>
    </row>
    <row r="345" spans="1:4" ht="15.75" customHeight="1">
      <c r="A345" t="s">
        <v>3337</v>
      </c>
      <c r="B345" t="s">
        <v>520</v>
      </c>
      <c r="C345">
        <v>9</v>
      </c>
      <c r="D345">
        <v>40</v>
      </c>
    </row>
    <row r="346" spans="1:4" ht="15.75" customHeight="1">
      <c r="A346" t="s">
        <v>3338</v>
      </c>
      <c r="B346" t="s">
        <v>522</v>
      </c>
      <c r="C346">
        <v>9</v>
      </c>
      <c r="D346">
        <v>20</v>
      </c>
    </row>
    <row r="347" spans="1:4" ht="15.75" customHeight="1">
      <c r="A347" t="s">
        <v>3339</v>
      </c>
      <c r="B347" t="s">
        <v>522</v>
      </c>
      <c r="C347">
        <v>8</v>
      </c>
      <c r="D347">
        <v>40</v>
      </c>
    </row>
    <row r="348" spans="1:4" ht="15.75" customHeight="1">
      <c r="A348" t="s">
        <v>3340</v>
      </c>
      <c r="B348" t="s">
        <v>522</v>
      </c>
      <c r="C348">
        <v>9</v>
      </c>
      <c r="D348">
        <v>20</v>
      </c>
    </row>
    <row r="349" spans="1:4" ht="15.75" customHeight="1">
      <c r="A349" t="s">
        <v>5466</v>
      </c>
      <c r="B349" t="s">
        <v>5357</v>
      </c>
      <c r="C349">
        <v>9</v>
      </c>
      <c r="D349">
        <v>20</v>
      </c>
    </row>
    <row r="350" spans="1:4" ht="15.75" customHeight="1">
      <c r="A350" t="s">
        <v>5467</v>
      </c>
      <c r="B350" t="s">
        <v>5357</v>
      </c>
      <c r="C350">
        <v>9</v>
      </c>
      <c r="D350">
        <v>20</v>
      </c>
    </row>
    <row r="351" spans="1:4" ht="15.75" customHeight="1">
      <c r="A351" t="s">
        <v>3341</v>
      </c>
      <c r="B351" t="s">
        <v>524</v>
      </c>
      <c r="C351">
        <v>9</v>
      </c>
      <c r="D351">
        <v>20</v>
      </c>
    </row>
    <row r="352" spans="1:4" ht="15.75" customHeight="1">
      <c r="A352" t="s">
        <v>3342</v>
      </c>
      <c r="B352" t="s">
        <v>524</v>
      </c>
      <c r="C352">
        <v>8</v>
      </c>
      <c r="D352">
        <v>40</v>
      </c>
    </row>
    <row r="353" spans="1:4" ht="15.75" customHeight="1">
      <c r="A353" t="s">
        <v>3343</v>
      </c>
      <c r="B353" t="s">
        <v>524</v>
      </c>
      <c r="C353">
        <v>9</v>
      </c>
      <c r="D353">
        <v>20</v>
      </c>
    </row>
    <row r="354" spans="1:4" ht="15.75" customHeight="1">
      <c r="A354" t="s">
        <v>3344</v>
      </c>
      <c r="B354" t="s">
        <v>526</v>
      </c>
      <c r="C354">
        <v>9</v>
      </c>
      <c r="D354">
        <v>20</v>
      </c>
    </row>
    <row r="355" spans="1:4" ht="15.75" customHeight="1">
      <c r="A355" t="s">
        <v>3345</v>
      </c>
      <c r="B355" t="s">
        <v>526</v>
      </c>
      <c r="C355">
        <v>19</v>
      </c>
      <c r="D355">
        <v>25</v>
      </c>
    </row>
    <row r="356" spans="1:4" ht="15.75" customHeight="1">
      <c r="A356" t="s">
        <v>3346</v>
      </c>
      <c r="B356" t="s">
        <v>526</v>
      </c>
      <c r="C356">
        <v>9</v>
      </c>
      <c r="D356">
        <v>20</v>
      </c>
    </row>
    <row r="357" spans="1:4" ht="15.75" customHeight="1">
      <c r="A357" t="s">
        <v>3347</v>
      </c>
      <c r="B357" t="s">
        <v>526</v>
      </c>
      <c r="C357">
        <v>19</v>
      </c>
      <c r="D357">
        <v>25</v>
      </c>
    </row>
    <row r="358" spans="1:4" ht="15.75" customHeight="1">
      <c r="A358" t="s">
        <v>3348</v>
      </c>
      <c r="B358" t="s">
        <v>530</v>
      </c>
      <c r="C358">
        <v>9</v>
      </c>
      <c r="D358">
        <v>20</v>
      </c>
    </row>
    <row r="359" spans="1:4" ht="15.75" customHeight="1">
      <c r="A359" t="s">
        <v>3349</v>
      </c>
      <c r="B359" t="s">
        <v>530</v>
      </c>
      <c r="C359">
        <v>9</v>
      </c>
      <c r="D359">
        <v>20</v>
      </c>
    </row>
    <row r="360" spans="1:4" ht="15.75" customHeight="1">
      <c r="A360" t="s">
        <v>3350</v>
      </c>
      <c r="B360" t="s">
        <v>530</v>
      </c>
      <c r="C360">
        <v>19</v>
      </c>
      <c r="D360">
        <v>25</v>
      </c>
    </row>
    <row r="361" spans="1:4" ht="15.75" customHeight="1">
      <c r="A361" t="s">
        <v>3351</v>
      </c>
      <c r="B361" t="s">
        <v>530</v>
      </c>
      <c r="C361">
        <v>8</v>
      </c>
      <c r="D361">
        <v>40</v>
      </c>
    </row>
    <row r="362" spans="1:4" ht="15.75" customHeight="1">
      <c r="A362" t="s">
        <v>3352</v>
      </c>
      <c r="B362" t="s">
        <v>537</v>
      </c>
      <c r="C362">
        <v>9</v>
      </c>
      <c r="D362">
        <v>20</v>
      </c>
    </row>
    <row r="363" spans="1:4" ht="15.75" customHeight="1">
      <c r="A363" t="s">
        <v>3353</v>
      </c>
      <c r="B363" t="s">
        <v>537</v>
      </c>
      <c r="C363">
        <v>8</v>
      </c>
      <c r="D363">
        <v>40</v>
      </c>
    </row>
    <row r="364" spans="1:4" ht="15.75" customHeight="1">
      <c r="A364" t="s">
        <v>3354</v>
      </c>
      <c r="B364" t="s">
        <v>537</v>
      </c>
      <c r="C364">
        <v>9</v>
      </c>
      <c r="D364">
        <v>20</v>
      </c>
    </row>
    <row r="365" spans="1:4" ht="15.75" customHeight="1">
      <c r="A365" t="s">
        <v>3355</v>
      </c>
      <c r="B365" t="s">
        <v>539</v>
      </c>
      <c r="C365">
        <v>9</v>
      </c>
      <c r="D365">
        <v>20</v>
      </c>
    </row>
    <row r="366" spans="1:4" ht="15.75" customHeight="1">
      <c r="A366" t="s">
        <v>3356</v>
      </c>
      <c r="B366" t="s">
        <v>539</v>
      </c>
      <c r="C366">
        <v>9</v>
      </c>
      <c r="D366">
        <v>20</v>
      </c>
    </row>
    <row r="367" spans="1:4" ht="15.75" customHeight="1">
      <c r="A367" t="s">
        <v>3357</v>
      </c>
      <c r="B367" t="s">
        <v>541</v>
      </c>
      <c r="C367">
        <v>9</v>
      </c>
      <c r="D367">
        <v>20</v>
      </c>
    </row>
    <row r="368" spans="1:4" ht="15.75" customHeight="1">
      <c r="A368" t="s">
        <v>3358</v>
      </c>
      <c r="B368" t="s">
        <v>541</v>
      </c>
      <c r="C368">
        <v>9</v>
      </c>
      <c r="D368">
        <v>20</v>
      </c>
    </row>
    <row r="369" spans="1:4" ht="15.75" customHeight="1">
      <c r="A369" t="s">
        <v>3359</v>
      </c>
      <c r="B369" t="s">
        <v>541</v>
      </c>
      <c r="C369">
        <v>19</v>
      </c>
      <c r="D369">
        <v>25</v>
      </c>
    </row>
    <row r="370" spans="1:4" ht="15.75" customHeight="1">
      <c r="A370" t="s">
        <v>3360</v>
      </c>
      <c r="B370" t="s">
        <v>2005</v>
      </c>
      <c r="C370">
        <v>8</v>
      </c>
      <c r="D370">
        <v>40</v>
      </c>
    </row>
    <row r="371" spans="1:4" ht="15.75" customHeight="1">
      <c r="A371" t="s">
        <v>3361</v>
      </c>
      <c r="B371" t="s">
        <v>546</v>
      </c>
      <c r="C371">
        <v>9</v>
      </c>
      <c r="D371">
        <v>20</v>
      </c>
    </row>
    <row r="372" spans="1:4" ht="15.75" customHeight="1">
      <c r="A372" t="s">
        <v>3362</v>
      </c>
      <c r="B372" t="s">
        <v>546</v>
      </c>
      <c r="C372">
        <v>9</v>
      </c>
      <c r="D372">
        <v>20</v>
      </c>
    </row>
    <row r="373" spans="1:4" ht="15.75" customHeight="1">
      <c r="A373" t="s">
        <v>3363</v>
      </c>
      <c r="B373" t="s">
        <v>546</v>
      </c>
      <c r="C373">
        <v>9</v>
      </c>
      <c r="D373">
        <v>40</v>
      </c>
    </row>
    <row r="374" spans="1:4" ht="15.75" customHeight="1">
      <c r="A374" t="s">
        <v>3364</v>
      </c>
      <c r="B374" t="s">
        <v>548</v>
      </c>
      <c r="C374">
        <v>9</v>
      </c>
      <c r="D374">
        <v>20</v>
      </c>
    </row>
    <row r="375" spans="1:4" ht="15.75" customHeight="1">
      <c r="A375" t="s">
        <v>3365</v>
      </c>
      <c r="B375" t="s">
        <v>548</v>
      </c>
      <c r="C375">
        <v>9</v>
      </c>
      <c r="D375">
        <v>20</v>
      </c>
    </row>
    <row r="376" spans="1:4" ht="15.75" customHeight="1">
      <c r="A376" t="s">
        <v>3366</v>
      </c>
      <c r="B376" t="s">
        <v>548</v>
      </c>
      <c r="C376">
        <v>9</v>
      </c>
      <c r="D376">
        <v>40</v>
      </c>
    </row>
    <row r="377" spans="1:4" ht="15.75" customHeight="1">
      <c r="A377" t="s">
        <v>3367</v>
      </c>
      <c r="B377" t="s">
        <v>550</v>
      </c>
      <c r="C377">
        <v>9</v>
      </c>
      <c r="D377">
        <v>20</v>
      </c>
    </row>
    <row r="378" spans="1:4" ht="15.75" customHeight="1">
      <c r="A378" t="s">
        <v>3368</v>
      </c>
      <c r="B378" t="s">
        <v>550</v>
      </c>
      <c r="C378">
        <v>9</v>
      </c>
      <c r="D378">
        <v>20</v>
      </c>
    </row>
    <row r="379" spans="1:4" ht="15.75" customHeight="1">
      <c r="A379" t="s">
        <v>3369</v>
      </c>
      <c r="B379" t="s">
        <v>554</v>
      </c>
      <c r="C379">
        <v>9</v>
      </c>
      <c r="D379">
        <v>20</v>
      </c>
    </row>
    <row r="380" spans="1:4" ht="15.75" customHeight="1">
      <c r="A380" t="s">
        <v>3370</v>
      </c>
      <c r="B380" t="s">
        <v>554</v>
      </c>
      <c r="C380">
        <v>8</v>
      </c>
      <c r="D380">
        <v>40</v>
      </c>
    </row>
    <row r="381" spans="1:4" ht="15.75" customHeight="1">
      <c r="A381" t="s">
        <v>3371</v>
      </c>
      <c r="B381" t="s">
        <v>556</v>
      </c>
      <c r="C381">
        <v>9</v>
      </c>
      <c r="D381">
        <v>20</v>
      </c>
    </row>
    <row r="382" spans="1:4" ht="15.75" customHeight="1">
      <c r="A382" t="s">
        <v>3372</v>
      </c>
      <c r="B382" t="s">
        <v>556</v>
      </c>
      <c r="C382">
        <v>9</v>
      </c>
      <c r="D382">
        <v>20</v>
      </c>
    </row>
    <row r="383" spans="1:4" ht="15.75" customHeight="1">
      <c r="A383" t="s">
        <v>3373</v>
      </c>
      <c r="B383" t="s">
        <v>559</v>
      </c>
      <c r="C383">
        <v>9</v>
      </c>
      <c r="D383">
        <v>20</v>
      </c>
    </row>
    <row r="384" spans="1:4" ht="15.75" customHeight="1">
      <c r="A384" t="s">
        <v>3374</v>
      </c>
      <c r="B384" t="s">
        <v>559</v>
      </c>
      <c r="C384">
        <v>8</v>
      </c>
      <c r="D384">
        <v>40</v>
      </c>
    </row>
    <row r="385" spans="1:4" ht="15.75" customHeight="1">
      <c r="A385" t="s">
        <v>3375</v>
      </c>
      <c r="B385" t="s">
        <v>559</v>
      </c>
      <c r="C385">
        <v>9</v>
      </c>
      <c r="D385">
        <v>20</v>
      </c>
    </row>
    <row r="386" spans="1:4" ht="15.75" customHeight="1">
      <c r="A386" t="s">
        <v>5692</v>
      </c>
      <c r="B386" t="s">
        <v>559</v>
      </c>
      <c r="C386">
        <v>0</v>
      </c>
      <c r="D386">
        <v>0</v>
      </c>
    </row>
    <row r="387" spans="1:4" ht="15.75" customHeight="1">
      <c r="A387" t="s">
        <v>3376</v>
      </c>
      <c r="B387" t="s">
        <v>563</v>
      </c>
      <c r="C387">
        <v>9</v>
      </c>
      <c r="D387">
        <v>20</v>
      </c>
    </row>
    <row r="388" spans="1:4" ht="15.75" customHeight="1">
      <c r="A388" t="s">
        <v>3377</v>
      </c>
      <c r="B388" t="s">
        <v>563</v>
      </c>
      <c r="C388">
        <v>19</v>
      </c>
      <c r="D388">
        <v>25</v>
      </c>
    </row>
    <row r="389" spans="1:4" ht="15.75" customHeight="1">
      <c r="A389" t="s">
        <v>3378</v>
      </c>
      <c r="B389" t="s">
        <v>563</v>
      </c>
      <c r="C389">
        <v>9</v>
      </c>
      <c r="D389">
        <v>20</v>
      </c>
    </row>
    <row r="390" spans="1:4" ht="15.75" customHeight="1">
      <c r="A390" t="s">
        <v>3379</v>
      </c>
      <c r="B390" t="s">
        <v>563</v>
      </c>
      <c r="C390">
        <v>9</v>
      </c>
      <c r="D390">
        <v>26</v>
      </c>
    </row>
    <row r="391" spans="1:4" ht="15.75" customHeight="1">
      <c r="A391" t="s">
        <v>3380</v>
      </c>
      <c r="B391" t="s">
        <v>563</v>
      </c>
      <c r="C391">
        <v>9</v>
      </c>
      <c r="D391">
        <v>40</v>
      </c>
    </row>
    <row r="392" spans="1:4" ht="15.75" customHeight="1">
      <c r="A392" t="s">
        <v>3381</v>
      </c>
      <c r="B392" t="s">
        <v>569</v>
      </c>
      <c r="C392">
        <v>9</v>
      </c>
      <c r="D392">
        <v>20</v>
      </c>
    </row>
    <row r="393" spans="1:4" ht="15.75" customHeight="1">
      <c r="A393" t="s">
        <v>3382</v>
      </c>
      <c r="B393" t="s">
        <v>569</v>
      </c>
      <c r="C393">
        <v>9</v>
      </c>
      <c r="D393">
        <v>20</v>
      </c>
    </row>
    <row r="394" spans="1:4" ht="15.75" customHeight="1">
      <c r="A394" t="s">
        <v>3383</v>
      </c>
      <c r="B394" t="s">
        <v>569</v>
      </c>
      <c r="C394">
        <v>19</v>
      </c>
      <c r="D394">
        <v>25</v>
      </c>
    </row>
    <row r="395" spans="1:4" ht="15.75" customHeight="1">
      <c r="A395" t="s">
        <v>3384</v>
      </c>
      <c r="B395" t="s">
        <v>573</v>
      </c>
      <c r="C395">
        <v>9</v>
      </c>
      <c r="D395">
        <v>20</v>
      </c>
    </row>
    <row r="396" spans="1:4" ht="15.75" customHeight="1">
      <c r="A396" t="s">
        <v>3385</v>
      </c>
      <c r="B396" t="s">
        <v>573</v>
      </c>
      <c r="C396">
        <v>9</v>
      </c>
      <c r="D396">
        <v>20</v>
      </c>
    </row>
    <row r="397" spans="1:4" ht="15.75" customHeight="1">
      <c r="A397" t="s">
        <v>3386</v>
      </c>
      <c r="B397" t="s">
        <v>573</v>
      </c>
      <c r="C397">
        <v>9</v>
      </c>
      <c r="D397">
        <v>20</v>
      </c>
    </row>
    <row r="398" spans="1:4" ht="15.75" customHeight="1">
      <c r="A398" t="s">
        <v>3387</v>
      </c>
      <c r="B398" t="s">
        <v>578</v>
      </c>
      <c r="C398">
        <v>9</v>
      </c>
      <c r="D398">
        <v>20</v>
      </c>
    </row>
    <row r="399" spans="1:4" ht="15.75" customHeight="1">
      <c r="A399" t="s">
        <v>3388</v>
      </c>
      <c r="B399" t="s">
        <v>578</v>
      </c>
      <c r="C399">
        <v>9</v>
      </c>
      <c r="D399">
        <v>20</v>
      </c>
    </row>
    <row r="400" spans="1:4" ht="15.75" customHeight="1">
      <c r="A400" t="s">
        <v>3389</v>
      </c>
      <c r="B400" t="s">
        <v>578</v>
      </c>
      <c r="C400">
        <v>19</v>
      </c>
      <c r="D400">
        <v>25</v>
      </c>
    </row>
    <row r="401" spans="1:4" ht="15.75" customHeight="1">
      <c r="A401" t="s">
        <v>3390</v>
      </c>
      <c r="B401" t="s">
        <v>578</v>
      </c>
      <c r="C401">
        <v>9</v>
      </c>
      <c r="D401">
        <v>40</v>
      </c>
    </row>
    <row r="402" spans="1:4" ht="15.75" customHeight="1">
      <c r="A402" t="s">
        <v>3391</v>
      </c>
      <c r="B402" t="s">
        <v>582</v>
      </c>
      <c r="C402">
        <v>9</v>
      </c>
      <c r="D402">
        <v>20</v>
      </c>
    </row>
    <row r="403" spans="1:4" ht="15.75" customHeight="1">
      <c r="A403" t="s">
        <v>3392</v>
      </c>
      <c r="B403" t="s">
        <v>582</v>
      </c>
      <c r="C403">
        <v>9</v>
      </c>
      <c r="D403">
        <v>20</v>
      </c>
    </row>
    <row r="404" spans="1:4" ht="15.75" customHeight="1">
      <c r="A404" t="s">
        <v>3393</v>
      </c>
      <c r="B404" t="s">
        <v>584</v>
      </c>
      <c r="C404">
        <v>9</v>
      </c>
      <c r="D404">
        <v>20</v>
      </c>
    </row>
    <row r="405" spans="1:4" ht="15.75" customHeight="1">
      <c r="A405" t="s">
        <v>3394</v>
      </c>
      <c r="B405" t="s">
        <v>584</v>
      </c>
      <c r="C405">
        <v>8</v>
      </c>
      <c r="D405">
        <v>40</v>
      </c>
    </row>
    <row r="406" spans="1:4" ht="15.75" customHeight="1">
      <c r="A406" t="s">
        <v>3395</v>
      </c>
      <c r="B406" t="s">
        <v>584</v>
      </c>
      <c r="C406">
        <v>9</v>
      </c>
      <c r="D406">
        <v>20</v>
      </c>
    </row>
    <row r="407" spans="1:4" ht="15.75" customHeight="1">
      <c r="A407" t="s">
        <v>3396</v>
      </c>
      <c r="C407">
        <v>8</v>
      </c>
      <c r="D407">
        <v>40</v>
      </c>
    </row>
    <row r="408" spans="1:4" ht="15.75" customHeight="1">
      <c r="A408" t="s">
        <v>3397</v>
      </c>
      <c r="B408" t="s">
        <v>586</v>
      </c>
      <c r="C408">
        <v>9</v>
      </c>
      <c r="D408">
        <v>20</v>
      </c>
    </row>
    <row r="409" spans="1:4" ht="15.75" customHeight="1">
      <c r="A409" t="s">
        <v>3398</v>
      </c>
      <c r="B409" t="s">
        <v>586</v>
      </c>
      <c r="C409">
        <v>9</v>
      </c>
      <c r="D409">
        <v>20</v>
      </c>
    </row>
    <row r="410" spans="1:4" ht="15.75" customHeight="1">
      <c r="A410" t="s">
        <v>3399</v>
      </c>
      <c r="B410" t="s">
        <v>586</v>
      </c>
      <c r="C410">
        <v>19</v>
      </c>
      <c r="D410">
        <v>25</v>
      </c>
    </row>
    <row r="411" spans="1:4" ht="15.75" customHeight="1">
      <c r="A411" t="s">
        <v>3400</v>
      </c>
      <c r="B411" t="s">
        <v>586</v>
      </c>
      <c r="C411">
        <v>8</v>
      </c>
      <c r="D411">
        <v>40</v>
      </c>
    </row>
    <row r="412" spans="1:4" ht="15.75" customHeight="1">
      <c r="A412" t="s">
        <v>3401</v>
      </c>
      <c r="B412" t="s">
        <v>592</v>
      </c>
      <c r="C412">
        <v>9</v>
      </c>
      <c r="D412">
        <v>20</v>
      </c>
    </row>
    <row r="413" spans="1:4" ht="15.75" customHeight="1">
      <c r="A413" t="s">
        <v>3402</v>
      </c>
      <c r="B413" t="s">
        <v>592</v>
      </c>
      <c r="C413">
        <v>9</v>
      </c>
      <c r="D413">
        <v>20</v>
      </c>
    </row>
    <row r="414" spans="1:4" ht="15.75" customHeight="1">
      <c r="A414" t="s">
        <v>3403</v>
      </c>
      <c r="B414" t="s">
        <v>596</v>
      </c>
      <c r="C414">
        <v>9</v>
      </c>
      <c r="D414">
        <v>20</v>
      </c>
    </row>
    <row r="415" spans="1:4" ht="15.75" customHeight="1">
      <c r="A415" t="s">
        <v>3404</v>
      </c>
      <c r="B415" t="s">
        <v>596</v>
      </c>
      <c r="C415">
        <v>9</v>
      </c>
      <c r="D415">
        <v>20</v>
      </c>
    </row>
    <row r="416" spans="1:4" ht="15.75" customHeight="1">
      <c r="A416" t="s">
        <v>3405</v>
      </c>
      <c r="B416" t="s">
        <v>598</v>
      </c>
      <c r="C416">
        <v>9</v>
      </c>
      <c r="D416">
        <v>20</v>
      </c>
    </row>
    <row r="417" spans="1:4" ht="15.75" customHeight="1">
      <c r="A417" t="s">
        <v>3406</v>
      </c>
      <c r="B417" t="s">
        <v>598</v>
      </c>
      <c r="C417">
        <v>9</v>
      </c>
      <c r="D417">
        <v>20</v>
      </c>
    </row>
    <row r="418" spans="1:4" ht="15.75" customHeight="1">
      <c r="A418" t="s">
        <v>3407</v>
      </c>
      <c r="B418" t="s">
        <v>600</v>
      </c>
      <c r="C418">
        <v>9</v>
      </c>
      <c r="D418">
        <v>20</v>
      </c>
    </row>
    <row r="419" spans="1:4" ht="15.75" customHeight="1">
      <c r="A419" t="s">
        <v>3408</v>
      </c>
      <c r="B419" t="s">
        <v>600</v>
      </c>
      <c r="C419">
        <v>9</v>
      </c>
      <c r="D419">
        <v>20</v>
      </c>
    </row>
    <row r="420" spans="1:4" ht="15.75" customHeight="1">
      <c r="A420" t="s">
        <v>3409</v>
      </c>
      <c r="B420" t="s">
        <v>600</v>
      </c>
      <c r="C420">
        <v>9</v>
      </c>
      <c r="D420">
        <v>20</v>
      </c>
    </row>
    <row r="421" spans="1:4" ht="15.75" customHeight="1">
      <c r="A421" t="s">
        <v>3410</v>
      </c>
      <c r="B421" t="s">
        <v>600</v>
      </c>
      <c r="C421">
        <v>8</v>
      </c>
      <c r="D421">
        <v>40</v>
      </c>
    </row>
    <row r="422" spans="1:4" ht="15.75" customHeight="1">
      <c r="A422" t="s">
        <v>3411</v>
      </c>
      <c r="B422" t="s">
        <v>3412</v>
      </c>
      <c r="C422">
        <v>8</v>
      </c>
      <c r="D422">
        <v>40</v>
      </c>
    </row>
    <row r="423" spans="1:4" ht="15.75" customHeight="1">
      <c r="A423" t="s">
        <v>3413</v>
      </c>
      <c r="B423" t="s">
        <v>602</v>
      </c>
      <c r="C423">
        <v>9</v>
      </c>
      <c r="D423">
        <v>20</v>
      </c>
    </row>
    <row r="424" spans="1:4" ht="15.75" customHeight="1">
      <c r="A424" t="s">
        <v>3414</v>
      </c>
      <c r="B424" t="s">
        <v>605</v>
      </c>
      <c r="C424">
        <v>9</v>
      </c>
      <c r="D424">
        <v>20</v>
      </c>
    </row>
    <row r="425" spans="1:4" ht="15.75" customHeight="1">
      <c r="A425" t="s">
        <v>3415</v>
      </c>
      <c r="B425" t="s">
        <v>605</v>
      </c>
      <c r="C425">
        <v>8</v>
      </c>
      <c r="D425">
        <v>40</v>
      </c>
    </row>
    <row r="426" spans="1:4" ht="15.75" customHeight="1">
      <c r="A426" t="s">
        <v>3416</v>
      </c>
      <c r="B426" t="s">
        <v>605</v>
      </c>
      <c r="C426">
        <v>9</v>
      </c>
      <c r="D426">
        <v>20</v>
      </c>
    </row>
    <row r="427" spans="1:4" ht="15.75" customHeight="1">
      <c r="A427" t="s">
        <v>3417</v>
      </c>
      <c r="B427" t="s">
        <v>607</v>
      </c>
      <c r="C427">
        <v>9</v>
      </c>
      <c r="D427">
        <v>20</v>
      </c>
    </row>
    <row r="428" spans="1:4" ht="15.75" customHeight="1">
      <c r="A428" t="s">
        <v>3418</v>
      </c>
      <c r="B428" t="s">
        <v>607</v>
      </c>
      <c r="C428">
        <v>9</v>
      </c>
      <c r="D428">
        <v>20</v>
      </c>
    </row>
    <row r="429" spans="1:4" ht="15.75" customHeight="1">
      <c r="A429" t="s">
        <v>3419</v>
      </c>
      <c r="B429" t="s">
        <v>607</v>
      </c>
      <c r="C429">
        <v>19</v>
      </c>
      <c r="D429">
        <v>25</v>
      </c>
    </row>
    <row r="430" spans="1:4" ht="15.75" customHeight="1">
      <c r="A430" t="s">
        <v>3420</v>
      </c>
      <c r="B430" t="s">
        <v>607</v>
      </c>
      <c r="C430">
        <v>9</v>
      </c>
      <c r="D430">
        <v>40</v>
      </c>
    </row>
    <row r="431" spans="1:4" ht="15.75" customHeight="1">
      <c r="A431" t="s">
        <v>3421</v>
      </c>
      <c r="B431" t="s">
        <v>611</v>
      </c>
      <c r="C431">
        <v>9</v>
      </c>
      <c r="D431">
        <v>20</v>
      </c>
    </row>
    <row r="432" spans="1:4" ht="15.75" customHeight="1">
      <c r="A432" t="s">
        <v>3422</v>
      </c>
      <c r="B432" t="s">
        <v>611</v>
      </c>
      <c r="C432">
        <v>9</v>
      </c>
      <c r="D432">
        <v>20</v>
      </c>
    </row>
    <row r="433" spans="1:4" ht="15.75" customHeight="1">
      <c r="A433" t="s">
        <v>3423</v>
      </c>
      <c r="B433" t="s">
        <v>615</v>
      </c>
      <c r="C433">
        <v>9</v>
      </c>
      <c r="D433">
        <v>20</v>
      </c>
    </row>
    <row r="434" spans="1:4" ht="15.75" customHeight="1">
      <c r="A434" t="s">
        <v>3424</v>
      </c>
      <c r="B434" t="s">
        <v>620</v>
      </c>
      <c r="C434">
        <v>9</v>
      </c>
      <c r="D434">
        <v>20</v>
      </c>
    </row>
    <row r="435" spans="1:4" ht="15.75" customHeight="1">
      <c r="A435" t="s">
        <v>3425</v>
      </c>
      <c r="B435" t="s">
        <v>620</v>
      </c>
      <c r="C435">
        <v>9</v>
      </c>
      <c r="D435">
        <v>20</v>
      </c>
    </row>
    <row r="436" spans="1:4" ht="15.75" customHeight="1">
      <c r="A436" t="s">
        <v>3426</v>
      </c>
      <c r="B436" t="s">
        <v>620</v>
      </c>
      <c r="C436">
        <v>19</v>
      </c>
      <c r="D436">
        <v>25</v>
      </c>
    </row>
    <row r="437" spans="1:4" ht="15.75" customHeight="1">
      <c r="A437" t="s">
        <v>3427</v>
      </c>
      <c r="B437" t="s">
        <v>625</v>
      </c>
      <c r="C437">
        <v>9</v>
      </c>
      <c r="D437">
        <v>20</v>
      </c>
    </row>
    <row r="438" spans="1:4" ht="15.75" customHeight="1">
      <c r="A438" t="s">
        <v>3428</v>
      </c>
      <c r="B438" t="s">
        <v>625</v>
      </c>
      <c r="C438">
        <v>9</v>
      </c>
      <c r="D438">
        <v>20</v>
      </c>
    </row>
    <row r="439" spans="1:4" ht="15.75" customHeight="1">
      <c r="A439" t="s">
        <v>3429</v>
      </c>
      <c r="B439" t="s">
        <v>628</v>
      </c>
      <c r="C439">
        <v>9</v>
      </c>
      <c r="D439">
        <v>20</v>
      </c>
    </row>
    <row r="440" spans="1:4" ht="15.75" customHeight="1">
      <c r="A440" t="s">
        <v>3430</v>
      </c>
      <c r="B440" t="s">
        <v>628</v>
      </c>
      <c r="C440">
        <v>9</v>
      </c>
      <c r="D440">
        <v>20</v>
      </c>
    </row>
    <row r="441" spans="1:4" ht="15.75" customHeight="1">
      <c r="A441" t="s">
        <v>3431</v>
      </c>
      <c r="B441" t="s">
        <v>628</v>
      </c>
      <c r="C441">
        <v>19</v>
      </c>
      <c r="D441">
        <v>25</v>
      </c>
    </row>
    <row r="442" spans="1:4" ht="15.75" customHeight="1">
      <c r="A442" t="s">
        <v>3432</v>
      </c>
      <c r="B442" t="s">
        <v>633</v>
      </c>
      <c r="C442">
        <v>9</v>
      </c>
      <c r="D442">
        <v>20</v>
      </c>
    </row>
    <row r="443" spans="1:4" ht="15.75" customHeight="1">
      <c r="A443" t="s">
        <v>3433</v>
      </c>
      <c r="B443" t="s">
        <v>633</v>
      </c>
      <c r="C443">
        <v>9</v>
      </c>
      <c r="D443">
        <v>20</v>
      </c>
    </row>
    <row r="444" spans="1:4" ht="15.75" customHeight="1">
      <c r="A444" t="s">
        <v>3434</v>
      </c>
      <c r="B444" t="s">
        <v>633</v>
      </c>
      <c r="C444">
        <v>9</v>
      </c>
      <c r="D444">
        <v>40</v>
      </c>
    </row>
    <row r="445" spans="1:4" ht="15.75" customHeight="1">
      <c r="A445" t="s">
        <v>3435</v>
      </c>
      <c r="B445" t="s">
        <v>635</v>
      </c>
      <c r="C445">
        <v>9</v>
      </c>
      <c r="D445">
        <v>20</v>
      </c>
    </row>
    <row r="446" spans="1:4" ht="15.75" customHeight="1">
      <c r="A446" t="s">
        <v>5468</v>
      </c>
      <c r="B446" t="s">
        <v>5359</v>
      </c>
      <c r="C446">
        <v>9</v>
      </c>
      <c r="D446">
        <v>20</v>
      </c>
    </row>
    <row r="447" spans="1:4" ht="15.75" customHeight="1">
      <c r="A447" t="s">
        <v>5469</v>
      </c>
      <c r="B447" t="s">
        <v>5359</v>
      </c>
      <c r="C447">
        <v>9</v>
      </c>
      <c r="D447">
        <v>20</v>
      </c>
    </row>
    <row r="448" spans="1:4" ht="15.75" customHeight="1">
      <c r="A448" t="s">
        <v>3436</v>
      </c>
      <c r="B448" t="s">
        <v>645</v>
      </c>
      <c r="C448">
        <v>9</v>
      </c>
      <c r="D448">
        <v>20</v>
      </c>
    </row>
    <row r="449" spans="1:4" ht="15.75" customHeight="1">
      <c r="A449" t="s">
        <v>3437</v>
      </c>
      <c r="B449" t="s">
        <v>645</v>
      </c>
      <c r="C449">
        <v>9</v>
      </c>
      <c r="D449">
        <v>20</v>
      </c>
    </row>
    <row r="450" spans="1:4" ht="15.75" customHeight="1">
      <c r="A450" t="s">
        <v>3438</v>
      </c>
      <c r="B450" t="s">
        <v>647</v>
      </c>
      <c r="C450">
        <v>9</v>
      </c>
      <c r="D450">
        <v>20</v>
      </c>
    </row>
    <row r="451" spans="1:4" ht="15.75" customHeight="1">
      <c r="A451" t="s">
        <v>3439</v>
      </c>
      <c r="B451" t="s">
        <v>647</v>
      </c>
      <c r="C451">
        <v>9</v>
      </c>
      <c r="D451">
        <v>20</v>
      </c>
    </row>
    <row r="452" spans="1:4" ht="15.75" customHeight="1">
      <c r="A452" t="s">
        <v>3440</v>
      </c>
      <c r="B452" t="s">
        <v>647</v>
      </c>
      <c r="C452">
        <v>9</v>
      </c>
      <c r="D452">
        <v>40</v>
      </c>
    </row>
    <row r="453" spans="1:4" ht="15.75" customHeight="1">
      <c r="A453" t="s">
        <v>3441</v>
      </c>
      <c r="B453" t="s">
        <v>650</v>
      </c>
      <c r="C453">
        <v>9</v>
      </c>
      <c r="D453">
        <v>20</v>
      </c>
    </row>
    <row r="454" spans="1:4" ht="15.75" customHeight="1">
      <c r="A454" t="s">
        <v>3442</v>
      </c>
      <c r="B454" t="s">
        <v>650</v>
      </c>
      <c r="C454">
        <v>19</v>
      </c>
      <c r="D454">
        <v>25</v>
      </c>
    </row>
    <row r="455" spans="1:4" ht="15.75" customHeight="1">
      <c r="A455" t="s">
        <v>3443</v>
      </c>
      <c r="B455" t="s">
        <v>650</v>
      </c>
      <c r="C455">
        <v>9</v>
      </c>
      <c r="D455">
        <v>20</v>
      </c>
    </row>
    <row r="456" spans="1:4" ht="15.75" customHeight="1">
      <c r="A456" t="s">
        <v>3444</v>
      </c>
      <c r="B456" t="s">
        <v>650</v>
      </c>
      <c r="C456">
        <v>19</v>
      </c>
      <c r="D456">
        <v>25</v>
      </c>
    </row>
    <row r="457" spans="1:4" ht="15.75" customHeight="1">
      <c r="A457" t="s">
        <v>3445</v>
      </c>
      <c r="B457" t="s">
        <v>3446</v>
      </c>
      <c r="C457">
        <v>9</v>
      </c>
      <c r="D457">
        <v>20</v>
      </c>
    </row>
    <row r="458" spans="1:4" ht="15.75" customHeight="1">
      <c r="A458" t="s">
        <v>3447</v>
      </c>
      <c r="B458" t="s">
        <v>3446</v>
      </c>
      <c r="C458">
        <v>9</v>
      </c>
      <c r="D458">
        <v>20</v>
      </c>
    </row>
    <row r="459" spans="1:4" ht="15.75" customHeight="1">
      <c r="A459" t="s">
        <v>3448</v>
      </c>
      <c r="B459" t="s">
        <v>653</v>
      </c>
      <c r="C459">
        <v>9</v>
      </c>
      <c r="D459">
        <v>20</v>
      </c>
    </row>
    <row r="460" spans="1:4" ht="15.75" customHeight="1">
      <c r="A460" t="s">
        <v>3449</v>
      </c>
      <c r="B460" t="s">
        <v>653</v>
      </c>
      <c r="C460">
        <v>19</v>
      </c>
      <c r="D460">
        <v>25</v>
      </c>
    </row>
    <row r="461" spans="1:4" ht="15.75" customHeight="1">
      <c r="A461" t="s">
        <v>3450</v>
      </c>
      <c r="B461" t="s">
        <v>653</v>
      </c>
      <c r="C461">
        <v>9</v>
      </c>
      <c r="D461">
        <v>20</v>
      </c>
    </row>
    <row r="462" spans="1:4" ht="15.75" customHeight="1">
      <c r="A462" t="s">
        <v>3451</v>
      </c>
      <c r="B462" t="s">
        <v>653</v>
      </c>
      <c r="C462">
        <v>19</v>
      </c>
      <c r="D462">
        <v>25</v>
      </c>
    </row>
    <row r="463" spans="1:4" ht="15.75" customHeight="1">
      <c r="A463" t="s">
        <v>3452</v>
      </c>
      <c r="B463" t="s">
        <v>653</v>
      </c>
      <c r="C463">
        <v>8</v>
      </c>
      <c r="D463">
        <v>40</v>
      </c>
    </row>
    <row r="464" spans="1:4" ht="15.75" customHeight="1">
      <c r="A464" t="s">
        <v>3453</v>
      </c>
      <c r="B464" t="s">
        <v>658</v>
      </c>
      <c r="C464">
        <v>9</v>
      </c>
      <c r="D464">
        <v>20</v>
      </c>
    </row>
    <row r="465" spans="1:4" ht="15.75" customHeight="1">
      <c r="A465" t="s">
        <v>3454</v>
      </c>
      <c r="B465" t="s">
        <v>658</v>
      </c>
      <c r="C465">
        <v>9</v>
      </c>
      <c r="D465">
        <v>20</v>
      </c>
    </row>
    <row r="466" spans="1:4" ht="15.75" customHeight="1">
      <c r="A466" t="s">
        <v>3455</v>
      </c>
      <c r="B466" t="s">
        <v>658</v>
      </c>
      <c r="C466">
        <v>19</v>
      </c>
      <c r="D466">
        <v>25</v>
      </c>
    </row>
    <row r="467" spans="1:4" ht="15.75" customHeight="1">
      <c r="A467" t="s">
        <v>3456</v>
      </c>
      <c r="B467" t="s">
        <v>658</v>
      </c>
      <c r="C467">
        <v>8</v>
      </c>
      <c r="D467">
        <v>40</v>
      </c>
    </row>
    <row r="468" spans="1:4" ht="15.75" customHeight="1">
      <c r="A468" t="s">
        <v>3457</v>
      </c>
      <c r="B468" t="s">
        <v>664</v>
      </c>
      <c r="C468">
        <v>9</v>
      </c>
      <c r="D468">
        <v>20</v>
      </c>
    </row>
    <row r="469" spans="1:4" ht="15.75" customHeight="1">
      <c r="A469" t="s">
        <v>3458</v>
      </c>
      <c r="B469" t="s">
        <v>666</v>
      </c>
      <c r="C469">
        <v>9</v>
      </c>
      <c r="D469">
        <v>20</v>
      </c>
    </row>
    <row r="470" spans="1:4" ht="15.75" customHeight="1">
      <c r="A470" t="s">
        <v>3459</v>
      </c>
      <c r="B470" t="s">
        <v>666</v>
      </c>
      <c r="C470">
        <v>9</v>
      </c>
      <c r="D470">
        <v>20</v>
      </c>
    </row>
    <row r="471" spans="1:4" ht="15.75" customHeight="1">
      <c r="A471" t="s">
        <v>3460</v>
      </c>
      <c r="B471" t="s">
        <v>666</v>
      </c>
      <c r="C471">
        <v>8</v>
      </c>
      <c r="D471">
        <v>40</v>
      </c>
    </row>
    <row r="472" spans="1:4" ht="15.75" customHeight="1">
      <c r="A472" t="s">
        <v>3461</v>
      </c>
      <c r="B472" t="s">
        <v>668</v>
      </c>
      <c r="C472">
        <v>9</v>
      </c>
      <c r="D472">
        <v>20</v>
      </c>
    </row>
    <row r="473" spans="1:4" ht="15.75" customHeight="1">
      <c r="A473" t="s">
        <v>3462</v>
      </c>
      <c r="B473" t="s">
        <v>668</v>
      </c>
      <c r="C473">
        <v>19</v>
      </c>
      <c r="D473">
        <v>25</v>
      </c>
    </row>
    <row r="474" spans="1:4" ht="15.75" customHeight="1">
      <c r="A474" t="s">
        <v>3463</v>
      </c>
      <c r="B474" t="s">
        <v>668</v>
      </c>
      <c r="C474">
        <v>9</v>
      </c>
      <c r="D474">
        <v>20</v>
      </c>
    </row>
    <row r="475" spans="1:4" ht="15.75" customHeight="1">
      <c r="A475" t="s">
        <v>3464</v>
      </c>
      <c r="B475" t="s">
        <v>668</v>
      </c>
      <c r="C475">
        <v>19</v>
      </c>
      <c r="D475">
        <v>25</v>
      </c>
    </row>
    <row r="476" spans="1:4" ht="15.75" customHeight="1">
      <c r="A476" t="s">
        <v>3465</v>
      </c>
      <c r="B476" t="s">
        <v>668</v>
      </c>
      <c r="C476">
        <v>9</v>
      </c>
      <c r="D476">
        <v>40</v>
      </c>
    </row>
    <row r="477" spans="1:4" ht="15.75" customHeight="1">
      <c r="A477" t="s">
        <v>3466</v>
      </c>
      <c r="B477" t="s">
        <v>2020</v>
      </c>
      <c r="C477">
        <v>8</v>
      </c>
      <c r="D477">
        <v>40</v>
      </c>
    </row>
    <row r="478" spans="1:4" ht="15.75" customHeight="1">
      <c r="A478" t="s">
        <v>3467</v>
      </c>
      <c r="B478" t="s">
        <v>2023</v>
      </c>
      <c r="C478">
        <v>8</v>
      </c>
      <c r="D478">
        <v>40</v>
      </c>
    </row>
    <row r="479" spans="1:4" ht="15.75" customHeight="1">
      <c r="A479" t="s">
        <v>3468</v>
      </c>
      <c r="B479" t="s">
        <v>2026</v>
      </c>
      <c r="C479">
        <v>8</v>
      </c>
      <c r="D479">
        <v>40</v>
      </c>
    </row>
    <row r="480" spans="1:4" ht="15.75" customHeight="1">
      <c r="A480" t="s">
        <v>3469</v>
      </c>
      <c r="B480" t="s">
        <v>2029</v>
      </c>
      <c r="C480">
        <v>8</v>
      </c>
      <c r="D480">
        <v>40</v>
      </c>
    </row>
    <row r="481" spans="1:4" ht="15.75" customHeight="1">
      <c r="A481" t="s">
        <v>3470</v>
      </c>
      <c r="B481" t="s">
        <v>2032</v>
      </c>
      <c r="C481">
        <v>8</v>
      </c>
      <c r="D481">
        <v>40</v>
      </c>
    </row>
    <row r="482" spans="1:4" ht="15.75" customHeight="1">
      <c r="A482" t="s">
        <v>3471</v>
      </c>
      <c r="B482" t="s">
        <v>2035</v>
      </c>
      <c r="C482">
        <v>8</v>
      </c>
      <c r="D482">
        <v>40</v>
      </c>
    </row>
    <row r="483" spans="1:4" ht="15.75" customHeight="1">
      <c r="A483" t="s">
        <v>3472</v>
      </c>
      <c r="B483" t="s">
        <v>2038</v>
      </c>
      <c r="C483">
        <v>8</v>
      </c>
      <c r="D483">
        <v>40</v>
      </c>
    </row>
    <row r="484" spans="1:4" ht="15.75" customHeight="1">
      <c r="A484" t="s">
        <v>3473</v>
      </c>
      <c r="B484" t="s">
        <v>671</v>
      </c>
      <c r="C484">
        <v>9</v>
      </c>
      <c r="D484">
        <v>20</v>
      </c>
    </row>
    <row r="485" spans="1:4" ht="15.75" customHeight="1">
      <c r="A485" t="s">
        <v>3474</v>
      </c>
      <c r="B485" t="s">
        <v>671</v>
      </c>
      <c r="C485">
        <v>8</v>
      </c>
      <c r="D485">
        <v>40</v>
      </c>
    </row>
    <row r="486" spans="1:4" ht="15.75" customHeight="1">
      <c r="A486" t="s">
        <v>3475</v>
      </c>
      <c r="B486" t="s">
        <v>671</v>
      </c>
      <c r="C486">
        <v>9</v>
      </c>
      <c r="D486">
        <v>20</v>
      </c>
    </row>
    <row r="487" spans="1:4" ht="15.75" customHeight="1">
      <c r="A487" t="s">
        <v>3476</v>
      </c>
      <c r="B487" t="s">
        <v>2043</v>
      </c>
      <c r="C487">
        <v>8</v>
      </c>
      <c r="D487">
        <v>40</v>
      </c>
    </row>
    <row r="488" spans="1:4" ht="15.75" customHeight="1">
      <c r="A488" t="s">
        <v>3477</v>
      </c>
      <c r="B488" t="s">
        <v>2046</v>
      </c>
      <c r="C488">
        <v>8</v>
      </c>
      <c r="D488">
        <v>40</v>
      </c>
    </row>
    <row r="489" spans="1:4" ht="15.75" customHeight="1">
      <c r="A489" t="s">
        <v>3478</v>
      </c>
      <c r="B489" t="s">
        <v>673</v>
      </c>
      <c r="C489">
        <v>9</v>
      </c>
      <c r="D489">
        <v>20</v>
      </c>
    </row>
    <row r="490" spans="1:4" ht="15.75" customHeight="1">
      <c r="A490" t="s">
        <v>3479</v>
      </c>
      <c r="B490" t="s">
        <v>673</v>
      </c>
      <c r="C490">
        <v>9</v>
      </c>
      <c r="D490">
        <v>20</v>
      </c>
    </row>
    <row r="491" spans="1:4" ht="15.75" customHeight="1">
      <c r="A491" t="s">
        <v>3480</v>
      </c>
      <c r="B491" t="s">
        <v>675</v>
      </c>
      <c r="C491">
        <v>9</v>
      </c>
      <c r="D491">
        <v>20</v>
      </c>
    </row>
    <row r="492" spans="1:4" ht="15.75" customHeight="1">
      <c r="A492" t="s">
        <v>3481</v>
      </c>
      <c r="B492" t="s">
        <v>677</v>
      </c>
      <c r="C492">
        <v>9</v>
      </c>
      <c r="D492">
        <v>20</v>
      </c>
    </row>
    <row r="493" spans="1:4" ht="15.75" customHeight="1">
      <c r="A493" t="s">
        <v>3482</v>
      </c>
      <c r="B493" t="s">
        <v>677</v>
      </c>
      <c r="C493">
        <v>9</v>
      </c>
      <c r="D493">
        <v>20</v>
      </c>
    </row>
    <row r="494" spans="1:4" ht="15.75" customHeight="1">
      <c r="A494" t="s">
        <v>3483</v>
      </c>
      <c r="B494" t="s">
        <v>677</v>
      </c>
      <c r="C494">
        <v>19</v>
      </c>
      <c r="D494">
        <v>25</v>
      </c>
    </row>
    <row r="495" spans="1:4" ht="15.75" customHeight="1">
      <c r="A495" t="s">
        <v>3484</v>
      </c>
      <c r="B495" t="s">
        <v>682</v>
      </c>
      <c r="C495">
        <v>9</v>
      </c>
      <c r="D495">
        <v>20</v>
      </c>
    </row>
    <row r="496" spans="1:4" ht="15.75" customHeight="1">
      <c r="A496" t="s">
        <v>3485</v>
      </c>
      <c r="B496" t="s">
        <v>682</v>
      </c>
      <c r="C496">
        <v>9</v>
      </c>
      <c r="D496">
        <v>20</v>
      </c>
    </row>
    <row r="497" spans="1:4" ht="15.75" customHeight="1">
      <c r="A497" t="s">
        <v>3486</v>
      </c>
      <c r="B497" t="s">
        <v>682</v>
      </c>
      <c r="C497">
        <v>19</v>
      </c>
      <c r="D497">
        <v>25</v>
      </c>
    </row>
    <row r="498" spans="1:4" ht="15.75" customHeight="1">
      <c r="A498" t="s">
        <v>3487</v>
      </c>
      <c r="B498" t="s">
        <v>682</v>
      </c>
      <c r="C498">
        <v>9</v>
      </c>
      <c r="D498">
        <v>40</v>
      </c>
    </row>
    <row r="499" spans="1:4" ht="15.75" customHeight="1">
      <c r="A499" t="s">
        <v>3488</v>
      </c>
      <c r="B499" t="s">
        <v>686</v>
      </c>
      <c r="C499">
        <v>9</v>
      </c>
      <c r="D499">
        <v>20</v>
      </c>
    </row>
    <row r="500" spans="1:4" ht="15.75" customHeight="1">
      <c r="A500" t="s">
        <v>3489</v>
      </c>
      <c r="B500" t="s">
        <v>688</v>
      </c>
      <c r="C500">
        <v>9</v>
      </c>
      <c r="D500">
        <v>20</v>
      </c>
    </row>
    <row r="501" spans="1:4" ht="15.75" customHeight="1">
      <c r="A501" t="s">
        <v>3490</v>
      </c>
      <c r="B501" t="s">
        <v>690</v>
      </c>
      <c r="C501">
        <v>9</v>
      </c>
      <c r="D501">
        <v>20</v>
      </c>
    </row>
    <row r="502" spans="1:4" ht="15.75" customHeight="1">
      <c r="A502" t="s">
        <v>3491</v>
      </c>
      <c r="B502" t="s">
        <v>690</v>
      </c>
      <c r="C502">
        <v>9</v>
      </c>
      <c r="D502">
        <v>20</v>
      </c>
    </row>
    <row r="503" spans="1:4" ht="15.75" customHeight="1">
      <c r="A503" t="s">
        <v>3492</v>
      </c>
      <c r="B503" t="s">
        <v>690</v>
      </c>
      <c r="C503">
        <v>19</v>
      </c>
      <c r="D503">
        <v>25</v>
      </c>
    </row>
    <row r="504" spans="1:4" ht="15.75" customHeight="1">
      <c r="A504" t="s">
        <v>3493</v>
      </c>
      <c r="B504" t="s">
        <v>690</v>
      </c>
      <c r="C504">
        <v>8</v>
      </c>
      <c r="D504">
        <v>40</v>
      </c>
    </row>
    <row r="505" spans="1:4" ht="15.75" customHeight="1">
      <c r="A505" t="s">
        <v>3494</v>
      </c>
      <c r="B505" t="s">
        <v>694</v>
      </c>
      <c r="C505">
        <v>9</v>
      </c>
      <c r="D505">
        <v>20</v>
      </c>
    </row>
    <row r="506" spans="1:4" ht="15.75" customHeight="1">
      <c r="A506" t="s">
        <v>3495</v>
      </c>
      <c r="B506" t="s">
        <v>694</v>
      </c>
      <c r="C506">
        <v>9</v>
      </c>
      <c r="D506">
        <v>20</v>
      </c>
    </row>
    <row r="507" spans="1:4" ht="15.75" customHeight="1">
      <c r="A507" t="s">
        <v>3496</v>
      </c>
      <c r="B507" t="s">
        <v>697</v>
      </c>
      <c r="C507">
        <v>9</v>
      </c>
      <c r="D507">
        <v>20</v>
      </c>
    </row>
    <row r="508" spans="1:4" ht="15.75" customHeight="1">
      <c r="A508" t="s">
        <v>3497</v>
      </c>
      <c r="B508" t="s">
        <v>697</v>
      </c>
      <c r="C508">
        <v>9</v>
      </c>
      <c r="D508">
        <v>20</v>
      </c>
    </row>
    <row r="509" spans="1:4" ht="15.75" customHeight="1">
      <c r="A509" t="s">
        <v>3498</v>
      </c>
      <c r="B509" t="s">
        <v>700</v>
      </c>
      <c r="C509">
        <v>9</v>
      </c>
      <c r="D509">
        <v>20</v>
      </c>
    </row>
    <row r="510" spans="1:4" ht="15.75" customHeight="1">
      <c r="A510" t="s">
        <v>3499</v>
      </c>
      <c r="B510" t="s">
        <v>700</v>
      </c>
      <c r="C510">
        <v>19</v>
      </c>
      <c r="D510">
        <v>25</v>
      </c>
    </row>
    <row r="511" spans="1:4" ht="15.75" customHeight="1">
      <c r="A511" t="s">
        <v>3500</v>
      </c>
      <c r="B511" t="s">
        <v>700</v>
      </c>
      <c r="C511">
        <v>8</v>
      </c>
      <c r="D511">
        <v>40</v>
      </c>
    </row>
    <row r="512" spans="1:4" ht="15.75" customHeight="1">
      <c r="A512" t="s">
        <v>3501</v>
      </c>
      <c r="B512" t="s">
        <v>700</v>
      </c>
      <c r="C512">
        <v>9</v>
      </c>
      <c r="D512">
        <v>20</v>
      </c>
    </row>
    <row r="513" spans="1:4" ht="15.75" customHeight="1">
      <c r="A513" t="s">
        <v>3502</v>
      </c>
      <c r="B513" t="s">
        <v>700</v>
      </c>
      <c r="C513">
        <v>19</v>
      </c>
      <c r="D513">
        <v>25</v>
      </c>
    </row>
    <row r="514" spans="1:4" ht="15.75" customHeight="1">
      <c r="A514" t="s">
        <v>3503</v>
      </c>
      <c r="B514" t="s">
        <v>704</v>
      </c>
      <c r="C514">
        <v>9</v>
      </c>
      <c r="D514">
        <v>20</v>
      </c>
    </row>
    <row r="515" spans="1:4" ht="15.75" customHeight="1">
      <c r="A515" t="s">
        <v>3504</v>
      </c>
      <c r="B515" t="s">
        <v>704</v>
      </c>
      <c r="C515">
        <v>9</v>
      </c>
      <c r="D515">
        <v>20</v>
      </c>
    </row>
    <row r="516" spans="1:4" ht="15.75" customHeight="1">
      <c r="A516" t="s">
        <v>3505</v>
      </c>
      <c r="B516" t="s">
        <v>704</v>
      </c>
      <c r="C516">
        <v>19</v>
      </c>
      <c r="D516">
        <v>25</v>
      </c>
    </row>
    <row r="517" spans="1:4" ht="15.75" customHeight="1">
      <c r="A517" t="s">
        <v>3506</v>
      </c>
      <c r="B517" t="s">
        <v>704</v>
      </c>
      <c r="C517">
        <v>19</v>
      </c>
      <c r="D517">
        <v>25</v>
      </c>
    </row>
    <row r="518" spans="1:4" ht="15.75" customHeight="1">
      <c r="A518" t="s">
        <v>3507</v>
      </c>
      <c r="B518" t="s">
        <v>710</v>
      </c>
      <c r="C518">
        <v>9</v>
      </c>
      <c r="D518">
        <v>20</v>
      </c>
    </row>
    <row r="519" spans="1:4" ht="15.75" customHeight="1">
      <c r="A519" t="s">
        <v>3508</v>
      </c>
      <c r="B519" t="s">
        <v>716</v>
      </c>
      <c r="C519">
        <v>9</v>
      </c>
      <c r="D519">
        <v>20</v>
      </c>
    </row>
    <row r="520" spans="1:4" ht="15.75" customHeight="1">
      <c r="A520" t="s">
        <v>3509</v>
      </c>
      <c r="B520" t="s">
        <v>716</v>
      </c>
      <c r="C520">
        <v>8</v>
      </c>
      <c r="D520">
        <v>40</v>
      </c>
    </row>
    <row r="521" spans="1:4" ht="15.75" customHeight="1">
      <c r="A521" t="s">
        <v>3510</v>
      </c>
      <c r="B521" t="s">
        <v>720</v>
      </c>
      <c r="C521">
        <v>9</v>
      </c>
      <c r="D521">
        <v>20</v>
      </c>
    </row>
    <row r="522" spans="1:4" ht="15.75" customHeight="1">
      <c r="A522" t="s">
        <v>3511</v>
      </c>
      <c r="B522" t="s">
        <v>720</v>
      </c>
      <c r="C522">
        <v>9</v>
      </c>
      <c r="D522">
        <v>20</v>
      </c>
    </row>
    <row r="523" spans="1:4" ht="15.75" customHeight="1">
      <c r="A523" t="s">
        <v>3512</v>
      </c>
      <c r="B523" t="s">
        <v>720</v>
      </c>
      <c r="C523">
        <v>8</v>
      </c>
      <c r="D523">
        <v>40</v>
      </c>
    </row>
    <row r="524" spans="1:4" ht="15.75" customHeight="1">
      <c r="A524" t="s">
        <v>3513</v>
      </c>
      <c r="B524" t="s">
        <v>722</v>
      </c>
      <c r="C524">
        <v>9</v>
      </c>
      <c r="D524">
        <v>20</v>
      </c>
    </row>
    <row r="525" spans="1:4" ht="15.75" customHeight="1">
      <c r="A525" t="s">
        <v>3514</v>
      </c>
      <c r="B525" t="s">
        <v>722</v>
      </c>
      <c r="C525">
        <v>9</v>
      </c>
      <c r="D525">
        <v>20</v>
      </c>
    </row>
    <row r="526" spans="1:4" ht="15.75" customHeight="1">
      <c r="A526" t="s">
        <v>3515</v>
      </c>
      <c r="B526" t="s">
        <v>722</v>
      </c>
      <c r="C526">
        <v>19</v>
      </c>
      <c r="D526">
        <v>25</v>
      </c>
    </row>
    <row r="527" spans="1:4" ht="15.75" customHeight="1">
      <c r="A527" t="s">
        <v>3516</v>
      </c>
      <c r="B527" t="s">
        <v>728</v>
      </c>
      <c r="C527">
        <v>9</v>
      </c>
      <c r="D527">
        <v>20</v>
      </c>
    </row>
    <row r="528" spans="1:4" ht="15.75" customHeight="1">
      <c r="A528" t="s">
        <v>3517</v>
      </c>
      <c r="B528" t="s">
        <v>728</v>
      </c>
      <c r="C528">
        <v>9</v>
      </c>
      <c r="D528">
        <v>20</v>
      </c>
    </row>
    <row r="529" spans="1:4" ht="15.75" customHeight="1">
      <c r="A529" t="s">
        <v>3518</v>
      </c>
      <c r="B529" t="s">
        <v>733</v>
      </c>
      <c r="C529">
        <v>9</v>
      </c>
      <c r="D529">
        <v>20</v>
      </c>
    </row>
    <row r="530" spans="1:4" ht="15.75" customHeight="1">
      <c r="A530" t="s">
        <v>3519</v>
      </c>
      <c r="B530" t="s">
        <v>733</v>
      </c>
      <c r="C530">
        <v>9</v>
      </c>
      <c r="D530">
        <v>20</v>
      </c>
    </row>
    <row r="531" spans="1:4" ht="15.75" customHeight="1">
      <c r="A531" t="s">
        <v>3520</v>
      </c>
      <c r="B531" t="s">
        <v>735</v>
      </c>
      <c r="C531">
        <v>9</v>
      </c>
      <c r="D531">
        <v>20</v>
      </c>
    </row>
    <row r="532" spans="1:4" ht="15.75" customHeight="1">
      <c r="A532" t="s">
        <v>3521</v>
      </c>
      <c r="B532" t="s">
        <v>735</v>
      </c>
      <c r="C532">
        <v>9</v>
      </c>
      <c r="D532">
        <v>20</v>
      </c>
    </row>
    <row r="533" spans="1:4" ht="15.75" customHeight="1">
      <c r="A533" t="s">
        <v>3522</v>
      </c>
      <c r="B533" t="s">
        <v>739</v>
      </c>
      <c r="C533">
        <v>9</v>
      </c>
      <c r="D533">
        <v>20</v>
      </c>
    </row>
    <row r="534" spans="1:4" ht="15.75" customHeight="1">
      <c r="A534" t="s">
        <v>3523</v>
      </c>
      <c r="B534" t="s">
        <v>739</v>
      </c>
      <c r="C534">
        <v>9</v>
      </c>
      <c r="D534">
        <v>20</v>
      </c>
    </row>
    <row r="535" spans="1:4" ht="15.75" customHeight="1">
      <c r="A535" t="s">
        <v>3524</v>
      </c>
      <c r="B535" t="s">
        <v>741</v>
      </c>
      <c r="C535">
        <v>9</v>
      </c>
      <c r="D535">
        <v>20</v>
      </c>
    </row>
    <row r="536" spans="1:4" ht="15.75" customHeight="1">
      <c r="A536" t="s">
        <v>3525</v>
      </c>
      <c r="B536" t="s">
        <v>743</v>
      </c>
      <c r="C536">
        <v>9</v>
      </c>
      <c r="D536">
        <v>20</v>
      </c>
    </row>
    <row r="537" spans="1:4" ht="15.75" customHeight="1">
      <c r="A537" t="s">
        <v>3526</v>
      </c>
      <c r="B537" t="s">
        <v>743</v>
      </c>
      <c r="C537">
        <v>9</v>
      </c>
      <c r="D537">
        <v>20</v>
      </c>
    </row>
    <row r="538" spans="1:4" ht="15.75" customHeight="1">
      <c r="A538" t="s">
        <v>3527</v>
      </c>
      <c r="B538" t="s">
        <v>743</v>
      </c>
      <c r="C538">
        <v>9</v>
      </c>
      <c r="D538">
        <v>40</v>
      </c>
    </row>
    <row r="539" spans="1:4" ht="15.75" customHeight="1">
      <c r="A539" t="s">
        <v>3528</v>
      </c>
      <c r="B539" t="s">
        <v>746</v>
      </c>
      <c r="C539">
        <v>9</v>
      </c>
      <c r="D539">
        <v>20</v>
      </c>
    </row>
    <row r="540" spans="1:4" ht="15.75" customHeight="1">
      <c r="A540" t="s">
        <v>3529</v>
      </c>
      <c r="B540" t="s">
        <v>746</v>
      </c>
      <c r="C540">
        <v>8</v>
      </c>
      <c r="D540">
        <v>40</v>
      </c>
    </row>
    <row r="541" spans="1:4" ht="15.75" customHeight="1">
      <c r="A541" t="s">
        <v>3530</v>
      </c>
      <c r="B541" t="s">
        <v>746</v>
      </c>
      <c r="C541">
        <v>9</v>
      </c>
      <c r="D541">
        <v>20</v>
      </c>
    </row>
    <row r="542" spans="1:4" ht="15.75" customHeight="1">
      <c r="A542" t="s">
        <v>3531</v>
      </c>
      <c r="B542" t="s">
        <v>746</v>
      </c>
      <c r="C542">
        <v>19</v>
      </c>
      <c r="D542">
        <v>25</v>
      </c>
    </row>
    <row r="543" spans="1:4" ht="15.75" customHeight="1">
      <c r="A543" t="s">
        <v>3532</v>
      </c>
      <c r="B543" t="s">
        <v>749</v>
      </c>
      <c r="C543">
        <v>9</v>
      </c>
      <c r="D543">
        <v>20</v>
      </c>
    </row>
    <row r="544" spans="1:4" ht="15.75" customHeight="1">
      <c r="A544" t="s">
        <v>3533</v>
      </c>
      <c r="B544" t="s">
        <v>749</v>
      </c>
      <c r="C544">
        <v>9</v>
      </c>
      <c r="D544">
        <v>20</v>
      </c>
    </row>
    <row r="545" spans="1:4" ht="15.75" customHeight="1">
      <c r="A545" t="s">
        <v>3534</v>
      </c>
      <c r="B545" t="s">
        <v>749</v>
      </c>
      <c r="C545">
        <v>9</v>
      </c>
      <c r="D545">
        <v>40</v>
      </c>
    </row>
    <row r="546" spans="1:4" ht="15.75" customHeight="1">
      <c r="A546" t="s">
        <v>3535</v>
      </c>
      <c r="B546" t="s">
        <v>751</v>
      </c>
      <c r="C546">
        <v>9</v>
      </c>
      <c r="D546">
        <v>20</v>
      </c>
    </row>
    <row r="547" spans="1:4" ht="15.75" customHeight="1">
      <c r="A547" t="s">
        <v>3536</v>
      </c>
      <c r="B547" t="s">
        <v>753</v>
      </c>
      <c r="C547">
        <v>9</v>
      </c>
      <c r="D547">
        <v>20</v>
      </c>
    </row>
    <row r="548" spans="1:4" ht="15.75" customHeight="1">
      <c r="A548" t="s">
        <v>3537</v>
      </c>
      <c r="B548" t="s">
        <v>753</v>
      </c>
      <c r="C548">
        <v>19</v>
      </c>
      <c r="D548">
        <v>25</v>
      </c>
    </row>
    <row r="549" spans="1:4" ht="15.75" customHeight="1">
      <c r="A549" t="s">
        <v>3538</v>
      </c>
      <c r="B549" t="s">
        <v>753</v>
      </c>
      <c r="C549">
        <v>9</v>
      </c>
      <c r="D549">
        <v>20</v>
      </c>
    </row>
    <row r="550" spans="1:4" ht="15.75" customHeight="1">
      <c r="A550" t="s">
        <v>3539</v>
      </c>
      <c r="B550" t="s">
        <v>753</v>
      </c>
      <c r="C550">
        <v>19</v>
      </c>
      <c r="D550">
        <v>25</v>
      </c>
    </row>
    <row r="551" spans="1:4" ht="15.75" customHeight="1">
      <c r="A551" t="s">
        <v>3540</v>
      </c>
      <c r="B551" t="s">
        <v>753</v>
      </c>
      <c r="C551">
        <v>8</v>
      </c>
      <c r="D551">
        <v>40</v>
      </c>
    </row>
    <row r="552" spans="1:4" ht="15.75" customHeight="1">
      <c r="A552" t="s">
        <v>3541</v>
      </c>
      <c r="B552" t="s">
        <v>757</v>
      </c>
      <c r="C552">
        <v>9</v>
      </c>
      <c r="D552">
        <v>20</v>
      </c>
    </row>
    <row r="553" spans="1:4" ht="15.75" customHeight="1">
      <c r="A553" t="s">
        <v>3542</v>
      </c>
      <c r="B553" t="s">
        <v>757</v>
      </c>
      <c r="C553">
        <v>9</v>
      </c>
      <c r="D553">
        <v>25</v>
      </c>
    </row>
    <row r="554" spans="1:4" ht="15.75" customHeight="1">
      <c r="A554" t="s">
        <v>3543</v>
      </c>
      <c r="B554" t="s">
        <v>757</v>
      </c>
      <c r="C554">
        <v>9</v>
      </c>
      <c r="D554">
        <v>20</v>
      </c>
    </row>
    <row r="555" spans="1:4" ht="15.75" customHeight="1">
      <c r="A555" t="s">
        <v>3544</v>
      </c>
      <c r="B555" t="s">
        <v>757</v>
      </c>
      <c r="C555">
        <v>9</v>
      </c>
      <c r="D555">
        <v>25</v>
      </c>
    </row>
    <row r="556" spans="1:4" ht="15.75" customHeight="1">
      <c r="A556" t="s">
        <v>3545</v>
      </c>
      <c r="B556" t="s">
        <v>757</v>
      </c>
      <c r="C556">
        <v>8</v>
      </c>
      <c r="D556">
        <v>40</v>
      </c>
    </row>
    <row r="557" spans="1:4" ht="15.75" customHeight="1">
      <c r="A557" t="s">
        <v>3546</v>
      </c>
      <c r="B557" t="s">
        <v>762</v>
      </c>
      <c r="C557">
        <v>9</v>
      </c>
      <c r="D557">
        <v>20</v>
      </c>
    </row>
    <row r="558" spans="1:4" ht="15.75" customHeight="1">
      <c r="A558" t="s">
        <v>3547</v>
      </c>
      <c r="B558" t="s">
        <v>762</v>
      </c>
      <c r="C558">
        <v>9</v>
      </c>
      <c r="D558">
        <v>20</v>
      </c>
    </row>
    <row r="559" spans="1:4" ht="15.75" customHeight="1">
      <c r="A559" t="s">
        <v>3548</v>
      </c>
      <c r="B559" t="s">
        <v>762</v>
      </c>
      <c r="C559">
        <v>19</v>
      </c>
      <c r="D559">
        <v>25</v>
      </c>
    </row>
    <row r="560" spans="1:4" ht="15.75" customHeight="1">
      <c r="A560" t="s">
        <v>3549</v>
      </c>
      <c r="B560" t="s">
        <v>762</v>
      </c>
      <c r="C560">
        <v>9</v>
      </c>
      <c r="D560">
        <v>40</v>
      </c>
    </row>
    <row r="561" spans="1:4" ht="15.75" customHeight="1">
      <c r="A561" t="s">
        <v>3550</v>
      </c>
      <c r="B561" t="s">
        <v>766</v>
      </c>
      <c r="C561">
        <v>9</v>
      </c>
      <c r="D561">
        <v>20</v>
      </c>
    </row>
    <row r="562" spans="1:4" ht="15.75" customHeight="1">
      <c r="A562" t="s">
        <v>3551</v>
      </c>
      <c r="B562" t="s">
        <v>766</v>
      </c>
      <c r="C562">
        <v>19</v>
      </c>
      <c r="D562">
        <v>25</v>
      </c>
    </row>
    <row r="563" spans="1:4" ht="15.75" customHeight="1">
      <c r="A563" t="s">
        <v>3552</v>
      </c>
      <c r="B563" t="s">
        <v>766</v>
      </c>
      <c r="C563">
        <v>8</v>
      </c>
      <c r="D563">
        <v>40</v>
      </c>
    </row>
    <row r="564" spans="1:4" ht="15.75" customHeight="1">
      <c r="A564" t="s">
        <v>3553</v>
      </c>
      <c r="B564" t="s">
        <v>766</v>
      </c>
      <c r="C564">
        <v>9</v>
      </c>
      <c r="D564">
        <v>20</v>
      </c>
    </row>
    <row r="565" spans="1:4" ht="15.75" customHeight="1">
      <c r="A565" t="s">
        <v>3554</v>
      </c>
      <c r="B565" t="s">
        <v>766</v>
      </c>
      <c r="C565">
        <v>19</v>
      </c>
      <c r="D565">
        <v>25</v>
      </c>
    </row>
    <row r="566" spans="1:4" ht="15.75" customHeight="1">
      <c r="A566" t="s">
        <v>3555</v>
      </c>
      <c r="B566" t="s">
        <v>766</v>
      </c>
      <c r="C566">
        <v>8</v>
      </c>
      <c r="D566">
        <v>40</v>
      </c>
    </row>
    <row r="567" spans="1:4" ht="15.75" customHeight="1">
      <c r="A567" t="s">
        <v>5693</v>
      </c>
      <c r="B567" t="s">
        <v>5694</v>
      </c>
      <c r="C567">
        <v>0</v>
      </c>
      <c r="D567">
        <v>0</v>
      </c>
    </row>
    <row r="568" spans="1:4" ht="15.75" customHeight="1">
      <c r="A568" t="s">
        <v>3556</v>
      </c>
      <c r="B568" t="s">
        <v>771</v>
      </c>
      <c r="C568">
        <v>9</v>
      </c>
      <c r="D568">
        <v>20</v>
      </c>
    </row>
    <row r="569" spans="1:4" ht="15.75" customHeight="1">
      <c r="A569" t="s">
        <v>3557</v>
      </c>
      <c r="B569" t="s">
        <v>771</v>
      </c>
      <c r="C569">
        <v>9</v>
      </c>
      <c r="D569">
        <v>20</v>
      </c>
    </row>
    <row r="570" spans="1:4" ht="15.75" customHeight="1">
      <c r="A570" t="s">
        <v>3558</v>
      </c>
      <c r="B570" t="s">
        <v>771</v>
      </c>
      <c r="C570">
        <v>19</v>
      </c>
      <c r="D570">
        <v>25</v>
      </c>
    </row>
    <row r="571" spans="1:4" ht="15.75" customHeight="1">
      <c r="A571" t="s">
        <v>3559</v>
      </c>
      <c r="B571" t="s">
        <v>771</v>
      </c>
      <c r="C571">
        <v>9</v>
      </c>
      <c r="D571">
        <v>40</v>
      </c>
    </row>
    <row r="572" spans="1:4" ht="15.75" customHeight="1">
      <c r="A572" t="s">
        <v>3560</v>
      </c>
      <c r="B572" t="s">
        <v>776</v>
      </c>
      <c r="C572">
        <v>9</v>
      </c>
      <c r="D572">
        <v>20</v>
      </c>
    </row>
    <row r="573" spans="1:4" ht="15.75" customHeight="1">
      <c r="A573" t="s">
        <v>3561</v>
      </c>
      <c r="B573" t="s">
        <v>776</v>
      </c>
      <c r="C573">
        <v>8</v>
      </c>
      <c r="D573">
        <v>40</v>
      </c>
    </row>
    <row r="574" spans="1:4" ht="15.75" customHeight="1">
      <c r="A574" t="s">
        <v>3562</v>
      </c>
      <c r="B574" t="s">
        <v>776</v>
      </c>
      <c r="C574">
        <v>9</v>
      </c>
      <c r="D574">
        <v>20</v>
      </c>
    </row>
    <row r="575" spans="1:4" ht="15.75" customHeight="1">
      <c r="A575" t="s">
        <v>3563</v>
      </c>
      <c r="B575" t="s">
        <v>778</v>
      </c>
      <c r="C575">
        <v>9</v>
      </c>
      <c r="D575">
        <v>20</v>
      </c>
    </row>
    <row r="576" spans="1:4" ht="15.75" customHeight="1">
      <c r="A576" t="s">
        <v>3564</v>
      </c>
      <c r="B576" t="s">
        <v>778</v>
      </c>
      <c r="C576">
        <v>9</v>
      </c>
      <c r="D576">
        <v>20</v>
      </c>
    </row>
    <row r="577" spans="1:4" ht="15.75" customHeight="1">
      <c r="A577" t="s">
        <v>3565</v>
      </c>
      <c r="B577" t="s">
        <v>780</v>
      </c>
      <c r="C577">
        <v>16</v>
      </c>
      <c r="D577">
        <v>20</v>
      </c>
    </row>
    <row r="578" spans="1:4" ht="15.75" customHeight="1">
      <c r="A578" t="s">
        <v>3566</v>
      </c>
      <c r="B578" t="s">
        <v>782</v>
      </c>
      <c r="C578">
        <v>9</v>
      </c>
      <c r="D578">
        <v>20</v>
      </c>
    </row>
    <row r="579" spans="1:4" ht="15.75" customHeight="1">
      <c r="A579" t="s">
        <v>3567</v>
      </c>
      <c r="B579" t="s">
        <v>782</v>
      </c>
      <c r="C579">
        <v>9</v>
      </c>
      <c r="D579">
        <v>20</v>
      </c>
    </row>
    <row r="580" spans="1:4" ht="15.75" customHeight="1">
      <c r="A580" t="s">
        <v>3568</v>
      </c>
      <c r="B580" t="s">
        <v>785</v>
      </c>
      <c r="C580">
        <v>9</v>
      </c>
      <c r="D580">
        <v>20</v>
      </c>
    </row>
    <row r="581" spans="1:4" ht="15.75" customHeight="1">
      <c r="A581" t="s">
        <v>3569</v>
      </c>
      <c r="B581" t="s">
        <v>785</v>
      </c>
      <c r="C581">
        <v>9</v>
      </c>
      <c r="D581">
        <v>20</v>
      </c>
    </row>
    <row r="582" spans="1:4" ht="15.75" customHeight="1">
      <c r="A582" t="s">
        <v>3570</v>
      </c>
      <c r="B582" t="s">
        <v>785</v>
      </c>
      <c r="C582">
        <v>19</v>
      </c>
      <c r="D582">
        <v>25</v>
      </c>
    </row>
    <row r="583" spans="1:4" ht="15.75" customHeight="1">
      <c r="A583" t="s">
        <v>3571</v>
      </c>
      <c r="B583" t="s">
        <v>790</v>
      </c>
      <c r="C583">
        <v>9</v>
      </c>
      <c r="D583">
        <v>20</v>
      </c>
    </row>
    <row r="584" spans="1:4" ht="15.75" customHeight="1">
      <c r="A584" t="s">
        <v>3572</v>
      </c>
      <c r="B584" t="s">
        <v>790</v>
      </c>
      <c r="C584">
        <v>9</v>
      </c>
      <c r="D584">
        <v>20</v>
      </c>
    </row>
    <row r="585" spans="1:4" ht="15.75" customHeight="1">
      <c r="A585" t="s">
        <v>3573</v>
      </c>
      <c r="B585" t="s">
        <v>790</v>
      </c>
      <c r="C585">
        <v>9</v>
      </c>
      <c r="D585">
        <v>40</v>
      </c>
    </row>
    <row r="586" spans="1:4" ht="15.75" customHeight="1">
      <c r="A586" t="s">
        <v>3574</v>
      </c>
      <c r="B586" t="s">
        <v>792</v>
      </c>
      <c r="C586">
        <v>9</v>
      </c>
      <c r="D586">
        <v>20</v>
      </c>
    </row>
    <row r="587" spans="1:4" ht="15.75" customHeight="1">
      <c r="A587" t="s">
        <v>3575</v>
      </c>
      <c r="B587" t="s">
        <v>792</v>
      </c>
      <c r="C587">
        <v>9</v>
      </c>
      <c r="D587">
        <v>20</v>
      </c>
    </row>
    <row r="588" spans="1:4" ht="15.75" customHeight="1">
      <c r="A588" t="s">
        <v>3576</v>
      </c>
      <c r="B588" t="s">
        <v>794</v>
      </c>
      <c r="C588">
        <v>9</v>
      </c>
      <c r="D588">
        <v>20</v>
      </c>
    </row>
    <row r="589" spans="1:4" ht="15.75" customHeight="1">
      <c r="A589" t="s">
        <v>3577</v>
      </c>
      <c r="B589" t="s">
        <v>794</v>
      </c>
      <c r="C589">
        <v>9</v>
      </c>
      <c r="D589">
        <v>20</v>
      </c>
    </row>
    <row r="590" spans="1:4" ht="15.75" customHeight="1">
      <c r="A590" t="s">
        <v>3578</v>
      </c>
      <c r="B590" t="s">
        <v>794</v>
      </c>
      <c r="C590">
        <v>9</v>
      </c>
      <c r="D590">
        <v>40</v>
      </c>
    </row>
    <row r="591" spans="1:4" ht="15.75" customHeight="1">
      <c r="A591" t="s">
        <v>3579</v>
      </c>
      <c r="B591" t="s">
        <v>796</v>
      </c>
      <c r="C591">
        <v>9</v>
      </c>
      <c r="D591">
        <v>20</v>
      </c>
    </row>
    <row r="592" spans="1:4" ht="15.75" customHeight="1">
      <c r="A592" t="s">
        <v>3580</v>
      </c>
      <c r="B592" t="s">
        <v>796</v>
      </c>
      <c r="C592">
        <v>19</v>
      </c>
      <c r="D592">
        <v>25</v>
      </c>
    </row>
    <row r="593" spans="1:4" ht="15.75" customHeight="1">
      <c r="A593" t="s">
        <v>3581</v>
      </c>
      <c r="B593" t="s">
        <v>796</v>
      </c>
      <c r="C593">
        <v>8</v>
      </c>
      <c r="D593">
        <v>40</v>
      </c>
    </row>
    <row r="594" spans="1:4" ht="15.75" customHeight="1">
      <c r="A594" t="s">
        <v>3582</v>
      </c>
      <c r="B594" t="s">
        <v>796</v>
      </c>
      <c r="C594">
        <v>9</v>
      </c>
      <c r="D594">
        <v>20</v>
      </c>
    </row>
    <row r="595" spans="1:4" ht="15.75" customHeight="1">
      <c r="A595" t="s">
        <v>3583</v>
      </c>
      <c r="B595" t="s">
        <v>796</v>
      </c>
      <c r="C595">
        <v>19</v>
      </c>
      <c r="D595">
        <v>25</v>
      </c>
    </row>
    <row r="596" spans="1:4" ht="15.75" customHeight="1">
      <c r="A596" t="s">
        <v>3584</v>
      </c>
      <c r="B596" t="s">
        <v>796</v>
      </c>
      <c r="C596">
        <v>8</v>
      </c>
      <c r="D596">
        <v>40</v>
      </c>
    </row>
    <row r="597" spans="1:4" ht="15.75" customHeight="1">
      <c r="A597" t="s">
        <v>3585</v>
      </c>
      <c r="B597" t="s">
        <v>796</v>
      </c>
      <c r="C597">
        <v>9</v>
      </c>
      <c r="D597">
        <v>20</v>
      </c>
    </row>
    <row r="598" spans="1:4" ht="15.75" customHeight="1">
      <c r="A598" t="s">
        <v>3586</v>
      </c>
      <c r="B598" t="s">
        <v>801</v>
      </c>
      <c r="C598">
        <v>9</v>
      </c>
      <c r="D598">
        <v>20</v>
      </c>
    </row>
    <row r="599" spans="1:4" ht="15.75" customHeight="1">
      <c r="A599" t="s">
        <v>3587</v>
      </c>
      <c r="B599" t="s">
        <v>801</v>
      </c>
      <c r="C599">
        <v>9</v>
      </c>
      <c r="D599">
        <v>20</v>
      </c>
    </row>
    <row r="600" spans="1:4" ht="15.75" customHeight="1">
      <c r="A600" t="s">
        <v>3588</v>
      </c>
      <c r="B600" t="s">
        <v>806</v>
      </c>
      <c r="C600">
        <v>9</v>
      </c>
      <c r="D600">
        <v>20</v>
      </c>
    </row>
    <row r="601" spans="1:4" ht="15.75" customHeight="1">
      <c r="A601" t="s">
        <v>3589</v>
      </c>
      <c r="B601" t="s">
        <v>812</v>
      </c>
      <c r="C601">
        <v>9</v>
      </c>
      <c r="D601">
        <v>20</v>
      </c>
    </row>
    <row r="602" spans="1:4" ht="15.75" customHeight="1">
      <c r="A602" t="s">
        <v>3590</v>
      </c>
      <c r="B602" t="s">
        <v>812</v>
      </c>
      <c r="C602">
        <v>9</v>
      </c>
      <c r="D602">
        <v>20</v>
      </c>
    </row>
    <row r="603" spans="1:4" ht="15.75" customHeight="1">
      <c r="A603" t="s">
        <v>3591</v>
      </c>
      <c r="B603" t="s">
        <v>812</v>
      </c>
      <c r="C603">
        <v>9</v>
      </c>
      <c r="D603">
        <v>40</v>
      </c>
    </row>
    <row r="604" spans="1:4" ht="15.75" customHeight="1">
      <c r="A604" t="s">
        <v>3592</v>
      </c>
      <c r="B604" t="s">
        <v>814</v>
      </c>
      <c r="C604">
        <v>16</v>
      </c>
      <c r="D604">
        <v>20</v>
      </c>
    </row>
    <row r="605" spans="1:4" ht="15.75" customHeight="1">
      <c r="A605" t="s">
        <v>3593</v>
      </c>
      <c r="B605" t="s">
        <v>816</v>
      </c>
      <c r="C605">
        <v>9</v>
      </c>
      <c r="D605">
        <v>20</v>
      </c>
    </row>
    <row r="606" spans="1:4" ht="15.75" customHeight="1">
      <c r="A606" t="s">
        <v>3594</v>
      </c>
      <c r="B606" t="s">
        <v>816</v>
      </c>
      <c r="C606">
        <v>9</v>
      </c>
      <c r="D606">
        <v>20</v>
      </c>
    </row>
    <row r="607" spans="1:4" ht="15.75" customHeight="1">
      <c r="A607" t="s">
        <v>3595</v>
      </c>
      <c r="B607" t="s">
        <v>816</v>
      </c>
      <c r="C607">
        <v>9</v>
      </c>
      <c r="D607">
        <v>40</v>
      </c>
    </row>
    <row r="608" spans="1:4" ht="15.75" customHeight="1">
      <c r="A608" t="s">
        <v>5470</v>
      </c>
      <c r="B608" t="s">
        <v>5361</v>
      </c>
      <c r="C608">
        <v>9</v>
      </c>
      <c r="D608">
        <v>20</v>
      </c>
    </row>
    <row r="609" spans="1:4" ht="15.75" customHeight="1">
      <c r="A609" t="s">
        <v>5471</v>
      </c>
      <c r="B609" t="s">
        <v>5361</v>
      </c>
      <c r="C609">
        <v>9</v>
      </c>
      <c r="D609">
        <v>20</v>
      </c>
    </row>
    <row r="610" spans="1:4" ht="15.75" customHeight="1">
      <c r="A610" t="s">
        <v>3596</v>
      </c>
      <c r="B610" t="s">
        <v>818</v>
      </c>
      <c r="C610">
        <v>9</v>
      </c>
      <c r="D610">
        <v>20</v>
      </c>
    </row>
    <row r="611" spans="1:4" ht="15.75" customHeight="1">
      <c r="A611" t="s">
        <v>3597</v>
      </c>
      <c r="B611" t="s">
        <v>818</v>
      </c>
      <c r="C611">
        <v>9</v>
      </c>
      <c r="D611">
        <v>20</v>
      </c>
    </row>
    <row r="612" spans="1:4" ht="15.75" customHeight="1">
      <c r="A612" t="s">
        <v>3598</v>
      </c>
      <c r="B612" t="s">
        <v>818</v>
      </c>
      <c r="C612">
        <v>30</v>
      </c>
      <c r="D612">
        <v>40</v>
      </c>
    </row>
    <row r="613" spans="1:4" ht="15.75" customHeight="1">
      <c r="A613" t="s">
        <v>3599</v>
      </c>
      <c r="B613" t="s">
        <v>821</v>
      </c>
      <c r="C613">
        <v>9</v>
      </c>
      <c r="D613">
        <v>20</v>
      </c>
    </row>
    <row r="614" spans="1:4" ht="15.75" customHeight="1">
      <c r="A614" t="s">
        <v>3600</v>
      </c>
      <c r="B614" t="s">
        <v>821</v>
      </c>
      <c r="C614">
        <v>9</v>
      </c>
      <c r="D614">
        <v>20</v>
      </c>
    </row>
    <row r="615" spans="1:4" ht="15.75" customHeight="1">
      <c r="A615" t="s">
        <v>3601</v>
      </c>
      <c r="B615" t="s">
        <v>821</v>
      </c>
      <c r="C615">
        <v>19</v>
      </c>
      <c r="D615">
        <v>25</v>
      </c>
    </row>
    <row r="616" spans="1:4" ht="15.75" customHeight="1">
      <c r="A616" t="s">
        <v>3602</v>
      </c>
      <c r="B616" t="s">
        <v>826</v>
      </c>
      <c r="C616">
        <v>9</v>
      </c>
      <c r="D616">
        <v>20</v>
      </c>
    </row>
    <row r="617" spans="1:4" ht="15.75" customHeight="1">
      <c r="A617" t="s">
        <v>3603</v>
      </c>
      <c r="B617" t="s">
        <v>826</v>
      </c>
      <c r="C617">
        <v>8</v>
      </c>
      <c r="D617">
        <v>40</v>
      </c>
    </row>
    <row r="618" spans="1:4" ht="15.75" customHeight="1">
      <c r="A618" t="s">
        <v>3604</v>
      </c>
      <c r="B618" t="s">
        <v>826</v>
      </c>
      <c r="C618">
        <v>9</v>
      </c>
      <c r="D618">
        <v>20</v>
      </c>
    </row>
    <row r="619" spans="1:4" ht="15.75" customHeight="1">
      <c r="A619" t="s">
        <v>3605</v>
      </c>
      <c r="B619" t="s">
        <v>828</v>
      </c>
      <c r="C619">
        <v>9</v>
      </c>
      <c r="D619">
        <v>20</v>
      </c>
    </row>
    <row r="620" spans="1:4" ht="15.75" customHeight="1">
      <c r="A620" t="s">
        <v>3606</v>
      </c>
      <c r="B620" t="s">
        <v>828</v>
      </c>
      <c r="C620">
        <v>19</v>
      </c>
      <c r="D620">
        <v>25</v>
      </c>
    </row>
    <row r="621" spans="1:4" ht="15.75" customHeight="1">
      <c r="A621" t="s">
        <v>3607</v>
      </c>
      <c r="B621" t="s">
        <v>828</v>
      </c>
      <c r="C621">
        <v>8</v>
      </c>
      <c r="D621">
        <v>40</v>
      </c>
    </row>
    <row r="622" spans="1:4" ht="15.75" customHeight="1">
      <c r="A622" t="s">
        <v>3608</v>
      </c>
      <c r="B622" t="s">
        <v>828</v>
      </c>
      <c r="C622">
        <v>9</v>
      </c>
      <c r="D622">
        <v>20</v>
      </c>
    </row>
    <row r="623" spans="1:4" ht="15.75" customHeight="1">
      <c r="A623" t="s">
        <v>3609</v>
      </c>
      <c r="B623" t="s">
        <v>828</v>
      </c>
      <c r="C623">
        <v>19</v>
      </c>
      <c r="D623">
        <v>25</v>
      </c>
    </row>
    <row r="624" spans="1:4" ht="15.75" customHeight="1">
      <c r="A624" t="s">
        <v>3610</v>
      </c>
      <c r="B624" t="s">
        <v>834</v>
      </c>
      <c r="C624">
        <v>9</v>
      </c>
      <c r="D624">
        <v>20</v>
      </c>
    </row>
    <row r="625" spans="1:4" ht="15.75" customHeight="1">
      <c r="A625" t="s">
        <v>3611</v>
      </c>
      <c r="B625" t="s">
        <v>834</v>
      </c>
      <c r="C625">
        <v>9</v>
      </c>
      <c r="D625">
        <v>20</v>
      </c>
    </row>
    <row r="626" spans="1:4" ht="15.75" customHeight="1">
      <c r="A626" t="s">
        <v>3612</v>
      </c>
      <c r="B626" t="s">
        <v>834</v>
      </c>
      <c r="C626">
        <v>19</v>
      </c>
      <c r="D626">
        <v>25</v>
      </c>
    </row>
    <row r="627" spans="1:4" ht="15.75" customHeight="1">
      <c r="A627" t="s">
        <v>3613</v>
      </c>
      <c r="B627" t="s">
        <v>843</v>
      </c>
      <c r="C627">
        <v>9</v>
      </c>
      <c r="D627">
        <v>20</v>
      </c>
    </row>
    <row r="628" spans="1:4" ht="15.75" customHeight="1">
      <c r="A628" t="s">
        <v>3614</v>
      </c>
      <c r="B628" t="s">
        <v>843</v>
      </c>
      <c r="C628">
        <v>8</v>
      </c>
      <c r="D628">
        <v>40</v>
      </c>
    </row>
    <row r="629" spans="1:4" ht="15.75" customHeight="1">
      <c r="A629" t="s">
        <v>3615</v>
      </c>
      <c r="B629" t="s">
        <v>843</v>
      </c>
      <c r="C629">
        <v>9</v>
      </c>
      <c r="D629">
        <v>20</v>
      </c>
    </row>
    <row r="630" spans="1:4" ht="15.75" customHeight="1">
      <c r="A630" t="s">
        <v>3616</v>
      </c>
      <c r="B630" t="s">
        <v>848</v>
      </c>
      <c r="C630">
        <v>9</v>
      </c>
      <c r="D630">
        <v>20</v>
      </c>
    </row>
    <row r="631" spans="1:4" ht="15.75" customHeight="1">
      <c r="A631" t="s">
        <v>3617</v>
      </c>
      <c r="B631" t="s">
        <v>848</v>
      </c>
      <c r="C631">
        <v>9</v>
      </c>
      <c r="D631">
        <v>20</v>
      </c>
    </row>
    <row r="632" spans="1:4" ht="15.75" customHeight="1">
      <c r="A632" t="s">
        <v>3618</v>
      </c>
      <c r="B632" t="s">
        <v>853</v>
      </c>
      <c r="C632">
        <v>8</v>
      </c>
      <c r="D632">
        <v>40</v>
      </c>
    </row>
    <row r="633" spans="1:4" ht="15.75" customHeight="1">
      <c r="A633" t="s">
        <v>3619</v>
      </c>
      <c r="B633" t="s">
        <v>853</v>
      </c>
      <c r="C633">
        <v>8</v>
      </c>
      <c r="D633">
        <v>40</v>
      </c>
    </row>
    <row r="634" spans="1:4" ht="15.75" customHeight="1">
      <c r="A634" t="s">
        <v>3620</v>
      </c>
      <c r="B634" t="s">
        <v>855</v>
      </c>
      <c r="C634">
        <v>9</v>
      </c>
      <c r="D634">
        <v>20</v>
      </c>
    </row>
    <row r="635" spans="1:4" ht="15.75" customHeight="1">
      <c r="A635" t="s">
        <v>3621</v>
      </c>
      <c r="B635" t="s">
        <v>855</v>
      </c>
      <c r="C635">
        <v>9</v>
      </c>
      <c r="D635">
        <v>20</v>
      </c>
    </row>
    <row r="636" spans="1:4" ht="15.75" customHeight="1">
      <c r="A636" t="s">
        <v>3622</v>
      </c>
      <c r="B636" t="s">
        <v>855</v>
      </c>
      <c r="C636">
        <v>9</v>
      </c>
      <c r="D636">
        <v>20</v>
      </c>
    </row>
    <row r="637" spans="1:4" ht="15.75" customHeight="1">
      <c r="A637" t="s">
        <v>3623</v>
      </c>
      <c r="B637" t="s">
        <v>861</v>
      </c>
      <c r="C637">
        <v>9</v>
      </c>
      <c r="D637">
        <v>20</v>
      </c>
    </row>
    <row r="638" spans="1:4" ht="15.75" customHeight="1">
      <c r="A638" t="s">
        <v>3624</v>
      </c>
      <c r="B638" t="s">
        <v>861</v>
      </c>
      <c r="C638">
        <v>19</v>
      </c>
      <c r="D638">
        <v>25</v>
      </c>
    </row>
    <row r="639" spans="1:4" ht="15.75" customHeight="1">
      <c r="A639" t="s">
        <v>3625</v>
      </c>
      <c r="B639" t="s">
        <v>861</v>
      </c>
      <c r="C639">
        <v>9</v>
      </c>
      <c r="D639">
        <v>20</v>
      </c>
    </row>
    <row r="640" spans="1:4" ht="15.75" customHeight="1">
      <c r="A640" t="s">
        <v>3626</v>
      </c>
      <c r="B640" t="s">
        <v>861</v>
      </c>
      <c r="C640">
        <v>19</v>
      </c>
      <c r="D640">
        <v>25</v>
      </c>
    </row>
    <row r="641" spans="1:4" ht="15.75" customHeight="1">
      <c r="A641" t="s">
        <v>3627</v>
      </c>
      <c r="B641" t="s">
        <v>861</v>
      </c>
      <c r="C641">
        <v>8</v>
      </c>
      <c r="D641">
        <v>40</v>
      </c>
    </row>
    <row r="642" spans="1:4" ht="15.75" customHeight="1">
      <c r="A642" t="s">
        <v>3628</v>
      </c>
      <c r="B642" t="s">
        <v>861</v>
      </c>
      <c r="C642">
        <v>9</v>
      </c>
      <c r="D642">
        <v>20</v>
      </c>
    </row>
    <row r="643" spans="1:4" ht="15.75" customHeight="1">
      <c r="A643" t="s">
        <v>3629</v>
      </c>
      <c r="B643" t="s">
        <v>866</v>
      </c>
      <c r="C643">
        <v>9</v>
      </c>
      <c r="D643">
        <v>20</v>
      </c>
    </row>
    <row r="644" spans="1:4" ht="15.75" customHeight="1">
      <c r="A644" t="s">
        <v>3630</v>
      </c>
      <c r="B644" t="s">
        <v>866</v>
      </c>
      <c r="C644">
        <v>9</v>
      </c>
      <c r="D644">
        <v>20</v>
      </c>
    </row>
    <row r="645" spans="1:4" ht="15.75" customHeight="1">
      <c r="A645" t="s">
        <v>3631</v>
      </c>
      <c r="B645" t="s">
        <v>866</v>
      </c>
      <c r="C645">
        <v>19</v>
      </c>
      <c r="D645">
        <v>25</v>
      </c>
    </row>
    <row r="646" spans="1:4" ht="15.75" customHeight="1">
      <c r="A646" t="s">
        <v>3632</v>
      </c>
      <c r="B646" t="s">
        <v>866</v>
      </c>
      <c r="C646">
        <v>9</v>
      </c>
      <c r="D646">
        <v>40</v>
      </c>
    </row>
    <row r="647" spans="1:4" ht="15.75" customHeight="1">
      <c r="A647" t="s">
        <v>3633</v>
      </c>
      <c r="B647" t="s">
        <v>870</v>
      </c>
      <c r="C647">
        <v>9</v>
      </c>
      <c r="D647">
        <v>20</v>
      </c>
    </row>
    <row r="648" spans="1:4" ht="15.75" customHeight="1">
      <c r="A648" t="s">
        <v>3634</v>
      </c>
      <c r="B648" t="s">
        <v>870</v>
      </c>
      <c r="C648">
        <v>8</v>
      </c>
      <c r="D648">
        <v>40</v>
      </c>
    </row>
    <row r="649" spans="1:4" ht="15.75" customHeight="1">
      <c r="A649" t="s">
        <v>3635</v>
      </c>
      <c r="B649" t="s">
        <v>873</v>
      </c>
      <c r="C649">
        <v>9</v>
      </c>
      <c r="D649">
        <v>20</v>
      </c>
    </row>
    <row r="650" spans="1:4" ht="15.75" customHeight="1">
      <c r="A650" t="s">
        <v>3636</v>
      </c>
      <c r="B650" t="s">
        <v>873</v>
      </c>
      <c r="C650">
        <v>9</v>
      </c>
      <c r="D650">
        <v>20</v>
      </c>
    </row>
    <row r="651" spans="1:4" ht="15.75" customHeight="1">
      <c r="A651" t="s">
        <v>3637</v>
      </c>
      <c r="B651" t="s">
        <v>875</v>
      </c>
      <c r="C651">
        <v>9</v>
      </c>
      <c r="D651">
        <v>20</v>
      </c>
    </row>
    <row r="652" spans="1:4" ht="15.75" customHeight="1">
      <c r="A652" t="s">
        <v>3638</v>
      </c>
      <c r="B652" t="s">
        <v>879</v>
      </c>
      <c r="C652">
        <v>9</v>
      </c>
      <c r="D652">
        <v>20</v>
      </c>
    </row>
    <row r="653" spans="1:4" ht="15.75" customHeight="1">
      <c r="A653" t="s">
        <v>3639</v>
      </c>
      <c r="B653" t="s">
        <v>883</v>
      </c>
      <c r="C653">
        <v>9</v>
      </c>
      <c r="D653">
        <v>20</v>
      </c>
    </row>
    <row r="654" spans="1:4" ht="15.75" customHeight="1">
      <c r="A654" t="s">
        <v>3640</v>
      </c>
      <c r="B654" t="s">
        <v>883</v>
      </c>
      <c r="C654">
        <v>9</v>
      </c>
      <c r="D654">
        <v>20</v>
      </c>
    </row>
    <row r="655" spans="1:4" ht="15.75" customHeight="1">
      <c r="A655" t="s">
        <v>3641</v>
      </c>
      <c r="B655" t="s">
        <v>883</v>
      </c>
      <c r="C655">
        <v>19</v>
      </c>
      <c r="D655">
        <v>25</v>
      </c>
    </row>
    <row r="656" spans="1:4" ht="15.75" customHeight="1">
      <c r="A656" t="s">
        <v>3642</v>
      </c>
      <c r="B656" t="s">
        <v>883</v>
      </c>
      <c r="C656">
        <v>8</v>
      </c>
      <c r="D656">
        <v>40</v>
      </c>
    </row>
    <row r="657" spans="1:4" ht="15.75" customHeight="1">
      <c r="A657" t="s">
        <v>3643</v>
      </c>
      <c r="B657" t="s">
        <v>887</v>
      </c>
      <c r="C657">
        <v>9</v>
      </c>
      <c r="D657">
        <v>20</v>
      </c>
    </row>
    <row r="658" spans="1:4" ht="15.75" customHeight="1">
      <c r="A658" t="s">
        <v>3644</v>
      </c>
      <c r="B658" t="s">
        <v>887</v>
      </c>
      <c r="C658">
        <v>9</v>
      </c>
      <c r="D658">
        <v>20</v>
      </c>
    </row>
    <row r="659" spans="1:4" ht="15.75" customHeight="1">
      <c r="A659" t="s">
        <v>3645</v>
      </c>
      <c r="B659" t="s">
        <v>887</v>
      </c>
      <c r="C659">
        <v>19</v>
      </c>
      <c r="D659">
        <v>25</v>
      </c>
    </row>
    <row r="660" spans="1:4" ht="15.75" customHeight="1">
      <c r="A660" t="s">
        <v>3646</v>
      </c>
      <c r="B660" t="s">
        <v>887</v>
      </c>
      <c r="C660">
        <v>9</v>
      </c>
      <c r="D660">
        <v>40</v>
      </c>
    </row>
    <row r="661" spans="1:4" ht="15.75" customHeight="1">
      <c r="A661" t="s">
        <v>3647</v>
      </c>
      <c r="B661" t="s">
        <v>890</v>
      </c>
      <c r="C661">
        <v>9</v>
      </c>
      <c r="D661">
        <v>20</v>
      </c>
    </row>
    <row r="662" spans="1:4" ht="15.75" customHeight="1">
      <c r="A662" t="s">
        <v>3648</v>
      </c>
      <c r="B662" t="s">
        <v>890</v>
      </c>
      <c r="C662">
        <v>9</v>
      </c>
      <c r="D662">
        <v>20</v>
      </c>
    </row>
    <row r="663" spans="1:4" ht="15.75" customHeight="1">
      <c r="A663" t="s">
        <v>3649</v>
      </c>
      <c r="B663" t="s">
        <v>890</v>
      </c>
      <c r="C663">
        <v>19</v>
      </c>
      <c r="D663">
        <v>25</v>
      </c>
    </row>
    <row r="664" spans="1:4" ht="15.75" customHeight="1">
      <c r="A664" t="s">
        <v>3650</v>
      </c>
      <c r="B664" t="s">
        <v>890</v>
      </c>
      <c r="C664">
        <v>9</v>
      </c>
      <c r="D664">
        <v>40</v>
      </c>
    </row>
    <row r="665" spans="1:4" ht="15.75" customHeight="1">
      <c r="A665" t="s">
        <v>3651</v>
      </c>
      <c r="B665" t="s">
        <v>896</v>
      </c>
      <c r="C665">
        <v>9</v>
      </c>
      <c r="D665">
        <v>20</v>
      </c>
    </row>
    <row r="666" spans="1:4" ht="15.75" customHeight="1">
      <c r="A666" t="s">
        <v>3652</v>
      </c>
      <c r="B666" t="s">
        <v>896</v>
      </c>
      <c r="C666">
        <v>9</v>
      </c>
      <c r="D666">
        <v>20</v>
      </c>
    </row>
    <row r="667" spans="1:4" ht="15.75" customHeight="1">
      <c r="A667" t="s">
        <v>3653</v>
      </c>
      <c r="B667" t="s">
        <v>896</v>
      </c>
      <c r="C667">
        <v>19</v>
      </c>
      <c r="D667">
        <v>25</v>
      </c>
    </row>
    <row r="668" spans="1:4" ht="15.75" customHeight="1">
      <c r="A668" t="s">
        <v>3654</v>
      </c>
      <c r="B668" t="s">
        <v>900</v>
      </c>
      <c r="C668">
        <v>9</v>
      </c>
      <c r="D668">
        <v>20</v>
      </c>
    </row>
    <row r="669" spans="1:4" ht="15.75" customHeight="1">
      <c r="A669" t="s">
        <v>3655</v>
      </c>
      <c r="B669" t="s">
        <v>900</v>
      </c>
      <c r="C669">
        <v>9</v>
      </c>
      <c r="D669">
        <v>20</v>
      </c>
    </row>
    <row r="670" spans="1:4" ht="15.75" customHeight="1">
      <c r="A670" t="s">
        <v>3656</v>
      </c>
      <c r="B670" t="s">
        <v>900</v>
      </c>
      <c r="C670">
        <v>19</v>
      </c>
      <c r="D670">
        <v>25</v>
      </c>
    </row>
    <row r="671" spans="1:4" ht="15.75" customHeight="1">
      <c r="A671" t="s">
        <v>3657</v>
      </c>
      <c r="B671" t="s">
        <v>904</v>
      </c>
      <c r="C671">
        <v>9</v>
      </c>
      <c r="D671">
        <v>20</v>
      </c>
    </row>
    <row r="672" spans="1:4" ht="15.75" customHeight="1">
      <c r="A672" t="s">
        <v>3658</v>
      </c>
      <c r="B672" t="s">
        <v>904</v>
      </c>
      <c r="C672">
        <v>9</v>
      </c>
      <c r="D672">
        <v>20</v>
      </c>
    </row>
    <row r="673" spans="1:4" ht="15.75" customHeight="1">
      <c r="A673" t="s">
        <v>3659</v>
      </c>
      <c r="B673" t="s">
        <v>904</v>
      </c>
      <c r="C673">
        <v>19</v>
      </c>
      <c r="D673">
        <v>25</v>
      </c>
    </row>
    <row r="674" spans="1:4" ht="15.75" customHeight="1">
      <c r="A674" t="s">
        <v>3660</v>
      </c>
      <c r="B674" t="s">
        <v>908</v>
      </c>
      <c r="C674">
        <v>9</v>
      </c>
      <c r="D674">
        <v>20</v>
      </c>
    </row>
    <row r="675" spans="1:4" ht="15.75" customHeight="1">
      <c r="A675" t="s">
        <v>3661</v>
      </c>
      <c r="B675" t="s">
        <v>908</v>
      </c>
      <c r="C675">
        <v>9</v>
      </c>
      <c r="D675">
        <v>20</v>
      </c>
    </row>
    <row r="676" spans="1:4" ht="15.75" customHeight="1">
      <c r="A676" t="s">
        <v>3662</v>
      </c>
      <c r="B676" t="s">
        <v>908</v>
      </c>
      <c r="C676">
        <v>19</v>
      </c>
      <c r="D676">
        <v>25</v>
      </c>
    </row>
    <row r="677" spans="1:4" ht="15.75" customHeight="1">
      <c r="A677" t="s">
        <v>3663</v>
      </c>
      <c r="B677" t="s">
        <v>908</v>
      </c>
      <c r="C677">
        <v>9</v>
      </c>
      <c r="D677">
        <v>40</v>
      </c>
    </row>
    <row r="678" spans="1:4" ht="15.75" customHeight="1">
      <c r="A678" t="s">
        <v>3664</v>
      </c>
      <c r="B678" t="s">
        <v>911</v>
      </c>
      <c r="C678">
        <v>9</v>
      </c>
      <c r="D678">
        <v>20</v>
      </c>
    </row>
    <row r="679" spans="1:4" ht="15.75" customHeight="1">
      <c r="A679" t="s">
        <v>3665</v>
      </c>
      <c r="B679" t="s">
        <v>911</v>
      </c>
      <c r="C679">
        <v>9</v>
      </c>
      <c r="D679">
        <v>20</v>
      </c>
    </row>
    <row r="680" spans="1:4" ht="15.75" customHeight="1">
      <c r="A680" t="s">
        <v>3666</v>
      </c>
      <c r="B680" t="s">
        <v>911</v>
      </c>
      <c r="C680">
        <v>19</v>
      </c>
      <c r="D680">
        <v>25</v>
      </c>
    </row>
    <row r="681" spans="1:4" ht="15.75" customHeight="1">
      <c r="A681" t="s">
        <v>3667</v>
      </c>
      <c r="B681" t="s">
        <v>917</v>
      </c>
      <c r="C681">
        <v>9</v>
      </c>
      <c r="D681">
        <v>20</v>
      </c>
    </row>
    <row r="682" spans="1:4" ht="15.75" customHeight="1">
      <c r="A682" t="s">
        <v>5695</v>
      </c>
      <c r="B682" t="s">
        <v>917</v>
      </c>
      <c r="C682">
        <v>0</v>
      </c>
      <c r="D682">
        <v>0</v>
      </c>
    </row>
    <row r="683" spans="1:4" ht="15.75" customHeight="1">
      <c r="A683" t="s">
        <v>3668</v>
      </c>
      <c r="B683" t="s">
        <v>917</v>
      </c>
      <c r="C683">
        <v>9</v>
      </c>
      <c r="D683">
        <v>20</v>
      </c>
    </row>
    <row r="684" spans="1:4" ht="15.75" customHeight="1">
      <c r="A684" t="s">
        <v>3669</v>
      </c>
      <c r="B684" t="s">
        <v>917</v>
      </c>
      <c r="C684">
        <v>9</v>
      </c>
      <c r="D684">
        <v>40</v>
      </c>
    </row>
    <row r="685" spans="1:4" ht="15.75" customHeight="1">
      <c r="A685" t="s">
        <v>3670</v>
      </c>
      <c r="B685" t="s">
        <v>920</v>
      </c>
      <c r="C685">
        <v>9</v>
      </c>
      <c r="D685">
        <v>20</v>
      </c>
    </row>
    <row r="686" spans="1:4" ht="15.75" customHeight="1">
      <c r="A686" t="s">
        <v>3671</v>
      </c>
      <c r="B686" t="s">
        <v>920</v>
      </c>
      <c r="C686">
        <v>9</v>
      </c>
      <c r="D686">
        <v>20</v>
      </c>
    </row>
    <row r="687" spans="1:4" ht="15.75" customHeight="1">
      <c r="A687" t="s">
        <v>3672</v>
      </c>
      <c r="B687" t="s">
        <v>922</v>
      </c>
      <c r="C687">
        <v>9</v>
      </c>
      <c r="D687">
        <v>20</v>
      </c>
    </row>
    <row r="688" spans="1:4" ht="15.75" customHeight="1">
      <c r="A688" t="s">
        <v>3673</v>
      </c>
      <c r="B688" t="s">
        <v>922</v>
      </c>
      <c r="C688">
        <v>19</v>
      </c>
      <c r="D688">
        <v>25</v>
      </c>
    </row>
    <row r="689" spans="1:4" ht="15.75" customHeight="1">
      <c r="A689" t="s">
        <v>3674</v>
      </c>
      <c r="B689" t="s">
        <v>922</v>
      </c>
      <c r="C689">
        <v>8</v>
      </c>
      <c r="D689">
        <v>40</v>
      </c>
    </row>
    <row r="690" spans="1:4" ht="15.75" customHeight="1">
      <c r="A690" t="s">
        <v>3675</v>
      </c>
      <c r="B690" t="s">
        <v>922</v>
      </c>
      <c r="C690">
        <v>8</v>
      </c>
      <c r="D690">
        <v>40</v>
      </c>
    </row>
    <row r="691" spans="1:4" ht="15.75" customHeight="1">
      <c r="A691" t="s">
        <v>3676</v>
      </c>
      <c r="B691" t="s">
        <v>922</v>
      </c>
      <c r="C691">
        <v>9</v>
      </c>
      <c r="D691">
        <v>20</v>
      </c>
    </row>
    <row r="692" spans="1:4" ht="15.75" customHeight="1">
      <c r="A692" t="s">
        <v>3677</v>
      </c>
      <c r="B692" t="s">
        <v>922</v>
      </c>
      <c r="C692">
        <v>19</v>
      </c>
      <c r="D692">
        <v>25</v>
      </c>
    </row>
    <row r="693" spans="1:4" ht="15.75" customHeight="1">
      <c r="A693" t="s">
        <v>3678</v>
      </c>
      <c r="B693" t="s">
        <v>922</v>
      </c>
      <c r="C693">
        <v>8</v>
      </c>
      <c r="D693">
        <v>40</v>
      </c>
    </row>
    <row r="694" spans="1:4" ht="15.75" customHeight="1">
      <c r="A694" t="s">
        <v>3679</v>
      </c>
      <c r="B694" t="s">
        <v>928</v>
      </c>
      <c r="C694">
        <v>9</v>
      </c>
      <c r="D694">
        <v>20</v>
      </c>
    </row>
    <row r="695" spans="1:4" ht="15.75" customHeight="1">
      <c r="A695" t="s">
        <v>3680</v>
      </c>
      <c r="B695" t="s">
        <v>928</v>
      </c>
      <c r="C695">
        <v>9</v>
      </c>
      <c r="D695">
        <v>20</v>
      </c>
    </row>
    <row r="696" spans="1:4" ht="15.75" customHeight="1">
      <c r="A696" t="s">
        <v>3681</v>
      </c>
      <c r="B696" t="s">
        <v>930</v>
      </c>
      <c r="C696">
        <v>9</v>
      </c>
      <c r="D696">
        <v>20</v>
      </c>
    </row>
    <row r="697" spans="1:4" ht="15.75" customHeight="1">
      <c r="A697" t="s">
        <v>3682</v>
      </c>
      <c r="B697" t="s">
        <v>930</v>
      </c>
      <c r="C697">
        <v>19</v>
      </c>
      <c r="D697">
        <v>25</v>
      </c>
    </row>
    <row r="698" spans="1:4" ht="15.75" customHeight="1">
      <c r="A698" t="s">
        <v>3683</v>
      </c>
      <c r="B698" t="s">
        <v>930</v>
      </c>
      <c r="C698">
        <v>9</v>
      </c>
      <c r="D698">
        <v>20</v>
      </c>
    </row>
    <row r="699" spans="1:4" ht="15.75" customHeight="1">
      <c r="A699" t="s">
        <v>3684</v>
      </c>
      <c r="B699" t="s">
        <v>930</v>
      </c>
      <c r="C699">
        <v>19</v>
      </c>
      <c r="D699">
        <v>25</v>
      </c>
    </row>
    <row r="700" spans="1:4" ht="15.75" customHeight="1">
      <c r="A700" t="s">
        <v>3685</v>
      </c>
      <c r="B700" t="s">
        <v>930</v>
      </c>
      <c r="C700">
        <v>8</v>
      </c>
      <c r="D700">
        <v>40</v>
      </c>
    </row>
    <row r="701" spans="1:4" ht="15.75" customHeight="1">
      <c r="A701" t="s">
        <v>3686</v>
      </c>
      <c r="B701" t="s">
        <v>935</v>
      </c>
      <c r="C701">
        <v>9</v>
      </c>
      <c r="D701">
        <v>20</v>
      </c>
    </row>
    <row r="702" spans="1:4" ht="15.75" customHeight="1">
      <c r="A702" t="s">
        <v>3687</v>
      </c>
      <c r="B702" t="s">
        <v>938</v>
      </c>
      <c r="C702">
        <v>9</v>
      </c>
      <c r="D702">
        <v>20</v>
      </c>
    </row>
    <row r="703" spans="1:4" ht="15.75" customHeight="1">
      <c r="A703" t="s">
        <v>3688</v>
      </c>
      <c r="B703" t="s">
        <v>940</v>
      </c>
      <c r="C703">
        <v>9</v>
      </c>
      <c r="D703">
        <v>20</v>
      </c>
    </row>
    <row r="704" spans="1:4" ht="15.75" customHeight="1">
      <c r="A704" t="s">
        <v>3689</v>
      </c>
      <c r="B704" t="s">
        <v>940</v>
      </c>
      <c r="C704">
        <v>8</v>
      </c>
      <c r="D704">
        <v>40</v>
      </c>
    </row>
    <row r="705" spans="1:4" ht="15.75" customHeight="1">
      <c r="A705" t="s">
        <v>3690</v>
      </c>
      <c r="B705" t="s">
        <v>943</v>
      </c>
      <c r="C705">
        <v>9</v>
      </c>
      <c r="D705">
        <v>20</v>
      </c>
    </row>
    <row r="706" spans="1:4" ht="15.75" customHeight="1">
      <c r="A706" t="s">
        <v>3691</v>
      </c>
      <c r="B706" t="s">
        <v>943</v>
      </c>
      <c r="C706">
        <v>9</v>
      </c>
      <c r="D706">
        <v>20</v>
      </c>
    </row>
    <row r="707" spans="1:4" ht="15.75" customHeight="1">
      <c r="A707" t="s">
        <v>3692</v>
      </c>
      <c r="B707" t="s">
        <v>943</v>
      </c>
      <c r="C707">
        <v>8</v>
      </c>
      <c r="D707">
        <v>40</v>
      </c>
    </row>
    <row r="708" spans="1:4" ht="15.75" customHeight="1">
      <c r="A708" t="s">
        <v>5472</v>
      </c>
      <c r="B708" t="s">
        <v>5363</v>
      </c>
      <c r="C708">
        <v>9</v>
      </c>
      <c r="D708">
        <v>20</v>
      </c>
    </row>
    <row r="709" spans="1:4" ht="15.75" customHeight="1">
      <c r="A709" t="s">
        <v>5473</v>
      </c>
      <c r="B709" t="s">
        <v>5363</v>
      </c>
      <c r="C709">
        <v>9</v>
      </c>
      <c r="D709">
        <v>20</v>
      </c>
    </row>
    <row r="710" spans="1:4" ht="15.75" customHeight="1">
      <c r="A710" t="s">
        <v>5474</v>
      </c>
      <c r="B710" t="s">
        <v>5365</v>
      </c>
      <c r="C710">
        <v>9</v>
      </c>
      <c r="D710">
        <v>20</v>
      </c>
    </row>
    <row r="711" spans="1:4" ht="15.75" customHeight="1">
      <c r="A711" t="s">
        <v>5475</v>
      </c>
      <c r="B711" t="s">
        <v>5365</v>
      </c>
      <c r="C711">
        <v>9</v>
      </c>
      <c r="D711">
        <v>20</v>
      </c>
    </row>
    <row r="712" spans="1:4" ht="15.75" customHeight="1">
      <c r="A712" t="s">
        <v>3693</v>
      </c>
      <c r="B712" t="s">
        <v>946</v>
      </c>
      <c r="C712">
        <v>9</v>
      </c>
      <c r="D712">
        <v>20</v>
      </c>
    </row>
    <row r="713" spans="1:4" ht="15.75" customHeight="1">
      <c r="A713" t="s">
        <v>3694</v>
      </c>
      <c r="B713" t="s">
        <v>946</v>
      </c>
      <c r="C713">
        <v>9</v>
      </c>
      <c r="D713">
        <v>20</v>
      </c>
    </row>
    <row r="714" spans="1:4" ht="15.75" customHeight="1">
      <c r="A714" t="s">
        <v>3695</v>
      </c>
      <c r="B714" t="s">
        <v>946</v>
      </c>
      <c r="C714">
        <v>19</v>
      </c>
      <c r="D714">
        <v>25</v>
      </c>
    </row>
    <row r="715" spans="1:4" ht="15.75" customHeight="1">
      <c r="A715" t="s">
        <v>3696</v>
      </c>
      <c r="B715" t="s">
        <v>946</v>
      </c>
      <c r="C715">
        <v>9</v>
      </c>
      <c r="D715">
        <v>40</v>
      </c>
    </row>
    <row r="716" spans="1:4" ht="15.75" customHeight="1">
      <c r="A716" t="s">
        <v>3697</v>
      </c>
      <c r="B716" t="s">
        <v>951</v>
      </c>
      <c r="C716">
        <v>9</v>
      </c>
      <c r="D716">
        <v>20</v>
      </c>
    </row>
    <row r="717" spans="1:4" ht="15.75" customHeight="1">
      <c r="A717" t="s">
        <v>3698</v>
      </c>
      <c r="B717" t="s">
        <v>951</v>
      </c>
      <c r="C717">
        <v>8</v>
      </c>
      <c r="D717">
        <v>40</v>
      </c>
    </row>
    <row r="718" spans="1:4" ht="15.75" customHeight="1">
      <c r="A718" t="s">
        <v>3699</v>
      </c>
      <c r="B718" t="s">
        <v>951</v>
      </c>
      <c r="C718">
        <v>9</v>
      </c>
      <c r="D718">
        <v>20</v>
      </c>
    </row>
    <row r="719" spans="1:4" ht="15.75" customHeight="1">
      <c r="A719" t="s">
        <v>5696</v>
      </c>
      <c r="B719" t="s">
        <v>951</v>
      </c>
      <c r="C719">
        <v>0</v>
      </c>
      <c r="D719">
        <v>0</v>
      </c>
    </row>
    <row r="720" spans="1:4" ht="15.75" customHeight="1">
      <c r="A720" t="s">
        <v>3700</v>
      </c>
      <c r="B720" t="s">
        <v>953</v>
      </c>
      <c r="C720">
        <v>9</v>
      </c>
      <c r="D720">
        <v>20</v>
      </c>
    </row>
    <row r="721" spans="1:4" ht="15.75" customHeight="1">
      <c r="A721" t="s">
        <v>3701</v>
      </c>
      <c r="B721" t="s">
        <v>953</v>
      </c>
      <c r="C721">
        <v>9</v>
      </c>
      <c r="D721">
        <v>20</v>
      </c>
    </row>
    <row r="722" spans="1:4" ht="15.75" customHeight="1">
      <c r="A722" t="s">
        <v>5476</v>
      </c>
      <c r="B722" t="s">
        <v>5367</v>
      </c>
      <c r="C722">
        <v>9</v>
      </c>
      <c r="D722">
        <v>20</v>
      </c>
    </row>
    <row r="723" spans="1:4" ht="15.75" customHeight="1">
      <c r="A723" t="s">
        <v>5477</v>
      </c>
      <c r="B723" t="s">
        <v>5367</v>
      </c>
      <c r="C723">
        <v>9</v>
      </c>
      <c r="D723">
        <v>20</v>
      </c>
    </row>
    <row r="724" spans="1:4" ht="15.75" customHeight="1">
      <c r="A724" t="s">
        <v>3702</v>
      </c>
      <c r="B724" t="s">
        <v>3703</v>
      </c>
      <c r="C724">
        <v>16</v>
      </c>
      <c r="D724">
        <v>20</v>
      </c>
    </row>
    <row r="725" spans="1:4" ht="15.75" customHeight="1">
      <c r="A725" t="s">
        <v>3704</v>
      </c>
      <c r="B725" t="s">
        <v>3705</v>
      </c>
      <c r="C725">
        <v>9</v>
      </c>
      <c r="D725">
        <v>20</v>
      </c>
    </row>
    <row r="726" spans="1:4" ht="15.75" customHeight="1">
      <c r="A726" t="s">
        <v>3706</v>
      </c>
      <c r="B726" t="s">
        <v>3707</v>
      </c>
      <c r="C726">
        <v>9</v>
      </c>
      <c r="D726">
        <v>20</v>
      </c>
    </row>
    <row r="727" spans="1:4" ht="15.75" customHeight="1">
      <c r="A727" t="s">
        <v>3708</v>
      </c>
      <c r="B727" t="s">
        <v>3709</v>
      </c>
      <c r="C727">
        <v>9</v>
      </c>
      <c r="D727">
        <v>20</v>
      </c>
    </row>
    <row r="728" spans="1:4" ht="15.75" customHeight="1">
      <c r="A728" t="s">
        <v>3710</v>
      </c>
      <c r="B728" t="s">
        <v>3711</v>
      </c>
      <c r="C728">
        <v>9</v>
      </c>
      <c r="D728">
        <v>20</v>
      </c>
    </row>
    <row r="729" spans="1:4" ht="15.75" customHeight="1">
      <c r="A729" t="s">
        <v>3712</v>
      </c>
      <c r="B729" t="s">
        <v>3713</v>
      </c>
      <c r="C729">
        <v>9</v>
      </c>
      <c r="D729">
        <v>20</v>
      </c>
    </row>
    <row r="730" spans="1:4" ht="15.75" customHeight="1">
      <c r="A730" t="s">
        <v>3714</v>
      </c>
      <c r="B730" t="s">
        <v>3715</v>
      </c>
      <c r="C730">
        <v>9</v>
      </c>
      <c r="D730">
        <v>20</v>
      </c>
    </row>
    <row r="731" spans="1:4" ht="15.75" customHeight="1">
      <c r="A731" t="s">
        <v>3716</v>
      </c>
      <c r="B731" t="s">
        <v>3717</v>
      </c>
      <c r="C731">
        <v>9</v>
      </c>
      <c r="D731">
        <v>20</v>
      </c>
    </row>
    <row r="732" spans="1:4" ht="15.75" customHeight="1">
      <c r="A732" t="s">
        <v>3718</v>
      </c>
      <c r="B732" t="s">
        <v>955</v>
      </c>
      <c r="C732">
        <v>8</v>
      </c>
      <c r="D732">
        <v>20</v>
      </c>
    </row>
    <row r="733" spans="1:4" ht="15.75" customHeight="1">
      <c r="A733" t="s">
        <v>3719</v>
      </c>
      <c r="B733" t="s">
        <v>957</v>
      </c>
      <c r="C733">
        <v>8</v>
      </c>
      <c r="D733">
        <v>20</v>
      </c>
    </row>
    <row r="734" spans="1:4" ht="15.75" customHeight="1">
      <c r="A734" t="s">
        <v>3720</v>
      </c>
      <c r="B734" t="s">
        <v>959</v>
      </c>
      <c r="C734">
        <v>8</v>
      </c>
      <c r="D734">
        <v>20</v>
      </c>
    </row>
    <row r="735" spans="1:4" ht="15.75" customHeight="1">
      <c r="A735" t="s">
        <v>3721</v>
      </c>
      <c r="B735" t="s">
        <v>961</v>
      </c>
      <c r="C735">
        <v>8</v>
      </c>
      <c r="D735">
        <v>20</v>
      </c>
    </row>
    <row r="736" spans="1:4" ht="15.75" customHeight="1">
      <c r="A736" t="s">
        <v>3722</v>
      </c>
      <c r="B736" t="s">
        <v>963</v>
      </c>
      <c r="C736">
        <v>8</v>
      </c>
      <c r="D736">
        <v>20</v>
      </c>
    </row>
    <row r="737" spans="1:4" ht="15.75" customHeight="1">
      <c r="A737" t="s">
        <v>3723</v>
      </c>
      <c r="B737" t="s">
        <v>965</v>
      </c>
      <c r="C737">
        <v>8</v>
      </c>
      <c r="D737">
        <v>20</v>
      </c>
    </row>
    <row r="738" spans="1:4" ht="15.75" customHeight="1">
      <c r="A738" t="s">
        <v>3724</v>
      </c>
      <c r="B738" t="s">
        <v>967</v>
      </c>
      <c r="C738">
        <v>8</v>
      </c>
      <c r="D738">
        <v>20</v>
      </c>
    </row>
    <row r="739" spans="1:4" ht="15.75" customHeight="1">
      <c r="A739" t="s">
        <v>3725</v>
      </c>
      <c r="B739" t="s">
        <v>969</v>
      </c>
      <c r="C739">
        <v>8</v>
      </c>
      <c r="D739">
        <v>20</v>
      </c>
    </row>
    <row r="740" spans="1:4" ht="15.75" customHeight="1">
      <c r="A740" t="s">
        <v>3726</v>
      </c>
      <c r="B740" t="s">
        <v>971</v>
      </c>
      <c r="C740">
        <v>8</v>
      </c>
      <c r="D740">
        <v>20</v>
      </c>
    </row>
    <row r="741" spans="1:4" ht="15.75" customHeight="1">
      <c r="A741" t="s">
        <v>5697</v>
      </c>
      <c r="B741" t="s">
        <v>5580</v>
      </c>
      <c r="C741">
        <v>8</v>
      </c>
      <c r="D741">
        <v>20</v>
      </c>
    </row>
    <row r="742" spans="1:4" ht="15.75" customHeight="1">
      <c r="A742" t="s">
        <v>5698</v>
      </c>
      <c r="B742" t="s">
        <v>5582</v>
      </c>
      <c r="C742">
        <v>8</v>
      </c>
      <c r="D742">
        <v>20</v>
      </c>
    </row>
    <row r="743" spans="1:4" ht="15.75" customHeight="1">
      <c r="A743" t="s">
        <v>5699</v>
      </c>
      <c r="B743" t="s">
        <v>5584</v>
      </c>
      <c r="C743">
        <v>8</v>
      </c>
      <c r="D743">
        <v>20</v>
      </c>
    </row>
    <row r="744" spans="1:4" ht="15.75" customHeight="1">
      <c r="A744" t="s">
        <v>5700</v>
      </c>
      <c r="B744" t="s">
        <v>5586</v>
      </c>
      <c r="C744">
        <v>8</v>
      </c>
      <c r="D744">
        <v>20</v>
      </c>
    </row>
    <row r="745" spans="1:4" ht="15.75" customHeight="1">
      <c r="A745" t="s">
        <v>3727</v>
      </c>
      <c r="B745" t="s">
        <v>2090</v>
      </c>
      <c r="C745">
        <v>8</v>
      </c>
      <c r="D745">
        <v>40</v>
      </c>
    </row>
    <row r="746" spans="1:4" ht="15.75" customHeight="1">
      <c r="A746" t="s">
        <v>3728</v>
      </c>
      <c r="B746" t="s">
        <v>2093</v>
      </c>
      <c r="C746">
        <v>8</v>
      </c>
      <c r="D746">
        <v>40</v>
      </c>
    </row>
    <row r="747" spans="1:4" ht="15.75" customHeight="1">
      <c r="A747" t="s">
        <v>3729</v>
      </c>
      <c r="B747" t="s">
        <v>2992</v>
      </c>
      <c r="C747">
        <v>10</v>
      </c>
      <c r="D747">
        <v>20</v>
      </c>
    </row>
    <row r="748" spans="1:4" ht="15.75" customHeight="1">
      <c r="A748" t="s">
        <v>3730</v>
      </c>
      <c r="B748" t="s">
        <v>2992</v>
      </c>
      <c r="C748">
        <v>10</v>
      </c>
      <c r="D748">
        <v>20</v>
      </c>
    </row>
    <row r="749" spans="1:4" ht="15.75" customHeight="1">
      <c r="A749" t="s">
        <v>3731</v>
      </c>
      <c r="B749" t="s">
        <v>2992</v>
      </c>
      <c r="C749">
        <v>10</v>
      </c>
      <c r="D749">
        <v>20</v>
      </c>
    </row>
    <row r="750" spans="1:4" ht="15.75" customHeight="1">
      <c r="A750" t="s">
        <v>3732</v>
      </c>
      <c r="B750" t="s">
        <v>2992</v>
      </c>
      <c r="C750">
        <v>19</v>
      </c>
      <c r="D750">
        <v>26</v>
      </c>
    </row>
    <row r="751" spans="1:4" ht="15.75" customHeight="1">
      <c r="A751" t="s">
        <v>3733</v>
      </c>
      <c r="B751" t="s">
        <v>2992</v>
      </c>
      <c r="C751">
        <v>22</v>
      </c>
      <c r="D751">
        <v>40</v>
      </c>
    </row>
    <row r="752" spans="1:4" ht="15.75" customHeight="1">
      <c r="A752" t="s">
        <v>3734</v>
      </c>
      <c r="B752" t="s">
        <v>981</v>
      </c>
      <c r="C752">
        <v>8</v>
      </c>
      <c r="D752">
        <v>20</v>
      </c>
    </row>
    <row r="753" spans="1:4" ht="15.75" customHeight="1">
      <c r="A753" t="s">
        <v>3735</v>
      </c>
      <c r="B753" t="s">
        <v>985</v>
      </c>
      <c r="C753">
        <v>8</v>
      </c>
      <c r="D753">
        <v>20</v>
      </c>
    </row>
    <row r="754" spans="1:4" ht="15.75" customHeight="1">
      <c r="A754" t="s">
        <v>3736</v>
      </c>
      <c r="B754" t="s">
        <v>987</v>
      </c>
      <c r="C754">
        <v>8</v>
      </c>
      <c r="D754">
        <v>20</v>
      </c>
    </row>
    <row r="755" spans="1:4" ht="15.75" customHeight="1">
      <c r="A755" t="s">
        <v>3737</v>
      </c>
      <c r="B755" t="s">
        <v>989</v>
      </c>
      <c r="C755">
        <v>8</v>
      </c>
      <c r="D755">
        <v>20</v>
      </c>
    </row>
    <row r="756" spans="1:4" ht="15.75" customHeight="1">
      <c r="A756" t="s">
        <v>3738</v>
      </c>
      <c r="B756" t="s">
        <v>991</v>
      </c>
      <c r="C756">
        <v>8</v>
      </c>
      <c r="D756">
        <v>20</v>
      </c>
    </row>
    <row r="757" spans="1:4" ht="15.75" customHeight="1">
      <c r="A757" t="s">
        <v>3739</v>
      </c>
      <c r="B757" t="s">
        <v>994</v>
      </c>
      <c r="C757">
        <v>8</v>
      </c>
      <c r="D757">
        <v>20</v>
      </c>
    </row>
    <row r="758" spans="1:4" ht="15.75" customHeight="1">
      <c r="A758" t="s">
        <v>3740</v>
      </c>
      <c r="B758" t="s">
        <v>996</v>
      </c>
      <c r="C758">
        <v>8</v>
      </c>
      <c r="D758">
        <v>20</v>
      </c>
    </row>
    <row r="759" spans="1:4" ht="15.75" customHeight="1">
      <c r="A759" t="s">
        <v>5701</v>
      </c>
      <c r="B759" t="s">
        <v>996</v>
      </c>
      <c r="C759">
        <v>9</v>
      </c>
      <c r="D759">
        <v>38</v>
      </c>
    </row>
    <row r="760" spans="1:4" ht="15.75" customHeight="1">
      <c r="A760" t="s">
        <v>5702</v>
      </c>
      <c r="B760" t="s">
        <v>5588</v>
      </c>
      <c r="C760">
        <v>8</v>
      </c>
      <c r="D760">
        <v>20</v>
      </c>
    </row>
    <row r="761" spans="1:4" ht="15.75" customHeight="1">
      <c r="A761" t="s">
        <v>5703</v>
      </c>
      <c r="B761" t="s">
        <v>5590</v>
      </c>
      <c r="C761">
        <v>8</v>
      </c>
      <c r="D761">
        <v>20</v>
      </c>
    </row>
    <row r="762" spans="1:4" ht="15.75" customHeight="1">
      <c r="A762" t="s">
        <v>5478</v>
      </c>
      <c r="B762" t="s">
        <v>1583</v>
      </c>
      <c r="C762">
        <v>9</v>
      </c>
      <c r="D762">
        <v>20</v>
      </c>
    </row>
    <row r="763" spans="1:4" ht="15.75" customHeight="1">
      <c r="A763" t="s">
        <v>5479</v>
      </c>
      <c r="B763" t="s">
        <v>2328</v>
      </c>
      <c r="C763">
        <v>9</v>
      </c>
      <c r="D763">
        <v>20</v>
      </c>
    </row>
    <row r="764" spans="1:4" ht="15.75" customHeight="1">
      <c r="A764" t="s">
        <v>5480</v>
      </c>
      <c r="B764" t="s">
        <v>2332</v>
      </c>
      <c r="C764">
        <v>9</v>
      </c>
      <c r="D764">
        <v>20</v>
      </c>
    </row>
    <row r="765" spans="1:4" ht="15.75" customHeight="1">
      <c r="A765" t="s">
        <v>3741</v>
      </c>
      <c r="B765" t="s">
        <v>3742</v>
      </c>
      <c r="C765">
        <v>11</v>
      </c>
      <c r="D765">
        <v>20</v>
      </c>
    </row>
    <row r="766" spans="1:4" ht="15.75" customHeight="1">
      <c r="A766" t="s">
        <v>5481</v>
      </c>
      <c r="B766" t="s">
        <v>2352</v>
      </c>
      <c r="C766">
        <v>9</v>
      </c>
      <c r="D766">
        <v>20</v>
      </c>
    </row>
    <row r="767" spans="1:4" ht="15.75" customHeight="1">
      <c r="A767" t="s">
        <v>3743</v>
      </c>
      <c r="B767">
        <v>1106</v>
      </c>
      <c r="C767">
        <v>8</v>
      </c>
      <c r="D767">
        <v>20</v>
      </c>
    </row>
    <row r="768" spans="1:4" ht="15.75" customHeight="1">
      <c r="A768" t="s">
        <v>3744</v>
      </c>
      <c r="B768">
        <v>1106</v>
      </c>
      <c r="C768">
        <v>8</v>
      </c>
      <c r="D768">
        <v>40</v>
      </c>
    </row>
    <row r="769" spans="1:4" ht="15.75" customHeight="1">
      <c r="A769" t="s">
        <v>3745</v>
      </c>
      <c r="B769" t="s">
        <v>1614</v>
      </c>
      <c r="C769">
        <v>8</v>
      </c>
      <c r="D769">
        <v>20</v>
      </c>
    </row>
    <row r="770" spans="1:4" ht="15.75" customHeight="1">
      <c r="A770" t="s">
        <v>3746</v>
      </c>
      <c r="B770" t="s">
        <v>1614</v>
      </c>
      <c r="C770">
        <v>8</v>
      </c>
      <c r="D770">
        <v>40</v>
      </c>
    </row>
    <row r="771" spans="1:4" ht="15.75" customHeight="1">
      <c r="A771" t="s">
        <v>5482</v>
      </c>
      <c r="B771" t="s">
        <v>5483</v>
      </c>
      <c r="C771">
        <v>20</v>
      </c>
      <c r="D771">
        <v>38</v>
      </c>
    </row>
    <row r="772" spans="1:4" ht="15.75" customHeight="1">
      <c r="A772" t="s">
        <v>3747</v>
      </c>
      <c r="B772" t="s">
        <v>1617</v>
      </c>
      <c r="C772">
        <v>9</v>
      </c>
      <c r="D772">
        <v>20</v>
      </c>
    </row>
    <row r="773" spans="1:4" ht="15.75" customHeight="1">
      <c r="A773" t="s">
        <v>5484</v>
      </c>
      <c r="B773">
        <v>2409</v>
      </c>
      <c r="C773">
        <v>9</v>
      </c>
      <c r="D773">
        <v>20</v>
      </c>
    </row>
    <row r="774" spans="1:4" ht="15.75" customHeight="1">
      <c r="A774" t="s">
        <v>5485</v>
      </c>
      <c r="B774">
        <v>2423</v>
      </c>
      <c r="C774">
        <v>9</v>
      </c>
      <c r="D774">
        <v>20</v>
      </c>
    </row>
    <row r="775" spans="1:4" ht="15.75" customHeight="1">
      <c r="A775" t="s">
        <v>3748</v>
      </c>
      <c r="B775" t="s">
        <v>1621</v>
      </c>
      <c r="C775">
        <v>9</v>
      </c>
      <c r="D775">
        <v>20</v>
      </c>
    </row>
    <row r="776" spans="1:4" ht="15.75" customHeight="1">
      <c r="A776" t="s">
        <v>3749</v>
      </c>
      <c r="B776" t="s">
        <v>1624</v>
      </c>
      <c r="C776">
        <v>9</v>
      </c>
      <c r="D776">
        <v>20</v>
      </c>
    </row>
    <row r="777" spans="1:4" ht="15.75" customHeight="1">
      <c r="A777" t="s">
        <v>3750</v>
      </c>
      <c r="B777" t="s">
        <v>1626</v>
      </c>
      <c r="C777">
        <v>9</v>
      </c>
      <c r="D777">
        <v>20</v>
      </c>
    </row>
    <row r="778" spans="1:4" ht="15.75" customHeight="1">
      <c r="A778" t="s">
        <v>3751</v>
      </c>
      <c r="B778">
        <v>32339</v>
      </c>
      <c r="C778">
        <v>8</v>
      </c>
      <c r="D778">
        <v>20</v>
      </c>
    </row>
    <row r="779" spans="1:4" ht="15.75" customHeight="1">
      <c r="A779" t="s">
        <v>3752</v>
      </c>
      <c r="B779">
        <v>32339</v>
      </c>
      <c r="C779">
        <v>8</v>
      </c>
      <c r="D779">
        <v>40</v>
      </c>
    </row>
    <row r="780" spans="1:4" ht="15.75" customHeight="1">
      <c r="A780" t="s">
        <v>3753</v>
      </c>
      <c r="B780">
        <v>32360</v>
      </c>
      <c r="C780">
        <v>8</v>
      </c>
      <c r="D780">
        <v>20</v>
      </c>
    </row>
    <row r="781" spans="1:4" ht="15.75" customHeight="1">
      <c r="A781" t="s">
        <v>3754</v>
      </c>
      <c r="B781">
        <v>32360</v>
      </c>
      <c r="C781">
        <v>8</v>
      </c>
      <c r="D781">
        <v>40</v>
      </c>
    </row>
    <row r="782" spans="1:4" ht="15.75" customHeight="1">
      <c r="A782" t="s">
        <v>3755</v>
      </c>
      <c r="B782">
        <v>34318</v>
      </c>
      <c r="C782">
        <v>8</v>
      </c>
      <c r="D782">
        <v>20</v>
      </c>
    </row>
    <row r="783" spans="1:4" ht="15.75" customHeight="1">
      <c r="A783" t="s">
        <v>3756</v>
      </c>
      <c r="B783">
        <v>34318</v>
      </c>
      <c r="C783">
        <v>8</v>
      </c>
      <c r="D783">
        <v>40</v>
      </c>
    </row>
    <row r="784" spans="1:4" ht="15.75" customHeight="1">
      <c r="A784" t="s">
        <v>3757</v>
      </c>
      <c r="B784">
        <v>34321</v>
      </c>
      <c r="C784">
        <v>8</v>
      </c>
      <c r="D784">
        <v>20</v>
      </c>
    </row>
    <row r="785" spans="1:4" ht="15.75" customHeight="1">
      <c r="A785" t="s">
        <v>3758</v>
      </c>
      <c r="B785">
        <v>34321</v>
      </c>
      <c r="C785">
        <v>8</v>
      </c>
      <c r="D785">
        <v>40</v>
      </c>
    </row>
    <row r="786" spans="1:4" ht="15.75" customHeight="1">
      <c r="A786" t="s">
        <v>5486</v>
      </c>
      <c r="B786">
        <v>3505</v>
      </c>
      <c r="C786">
        <v>9</v>
      </c>
      <c r="D786">
        <v>20</v>
      </c>
    </row>
    <row r="787" spans="1:4" ht="15.75" customHeight="1">
      <c r="A787" t="s">
        <v>3759</v>
      </c>
      <c r="B787" t="s">
        <v>3760</v>
      </c>
      <c r="C787">
        <v>16</v>
      </c>
      <c r="D787">
        <v>20</v>
      </c>
    </row>
    <row r="788" spans="1:4" ht="15.75" customHeight="1">
      <c r="A788" t="s">
        <v>3761</v>
      </c>
      <c r="B788" t="s">
        <v>3760</v>
      </c>
      <c r="C788">
        <v>19</v>
      </c>
      <c r="D788">
        <v>25</v>
      </c>
    </row>
    <row r="789" spans="1:4" ht="15.75" customHeight="1">
      <c r="A789" t="s">
        <v>3762</v>
      </c>
      <c r="B789" t="s">
        <v>3760</v>
      </c>
      <c r="C789">
        <v>16</v>
      </c>
      <c r="D789">
        <v>20</v>
      </c>
    </row>
    <row r="790" spans="1:4" ht="15.75" customHeight="1">
      <c r="A790" t="s">
        <v>3763</v>
      </c>
      <c r="B790" t="s">
        <v>3760</v>
      </c>
      <c r="C790">
        <v>19</v>
      </c>
      <c r="D790">
        <v>25</v>
      </c>
    </row>
    <row r="791" spans="1:4" ht="15.75" customHeight="1">
      <c r="A791" t="s">
        <v>3764</v>
      </c>
      <c r="B791">
        <v>37905</v>
      </c>
      <c r="C791">
        <v>8</v>
      </c>
      <c r="D791">
        <v>20</v>
      </c>
    </row>
    <row r="792" spans="1:4" ht="15.75" customHeight="1">
      <c r="A792" t="s">
        <v>3765</v>
      </c>
      <c r="B792">
        <v>37905</v>
      </c>
      <c r="C792">
        <v>8</v>
      </c>
      <c r="D792">
        <v>40</v>
      </c>
    </row>
    <row r="793" spans="1:4" ht="15.75" customHeight="1">
      <c r="A793" t="s">
        <v>3766</v>
      </c>
      <c r="B793">
        <v>37978</v>
      </c>
      <c r="C793">
        <v>8</v>
      </c>
      <c r="D793">
        <v>20</v>
      </c>
    </row>
    <row r="794" spans="1:4" ht="15.75" customHeight="1">
      <c r="A794" t="s">
        <v>3767</v>
      </c>
      <c r="B794">
        <v>37978</v>
      </c>
      <c r="C794">
        <v>8</v>
      </c>
      <c r="D794">
        <v>40</v>
      </c>
    </row>
    <row r="795" spans="1:4" ht="15.75" customHeight="1">
      <c r="A795" t="s">
        <v>3768</v>
      </c>
      <c r="B795">
        <v>37979</v>
      </c>
      <c r="C795">
        <v>8</v>
      </c>
      <c r="D795">
        <v>20</v>
      </c>
    </row>
    <row r="796" spans="1:4" ht="15.75" customHeight="1">
      <c r="A796" t="s">
        <v>3769</v>
      </c>
      <c r="B796">
        <v>37979</v>
      </c>
      <c r="C796">
        <v>8</v>
      </c>
      <c r="D796">
        <v>40</v>
      </c>
    </row>
    <row r="797" spans="1:4" ht="15.75" customHeight="1">
      <c r="A797" t="s">
        <v>3770</v>
      </c>
      <c r="B797">
        <v>42207</v>
      </c>
      <c r="C797">
        <v>8</v>
      </c>
      <c r="D797">
        <v>20</v>
      </c>
    </row>
    <row r="798" spans="1:4" ht="15.75" customHeight="1">
      <c r="A798" t="s">
        <v>3771</v>
      </c>
      <c r="B798">
        <v>42207</v>
      </c>
      <c r="C798">
        <v>8</v>
      </c>
      <c r="D798">
        <v>40</v>
      </c>
    </row>
    <row r="799" spans="1:4" ht="15.75" customHeight="1">
      <c r="A799" t="s">
        <v>3772</v>
      </c>
      <c r="B799">
        <v>42238</v>
      </c>
      <c r="C799">
        <v>8</v>
      </c>
      <c r="D799">
        <v>20</v>
      </c>
    </row>
    <row r="800" spans="1:4" ht="15.75" customHeight="1">
      <c r="A800" t="s">
        <v>3773</v>
      </c>
      <c r="B800">
        <v>42238</v>
      </c>
      <c r="C800">
        <v>8</v>
      </c>
      <c r="D800">
        <v>40</v>
      </c>
    </row>
    <row r="801" spans="1:4" ht="15.75" customHeight="1">
      <c r="A801" t="s">
        <v>3774</v>
      </c>
      <c r="B801">
        <v>42364</v>
      </c>
      <c r="C801">
        <v>8</v>
      </c>
      <c r="D801">
        <v>20</v>
      </c>
    </row>
    <row r="802" spans="1:4" ht="15.75" customHeight="1">
      <c r="A802" t="s">
        <v>3775</v>
      </c>
      <c r="B802">
        <v>42364</v>
      </c>
      <c r="C802">
        <v>8</v>
      </c>
      <c r="D802">
        <v>40</v>
      </c>
    </row>
    <row r="803" spans="1:4" ht="15.75" customHeight="1">
      <c r="A803" t="s">
        <v>3776</v>
      </c>
      <c r="B803">
        <v>44374</v>
      </c>
      <c r="C803">
        <v>8</v>
      </c>
      <c r="D803">
        <v>20</v>
      </c>
    </row>
    <row r="804" spans="1:4" ht="15.75" customHeight="1">
      <c r="A804" t="s">
        <v>3777</v>
      </c>
      <c r="B804">
        <v>44374</v>
      </c>
      <c r="C804">
        <v>8</v>
      </c>
      <c r="D804">
        <v>40</v>
      </c>
    </row>
    <row r="805" spans="1:4" ht="15.75" customHeight="1">
      <c r="A805" t="s">
        <v>3778</v>
      </c>
      <c r="B805">
        <v>44375</v>
      </c>
      <c r="C805">
        <v>8</v>
      </c>
      <c r="D805">
        <v>20</v>
      </c>
    </row>
    <row r="806" spans="1:4" ht="15.75" customHeight="1">
      <c r="A806" t="s">
        <v>3779</v>
      </c>
      <c r="B806">
        <v>44375</v>
      </c>
      <c r="C806">
        <v>8</v>
      </c>
      <c r="D806">
        <v>40</v>
      </c>
    </row>
    <row r="807" spans="1:4" ht="15.75" customHeight="1">
      <c r="A807" t="s">
        <v>3780</v>
      </c>
      <c r="B807">
        <v>45273</v>
      </c>
      <c r="C807">
        <v>8</v>
      </c>
      <c r="D807">
        <v>20</v>
      </c>
    </row>
    <row r="808" spans="1:4" ht="15.75" customHeight="1">
      <c r="A808" t="s">
        <v>3781</v>
      </c>
      <c r="B808">
        <v>45273</v>
      </c>
      <c r="C808">
        <v>8</v>
      </c>
      <c r="D808">
        <v>40</v>
      </c>
    </row>
    <row r="809" spans="1:4" ht="15.75" customHeight="1">
      <c r="A809" t="s">
        <v>3782</v>
      </c>
      <c r="B809">
        <v>45274</v>
      </c>
      <c r="C809">
        <v>8</v>
      </c>
      <c r="D809">
        <v>20</v>
      </c>
    </row>
    <row r="810" spans="1:4" ht="15.75" customHeight="1">
      <c r="A810" t="s">
        <v>3783</v>
      </c>
      <c r="B810">
        <v>45274</v>
      </c>
      <c r="C810">
        <v>8</v>
      </c>
      <c r="D810">
        <v>40</v>
      </c>
    </row>
    <row r="811" spans="1:4" ht="15.75" customHeight="1">
      <c r="A811" t="s">
        <v>3784</v>
      </c>
      <c r="B811">
        <v>47980</v>
      </c>
      <c r="C811">
        <v>8</v>
      </c>
      <c r="D811">
        <v>20</v>
      </c>
    </row>
    <row r="812" spans="1:4" ht="15.75" customHeight="1">
      <c r="A812" t="s">
        <v>3785</v>
      </c>
      <c r="B812">
        <v>47980</v>
      </c>
      <c r="C812">
        <v>8</v>
      </c>
      <c r="D812">
        <v>40</v>
      </c>
    </row>
    <row r="813" spans="1:4" ht="15.75" customHeight="1">
      <c r="A813" t="s">
        <v>5487</v>
      </c>
      <c r="B813">
        <v>5530</v>
      </c>
      <c r="C813">
        <v>9</v>
      </c>
      <c r="D813">
        <v>20</v>
      </c>
    </row>
    <row r="814" spans="1:4" ht="15.75" customHeight="1">
      <c r="A814" t="s">
        <v>5488</v>
      </c>
      <c r="B814">
        <v>5540</v>
      </c>
      <c r="C814">
        <v>9</v>
      </c>
      <c r="D814">
        <v>20</v>
      </c>
    </row>
    <row r="815" spans="1:4" ht="15.75" customHeight="1">
      <c r="A815" t="s">
        <v>5489</v>
      </c>
      <c r="B815">
        <v>5560</v>
      </c>
      <c r="C815">
        <v>9</v>
      </c>
      <c r="D815">
        <v>20</v>
      </c>
    </row>
    <row r="816" spans="1:4" ht="15.75" customHeight="1">
      <c r="A816" t="s">
        <v>3786</v>
      </c>
      <c r="B816" t="s">
        <v>1670</v>
      </c>
      <c r="C816">
        <v>9</v>
      </c>
      <c r="D816">
        <v>20</v>
      </c>
    </row>
    <row r="817" spans="1:4" ht="15.75" customHeight="1">
      <c r="A817" t="s">
        <v>5490</v>
      </c>
      <c r="B817">
        <v>6014</v>
      </c>
      <c r="C817">
        <v>9</v>
      </c>
      <c r="D817">
        <v>20</v>
      </c>
    </row>
    <row r="818" spans="1:4" ht="15.75" customHeight="1">
      <c r="A818" t="s">
        <v>5491</v>
      </c>
      <c r="B818">
        <v>6019</v>
      </c>
      <c r="C818">
        <v>9</v>
      </c>
      <c r="D818">
        <v>20</v>
      </c>
    </row>
    <row r="819" spans="1:4" ht="15.75" customHeight="1">
      <c r="A819" t="s">
        <v>5492</v>
      </c>
      <c r="B819">
        <v>6026</v>
      </c>
      <c r="C819">
        <v>9</v>
      </c>
      <c r="D819">
        <v>20</v>
      </c>
    </row>
    <row r="820" spans="1:4" ht="15.75" customHeight="1">
      <c r="A820" t="s">
        <v>3787</v>
      </c>
      <c r="B820">
        <v>6111</v>
      </c>
      <c r="C820">
        <v>9</v>
      </c>
      <c r="D820">
        <v>20</v>
      </c>
    </row>
    <row r="821" spans="1:4" ht="15.75" customHeight="1">
      <c r="A821" t="s">
        <v>5493</v>
      </c>
      <c r="B821">
        <v>6120</v>
      </c>
      <c r="C821">
        <v>9</v>
      </c>
      <c r="D821">
        <v>20</v>
      </c>
    </row>
    <row r="822" spans="1:4" ht="15.75" customHeight="1">
      <c r="A822" t="s">
        <v>5494</v>
      </c>
      <c r="B822">
        <v>6131</v>
      </c>
      <c r="C822">
        <v>9</v>
      </c>
      <c r="D822">
        <v>20</v>
      </c>
    </row>
    <row r="823" spans="1:4" ht="15.75" customHeight="1">
      <c r="A823" t="s">
        <v>5495</v>
      </c>
      <c r="B823">
        <v>6133</v>
      </c>
      <c r="C823">
        <v>9</v>
      </c>
      <c r="D823">
        <v>20</v>
      </c>
    </row>
    <row r="824" spans="1:4" ht="15.75" customHeight="1">
      <c r="A824" t="s">
        <v>5496</v>
      </c>
      <c r="B824">
        <v>6140</v>
      </c>
      <c r="C824">
        <v>9</v>
      </c>
      <c r="D824">
        <v>20</v>
      </c>
    </row>
    <row r="825" spans="1:4" ht="15.75" customHeight="1">
      <c r="A825" t="s">
        <v>5497</v>
      </c>
      <c r="B825">
        <v>6151</v>
      </c>
      <c r="C825">
        <v>9</v>
      </c>
      <c r="D825">
        <v>20</v>
      </c>
    </row>
    <row r="826" spans="1:4" ht="15.75" customHeight="1">
      <c r="A826" t="s">
        <v>5498</v>
      </c>
      <c r="B826">
        <v>6152</v>
      </c>
      <c r="C826">
        <v>9</v>
      </c>
      <c r="D826">
        <v>20</v>
      </c>
    </row>
    <row r="827" spans="1:4" ht="15.75" customHeight="1">
      <c r="A827" t="s">
        <v>5499</v>
      </c>
      <c r="B827">
        <v>6230</v>
      </c>
      <c r="C827">
        <v>9</v>
      </c>
      <c r="D827">
        <v>20</v>
      </c>
    </row>
    <row r="828" spans="1:4" ht="15.75" customHeight="1">
      <c r="A828" t="s">
        <v>5500</v>
      </c>
      <c r="B828">
        <v>6240</v>
      </c>
      <c r="C828">
        <v>9</v>
      </c>
      <c r="D828">
        <v>20</v>
      </c>
    </row>
    <row r="829" spans="1:4" ht="15.75" customHeight="1">
      <c r="A829" t="s">
        <v>5501</v>
      </c>
      <c r="B829">
        <v>6241</v>
      </c>
      <c r="C829">
        <v>9</v>
      </c>
      <c r="D829">
        <v>20</v>
      </c>
    </row>
    <row r="830" spans="1:4" ht="15.75" customHeight="1">
      <c r="A830" t="s">
        <v>5502</v>
      </c>
      <c r="B830">
        <v>6242</v>
      </c>
      <c r="C830">
        <v>9</v>
      </c>
      <c r="D830">
        <v>20</v>
      </c>
    </row>
    <row r="831" spans="1:4" ht="15.75" customHeight="1">
      <c r="A831" t="s">
        <v>5503</v>
      </c>
      <c r="B831">
        <v>6281</v>
      </c>
      <c r="C831">
        <v>9</v>
      </c>
      <c r="D831">
        <v>20</v>
      </c>
    </row>
    <row r="832" spans="1:4" ht="15.75" customHeight="1">
      <c r="A832" t="s">
        <v>3788</v>
      </c>
      <c r="B832" t="s">
        <v>1697</v>
      </c>
      <c r="C832">
        <v>9</v>
      </c>
      <c r="D832">
        <v>20</v>
      </c>
    </row>
    <row r="833" spans="1:4" ht="15.75" customHeight="1">
      <c r="A833" t="s">
        <v>3789</v>
      </c>
      <c r="B833" t="s">
        <v>1699</v>
      </c>
      <c r="C833">
        <v>9</v>
      </c>
      <c r="D833">
        <v>20</v>
      </c>
    </row>
    <row r="834" spans="1:4" ht="15.75" customHeight="1">
      <c r="A834" t="s">
        <v>3790</v>
      </c>
      <c r="C834">
        <v>16</v>
      </c>
      <c r="D834">
        <v>20</v>
      </c>
    </row>
    <row r="835" spans="1:4" ht="15.75" customHeight="1">
      <c r="A835" t="s">
        <v>3791</v>
      </c>
      <c r="B835">
        <v>8685</v>
      </c>
      <c r="C835">
        <v>9</v>
      </c>
      <c r="D835">
        <v>20</v>
      </c>
    </row>
    <row r="836" spans="1:4" ht="15.75" customHeight="1">
      <c r="A836" t="s">
        <v>3792</v>
      </c>
      <c r="B836">
        <v>8830</v>
      </c>
      <c r="C836">
        <v>8</v>
      </c>
      <c r="D836">
        <v>40</v>
      </c>
    </row>
    <row r="837" spans="1:4" ht="15.75" customHeight="1">
      <c r="A837" t="s">
        <v>3793</v>
      </c>
      <c r="B837">
        <v>91470</v>
      </c>
      <c r="C837">
        <v>9</v>
      </c>
      <c r="D837">
        <v>20</v>
      </c>
    </row>
    <row r="838" spans="1:4" ht="15.75" customHeight="1">
      <c r="A838" t="s">
        <v>3794</v>
      </c>
      <c r="B838" t="s">
        <v>2165</v>
      </c>
      <c r="C838">
        <v>9</v>
      </c>
      <c r="D838">
        <v>20</v>
      </c>
    </row>
    <row r="839" spans="1:4" ht="15.75" customHeight="1">
      <c r="A839" t="s">
        <v>3795</v>
      </c>
      <c r="B839" t="s">
        <v>2165</v>
      </c>
      <c r="C839">
        <v>19</v>
      </c>
      <c r="D839">
        <v>25</v>
      </c>
    </row>
    <row r="840" spans="1:4" ht="15.75" customHeight="1">
      <c r="A840" t="s">
        <v>3796</v>
      </c>
      <c r="B840" t="s">
        <v>2165</v>
      </c>
      <c r="C840">
        <v>19</v>
      </c>
      <c r="D840">
        <v>40</v>
      </c>
    </row>
    <row r="841" spans="1:4" ht="15.75" customHeight="1">
      <c r="A841" t="s">
        <v>3797</v>
      </c>
      <c r="B841" t="s">
        <v>2165</v>
      </c>
      <c r="C841">
        <v>9</v>
      </c>
      <c r="D841">
        <v>20</v>
      </c>
    </row>
    <row r="842" spans="1:4" ht="15.75" customHeight="1">
      <c r="A842" t="s">
        <v>3798</v>
      </c>
      <c r="B842" t="s">
        <v>2165</v>
      </c>
      <c r="C842">
        <v>19</v>
      </c>
      <c r="D842">
        <v>25</v>
      </c>
    </row>
    <row r="843" spans="1:4" ht="15.75" customHeight="1">
      <c r="A843" t="s">
        <v>3799</v>
      </c>
      <c r="B843" t="s">
        <v>1701</v>
      </c>
      <c r="C843">
        <v>9</v>
      </c>
      <c r="D843">
        <v>20</v>
      </c>
    </row>
    <row r="844" spans="1:4" ht="15.75" customHeight="1">
      <c r="A844" t="s">
        <v>5704</v>
      </c>
      <c r="B844" t="s">
        <v>199</v>
      </c>
      <c r="C844">
        <v>9</v>
      </c>
      <c r="D844">
        <v>20</v>
      </c>
    </row>
    <row r="845" spans="1:4" ht="15.75" customHeight="1">
      <c r="A845" t="s">
        <v>3800</v>
      </c>
      <c r="B845" t="s">
        <v>1767</v>
      </c>
      <c r="C845">
        <v>20</v>
      </c>
      <c r="D845">
        <v>60</v>
      </c>
    </row>
    <row r="846" spans="1:4" ht="15.75" customHeight="1">
      <c r="A846" t="s">
        <v>3801</v>
      </c>
      <c r="B846" t="s">
        <v>1827</v>
      </c>
      <c r="C846">
        <v>8</v>
      </c>
      <c r="D846">
        <v>20</v>
      </c>
    </row>
    <row r="847" spans="1:4" ht="15.75" customHeight="1">
      <c r="A847" t="s">
        <v>3802</v>
      </c>
      <c r="B847" t="s">
        <v>1832</v>
      </c>
      <c r="C847">
        <v>9</v>
      </c>
      <c r="D847">
        <v>40</v>
      </c>
    </row>
    <row r="848" spans="1:4" ht="15.75" customHeight="1">
      <c r="A848" t="s">
        <v>3803</v>
      </c>
      <c r="B848" t="s">
        <v>1865</v>
      </c>
      <c r="C848">
        <v>8</v>
      </c>
      <c r="D848">
        <v>40</v>
      </c>
    </row>
    <row r="849" spans="1:4" ht="15.75" customHeight="1">
      <c r="A849" t="s">
        <v>5504</v>
      </c>
      <c r="B849" t="s">
        <v>5505</v>
      </c>
      <c r="C849">
        <v>9</v>
      </c>
      <c r="D849">
        <v>20</v>
      </c>
    </row>
    <row r="850" spans="1:4" ht="15.75" customHeight="1">
      <c r="A850" t="s">
        <v>5705</v>
      </c>
      <c r="B850" t="s">
        <v>239</v>
      </c>
      <c r="C850">
        <v>9</v>
      </c>
      <c r="D850">
        <v>20</v>
      </c>
    </row>
    <row r="851" spans="1:4" ht="15.75" customHeight="1">
      <c r="A851" t="s">
        <v>3804</v>
      </c>
      <c r="B851" t="s">
        <v>241</v>
      </c>
      <c r="C851">
        <v>9</v>
      </c>
      <c r="D851">
        <v>40</v>
      </c>
    </row>
    <row r="852" spans="1:4" ht="15.75" customHeight="1">
      <c r="A852" t="s">
        <v>5706</v>
      </c>
      <c r="B852" t="s">
        <v>1907</v>
      </c>
      <c r="C852">
        <v>20</v>
      </c>
      <c r="D852">
        <v>50</v>
      </c>
    </row>
    <row r="853" spans="1:4" ht="15.75" customHeight="1">
      <c r="A853" t="s">
        <v>3805</v>
      </c>
      <c r="B853" t="s">
        <v>1910</v>
      </c>
      <c r="C853">
        <v>8</v>
      </c>
      <c r="D853">
        <v>40</v>
      </c>
    </row>
    <row r="854" spans="1:4" ht="15.75" customHeight="1">
      <c r="A854" t="s">
        <v>3806</v>
      </c>
      <c r="B854" t="s">
        <v>1916</v>
      </c>
      <c r="C854">
        <v>8</v>
      </c>
      <c r="D854">
        <v>40</v>
      </c>
    </row>
    <row r="855" spans="1:4" ht="15.75" customHeight="1">
      <c r="A855" t="s">
        <v>3807</v>
      </c>
      <c r="B855" t="s">
        <v>299</v>
      </c>
      <c r="C855">
        <v>8</v>
      </c>
      <c r="D855">
        <v>40</v>
      </c>
    </row>
    <row r="856" spans="1:4" ht="15.75" customHeight="1">
      <c r="A856" t="s">
        <v>3808</v>
      </c>
      <c r="B856" t="s">
        <v>336</v>
      </c>
      <c r="C856">
        <v>9</v>
      </c>
      <c r="D856">
        <v>20</v>
      </c>
    </row>
    <row r="857" spans="1:4" ht="15.75" customHeight="1">
      <c r="A857" t="s">
        <v>3809</v>
      </c>
      <c r="B857" t="s">
        <v>338</v>
      </c>
      <c r="C857">
        <v>9</v>
      </c>
      <c r="D857">
        <v>20</v>
      </c>
    </row>
    <row r="858" spans="1:4" ht="15.75" customHeight="1">
      <c r="A858" t="s">
        <v>3810</v>
      </c>
      <c r="B858" t="s">
        <v>173</v>
      </c>
      <c r="C858">
        <v>19</v>
      </c>
      <c r="D858">
        <v>25</v>
      </c>
    </row>
    <row r="859" spans="1:4" ht="15.75" customHeight="1">
      <c r="A859" t="s">
        <v>3811</v>
      </c>
      <c r="B859" t="s">
        <v>176</v>
      </c>
      <c r="C859">
        <v>19</v>
      </c>
      <c r="D859">
        <v>25</v>
      </c>
    </row>
    <row r="860" spans="1:4" ht="15.75" customHeight="1">
      <c r="A860" t="s">
        <v>3812</v>
      </c>
      <c r="B860" t="s">
        <v>178</v>
      </c>
      <c r="C860">
        <v>19</v>
      </c>
      <c r="D860">
        <v>25</v>
      </c>
    </row>
    <row r="861" spans="1:4" ht="15.75" customHeight="1">
      <c r="A861" t="s">
        <v>3813</v>
      </c>
      <c r="B861" t="s">
        <v>3814</v>
      </c>
      <c r="C861">
        <v>19</v>
      </c>
      <c r="D861">
        <v>25</v>
      </c>
    </row>
    <row r="862" spans="1:4" ht="15.75" customHeight="1">
      <c r="A862" t="s">
        <v>3815</v>
      </c>
      <c r="B862" t="s">
        <v>183</v>
      </c>
      <c r="C862">
        <v>19</v>
      </c>
      <c r="D862">
        <v>25</v>
      </c>
    </row>
    <row r="863" spans="1:4" ht="15.75" customHeight="1">
      <c r="A863" t="s">
        <v>5506</v>
      </c>
      <c r="B863" t="s">
        <v>183</v>
      </c>
      <c r="C863">
        <v>25</v>
      </c>
      <c r="D863">
        <v>40</v>
      </c>
    </row>
    <row r="864" spans="1:4" ht="15.75" customHeight="1">
      <c r="A864" t="s">
        <v>3816</v>
      </c>
      <c r="B864" t="s">
        <v>185</v>
      </c>
      <c r="C864">
        <v>19</v>
      </c>
      <c r="D864">
        <v>25</v>
      </c>
    </row>
    <row r="865" spans="1:4" ht="15.75" customHeight="1">
      <c r="A865" t="s">
        <v>3817</v>
      </c>
      <c r="B865" t="s">
        <v>187</v>
      </c>
      <c r="C865">
        <v>19</v>
      </c>
      <c r="D865">
        <v>25</v>
      </c>
    </row>
    <row r="866" spans="1:4" ht="15.75" customHeight="1">
      <c r="A866" t="s">
        <v>5507</v>
      </c>
      <c r="B866" t="s">
        <v>2303</v>
      </c>
      <c r="C866">
        <v>20</v>
      </c>
      <c r="D866">
        <v>50</v>
      </c>
    </row>
    <row r="867" spans="1:4" ht="15.75" customHeight="1">
      <c r="A867" t="s">
        <v>5707</v>
      </c>
      <c r="B867" t="s">
        <v>5708</v>
      </c>
      <c r="C867">
        <v>9</v>
      </c>
      <c r="D867">
        <v>25</v>
      </c>
    </row>
    <row r="868" spans="1:4" ht="15.75" customHeight="1">
      <c r="A868" t="s">
        <v>3818</v>
      </c>
      <c r="B868" t="s">
        <v>424</v>
      </c>
      <c r="C868">
        <v>8</v>
      </c>
      <c r="D868">
        <v>40</v>
      </c>
    </row>
    <row r="869" spans="1:4" ht="15.75" customHeight="1">
      <c r="A869" t="s">
        <v>3819</v>
      </c>
      <c r="B869" t="s">
        <v>445</v>
      </c>
      <c r="C869">
        <v>9</v>
      </c>
      <c r="D869">
        <v>40</v>
      </c>
    </row>
    <row r="870" spans="1:4" ht="15.75" customHeight="1">
      <c r="A870" t="s">
        <v>3820</v>
      </c>
      <c r="B870" t="s">
        <v>447</v>
      </c>
      <c r="C870">
        <v>9</v>
      </c>
      <c r="D870">
        <v>50</v>
      </c>
    </row>
    <row r="871" spans="1:4" ht="15.75" customHeight="1">
      <c r="A871" t="s">
        <v>3821</v>
      </c>
      <c r="B871" t="s">
        <v>487</v>
      </c>
      <c r="C871">
        <v>8</v>
      </c>
      <c r="D871">
        <v>40</v>
      </c>
    </row>
    <row r="872" spans="1:4" ht="15.75" customHeight="1">
      <c r="A872" t="s">
        <v>3822</v>
      </c>
      <c r="B872" t="s">
        <v>520</v>
      </c>
      <c r="C872">
        <v>8</v>
      </c>
      <c r="D872">
        <v>40</v>
      </c>
    </row>
    <row r="873" spans="1:4" ht="15.75" customHeight="1">
      <c r="A873" t="s">
        <v>3823</v>
      </c>
      <c r="B873" t="s">
        <v>526</v>
      </c>
      <c r="C873">
        <v>9</v>
      </c>
      <c r="D873">
        <v>40</v>
      </c>
    </row>
    <row r="874" spans="1:4" ht="15.75" customHeight="1">
      <c r="A874" t="s">
        <v>3824</v>
      </c>
      <c r="B874" t="s">
        <v>526</v>
      </c>
      <c r="C874">
        <v>39</v>
      </c>
      <c r="D874">
        <v>55</v>
      </c>
    </row>
    <row r="875" spans="1:4" ht="15.75" customHeight="1">
      <c r="A875" t="s">
        <v>3825</v>
      </c>
      <c r="B875" t="s">
        <v>537</v>
      </c>
      <c r="C875">
        <v>38</v>
      </c>
      <c r="D875">
        <v>50</v>
      </c>
    </row>
    <row r="876" spans="1:4" ht="15.75" customHeight="1">
      <c r="A876" t="s">
        <v>3826</v>
      </c>
      <c r="C876">
        <v>9</v>
      </c>
      <c r="D876">
        <v>40</v>
      </c>
    </row>
    <row r="877" spans="1:4" ht="15.75" customHeight="1">
      <c r="A877" t="s">
        <v>3827</v>
      </c>
      <c r="B877" t="s">
        <v>559</v>
      </c>
      <c r="C877">
        <v>8</v>
      </c>
      <c r="D877">
        <v>40</v>
      </c>
    </row>
    <row r="878" spans="1:4" ht="15.75" customHeight="1">
      <c r="A878" t="s">
        <v>3828</v>
      </c>
      <c r="B878" t="s">
        <v>559</v>
      </c>
      <c r="C878">
        <v>9</v>
      </c>
      <c r="D878">
        <v>40</v>
      </c>
    </row>
    <row r="879" spans="1:4" ht="15.75" customHeight="1">
      <c r="A879" t="s">
        <v>3829</v>
      </c>
      <c r="B879" t="s">
        <v>563</v>
      </c>
      <c r="C879">
        <v>8</v>
      </c>
      <c r="D879">
        <v>40</v>
      </c>
    </row>
    <row r="880" spans="1:4" ht="15.75" customHeight="1">
      <c r="A880" t="s">
        <v>3830</v>
      </c>
      <c r="B880" t="s">
        <v>615</v>
      </c>
      <c r="C880">
        <v>8</v>
      </c>
      <c r="D880">
        <v>40</v>
      </c>
    </row>
    <row r="881" spans="1:4" ht="15.75" customHeight="1">
      <c r="A881" t="s">
        <v>3831</v>
      </c>
      <c r="B881" t="s">
        <v>647</v>
      </c>
      <c r="C881">
        <v>19</v>
      </c>
      <c r="D881">
        <v>25</v>
      </c>
    </row>
    <row r="882" spans="1:4" ht="15.75" customHeight="1">
      <c r="A882" t="s">
        <v>3832</v>
      </c>
      <c r="B882" t="s">
        <v>647</v>
      </c>
      <c r="C882">
        <v>8</v>
      </c>
      <c r="D882">
        <v>40</v>
      </c>
    </row>
    <row r="883" spans="1:4" ht="15.75" customHeight="1">
      <c r="A883" t="s">
        <v>3833</v>
      </c>
      <c r="C883">
        <v>9</v>
      </c>
      <c r="D883">
        <v>40</v>
      </c>
    </row>
    <row r="884" spans="1:4" ht="15.75" customHeight="1">
      <c r="A884" t="s">
        <v>3834</v>
      </c>
      <c r="B884" t="s">
        <v>673</v>
      </c>
      <c r="C884">
        <v>9</v>
      </c>
      <c r="D884">
        <v>40</v>
      </c>
    </row>
    <row r="885" spans="1:4" ht="15.75" customHeight="1">
      <c r="A885" t="s">
        <v>3835</v>
      </c>
      <c r="B885" t="s">
        <v>688</v>
      </c>
      <c r="C885">
        <v>9</v>
      </c>
      <c r="D885">
        <v>40</v>
      </c>
    </row>
    <row r="886" spans="1:4" ht="15.75" customHeight="1">
      <c r="A886" t="s">
        <v>3836</v>
      </c>
      <c r="B886" t="s">
        <v>733</v>
      </c>
      <c r="C886">
        <v>20</v>
      </c>
      <c r="D886">
        <v>38</v>
      </c>
    </row>
    <row r="887" spans="1:4" ht="15.75" customHeight="1">
      <c r="A887" t="s">
        <v>3837</v>
      </c>
      <c r="B887" t="s">
        <v>762</v>
      </c>
      <c r="C887">
        <v>19</v>
      </c>
      <c r="D887">
        <v>25</v>
      </c>
    </row>
    <row r="888" spans="1:4" ht="15.75" customHeight="1">
      <c r="A888" t="s">
        <v>3838</v>
      </c>
      <c r="B888" t="s">
        <v>780</v>
      </c>
      <c r="C888">
        <v>8</v>
      </c>
      <c r="D888">
        <v>40</v>
      </c>
    </row>
    <row r="889" spans="1:4" ht="15.75" customHeight="1">
      <c r="A889" t="s">
        <v>3839</v>
      </c>
      <c r="B889" t="s">
        <v>782</v>
      </c>
      <c r="C889">
        <v>8</v>
      </c>
      <c r="D889">
        <v>40</v>
      </c>
    </row>
    <row r="890" spans="1:4" ht="15.75" customHeight="1">
      <c r="A890" t="s">
        <v>5709</v>
      </c>
      <c r="B890" t="s">
        <v>814</v>
      </c>
      <c r="C890">
        <v>20</v>
      </c>
      <c r="D890">
        <v>40</v>
      </c>
    </row>
    <row r="891" spans="1:4" ht="15.75" customHeight="1">
      <c r="A891" t="s">
        <v>3840</v>
      </c>
      <c r="B891" t="s">
        <v>866</v>
      </c>
      <c r="C891">
        <v>19</v>
      </c>
      <c r="D891">
        <v>25</v>
      </c>
    </row>
    <row r="892" spans="1:4" ht="15.75" customHeight="1">
      <c r="A892" t="s">
        <v>5710</v>
      </c>
      <c r="B892" t="s">
        <v>887</v>
      </c>
      <c r="C892">
        <v>18</v>
      </c>
      <c r="D892">
        <v>38</v>
      </c>
    </row>
    <row r="893" spans="1:4" ht="15.75" customHeight="1">
      <c r="A893" t="s">
        <v>3841</v>
      </c>
      <c r="B893" t="s">
        <v>887</v>
      </c>
      <c r="C893">
        <v>19</v>
      </c>
      <c r="D893">
        <v>25</v>
      </c>
    </row>
    <row r="894" spans="1:4" ht="15.75" customHeight="1">
      <c r="A894" t="s">
        <v>3842</v>
      </c>
      <c r="B894" t="s">
        <v>887</v>
      </c>
      <c r="C894">
        <v>8</v>
      </c>
      <c r="D894">
        <v>40</v>
      </c>
    </row>
    <row r="895" spans="1:4" ht="15.75" customHeight="1">
      <c r="A895" t="s">
        <v>3843</v>
      </c>
      <c r="B895" t="s">
        <v>904</v>
      </c>
      <c r="C895">
        <v>19</v>
      </c>
      <c r="D895">
        <v>25</v>
      </c>
    </row>
    <row r="896" spans="1:4" ht="15.75" customHeight="1">
      <c r="A896" t="s">
        <v>3844</v>
      </c>
      <c r="B896" t="s">
        <v>904</v>
      </c>
      <c r="C896">
        <v>8</v>
      </c>
      <c r="D896">
        <v>40</v>
      </c>
    </row>
    <row r="897" spans="1:4" ht="15.75" customHeight="1">
      <c r="A897" t="s">
        <v>3845</v>
      </c>
      <c r="B897" t="s">
        <v>917</v>
      </c>
      <c r="C897">
        <v>19</v>
      </c>
      <c r="D897">
        <v>25</v>
      </c>
    </row>
    <row r="898" spans="1:4" ht="15.75" customHeight="1">
      <c r="A898" t="s">
        <v>3846</v>
      </c>
      <c r="B898" t="s">
        <v>922</v>
      </c>
      <c r="C898">
        <v>9</v>
      </c>
      <c r="D898">
        <v>40</v>
      </c>
    </row>
    <row r="899" spans="1:4" ht="15.75" customHeight="1">
      <c r="A899" t="s">
        <v>5711</v>
      </c>
      <c r="B899" t="s">
        <v>922</v>
      </c>
      <c r="C899">
        <v>20</v>
      </c>
      <c r="D899">
        <v>40</v>
      </c>
    </row>
    <row r="900" spans="1:4" ht="15.75" customHeight="1">
      <c r="A900" t="s">
        <v>3847</v>
      </c>
      <c r="B900" t="s">
        <v>951</v>
      </c>
      <c r="C900">
        <v>8</v>
      </c>
      <c r="D900">
        <v>40</v>
      </c>
    </row>
    <row r="901" spans="1:4" ht="15.75" customHeight="1">
      <c r="A901" t="s">
        <v>3848</v>
      </c>
      <c r="B901" t="s">
        <v>2084</v>
      </c>
      <c r="C901">
        <v>8</v>
      </c>
      <c r="D901">
        <v>20</v>
      </c>
    </row>
    <row r="902" spans="1:4" ht="15.75" customHeight="1">
      <c r="A902" t="s">
        <v>3849</v>
      </c>
      <c r="B902" t="s">
        <v>2084</v>
      </c>
      <c r="C902">
        <v>8</v>
      </c>
      <c r="D902">
        <v>40</v>
      </c>
    </row>
    <row r="903" spans="1:4" ht="15.75" customHeight="1">
      <c r="A903" t="s">
        <v>3850</v>
      </c>
      <c r="B903" t="s">
        <v>2087</v>
      </c>
      <c r="C903">
        <v>8</v>
      </c>
      <c r="D903">
        <v>20</v>
      </c>
    </row>
    <row r="904" spans="1:4" ht="15.75" customHeight="1">
      <c r="A904" t="s">
        <v>3851</v>
      </c>
      <c r="B904" t="s">
        <v>2087</v>
      </c>
      <c r="C904">
        <v>8</v>
      </c>
      <c r="D904">
        <v>40</v>
      </c>
    </row>
    <row r="905" spans="1:4" ht="15.75" customHeight="1">
      <c r="A905" t="s">
        <v>3852</v>
      </c>
      <c r="B905" t="s">
        <v>2096</v>
      </c>
      <c r="C905">
        <v>8</v>
      </c>
      <c r="D905">
        <v>20</v>
      </c>
    </row>
    <row r="906" spans="1:4" ht="15.75" customHeight="1">
      <c r="A906" t="s">
        <v>3853</v>
      </c>
      <c r="B906" t="s">
        <v>2096</v>
      </c>
      <c r="C906">
        <v>8</v>
      </c>
      <c r="D906">
        <v>40</v>
      </c>
    </row>
    <row r="907" spans="1:4" ht="15.75" customHeight="1">
      <c r="A907" t="s">
        <v>3854</v>
      </c>
      <c r="B907" t="s">
        <v>2099</v>
      </c>
      <c r="C907">
        <v>8</v>
      </c>
      <c r="D907">
        <v>20</v>
      </c>
    </row>
    <row r="908" spans="1:4" ht="15.75" customHeight="1">
      <c r="A908" t="s">
        <v>3855</v>
      </c>
      <c r="B908" t="s">
        <v>2099</v>
      </c>
      <c r="C908">
        <v>8</v>
      </c>
      <c r="D908">
        <v>40</v>
      </c>
    </row>
    <row r="909" spans="1:4" ht="15.75" customHeight="1">
      <c r="A909" t="s">
        <v>3856</v>
      </c>
      <c r="B909" t="s">
        <v>2102</v>
      </c>
      <c r="C909">
        <v>8</v>
      </c>
      <c r="D909">
        <v>20</v>
      </c>
    </row>
    <row r="910" spans="1:4" ht="15.75" customHeight="1">
      <c r="A910" t="s">
        <v>3857</v>
      </c>
      <c r="B910" t="s">
        <v>2102</v>
      </c>
      <c r="C910">
        <v>8</v>
      </c>
      <c r="D910">
        <v>40</v>
      </c>
    </row>
    <row r="911" spans="1:4" ht="15.75" customHeight="1">
      <c r="A911" t="s">
        <v>3858</v>
      </c>
      <c r="B911" t="s">
        <v>2105</v>
      </c>
      <c r="C911">
        <v>8</v>
      </c>
      <c r="D911">
        <v>20</v>
      </c>
    </row>
    <row r="912" spans="1:4" ht="15.75" customHeight="1">
      <c r="A912" t="s">
        <v>3859</v>
      </c>
      <c r="B912" t="s">
        <v>2105</v>
      </c>
      <c r="C912">
        <v>8</v>
      </c>
      <c r="D912">
        <v>40</v>
      </c>
    </row>
    <row r="913" spans="1:4" ht="15.75" customHeight="1">
      <c r="A913" t="s">
        <v>3860</v>
      </c>
      <c r="B913" t="s">
        <v>2108</v>
      </c>
      <c r="C913">
        <v>8</v>
      </c>
      <c r="D913">
        <v>20</v>
      </c>
    </row>
    <row r="914" spans="1:4" ht="15.75" customHeight="1">
      <c r="A914" t="s">
        <v>3861</v>
      </c>
      <c r="B914" t="s">
        <v>2108</v>
      </c>
      <c r="C914">
        <v>8</v>
      </c>
      <c r="D914">
        <v>40</v>
      </c>
    </row>
    <row r="915" spans="1:4" ht="15.75" customHeight="1">
      <c r="A915" t="s">
        <v>3862</v>
      </c>
      <c r="B915" t="s">
        <v>2111</v>
      </c>
      <c r="C915">
        <v>8</v>
      </c>
      <c r="D915">
        <v>20</v>
      </c>
    </row>
    <row r="916" spans="1:4" ht="15.75" customHeight="1">
      <c r="A916" t="s">
        <v>3863</v>
      </c>
      <c r="B916" t="s">
        <v>2111</v>
      </c>
      <c r="C916">
        <v>8</v>
      </c>
      <c r="D916">
        <v>40</v>
      </c>
    </row>
    <row r="917" spans="1:4" ht="15.75" customHeight="1">
      <c r="A917" t="s">
        <v>3864</v>
      </c>
      <c r="B917" t="s">
        <v>3865</v>
      </c>
      <c r="C917">
        <v>9</v>
      </c>
      <c r="D917">
        <v>20</v>
      </c>
    </row>
    <row r="918" spans="1:4" ht="15.75" customHeight="1">
      <c r="A918" t="s">
        <v>5712</v>
      </c>
      <c r="B918" t="s">
        <v>2746</v>
      </c>
      <c r="C918">
        <v>20</v>
      </c>
      <c r="D918">
        <v>38</v>
      </c>
    </row>
    <row r="919" spans="1:4" ht="15.75" customHeight="1">
      <c r="A919" t="s">
        <v>3866</v>
      </c>
      <c r="B919" t="s">
        <v>3867</v>
      </c>
      <c r="C919">
        <v>8</v>
      </c>
      <c r="D919">
        <v>40</v>
      </c>
    </row>
    <row r="920" spans="1:4" ht="15.75" customHeight="1">
      <c r="A920" t="s">
        <v>3868</v>
      </c>
      <c r="C920">
        <v>9</v>
      </c>
      <c r="D920">
        <v>20</v>
      </c>
    </row>
    <row r="921" spans="1:4" ht="15.75" customHeight="1">
      <c r="A921" t="s">
        <v>3869</v>
      </c>
      <c r="B921" t="s">
        <v>2781</v>
      </c>
      <c r="C921">
        <v>9</v>
      </c>
      <c r="D921">
        <v>20</v>
      </c>
    </row>
    <row r="922" spans="1:4" ht="15.75" customHeight="1">
      <c r="A922" t="s">
        <v>3870</v>
      </c>
      <c r="B922" t="s">
        <v>2783</v>
      </c>
      <c r="C922">
        <v>9</v>
      </c>
      <c r="D922">
        <v>20</v>
      </c>
    </row>
    <row r="923" spans="1:4" ht="15.75" customHeight="1">
      <c r="A923" t="s">
        <v>3871</v>
      </c>
      <c r="B923" t="s">
        <v>2785</v>
      </c>
      <c r="C923">
        <v>9</v>
      </c>
      <c r="D923">
        <v>20</v>
      </c>
    </row>
    <row r="924" spans="1:4" ht="15.75" customHeight="1">
      <c r="A924" t="s">
        <v>3872</v>
      </c>
      <c r="B924" t="s">
        <v>2785</v>
      </c>
      <c r="C924">
        <v>8</v>
      </c>
      <c r="D924">
        <v>40</v>
      </c>
    </row>
    <row r="925" spans="1:4" ht="15.75" customHeight="1">
      <c r="A925" t="s">
        <v>3873</v>
      </c>
      <c r="B925" t="s">
        <v>1106</v>
      </c>
      <c r="C925">
        <v>19</v>
      </c>
      <c r="D925">
        <v>25</v>
      </c>
    </row>
    <row r="926" spans="1:4" ht="15.75" customHeight="1">
      <c r="A926" t="s">
        <v>3874</v>
      </c>
      <c r="B926" t="s">
        <v>1162</v>
      </c>
      <c r="C926">
        <v>19</v>
      </c>
      <c r="D926">
        <v>25</v>
      </c>
    </row>
    <row r="927" spans="1:4" ht="15.75" customHeight="1">
      <c r="A927" t="s">
        <v>5713</v>
      </c>
      <c r="B927" t="s">
        <v>1173</v>
      </c>
      <c r="C927">
        <v>8</v>
      </c>
      <c r="D927">
        <v>40</v>
      </c>
    </row>
    <row r="928" spans="1:4" ht="15.75" customHeight="1">
      <c r="A928" t="s">
        <v>3875</v>
      </c>
      <c r="B928" t="s">
        <v>1198</v>
      </c>
      <c r="C928">
        <v>9</v>
      </c>
      <c r="D928">
        <v>20</v>
      </c>
    </row>
    <row r="929" spans="1:4" ht="15.75" customHeight="1">
      <c r="A929" t="s">
        <v>3876</v>
      </c>
      <c r="B929" t="s">
        <v>1218</v>
      </c>
      <c r="C929">
        <v>19</v>
      </c>
      <c r="D929">
        <v>25</v>
      </c>
    </row>
    <row r="930" spans="1:4" ht="15.75" customHeight="1">
      <c r="A930" t="s">
        <v>3877</v>
      </c>
      <c r="B930" t="s">
        <v>1234</v>
      </c>
      <c r="C930">
        <v>9</v>
      </c>
      <c r="D930">
        <v>20</v>
      </c>
    </row>
    <row r="931" spans="1:4" ht="15.75" customHeight="1">
      <c r="A931" t="s">
        <v>3878</v>
      </c>
      <c r="B931" t="s">
        <v>1250</v>
      </c>
      <c r="C931">
        <v>19</v>
      </c>
      <c r="D931">
        <v>25</v>
      </c>
    </row>
    <row r="932" spans="1:4" ht="15.75" customHeight="1">
      <c r="A932" t="s">
        <v>5714</v>
      </c>
      <c r="B932" t="s">
        <v>1257</v>
      </c>
      <c r="C932">
        <v>9</v>
      </c>
      <c r="D932">
        <v>20</v>
      </c>
    </row>
    <row r="933" spans="1:4" ht="15.75" customHeight="1">
      <c r="A933" t="s">
        <v>3879</v>
      </c>
      <c r="B933" t="s">
        <v>1271</v>
      </c>
      <c r="C933">
        <v>20</v>
      </c>
      <c r="D933">
        <v>40</v>
      </c>
    </row>
    <row r="934" spans="1:4" ht="15.75" customHeight="1">
      <c r="A934" t="s">
        <v>3880</v>
      </c>
      <c r="B934" t="s">
        <v>1285</v>
      </c>
      <c r="C934">
        <v>9</v>
      </c>
      <c r="D934">
        <v>40</v>
      </c>
    </row>
    <row r="935" spans="1:4" ht="15.75" customHeight="1">
      <c r="A935" t="s">
        <v>3881</v>
      </c>
      <c r="B935" t="s">
        <v>1299</v>
      </c>
      <c r="C935">
        <v>9</v>
      </c>
      <c r="D935">
        <v>20</v>
      </c>
    </row>
    <row r="936" spans="1:4" ht="15.75" customHeight="1">
      <c r="A936" t="s">
        <v>3882</v>
      </c>
      <c r="B936" t="s">
        <v>1299</v>
      </c>
      <c r="C936">
        <v>9</v>
      </c>
      <c r="D936">
        <v>20</v>
      </c>
    </row>
    <row r="937" spans="1:4" ht="15.75" customHeight="1">
      <c r="A937" t="s">
        <v>3883</v>
      </c>
      <c r="B937" t="s">
        <v>1317</v>
      </c>
      <c r="C937">
        <v>9</v>
      </c>
      <c r="D937">
        <v>20</v>
      </c>
    </row>
    <row r="938" spans="1:4" ht="15.75" customHeight="1">
      <c r="A938" t="s">
        <v>3884</v>
      </c>
      <c r="B938" t="s">
        <v>3885</v>
      </c>
      <c r="C938">
        <v>8</v>
      </c>
      <c r="D938">
        <v>40</v>
      </c>
    </row>
    <row r="939" spans="1:4" ht="15.75" customHeight="1">
      <c r="A939" t="s">
        <v>3886</v>
      </c>
      <c r="B939" t="s">
        <v>1353</v>
      </c>
      <c r="C939">
        <v>19</v>
      </c>
      <c r="D939">
        <v>25</v>
      </c>
    </row>
    <row r="940" spans="1:4" ht="15.75" customHeight="1">
      <c r="A940" t="s">
        <v>3887</v>
      </c>
      <c r="B940" t="s">
        <v>1389</v>
      </c>
      <c r="C940">
        <v>8</v>
      </c>
      <c r="D940">
        <v>25</v>
      </c>
    </row>
    <row r="941" spans="1:4" ht="15.75" customHeight="1">
      <c r="A941" t="s">
        <v>3888</v>
      </c>
      <c r="C941">
        <v>9</v>
      </c>
      <c r="D941">
        <v>20</v>
      </c>
    </row>
    <row r="942" spans="1:4" ht="15.75" customHeight="1">
      <c r="A942" t="s">
        <v>3889</v>
      </c>
      <c r="B942" t="s">
        <v>1421</v>
      </c>
      <c r="C942">
        <v>20</v>
      </c>
      <c r="D942">
        <v>40</v>
      </c>
    </row>
    <row r="943" spans="1:4" ht="15.75" customHeight="1">
      <c r="A943" t="s">
        <v>3890</v>
      </c>
      <c r="B943" t="s">
        <v>3891</v>
      </c>
      <c r="C943">
        <v>20</v>
      </c>
      <c r="D943">
        <v>41</v>
      </c>
    </row>
    <row r="944" spans="1:4" ht="15.75" customHeight="1">
      <c r="A944" t="s">
        <v>3892</v>
      </c>
      <c r="B944" t="s">
        <v>1423</v>
      </c>
      <c r="C944">
        <v>20</v>
      </c>
      <c r="D944">
        <v>50</v>
      </c>
    </row>
    <row r="945" spans="1:4" ht="15.75" customHeight="1">
      <c r="A945" t="s">
        <v>3893</v>
      </c>
      <c r="B945" t="s">
        <v>1437</v>
      </c>
      <c r="C945">
        <v>9</v>
      </c>
      <c r="D945">
        <v>20</v>
      </c>
    </row>
    <row r="946" spans="1:4" ht="15.75" customHeight="1">
      <c r="A946" t="s">
        <v>3894</v>
      </c>
      <c r="B946" t="s">
        <v>3895</v>
      </c>
      <c r="C946">
        <v>8</v>
      </c>
      <c r="D946">
        <v>40</v>
      </c>
    </row>
    <row r="947" spans="1:4" ht="15.75" customHeight="1">
      <c r="A947" t="s">
        <v>3896</v>
      </c>
      <c r="C947">
        <v>21</v>
      </c>
      <c r="D947">
        <v>26</v>
      </c>
    </row>
    <row r="948" spans="1:4" ht="15.75" customHeight="1">
      <c r="A948" t="s">
        <v>3897</v>
      </c>
      <c r="B948" t="s">
        <v>1466</v>
      </c>
      <c r="C948">
        <v>8</v>
      </c>
      <c r="D948">
        <v>40</v>
      </c>
    </row>
    <row r="949" spans="1:4" ht="15.75" customHeight="1">
      <c r="A949" t="s">
        <v>3898</v>
      </c>
      <c r="B949" t="s">
        <v>1509</v>
      </c>
      <c r="C949">
        <v>19</v>
      </c>
      <c r="D949">
        <v>25</v>
      </c>
    </row>
    <row r="950" spans="1:4" ht="15.75" customHeight="1">
      <c r="A950" t="s">
        <v>3899</v>
      </c>
      <c r="B950" t="s">
        <v>1530</v>
      </c>
      <c r="C950">
        <v>19</v>
      </c>
      <c r="D950">
        <v>25</v>
      </c>
    </row>
    <row r="951" spans="1:4" ht="15.75" customHeight="1">
      <c r="A951" t="s">
        <v>3900</v>
      </c>
      <c r="B951" t="s">
        <v>1520</v>
      </c>
      <c r="C951">
        <v>8</v>
      </c>
      <c r="D951">
        <v>40</v>
      </c>
    </row>
    <row r="952" spans="1:4" ht="15.75" customHeight="1">
      <c r="A952" t="s">
        <v>3901</v>
      </c>
      <c r="B952" t="s">
        <v>1542</v>
      </c>
      <c r="C952">
        <v>9</v>
      </c>
      <c r="D952">
        <v>20</v>
      </c>
    </row>
    <row r="953" spans="1:4" ht="15.75" customHeight="1">
      <c r="A953" t="s">
        <v>3902</v>
      </c>
      <c r="B953" t="s">
        <v>1542</v>
      </c>
      <c r="C953">
        <v>9</v>
      </c>
      <c r="D953">
        <v>20</v>
      </c>
    </row>
    <row r="954" spans="1:4" ht="15.75" customHeight="1">
      <c r="A954" t="s">
        <v>3903</v>
      </c>
      <c r="B954" t="s">
        <v>3904</v>
      </c>
      <c r="C954">
        <v>9</v>
      </c>
      <c r="D954">
        <v>20</v>
      </c>
    </row>
    <row r="955" spans="1:4" ht="15.75" customHeight="1">
      <c r="A955" t="s">
        <v>3905</v>
      </c>
      <c r="B955" t="s">
        <v>3904</v>
      </c>
      <c r="C955">
        <v>8</v>
      </c>
      <c r="D955">
        <v>40</v>
      </c>
    </row>
    <row r="956" spans="1:4" ht="15.75" customHeight="1">
      <c r="A956" t="s">
        <v>3906</v>
      </c>
      <c r="B956" t="s">
        <v>5715</v>
      </c>
      <c r="C956">
        <v>8</v>
      </c>
      <c r="D956">
        <v>40</v>
      </c>
    </row>
    <row r="957" spans="1:4" ht="15.75" customHeight="1">
      <c r="A957" t="s">
        <v>3907</v>
      </c>
      <c r="B957" t="s">
        <v>5716</v>
      </c>
      <c r="C957">
        <v>8</v>
      </c>
      <c r="D957">
        <v>40</v>
      </c>
    </row>
    <row r="958" spans="1:4" ht="15.75" customHeight="1">
      <c r="A958" t="s">
        <v>3908</v>
      </c>
      <c r="B958" t="s">
        <v>556</v>
      </c>
      <c r="C958">
        <v>9</v>
      </c>
      <c r="D958">
        <v>20</v>
      </c>
    </row>
    <row r="959" spans="1:4" ht="15.75" customHeight="1">
      <c r="A959" t="s">
        <v>3909</v>
      </c>
      <c r="B959" t="s">
        <v>812</v>
      </c>
      <c r="C959">
        <v>8</v>
      </c>
      <c r="D959">
        <v>40</v>
      </c>
    </row>
    <row r="960" spans="1:4" ht="15.75" customHeight="1">
      <c r="A960" t="s">
        <v>3910</v>
      </c>
      <c r="B960" t="s">
        <v>818</v>
      </c>
      <c r="C960">
        <v>9</v>
      </c>
      <c r="D960">
        <v>20</v>
      </c>
    </row>
    <row r="961" spans="1:4" ht="15.75" customHeight="1">
      <c r="A961" t="s">
        <v>3911</v>
      </c>
      <c r="B961" t="s">
        <v>818</v>
      </c>
      <c r="C961">
        <v>8</v>
      </c>
      <c r="D961">
        <v>40</v>
      </c>
    </row>
    <row r="962" spans="1:4" ht="15.75" customHeight="1">
      <c r="A962" t="s">
        <v>3912</v>
      </c>
      <c r="B962" t="s">
        <v>821</v>
      </c>
      <c r="C962">
        <v>9</v>
      </c>
      <c r="D962">
        <v>20</v>
      </c>
    </row>
    <row r="963" spans="1:4" ht="15.75" customHeight="1">
      <c r="A963" t="s">
        <v>3913</v>
      </c>
      <c r="B963" t="s">
        <v>935</v>
      </c>
      <c r="C963">
        <v>9</v>
      </c>
      <c r="D963">
        <v>20</v>
      </c>
    </row>
    <row r="964" spans="1:4" ht="15.75" customHeight="1">
      <c r="A964" t="s">
        <v>3914</v>
      </c>
      <c r="B964" t="s">
        <v>3915</v>
      </c>
      <c r="C964">
        <v>11</v>
      </c>
      <c r="D964">
        <v>20</v>
      </c>
    </row>
    <row r="965" spans="1:4" ht="15.75" customHeight="1">
      <c r="A965" t="s">
        <v>3916</v>
      </c>
      <c r="B965" t="s">
        <v>1758</v>
      </c>
      <c r="C965">
        <v>11</v>
      </c>
      <c r="D965">
        <v>40</v>
      </c>
    </row>
    <row r="966" spans="1:4" ht="15.75" customHeight="1">
      <c r="A966" t="s">
        <v>3917</v>
      </c>
      <c r="B966" t="s">
        <v>1770</v>
      </c>
      <c r="C966">
        <v>11</v>
      </c>
      <c r="D966">
        <v>40</v>
      </c>
    </row>
    <row r="967" spans="1:4" ht="15.75" customHeight="1">
      <c r="A967" t="s">
        <v>3918</v>
      </c>
      <c r="B967" t="s">
        <v>3919</v>
      </c>
      <c r="C967">
        <v>11</v>
      </c>
      <c r="D967">
        <v>20</v>
      </c>
    </row>
    <row r="968" spans="1:4" ht="15.75" customHeight="1">
      <c r="A968" t="s">
        <v>3920</v>
      </c>
      <c r="B968" t="s">
        <v>2490</v>
      </c>
      <c r="C968">
        <v>11</v>
      </c>
      <c r="D968">
        <v>40</v>
      </c>
    </row>
    <row r="969" spans="1:4" ht="15.75" customHeight="1">
      <c r="A969" t="s">
        <v>3921</v>
      </c>
      <c r="B969" t="s">
        <v>1799</v>
      </c>
      <c r="C969">
        <v>11</v>
      </c>
      <c r="D969">
        <v>40</v>
      </c>
    </row>
    <row r="970" spans="1:4" ht="15.75" customHeight="1">
      <c r="A970" t="s">
        <v>3922</v>
      </c>
      <c r="B970" t="s">
        <v>1802</v>
      </c>
      <c r="C970">
        <v>11</v>
      </c>
      <c r="D970">
        <v>40</v>
      </c>
    </row>
    <row r="971" spans="1:4" ht="15.75" customHeight="1">
      <c r="A971" t="s">
        <v>3923</v>
      </c>
      <c r="B971" t="s">
        <v>216</v>
      </c>
      <c r="C971">
        <v>11</v>
      </c>
      <c r="D971">
        <v>20</v>
      </c>
    </row>
    <row r="972" spans="1:4" ht="15.75" customHeight="1">
      <c r="A972" t="s">
        <v>3924</v>
      </c>
      <c r="B972" t="s">
        <v>216</v>
      </c>
      <c r="C972">
        <v>9</v>
      </c>
      <c r="D972">
        <v>20</v>
      </c>
    </row>
    <row r="973" spans="1:4" ht="15.75" customHeight="1">
      <c r="A973" t="s">
        <v>3925</v>
      </c>
      <c r="B973" t="s">
        <v>216</v>
      </c>
      <c r="C973">
        <v>19</v>
      </c>
      <c r="D973">
        <v>25</v>
      </c>
    </row>
    <row r="974" spans="1:4" ht="15.75" customHeight="1">
      <c r="A974" t="s">
        <v>3926</v>
      </c>
      <c r="B974" t="s">
        <v>221</v>
      </c>
      <c r="C974">
        <v>11</v>
      </c>
      <c r="D974">
        <v>20</v>
      </c>
    </row>
    <row r="975" spans="1:4" ht="15.75" customHeight="1">
      <c r="A975" t="s">
        <v>3927</v>
      </c>
      <c r="B975" t="s">
        <v>221</v>
      </c>
      <c r="C975">
        <v>9</v>
      </c>
      <c r="D975">
        <v>20</v>
      </c>
    </row>
    <row r="976" spans="1:4" ht="15.75" customHeight="1">
      <c r="A976" t="s">
        <v>3928</v>
      </c>
      <c r="B976" t="s">
        <v>224</v>
      </c>
      <c r="C976">
        <v>11</v>
      </c>
      <c r="D976">
        <v>20</v>
      </c>
    </row>
    <row r="977" spans="1:4" ht="15.75" customHeight="1">
      <c r="A977" t="s">
        <v>3929</v>
      </c>
      <c r="B977" t="s">
        <v>224</v>
      </c>
      <c r="C977">
        <v>11</v>
      </c>
      <c r="D977">
        <v>20</v>
      </c>
    </row>
    <row r="978" spans="1:4" ht="15.75" customHeight="1">
      <c r="A978" t="s">
        <v>3930</v>
      </c>
      <c r="B978" t="s">
        <v>226</v>
      </c>
      <c r="C978">
        <v>11</v>
      </c>
      <c r="D978">
        <v>20</v>
      </c>
    </row>
    <row r="979" spans="1:4" ht="15.75" customHeight="1">
      <c r="A979" t="s">
        <v>3931</v>
      </c>
      <c r="B979" t="s">
        <v>226</v>
      </c>
      <c r="C979">
        <v>9</v>
      </c>
      <c r="D979">
        <v>20</v>
      </c>
    </row>
    <row r="980" spans="1:4" ht="15.75" customHeight="1">
      <c r="A980" t="s">
        <v>3932</v>
      </c>
      <c r="B980" t="s">
        <v>3933</v>
      </c>
      <c r="C980">
        <v>11</v>
      </c>
      <c r="D980">
        <v>20</v>
      </c>
    </row>
    <row r="981" spans="1:4" ht="15.75" customHeight="1">
      <c r="A981" t="s">
        <v>3934</v>
      </c>
      <c r="B981" t="s">
        <v>1821</v>
      </c>
      <c r="C981">
        <v>11</v>
      </c>
      <c r="D981">
        <v>20</v>
      </c>
    </row>
    <row r="982" spans="1:4" ht="15.75" customHeight="1">
      <c r="A982" t="s">
        <v>3935</v>
      </c>
      <c r="B982" t="s">
        <v>1832</v>
      </c>
      <c r="C982">
        <v>11</v>
      </c>
      <c r="D982">
        <v>40</v>
      </c>
    </row>
    <row r="983" spans="1:4" ht="15.75" customHeight="1">
      <c r="A983" t="s">
        <v>3936</v>
      </c>
      <c r="B983" t="s">
        <v>234</v>
      </c>
      <c r="C983">
        <v>9</v>
      </c>
      <c r="D983">
        <v>20</v>
      </c>
    </row>
    <row r="984" spans="1:4" ht="15.75" customHeight="1">
      <c r="A984" t="s">
        <v>3937</v>
      </c>
      <c r="B984" t="s">
        <v>1875</v>
      </c>
      <c r="C984">
        <v>11</v>
      </c>
      <c r="D984">
        <v>40</v>
      </c>
    </row>
    <row r="985" spans="1:4" ht="15.75" customHeight="1">
      <c r="A985" t="s">
        <v>3938</v>
      </c>
      <c r="B985" t="s">
        <v>1877</v>
      </c>
      <c r="C985">
        <v>11</v>
      </c>
      <c r="D985">
        <v>40</v>
      </c>
    </row>
    <row r="986" spans="1:4" ht="15.75" customHeight="1">
      <c r="A986" t="s">
        <v>3939</v>
      </c>
      <c r="B986" t="s">
        <v>1882</v>
      </c>
      <c r="C986">
        <v>11</v>
      </c>
      <c r="D986">
        <v>40</v>
      </c>
    </row>
    <row r="987" spans="1:4" ht="15.75" customHeight="1">
      <c r="A987" t="s">
        <v>3940</v>
      </c>
      <c r="B987" t="s">
        <v>1887</v>
      </c>
      <c r="C987">
        <v>11</v>
      </c>
      <c r="D987">
        <v>40</v>
      </c>
    </row>
    <row r="988" spans="1:4" ht="15.75" customHeight="1">
      <c r="A988" t="s">
        <v>3941</v>
      </c>
      <c r="B988" t="s">
        <v>236</v>
      </c>
      <c r="C988">
        <v>11</v>
      </c>
      <c r="D988">
        <v>20</v>
      </c>
    </row>
    <row r="989" spans="1:4" ht="15.75" customHeight="1">
      <c r="A989" t="s">
        <v>3942</v>
      </c>
      <c r="B989" t="s">
        <v>236</v>
      </c>
      <c r="C989">
        <v>15</v>
      </c>
      <c r="D989">
        <v>20</v>
      </c>
    </row>
    <row r="990" spans="1:4" ht="15.75" customHeight="1">
      <c r="A990" t="s">
        <v>3943</v>
      </c>
      <c r="B990" t="s">
        <v>236</v>
      </c>
      <c r="C990">
        <v>19</v>
      </c>
      <c r="D990">
        <v>25</v>
      </c>
    </row>
    <row r="991" spans="1:4" ht="15.75" customHeight="1">
      <c r="A991" t="s">
        <v>3944</v>
      </c>
      <c r="B991" t="s">
        <v>239</v>
      </c>
      <c r="C991">
        <v>11</v>
      </c>
      <c r="D991">
        <v>40</v>
      </c>
    </row>
    <row r="992" spans="1:4" ht="15.75" customHeight="1">
      <c r="A992" t="s">
        <v>3945</v>
      </c>
      <c r="B992" t="s">
        <v>241</v>
      </c>
      <c r="C992">
        <v>11</v>
      </c>
      <c r="D992">
        <v>20</v>
      </c>
    </row>
    <row r="993" spans="1:4" ht="15.75" customHeight="1">
      <c r="A993" t="s">
        <v>3946</v>
      </c>
      <c r="B993" t="s">
        <v>241</v>
      </c>
      <c r="C993">
        <v>9</v>
      </c>
      <c r="D993">
        <v>20</v>
      </c>
    </row>
    <row r="994" spans="1:4" ht="15.75" customHeight="1">
      <c r="A994" t="s">
        <v>3947</v>
      </c>
      <c r="B994" t="s">
        <v>1913</v>
      </c>
      <c r="C994">
        <v>11</v>
      </c>
      <c r="D994">
        <v>40</v>
      </c>
    </row>
    <row r="995" spans="1:4" ht="15.75" customHeight="1">
      <c r="A995" t="s">
        <v>3948</v>
      </c>
      <c r="B995" t="s">
        <v>244</v>
      </c>
      <c r="C995">
        <v>11</v>
      </c>
      <c r="D995">
        <v>20</v>
      </c>
    </row>
    <row r="996" spans="1:4" ht="15.75" customHeight="1">
      <c r="A996" t="s">
        <v>3949</v>
      </c>
      <c r="B996" t="s">
        <v>244</v>
      </c>
      <c r="C996">
        <v>9</v>
      </c>
      <c r="D996">
        <v>20</v>
      </c>
    </row>
    <row r="997" spans="1:4" ht="15.75" customHeight="1">
      <c r="A997" t="s">
        <v>3950</v>
      </c>
      <c r="B997" t="s">
        <v>244</v>
      </c>
      <c r="C997">
        <v>19</v>
      </c>
      <c r="D997">
        <v>25</v>
      </c>
    </row>
    <row r="998" spans="1:4" ht="15.75" customHeight="1">
      <c r="A998" t="s">
        <v>3951</v>
      </c>
      <c r="B998" t="s">
        <v>250</v>
      </c>
      <c r="C998">
        <v>11</v>
      </c>
      <c r="D998">
        <v>20</v>
      </c>
    </row>
    <row r="999" spans="1:4" ht="15.75" customHeight="1">
      <c r="A999" t="s">
        <v>3952</v>
      </c>
      <c r="B999" t="s">
        <v>250</v>
      </c>
      <c r="C999">
        <v>15</v>
      </c>
      <c r="D999">
        <v>20</v>
      </c>
    </row>
    <row r="1000" spans="1:4" ht="15.75" customHeight="1">
      <c r="A1000" t="s">
        <v>3953</v>
      </c>
      <c r="B1000" t="s">
        <v>250</v>
      </c>
      <c r="C1000">
        <v>19</v>
      </c>
      <c r="D1000">
        <v>25</v>
      </c>
    </row>
    <row r="1001" spans="1:4" ht="15.75" customHeight="1">
      <c r="A1001" t="s">
        <v>3954</v>
      </c>
      <c r="B1001" t="s">
        <v>258</v>
      </c>
      <c r="C1001">
        <v>11</v>
      </c>
      <c r="D1001">
        <v>20</v>
      </c>
    </row>
    <row r="1002" spans="1:4" ht="15.75" customHeight="1">
      <c r="A1002" t="s">
        <v>3955</v>
      </c>
      <c r="B1002" t="s">
        <v>258</v>
      </c>
      <c r="C1002">
        <v>9</v>
      </c>
      <c r="D1002">
        <v>20</v>
      </c>
    </row>
    <row r="1003" spans="1:4" ht="15.75" customHeight="1">
      <c r="A1003" t="s">
        <v>3956</v>
      </c>
      <c r="B1003" t="s">
        <v>263</v>
      </c>
      <c r="C1003">
        <v>11</v>
      </c>
      <c r="D1003">
        <v>20</v>
      </c>
    </row>
    <row r="1004" spans="1:4" ht="15.75" customHeight="1">
      <c r="A1004" t="s">
        <v>3957</v>
      </c>
      <c r="B1004" t="s">
        <v>263</v>
      </c>
      <c r="C1004">
        <v>11</v>
      </c>
      <c r="D1004">
        <v>20</v>
      </c>
    </row>
    <row r="1005" spans="1:4" ht="15.75" customHeight="1">
      <c r="A1005" t="s">
        <v>3958</v>
      </c>
      <c r="B1005" t="s">
        <v>263</v>
      </c>
      <c r="C1005">
        <v>19</v>
      </c>
      <c r="D1005">
        <v>25</v>
      </c>
    </row>
    <row r="1006" spans="1:4" ht="15.75" customHeight="1">
      <c r="A1006" t="s">
        <v>3959</v>
      </c>
      <c r="B1006" t="s">
        <v>1922</v>
      </c>
      <c r="C1006">
        <v>11</v>
      </c>
      <c r="D1006">
        <v>40</v>
      </c>
    </row>
    <row r="1007" spans="1:4" ht="15.75" customHeight="1">
      <c r="A1007" t="s">
        <v>3960</v>
      </c>
      <c r="B1007" t="s">
        <v>269</v>
      </c>
      <c r="C1007">
        <v>11</v>
      </c>
      <c r="D1007">
        <v>20</v>
      </c>
    </row>
    <row r="1008" spans="1:4" ht="15.75" customHeight="1">
      <c r="A1008" t="s">
        <v>3961</v>
      </c>
      <c r="B1008" t="s">
        <v>269</v>
      </c>
      <c r="C1008">
        <v>11</v>
      </c>
      <c r="D1008">
        <v>20</v>
      </c>
    </row>
    <row r="1009" spans="1:4" ht="15.75" customHeight="1">
      <c r="A1009" t="s">
        <v>3962</v>
      </c>
      <c r="B1009" t="s">
        <v>269</v>
      </c>
      <c r="C1009">
        <v>19</v>
      </c>
      <c r="D1009">
        <v>25</v>
      </c>
    </row>
    <row r="1010" spans="1:4" ht="15.75" customHeight="1">
      <c r="A1010" t="s">
        <v>3963</v>
      </c>
      <c r="B1010" t="s">
        <v>274</v>
      </c>
      <c r="C1010">
        <v>11</v>
      </c>
      <c r="D1010">
        <v>20</v>
      </c>
    </row>
    <row r="1011" spans="1:4" ht="15.75" customHeight="1">
      <c r="A1011" t="s">
        <v>3964</v>
      </c>
      <c r="B1011" t="s">
        <v>274</v>
      </c>
      <c r="C1011">
        <v>9</v>
      </c>
      <c r="D1011">
        <v>20</v>
      </c>
    </row>
    <row r="1012" spans="1:4" ht="15.75" customHeight="1">
      <c r="A1012" t="s">
        <v>3965</v>
      </c>
      <c r="B1012" t="s">
        <v>276</v>
      </c>
      <c r="C1012">
        <v>11</v>
      </c>
      <c r="D1012">
        <v>20</v>
      </c>
    </row>
    <row r="1013" spans="1:4" ht="15.75" customHeight="1">
      <c r="A1013" t="s">
        <v>3966</v>
      </c>
      <c r="B1013" t="s">
        <v>276</v>
      </c>
      <c r="C1013">
        <v>15</v>
      </c>
      <c r="D1013">
        <v>20</v>
      </c>
    </row>
    <row r="1014" spans="1:4" ht="15.75" customHeight="1">
      <c r="A1014" t="s">
        <v>3967</v>
      </c>
      <c r="B1014" t="s">
        <v>278</v>
      </c>
      <c r="C1014">
        <v>11</v>
      </c>
      <c r="D1014">
        <v>20</v>
      </c>
    </row>
    <row r="1015" spans="1:4" ht="15.75" customHeight="1">
      <c r="A1015" t="s">
        <v>3968</v>
      </c>
      <c r="B1015" t="s">
        <v>278</v>
      </c>
      <c r="C1015">
        <v>15</v>
      </c>
      <c r="D1015">
        <v>20</v>
      </c>
    </row>
    <row r="1016" spans="1:4" ht="15.75" customHeight="1">
      <c r="A1016" t="s">
        <v>3969</v>
      </c>
      <c r="B1016" t="s">
        <v>289</v>
      </c>
      <c r="C1016">
        <v>11</v>
      </c>
      <c r="D1016">
        <v>20</v>
      </c>
    </row>
    <row r="1017" spans="1:4" ht="15.75" customHeight="1">
      <c r="A1017" t="s">
        <v>3970</v>
      </c>
      <c r="B1017" t="s">
        <v>289</v>
      </c>
      <c r="C1017">
        <v>11</v>
      </c>
      <c r="D1017">
        <v>20</v>
      </c>
    </row>
    <row r="1018" spans="1:4" ht="15.75" customHeight="1">
      <c r="A1018" t="s">
        <v>3971</v>
      </c>
      <c r="B1018" t="s">
        <v>1944</v>
      </c>
      <c r="C1018">
        <v>11</v>
      </c>
      <c r="D1018">
        <v>40</v>
      </c>
    </row>
    <row r="1019" spans="1:4" ht="15.75" customHeight="1">
      <c r="A1019" t="s">
        <v>3972</v>
      </c>
      <c r="B1019" t="s">
        <v>291</v>
      </c>
      <c r="C1019">
        <v>11</v>
      </c>
      <c r="D1019">
        <v>20</v>
      </c>
    </row>
    <row r="1020" spans="1:4" ht="15.75" customHeight="1">
      <c r="A1020" t="s">
        <v>3973</v>
      </c>
      <c r="B1020" t="s">
        <v>291</v>
      </c>
      <c r="C1020">
        <v>11</v>
      </c>
      <c r="D1020">
        <v>20</v>
      </c>
    </row>
    <row r="1021" spans="1:4" ht="15.75" customHeight="1">
      <c r="A1021" t="s">
        <v>3974</v>
      </c>
      <c r="B1021" t="s">
        <v>293</v>
      </c>
      <c r="C1021">
        <v>11</v>
      </c>
      <c r="D1021">
        <v>20</v>
      </c>
    </row>
    <row r="1022" spans="1:4" ht="15.75" customHeight="1">
      <c r="A1022" t="s">
        <v>3975</v>
      </c>
      <c r="B1022" t="s">
        <v>293</v>
      </c>
      <c r="C1022">
        <v>15</v>
      </c>
      <c r="D1022">
        <v>20</v>
      </c>
    </row>
    <row r="1023" spans="1:4" ht="15.75" customHeight="1">
      <c r="A1023" t="s">
        <v>3976</v>
      </c>
      <c r="B1023" t="s">
        <v>295</v>
      </c>
      <c r="C1023">
        <v>11</v>
      </c>
      <c r="D1023">
        <v>20</v>
      </c>
    </row>
    <row r="1024" spans="1:4" ht="15.75" customHeight="1">
      <c r="A1024" t="s">
        <v>3977</v>
      </c>
      <c r="B1024" t="s">
        <v>295</v>
      </c>
      <c r="C1024">
        <v>15</v>
      </c>
      <c r="D1024">
        <v>20</v>
      </c>
    </row>
    <row r="1025" spans="1:4" ht="15.75" customHeight="1">
      <c r="A1025" t="s">
        <v>3978</v>
      </c>
      <c r="B1025" t="s">
        <v>299</v>
      </c>
      <c r="C1025">
        <v>11</v>
      </c>
      <c r="D1025">
        <v>20</v>
      </c>
    </row>
    <row r="1026" spans="1:4" ht="15.75" customHeight="1">
      <c r="A1026" t="s">
        <v>3979</v>
      </c>
      <c r="B1026" t="s">
        <v>299</v>
      </c>
      <c r="C1026">
        <v>9</v>
      </c>
      <c r="D1026">
        <v>20</v>
      </c>
    </row>
    <row r="1027" spans="1:4" ht="15.75" customHeight="1">
      <c r="A1027" t="s">
        <v>3980</v>
      </c>
      <c r="B1027" t="s">
        <v>307</v>
      </c>
      <c r="C1027">
        <v>11</v>
      </c>
      <c r="D1027">
        <v>20</v>
      </c>
    </row>
    <row r="1028" spans="1:4" ht="15.75" customHeight="1">
      <c r="A1028" t="s">
        <v>3981</v>
      </c>
      <c r="B1028" t="s">
        <v>307</v>
      </c>
      <c r="C1028">
        <v>9</v>
      </c>
      <c r="D1028">
        <v>20</v>
      </c>
    </row>
    <row r="1029" spans="1:4" ht="15.75" customHeight="1">
      <c r="A1029" t="s">
        <v>3982</v>
      </c>
      <c r="B1029" t="s">
        <v>309</v>
      </c>
      <c r="C1029">
        <v>11</v>
      </c>
      <c r="D1029">
        <v>20</v>
      </c>
    </row>
    <row r="1030" spans="1:4" ht="15.75" customHeight="1">
      <c r="A1030" t="s">
        <v>3983</v>
      </c>
      <c r="B1030" t="s">
        <v>309</v>
      </c>
      <c r="C1030">
        <v>11</v>
      </c>
      <c r="D1030">
        <v>20</v>
      </c>
    </row>
    <row r="1031" spans="1:4" ht="15.75" customHeight="1">
      <c r="A1031" t="s">
        <v>3984</v>
      </c>
      <c r="B1031" t="s">
        <v>309</v>
      </c>
      <c r="C1031">
        <v>16</v>
      </c>
      <c r="D1031">
        <v>20</v>
      </c>
    </row>
    <row r="1032" spans="1:4" ht="15.75" customHeight="1">
      <c r="A1032" t="s">
        <v>3985</v>
      </c>
      <c r="B1032" t="s">
        <v>309</v>
      </c>
      <c r="C1032">
        <v>11</v>
      </c>
      <c r="D1032">
        <v>20</v>
      </c>
    </row>
    <row r="1033" spans="1:4" ht="15.75" customHeight="1">
      <c r="A1033" t="s">
        <v>3986</v>
      </c>
      <c r="B1033" t="s">
        <v>173</v>
      </c>
      <c r="C1033">
        <v>19</v>
      </c>
      <c r="D1033">
        <v>25</v>
      </c>
    </row>
    <row r="1034" spans="1:4" ht="15.75" customHeight="1">
      <c r="A1034" t="s">
        <v>3987</v>
      </c>
      <c r="B1034" t="s">
        <v>176</v>
      </c>
      <c r="C1034">
        <v>19</v>
      </c>
      <c r="D1034">
        <v>25</v>
      </c>
    </row>
    <row r="1035" spans="1:4" ht="15.75" customHeight="1">
      <c r="A1035" t="s">
        <v>3988</v>
      </c>
      <c r="B1035" t="s">
        <v>178</v>
      </c>
      <c r="C1035">
        <v>19</v>
      </c>
      <c r="D1035">
        <v>25</v>
      </c>
    </row>
    <row r="1036" spans="1:4" ht="15.75" customHeight="1">
      <c r="A1036" t="s">
        <v>3989</v>
      </c>
      <c r="B1036" t="s">
        <v>183</v>
      </c>
      <c r="C1036">
        <v>19</v>
      </c>
      <c r="D1036">
        <v>25</v>
      </c>
    </row>
    <row r="1037" spans="1:4" ht="15.75" customHeight="1">
      <c r="A1037" t="s">
        <v>3990</v>
      </c>
      <c r="B1037" t="s">
        <v>185</v>
      </c>
      <c r="C1037">
        <v>19</v>
      </c>
      <c r="D1037">
        <v>25</v>
      </c>
    </row>
    <row r="1038" spans="1:4" ht="15.75" customHeight="1">
      <c r="A1038" t="s">
        <v>3991</v>
      </c>
      <c r="B1038" t="s">
        <v>187</v>
      </c>
      <c r="C1038">
        <v>19</v>
      </c>
      <c r="D1038">
        <v>25</v>
      </c>
    </row>
    <row r="1039" spans="1:4" ht="15.75" customHeight="1">
      <c r="A1039" t="s">
        <v>3992</v>
      </c>
      <c r="B1039" t="s">
        <v>189</v>
      </c>
      <c r="C1039">
        <v>19</v>
      </c>
      <c r="D1039">
        <v>25</v>
      </c>
    </row>
    <row r="1040" spans="1:4" ht="15.75" customHeight="1">
      <c r="A1040" t="s">
        <v>3993</v>
      </c>
      <c r="B1040" t="s">
        <v>3994</v>
      </c>
      <c r="C1040">
        <v>10</v>
      </c>
      <c r="D1040">
        <v>20</v>
      </c>
    </row>
    <row r="1041" spans="1:4" ht="15.75" customHeight="1">
      <c r="A1041" t="s">
        <v>3995</v>
      </c>
      <c r="B1041" t="s">
        <v>3996</v>
      </c>
      <c r="C1041">
        <v>18</v>
      </c>
      <c r="D1041">
        <v>20</v>
      </c>
    </row>
    <row r="1042" spans="1:4" ht="15.75" customHeight="1">
      <c r="A1042" t="s">
        <v>3997</v>
      </c>
      <c r="B1042" t="s">
        <v>193</v>
      </c>
      <c r="C1042">
        <v>18</v>
      </c>
      <c r="D1042">
        <v>25</v>
      </c>
    </row>
    <row r="1043" spans="1:4" ht="15.75" customHeight="1">
      <c r="A1043" t="s">
        <v>3998</v>
      </c>
      <c r="B1043" t="s">
        <v>414</v>
      </c>
      <c r="C1043">
        <v>11</v>
      </c>
      <c r="D1043">
        <v>20</v>
      </c>
    </row>
    <row r="1044" spans="1:4" ht="15.75" customHeight="1">
      <c r="A1044" t="s">
        <v>3999</v>
      </c>
      <c r="B1044" t="s">
        <v>414</v>
      </c>
      <c r="C1044">
        <v>15</v>
      </c>
      <c r="D1044">
        <v>20</v>
      </c>
    </row>
    <row r="1045" spans="1:4" ht="15.75" customHeight="1">
      <c r="A1045" t="s">
        <v>4000</v>
      </c>
      <c r="B1045" t="s">
        <v>414</v>
      </c>
      <c r="C1045">
        <v>19</v>
      </c>
      <c r="D1045">
        <v>25</v>
      </c>
    </row>
    <row r="1046" spans="1:4" ht="15.75" customHeight="1">
      <c r="A1046" t="s">
        <v>4001</v>
      </c>
      <c r="B1046" t="s">
        <v>418</v>
      </c>
      <c r="C1046">
        <v>11</v>
      </c>
      <c r="D1046">
        <v>20</v>
      </c>
    </row>
    <row r="1047" spans="1:4" ht="15.75" customHeight="1">
      <c r="A1047" t="s">
        <v>4002</v>
      </c>
      <c r="B1047" t="s">
        <v>418</v>
      </c>
      <c r="C1047">
        <v>9</v>
      </c>
      <c r="D1047">
        <v>20</v>
      </c>
    </row>
    <row r="1048" spans="1:4" ht="15.75" customHeight="1">
      <c r="A1048" t="s">
        <v>4003</v>
      </c>
      <c r="B1048" t="s">
        <v>422</v>
      </c>
      <c r="C1048">
        <v>11</v>
      </c>
      <c r="D1048">
        <v>20</v>
      </c>
    </row>
    <row r="1049" spans="1:4" ht="15.75" customHeight="1">
      <c r="A1049" t="s">
        <v>4004</v>
      </c>
      <c r="B1049" t="s">
        <v>422</v>
      </c>
      <c r="C1049">
        <v>15</v>
      </c>
      <c r="D1049">
        <v>20</v>
      </c>
    </row>
    <row r="1050" spans="1:4" ht="15.75" customHeight="1">
      <c r="A1050" t="s">
        <v>4005</v>
      </c>
      <c r="B1050" t="s">
        <v>424</v>
      </c>
      <c r="C1050">
        <v>11</v>
      </c>
      <c r="D1050">
        <v>20</v>
      </c>
    </row>
    <row r="1051" spans="1:4" ht="15.75" customHeight="1">
      <c r="A1051" t="s">
        <v>4006</v>
      </c>
      <c r="B1051" t="s">
        <v>424</v>
      </c>
      <c r="C1051">
        <v>11</v>
      </c>
      <c r="D1051">
        <v>20</v>
      </c>
    </row>
    <row r="1052" spans="1:4" ht="15.75" customHeight="1">
      <c r="A1052" t="s">
        <v>4007</v>
      </c>
      <c r="B1052" t="s">
        <v>427</v>
      </c>
      <c r="C1052">
        <v>11</v>
      </c>
      <c r="D1052">
        <v>20</v>
      </c>
    </row>
    <row r="1053" spans="1:4" ht="15.75" customHeight="1">
      <c r="A1053" t="s">
        <v>4008</v>
      </c>
      <c r="B1053" t="s">
        <v>427</v>
      </c>
      <c r="C1053">
        <v>11</v>
      </c>
      <c r="D1053">
        <v>20</v>
      </c>
    </row>
    <row r="1054" spans="1:4" ht="15.75" customHeight="1">
      <c r="A1054" t="s">
        <v>4009</v>
      </c>
      <c r="B1054" t="s">
        <v>427</v>
      </c>
      <c r="C1054">
        <v>19</v>
      </c>
      <c r="D1054">
        <v>25</v>
      </c>
    </row>
    <row r="1055" spans="1:4" ht="15.75" customHeight="1">
      <c r="A1055" t="s">
        <v>4010</v>
      </c>
      <c r="B1055" t="s">
        <v>431</v>
      </c>
      <c r="C1055">
        <v>11</v>
      </c>
      <c r="D1055">
        <v>20</v>
      </c>
    </row>
    <row r="1056" spans="1:4" ht="15.75" customHeight="1">
      <c r="A1056" t="s">
        <v>4011</v>
      </c>
      <c r="B1056" t="s">
        <v>431</v>
      </c>
      <c r="C1056">
        <v>11</v>
      </c>
      <c r="D1056">
        <v>20</v>
      </c>
    </row>
    <row r="1057" spans="1:4" ht="15.75" customHeight="1">
      <c r="A1057" t="s">
        <v>4012</v>
      </c>
      <c r="B1057" t="s">
        <v>431</v>
      </c>
      <c r="C1057">
        <v>19</v>
      </c>
      <c r="D1057">
        <v>25</v>
      </c>
    </row>
    <row r="1058" spans="1:4" ht="15.75" customHeight="1">
      <c r="A1058" t="s">
        <v>4013</v>
      </c>
      <c r="B1058" t="s">
        <v>435</v>
      </c>
      <c r="C1058">
        <v>11</v>
      </c>
      <c r="D1058">
        <v>20</v>
      </c>
    </row>
    <row r="1059" spans="1:4" ht="15.75" customHeight="1">
      <c r="A1059" t="s">
        <v>4014</v>
      </c>
      <c r="B1059" t="s">
        <v>435</v>
      </c>
      <c r="C1059">
        <v>11</v>
      </c>
      <c r="D1059">
        <v>20</v>
      </c>
    </row>
    <row r="1060" spans="1:4" ht="15.75" customHeight="1">
      <c r="A1060" t="s">
        <v>4015</v>
      </c>
      <c r="B1060" t="s">
        <v>435</v>
      </c>
      <c r="C1060">
        <v>19</v>
      </c>
      <c r="D1060">
        <v>25</v>
      </c>
    </row>
    <row r="1061" spans="1:4" ht="15.75" customHeight="1">
      <c r="A1061" t="s">
        <v>4016</v>
      </c>
      <c r="B1061" t="s">
        <v>445</v>
      </c>
      <c r="C1061">
        <v>11</v>
      </c>
      <c r="D1061">
        <v>20</v>
      </c>
    </row>
    <row r="1062" spans="1:4" ht="15.75" customHeight="1">
      <c r="A1062" t="s">
        <v>4017</v>
      </c>
      <c r="B1062" t="s">
        <v>445</v>
      </c>
      <c r="C1062">
        <v>9</v>
      </c>
      <c r="D1062">
        <v>20</v>
      </c>
    </row>
    <row r="1063" spans="1:4" ht="15.75" customHeight="1">
      <c r="A1063" t="s">
        <v>4018</v>
      </c>
      <c r="B1063" t="s">
        <v>447</v>
      </c>
      <c r="C1063">
        <v>11</v>
      </c>
      <c r="D1063">
        <v>20</v>
      </c>
    </row>
    <row r="1064" spans="1:4" ht="15.75" customHeight="1">
      <c r="A1064" t="s">
        <v>4019</v>
      </c>
      <c r="B1064" t="s">
        <v>447</v>
      </c>
      <c r="C1064">
        <v>9</v>
      </c>
      <c r="D1064">
        <v>20</v>
      </c>
    </row>
    <row r="1065" spans="1:4" ht="15.75" customHeight="1">
      <c r="A1065" t="s">
        <v>4020</v>
      </c>
      <c r="B1065" t="s">
        <v>447</v>
      </c>
      <c r="C1065">
        <v>19</v>
      </c>
      <c r="D1065">
        <v>25</v>
      </c>
    </row>
    <row r="1066" spans="1:4" ht="15.75" customHeight="1">
      <c r="A1066" t="s">
        <v>4021</v>
      </c>
      <c r="B1066" t="s">
        <v>447</v>
      </c>
      <c r="C1066">
        <v>11</v>
      </c>
      <c r="D1066">
        <v>40</v>
      </c>
    </row>
    <row r="1067" spans="1:4" ht="15.75" customHeight="1">
      <c r="A1067" t="s">
        <v>4022</v>
      </c>
      <c r="B1067" t="s">
        <v>451</v>
      </c>
      <c r="C1067">
        <v>11</v>
      </c>
      <c r="D1067">
        <v>20</v>
      </c>
    </row>
    <row r="1068" spans="1:4" ht="15.75" customHeight="1">
      <c r="A1068" t="s">
        <v>4023</v>
      </c>
      <c r="B1068" t="s">
        <v>451</v>
      </c>
      <c r="C1068">
        <v>11</v>
      </c>
      <c r="D1068">
        <v>20</v>
      </c>
    </row>
    <row r="1069" spans="1:4" ht="15.75" customHeight="1">
      <c r="A1069" t="s">
        <v>4024</v>
      </c>
      <c r="B1069" t="s">
        <v>451</v>
      </c>
      <c r="C1069">
        <v>19</v>
      </c>
      <c r="D1069">
        <v>25</v>
      </c>
    </row>
    <row r="1070" spans="1:4" ht="15.75" customHeight="1">
      <c r="A1070" t="s">
        <v>4025</v>
      </c>
      <c r="B1070" t="s">
        <v>455</v>
      </c>
      <c r="C1070">
        <v>11</v>
      </c>
      <c r="D1070">
        <v>20</v>
      </c>
    </row>
    <row r="1071" spans="1:4" ht="15.75" customHeight="1">
      <c r="A1071" t="s">
        <v>4026</v>
      </c>
      <c r="B1071" t="s">
        <v>455</v>
      </c>
      <c r="C1071">
        <v>11</v>
      </c>
      <c r="D1071">
        <v>20</v>
      </c>
    </row>
    <row r="1072" spans="1:4" ht="15.75" customHeight="1">
      <c r="A1072" t="s">
        <v>4027</v>
      </c>
      <c r="B1072" t="s">
        <v>457</v>
      </c>
      <c r="C1072">
        <v>11</v>
      </c>
      <c r="D1072">
        <v>20</v>
      </c>
    </row>
    <row r="1073" spans="1:4" ht="15.75" customHeight="1">
      <c r="A1073" t="s">
        <v>4028</v>
      </c>
      <c r="B1073" t="s">
        <v>457</v>
      </c>
      <c r="C1073">
        <v>9</v>
      </c>
      <c r="D1073">
        <v>20</v>
      </c>
    </row>
    <row r="1074" spans="1:4" ht="15.75" customHeight="1">
      <c r="A1074" t="s">
        <v>4029</v>
      </c>
      <c r="B1074" t="s">
        <v>459</v>
      </c>
      <c r="C1074">
        <v>11</v>
      </c>
      <c r="D1074">
        <v>20</v>
      </c>
    </row>
    <row r="1075" spans="1:4" ht="15.75" customHeight="1">
      <c r="A1075" t="s">
        <v>4030</v>
      </c>
      <c r="B1075" t="s">
        <v>459</v>
      </c>
      <c r="C1075">
        <v>9</v>
      </c>
      <c r="D1075">
        <v>20</v>
      </c>
    </row>
    <row r="1076" spans="1:4" ht="15.75" customHeight="1">
      <c r="A1076" t="s">
        <v>4031</v>
      </c>
      <c r="B1076" t="s">
        <v>459</v>
      </c>
      <c r="C1076">
        <v>11</v>
      </c>
      <c r="D1076">
        <v>40</v>
      </c>
    </row>
    <row r="1077" spans="1:4" ht="15.75" customHeight="1">
      <c r="A1077" t="s">
        <v>4032</v>
      </c>
      <c r="B1077" t="s">
        <v>462</v>
      </c>
      <c r="C1077">
        <v>11</v>
      </c>
      <c r="D1077">
        <v>20</v>
      </c>
    </row>
    <row r="1078" spans="1:4" ht="15.75" customHeight="1">
      <c r="A1078" t="s">
        <v>4033</v>
      </c>
      <c r="B1078" t="s">
        <v>462</v>
      </c>
      <c r="C1078">
        <v>9</v>
      </c>
      <c r="D1078">
        <v>20</v>
      </c>
    </row>
    <row r="1079" spans="1:4" ht="15.75" customHeight="1">
      <c r="A1079" t="s">
        <v>4034</v>
      </c>
      <c r="B1079" t="s">
        <v>462</v>
      </c>
      <c r="C1079">
        <v>11</v>
      </c>
      <c r="D1079">
        <v>40</v>
      </c>
    </row>
    <row r="1080" spans="1:4" ht="15.75" customHeight="1">
      <c r="A1080" t="s">
        <v>4035</v>
      </c>
      <c r="B1080" t="s">
        <v>464</v>
      </c>
      <c r="C1080">
        <v>18</v>
      </c>
      <c r="D1080">
        <v>20</v>
      </c>
    </row>
    <row r="1081" spans="1:4" ht="15.75" customHeight="1">
      <c r="A1081" t="s">
        <v>4036</v>
      </c>
      <c r="B1081" t="s">
        <v>466</v>
      </c>
      <c r="C1081">
        <v>11</v>
      </c>
      <c r="D1081">
        <v>20</v>
      </c>
    </row>
    <row r="1082" spans="1:4" ht="15.75" customHeight="1">
      <c r="A1082" t="s">
        <v>4037</v>
      </c>
      <c r="B1082" t="s">
        <v>466</v>
      </c>
      <c r="C1082">
        <v>9</v>
      </c>
      <c r="D1082">
        <v>20</v>
      </c>
    </row>
    <row r="1083" spans="1:4" ht="15.75" customHeight="1">
      <c r="A1083" t="s">
        <v>4038</v>
      </c>
      <c r="B1083" t="s">
        <v>466</v>
      </c>
      <c r="C1083">
        <v>19</v>
      </c>
      <c r="D1083">
        <v>25</v>
      </c>
    </row>
    <row r="1084" spans="1:4" ht="15.75" customHeight="1">
      <c r="A1084" t="s">
        <v>4039</v>
      </c>
      <c r="B1084" t="s">
        <v>470</v>
      </c>
      <c r="C1084">
        <v>11</v>
      </c>
      <c r="D1084">
        <v>20</v>
      </c>
    </row>
    <row r="1085" spans="1:4" ht="15.75" customHeight="1">
      <c r="A1085" t="s">
        <v>4040</v>
      </c>
      <c r="B1085" t="s">
        <v>472</v>
      </c>
      <c r="C1085">
        <v>11</v>
      </c>
      <c r="D1085">
        <v>20</v>
      </c>
    </row>
    <row r="1086" spans="1:4" ht="15.75" customHeight="1">
      <c r="A1086" t="s">
        <v>4041</v>
      </c>
      <c r="B1086" t="s">
        <v>472</v>
      </c>
      <c r="C1086">
        <v>15</v>
      </c>
      <c r="D1086">
        <v>20</v>
      </c>
    </row>
    <row r="1087" spans="1:4" ht="15.75" customHeight="1">
      <c r="A1087" t="s">
        <v>4042</v>
      </c>
      <c r="B1087" t="s">
        <v>472</v>
      </c>
      <c r="C1087">
        <v>19</v>
      </c>
      <c r="D1087">
        <v>25</v>
      </c>
    </row>
    <row r="1088" spans="1:4" ht="15.75" customHeight="1">
      <c r="A1088" t="s">
        <v>4043</v>
      </c>
      <c r="B1088" t="s">
        <v>476</v>
      </c>
      <c r="C1088">
        <v>11</v>
      </c>
      <c r="D1088">
        <v>20</v>
      </c>
    </row>
    <row r="1089" spans="1:4" ht="15.75" customHeight="1">
      <c r="A1089" t="s">
        <v>4044</v>
      </c>
      <c r="B1089" t="s">
        <v>476</v>
      </c>
      <c r="C1089">
        <v>15</v>
      </c>
      <c r="D1089">
        <v>20</v>
      </c>
    </row>
    <row r="1090" spans="1:4" ht="15.75" customHeight="1">
      <c r="A1090" t="s">
        <v>4045</v>
      </c>
      <c r="B1090" t="s">
        <v>478</v>
      </c>
      <c r="C1090">
        <v>11</v>
      </c>
      <c r="D1090">
        <v>20</v>
      </c>
    </row>
    <row r="1091" spans="1:4" ht="15.75" customHeight="1">
      <c r="A1091" t="s">
        <v>4046</v>
      </c>
      <c r="B1091" t="s">
        <v>478</v>
      </c>
      <c r="C1091">
        <v>15</v>
      </c>
      <c r="D1091">
        <v>20</v>
      </c>
    </row>
    <row r="1092" spans="1:4" ht="15.75" customHeight="1">
      <c r="A1092" t="s">
        <v>4047</v>
      </c>
      <c r="B1092" t="s">
        <v>480</v>
      </c>
      <c r="C1092">
        <v>11</v>
      </c>
      <c r="D1092">
        <v>20</v>
      </c>
    </row>
    <row r="1093" spans="1:4" ht="15.75" customHeight="1">
      <c r="A1093" t="s">
        <v>4048</v>
      </c>
      <c r="B1093" t="s">
        <v>480</v>
      </c>
      <c r="C1093">
        <v>9</v>
      </c>
      <c r="D1093">
        <v>20</v>
      </c>
    </row>
    <row r="1094" spans="1:4" ht="15.75" customHeight="1">
      <c r="A1094" t="s">
        <v>4049</v>
      </c>
      <c r="B1094" t="s">
        <v>480</v>
      </c>
      <c r="C1094">
        <v>19</v>
      </c>
      <c r="D1094">
        <v>25</v>
      </c>
    </row>
    <row r="1095" spans="1:4" ht="15.75" customHeight="1">
      <c r="A1095" t="s">
        <v>4050</v>
      </c>
      <c r="B1095" t="s">
        <v>485</v>
      </c>
      <c r="C1095">
        <v>11</v>
      </c>
      <c r="D1095">
        <v>20</v>
      </c>
    </row>
    <row r="1096" spans="1:4" ht="15.75" customHeight="1">
      <c r="A1096" t="s">
        <v>4051</v>
      </c>
      <c r="B1096" t="s">
        <v>485</v>
      </c>
      <c r="C1096">
        <v>9</v>
      </c>
      <c r="D1096">
        <v>20</v>
      </c>
    </row>
    <row r="1097" spans="1:4" ht="15.75" customHeight="1">
      <c r="A1097" t="s">
        <v>4052</v>
      </c>
      <c r="B1097" t="s">
        <v>487</v>
      </c>
      <c r="C1097">
        <v>11</v>
      </c>
      <c r="D1097">
        <v>20</v>
      </c>
    </row>
    <row r="1098" spans="1:4" ht="15.75" customHeight="1">
      <c r="A1098" t="s">
        <v>4053</v>
      </c>
      <c r="B1098" t="s">
        <v>492</v>
      </c>
      <c r="C1098">
        <v>11</v>
      </c>
      <c r="D1098">
        <v>20</v>
      </c>
    </row>
    <row r="1099" spans="1:4" ht="15.75" customHeight="1">
      <c r="A1099" t="s">
        <v>4054</v>
      </c>
      <c r="B1099" t="s">
        <v>492</v>
      </c>
      <c r="C1099">
        <v>9</v>
      </c>
      <c r="D1099">
        <v>20</v>
      </c>
    </row>
    <row r="1100" spans="1:4" ht="15.75" customHeight="1">
      <c r="A1100" t="s">
        <v>4055</v>
      </c>
      <c r="B1100" t="s">
        <v>494</v>
      </c>
      <c r="C1100">
        <v>11</v>
      </c>
      <c r="D1100">
        <v>20</v>
      </c>
    </row>
    <row r="1101" spans="1:4" ht="15.75" customHeight="1">
      <c r="A1101" t="s">
        <v>4056</v>
      </c>
      <c r="B1101" t="s">
        <v>494</v>
      </c>
      <c r="C1101">
        <v>9</v>
      </c>
      <c r="D1101">
        <v>20</v>
      </c>
    </row>
    <row r="1102" spans="1:4" ht="15.75" customHeight="1">
      <c r="A1102" t="s">
        <v>4057</v>
      </c>
      <c r="B1102" t="s">
        <v>496</v>
      </c>
      <c r="C1102">
        <v>11</v>
      </c>
      <c r="D1102">
        <v>20</v>
      </c>
    </row>
    <row r="1103" spans="1:4" ht="15.75" customHeight="1">
      <c r="A1103" t="s">
        <v>4058</v>
      </c>
      <c r="B1103" t="s">
        <v>496</v>
      </c>
      <c r="C1103">
        <v>11</v>
      </c>
      <c r="D1103">
        <v>20</v>
      </c>
    </row>
    <row r="1104" spans="1:4" ht="15.75" customHeight="1">
      <c r="A1104" t="s">
        <v>4059</v>
      </c>
      <c r="B1104" t="s">
        <v>498</v>
      </c>
      <c r="C1104">
        <v>11</v>
      </c>
      <c r="D1104">
        <v>20</v>
      </c>
    </row>
    <row r="1105" spans="1:4" ht="15.75" customHeight="1">
      <c r="A1105" t="s">
        <v>4060</v>
      </c>
      <c r="B1105" t="s">
        <v>498</v>
      </c>
      <c r="C1105">
        <v>11</v>
      </c>
      <c r="D1105">
        <v>20</v>
      </c>
    </row>
    <row r="1106" spans="1:4" ht="15.75" customHeight="1">
      <c r="A1106" t="s">
        <v>4061</v>
      </c>
      <c r="B1106" t="s">
        <v>498</v>
      </c>
      <c r="C1106">
        <v>19</v>
      </c>
      <c r="D1106">
        <v>25</v>
      </c>
    </row>
    <row r="1107" spans="1:4" ht="15.75" customHeight="1">
      <c r="A1107" t="s">
        <v>4062</v>
      </c>
      <c r="B1107" t="s">
        <v>498</v>
      </c>
      <c r="C1107">
        <v>11</v>
      </c>
      <c r="D1107">
        <v>40</v>
      </c>
    </row>
    <row r="1108" spans="1:4" ht="15.75" customHeight="1">
      <c r="A1108" t="s">
        <v>4063</v>
      </c>
      <c r="B1108" t="s">
        <v>505</v>
      </c>
      <c r="C1108">
        <v>11</v>
      </c>
      <c r="D1108">
        <v>20</v>
      </c>
    </row>
    <row r="1109" spans="1:4" ht="15.75" customHeight="1">
      <c r="A1109" t="s">
        <v>4064</v>
      </c>
      <c r="B1109" t="s">
        <v>505</v>
      </c>
      <c r="C1109">
        <v>9</v>
      </c>
      <c r="D1109">
        <v>20</v>
      </c>
    </row>
    <row r="1110" spans="1:4" ht="15.75" customHeight="1">
      <c r="A1110" t="s">
        <v>4065</v>
      </c>
      <c r="B1110" t="s">
        <v>505</v>
      </c>
      <c r="C1110">
        <v>19</v>
      </c>
      <c r="D1110">
        <v>25</v>
      </c>
    </row>
    <row r="1111" spans="1:4" ht="15.75" customHeight="1">
      <c r="A1111" t="s">
        <v>4066</v>
      </c>
      <c r="B1111" t="s">
        <v>514</v>
      </c>
      <c r="C1111">
        <v>11</v>
      </c>
      <c r="D1111">
        <v>20</v>
      </c>
    </row>
    <row r="1112" spans="1:4" ht="15.75" customHeight="1">
      <c r="A1112" t="s">
        <v>4067</v>
      </c>
      <c r="B1112" t="s">
        <v>514</v>
      </c>
      <c r="C1112">
        <v>9</v>
      </c>
      <c r="D1112">
        <v>20</v>
      </c>
    </row>
    <row r="1113" spans="1:4" ht="15.75" customHeight="1">
      <c r="A1113" t="s">
        <v>4068</v>
      </c>
      <c r="B1113" t="s">
        <v>516</v>
      </c>
      <c r="C1113">
        <v>11</v>
      </c>
      <c r="D1113">
        <v>20</v>
      </c>
    </row>
    <row r="1114" spans="1:4" ht="15.75" customHeight="1">
      <c r="A1114" t="s">
        <v>4069</v>
      </c>
      <c r="B1114" t="s">
        <v>516</v>
      </c>
      <c r="C1114">
        <v>9</v>
      </c>
      <c r="D1114">
        <v>20</v>
      </c>
    </row>
    <row r="1115" spans="1:4" ht="15.75" customHeight="1">
      <c r="A1115" t="s">
        <v>4070</v>
      </c>
      <c r="B1115" t="s">
        <v>520</v>
      </c>
      <c r="C1115">
        <v>11</v>
      </c>
      <c r="D1115">
        <v>20</v>
      </c>
    </row>
    <row r="1116" spans="1:4" ht="15.75" customHeight="1">
      <c r="A1116" t="s">
        <v>4071</v>
      </c>
      <c r="B1116" t="s">
        <v>520</v>
      </c>
      <c r="C1116">
        <v>9</v>
      </c>
      <c r="D1116">
        <v>20</v>
      </c>
    </row>
    <row r="1117" spans="1:4" ht="15.75" customHeight="1">
      <c r="A1117" t="s">
        <v>4072</v>
      </c>
      <c r="B1117" t="s">
        <v>522</v>
      </c>
      <c r="C1117">
        <v>11</v>
      </c>
      <c r="D1117">
        <v>20</v>
      </c>
    </row>
    <row r="1118" spans="1:4" ht="15.75" customHeight="1">
      <c r="A1118" t="s">
        <v>4073</v>
      </c>
      <c r="B1118" t="s">
        <v>522</v>
      </c>
      <c r="C1118">
        <v>9</v>
      </c>
      <c r="D1118">
        <v>20</v>
      </c>
    </row>
    <row r="1119" spans="1:4" ht="15.75" customHeight="1">
      <c r="A1119" t="s">
        <v>5717</v>
      </c>
      <c r="B1119" t="s">
        <v>5357</v>
      </c>
      <c r="C1119">
        <v>9</v>
      </c>
      <c r="D1119">
        <v>20</v>
      </c>
    </row>
    <row r="1120" spans="1:4" ht="15.75" customHeight="1">
      <c r="A1120" t="s">
        <v>5718</v>
      </c>
      <c r="B1120" t="s">
        <v>5357</v>
      </c>
      <c r="C1120">
        <v>9</v>
      </c>
      <c r="D1120">
        <v>20</v>
      </c>
    </row>
    <row r="1121" spans="1:4" ht="15.75" customHeight="1">
      <c r="A1121" t="s">
        <v>4074</v>
      </c>
      <c r="B1121" t="s">
        <v>524</v>
      </c>
      <c r="C1121">
        <v>11</v>
      </c>
      <c r="D1121">
        <v>20</v>
      </c>
    </row>
    <row r="1122" spans="1:4" ht="15.75" customHeight="1">
      <c r="A1122" t="s">
        <v>4075</v>
      </c>
      <c r="B1122" t="s">
        <v>524</v>
      </c>
      <c r="C1122">
        <v>9</v>
      </c>
      <c r="D1122">
        <v>20</v>
      </c>
    </row>
    <row r="1123" spans="1:4" ht="15.75" customHeight="1">
      <c r="A1123" t="s">
        <v>4076</v>
      </c>
      <c r="B1123" t="s">
        <v>526</v>
      </c>
      <c r="C1123">
        <v>11</v>
      </c>
      <c r="D1123">
        <v>20</v>
      </c>
    </row>
    <row r="1124" spans="1:4" ht="15.75" customHeight="1">
      <c r="A1124" t="s">
        <v>4077</v>
      </c>
      <c r="B1124" t="s">
        <v>526</v>
      </c>
      <c r="C1124">
        <v>9</v>
      </c>
      <c r="D1124">
        <v>20</v>
      </c>
    </row>
    <row r="1125" spans="1:4" ht="15.75" customHeight="1">
      <c r="A1125" t="s">
        <v>4078</v>
      </c>
      <c r="B1125" t="s">
        <v>530</v>
      </c>
      <c r="C1125">
        <v>11</v>
      </c>
      <c r="D1125">
        <v>20</v>
      </c>
    </row>
    <row r="1126" spans="1:4" ht="15.75" customHeight="1">
      <c r="A1126" t="s">
        <v>4079</v>
      </c>
      <c r="B1126" t="s">
        <v>530</v>
      </c>
      <c r="C1126">
        <v>11</v>
      </c>
      <c r="D1126">
        <v>20</v>
      </c>
    </row>
    <row r="1127" spans="1:4" ht="15.75" customHeight="1">
      <c r="A1127" t="s">
        <v>4080</v>
      </c>
      <c r="B1127" t="s">
        <v>530</v>
      </c>
      <c r="C1127">
        <v>19</v>
      </c>
      <c r="D1127">
        <v>25</v>
      </c>
    </row>
    <row r="1128" spans="1:4" ht="15.75" customHeight="1">
      <c r="A1128" t="s">
        <v>4081</v>
      </c>
      <c r="B1128" t="s">
        <v>530</v>
      </c>
      <c r="C1128">
        <v>11</v>
      </c>
      <c r="D1128">
        <v>40</v>
      </c>
    </row>
    <row r="1129" spans="1:4" ht="15.75" customHeight="1">
      <c r="A1129" t="s">
        <v>4082</v>
      </c>
      <c r="B1129" t="s">
        <v>537</v>
      </c>
      <c r="C1129">
        <v>11</v>
      </c>
      <c r="D1129">
        <v>20</v>
      </c>
    </row>
    <row r="1130" spans="1:4" ht="15.75" customHeight="1">
      <c r="A1130" t="s">
        <v>4083</v>
      </c>
      <c r="B1130" t="s">
        <v>537</v>
      </c>
      <c r="C1130">
        <v>9</v>
      </c>
      <c r="D1130">
        <v>20</v>
      </c>
    </row>
    <row r="1131" spans="1:4" ht="15.75" customHeight="1">
      <c r="A1131" t="s">
        <v>4084</v>
      </c>
      <c r="B1131" t="s">
        <v>539</v>
      </c>
      <c r="C1131">
        <v>11</v>
      </c>
      <c r="D1131">
        <v>20</v>
      </c>
    </row>
    <row r="1132" spans="1:4" ht="15.75" customHeight="1">
      <c r="A1132" t="s">
        <v>4085</v>
      </c>
      <c r="B1132" t="s">
        <v>539</v>
      </c>
      <c r="C1132">
        <v>11</v>
      </c>
      <c r="D1132">
        <v>20</v>
      </c>
    </row>
    <row r="1133" spans="1:4" ht="15.75" customHeight="1">
      <c r="A1133" t="s">
        <v>4086</v>
      </c>
      <c r="B1133" t="s">
        <v>541</v>
      </c>
      <c r="C1133">
        <v>11</v>
      </c>
      <c r="D1133">
        <v>20</v>
      </c>
    </row>
    <row r="1134" spans="1:4" ht="15.75" customHeight="1">
      <c r="A1134" t="s">
        <v>4087</v>
      </c>
      <c r="B1134" t="s">
        <v>541</v>
      </c>
      <c r="C1134">
        <v>9</v>
      </c>
      <c r="D1134">
        <v>20</v>
      </c>
    </row>
    <row r="1135" spans="1:4" ht="15.75" customHeight="1">
      <c r="A1135" t="s">
        <v>4088</v>
      </c>
      <c r="B1135" t="s">
        <v>546</v>
      </c>
      <c r="C1135">
        <v>11</v>
      </c>
      <c r="D1135">
        <v>20</v>
      </c>
    </row>
    <row r="1136" spans="1:4" ht="15.75" customHeight="1">
      <c r="A1136" t="s">
        <v>4089</v>
      </c>
      <c r="B1136" t="s">
        <v>546</v>
      </c>
      <c r="C1136">
        <v>9</v>
      </c>
      <c r="D1136">
        <v>20</v>
      </c>
    </row>
    <row r="1137" spans="1:4" ht="15.75" customHeight="1">
      <c r="A1137" t="s">
        <v>4090</v>
      </c>
      <c r="B1137" t="s">
        <v>548</v>
      </c>
      <c r="C1137">
        <v>11</v>
      </c>
      <c r="D1137">
        <v>20</v>
      </c>
    </row>
    <row r="1138" spans="1:4" ht="15.75" customHeight="1">
      <c r="A1138" t="s">
        <v>4091</v>
      </c>
      <c r="B1138" t="s">
        <v>548</v>
      </c>
      <c r="C1138">
        <v>9</v>
      </c>
      <c r="D1138">
        <v>20</v>
      </c>
    </row>
    <row r="1139" spans="1:4" ht="15.75" customHeight="1">
      <c r="A1139" t="s">
        <v>4092</v>
      </c>
      <c r="B1139" t="s">
        <v>550</v>
      </c>
      <c r="C1139">
        <v>11</v>
      </c>
      <c r="D1139">
        <v>20</v>
      </c>
    </row>
    <row r="1140" spans="1:4" ht="15.75" customHeight="1">
      <c r="A1140" t="s">
        <v>4093</v>
      </c>
      <c r="B1140" t="s">
        <v>550</v>
      </c>
      <c r="C1140">
        <v>15</v>
      </c>
      <c r="D1140">
        <v>20</v>
      </c>
    </row>
    <row r="1141" spans="1:4" ht="15.75" customHeight="1">
      <c r="A1141" t="s">
        <v>4094</v>
      </c>
      <c r="B1141" t="s">
        <v>550</v>
      </c>
      <c r="C1141">
        <v>19</v>
      </c>
      <c r="D1141">
        <v>25</v>
      </c>
    </row>
    <row r="1142" spans="1:4" ht="15.75" customHeight="1">
      <c r="A1142" t="s">
        <v>4095</v>
      </c>
      <c r="B1142" t="s">
        <v>554</v>
      </c>
      <c r="C1142">
        <v>11</v>
      </c>
      <c r="D1142">
        <v>20</v>
      </c>
    </row>
    <row r="1143" spans="1:4" ht="15.75" customHeight="1">
      <c r="A1143" t="s">
        <v>4096</v>
      </c>
      <c r="B1143" t="s">
        <v>554</v>
      </c>
      <c r="C1143">
        <v>15</v>
      </c>
      <c r="D1143">
        <v>20</v>
      </c>
    </row>
    <row r="1144" spans="1:4" ht="15.75" customHeight="1">
      <c r="A1144" t="s">
        <v>4097</v>
      </c>
      <c r="B1144" t="s">
        <v>556</v>
      </c>
      <c r="C1144">
        <v>11</v>
      </c>
      <c r="D1144">
        <v>20</v>
      </c>
    </row>
    <row r="1145" spans="1:4" ht="15.75" customHeight="1">
      <c r="A1145" t="s">
        <v>4098</v>
      </c>
      <c r="B1145" t="s">
        <v>556</v>
      </c>
      <c r="C1145">
        <v>15</v>
      </c>
      <c r="D1145">
        <v>20</v>
      </c>
    </row>
    <row r="1146" spans="1:4" ht="15.75" customHeight="1">
      <c r="A1146" t="s">
        <v>4099</v>
      </c>
      <c r="B1146" t="s">
        <v>559</v>
      </c>
      <c r="C1146">
        <v>11</v>
      </c>
      <c r="D1146">
        <v>20</v>
      </c>
    </row>
    <row r="1147" spans="1:4" ht="15.75" customHeight="1">
      <c r="A1147" t="s">
        <v>4100</v>
      </c>
      <c r="B1147" t="s">
        <v>559</v>
      </c>
      <c r="C1147">
        <v>9</v>
      </c>
      <c r="D1147">
        <v>20</v>
      </c>
    </row>
    <row r="1148" spans="1:4" ht="15.75" customHeight="1">
      <c r="A1148" t="s">
        <v>4101</v>
      </c>
      <c r="B1148" t="s">
        <v>563</v>
      </c>
      <c r="C1148">
        <v>11</v>
      </c>
      <c r="D1148">
        <v>20</v>
      </c>
    </row>
    <row r="1149" spans="1:4" ht="15.75" customHeight="1">
      <c r="A1149" t="s">
        <v>4102</v>
      </c>
      <c r="B1149" t="s">
        <v>563</v>
      </c>
      <c r="C1149">
        <v>9</v>
      </c>
      <c r="D1149">
        <v>20</v>
      </c>
    </row>
    <row r="1150" spans="1:4" ht="15.75" customHeight="1">
      <c r="A1150" t="s">
        <v>4103</v>
      </c>
      <c r="B1150" t="s">
        <v>563</v>
      </c>
      <c r="C1150">
        <v>9</v>
      </c>
      <c r="D1150">
        <v>25</v>
      </c>
    </row>
    <row r="1151" spans="1:4" ht="15.75" customHeight="1">
      <c r="A1151" t="s">
        <v>4104</v>
      </c>
      <c r="B1151" t="s">
        <v>569</v>
      </c>
      <c r="C1151">
        <v>11</v>
      </c>
      <c r="D1151">
        <v>20</v>
      </c>
    </row>
    <row r="1152" spans="1:4" ht="15.75" customHeight="1">
      <c r="A1152" t="s">
        <v>4105</v>
      </c>
      <c r="B1152" t="s">
        <v>569</v>
      </c>
      <c r="C1152">
        <v>11</v>
      </c>
      <c r="D1152">
        <v>20</v>
      </c>
    </row>
    <row r="1153" spans="1:4" ht="15.75" customHeight="1">
      <c r="A1153" t="s">
        <v>4106</v>
      </c>
      <c r="B1153" t="s">
        <v>569</v>
      </c>
      <c r="C1153">
        <v>19</v>
      </c>
      <c r="D1153">
        <v>25</v>
      </c>
    </row>
    <row r="1154" spans="1:4" ht="15.75" customHeight="1">
      <c r="A1154" t="s">
        <v>4107</v>
      </c>
      <c r="B1154" t="s">
        <v>573</v>
      </c>
      <c r="C1154">
        <v>11</v>
      </c>
      <c r="D1154">
        <v>20</v>
      </c>
    </row>
    <row r="1155" spans="1:4" ht="15.75" customHeight="1">
      <c r="A1155" t="s">
        <v>4108</v>
      </c>
      <c r="B1155" t="s">
        <v>573</v>
      </c>
      <c r="C1155">
        <v>15</v>
      </c>
      <c r="D1155">
        <v>20</v>
      </c>
    </row>
    <row r="1156" spans="1:4" ht="15.75" customHeight="1">
      <c r="A1156" t="s">
        <v>4109</v>
      </c>
      <c r="B1156" t="s">
        <v>573</v>
      </c>
      <c r="C1156">
        <v>19</v>
      </c>
      <c r="D1156">
        <v>25</v>
      </c>
    </row>
    <row r="1157" spans="1:4" ht="15.75" customHeight="1">
      <c r="A1157" t="s">
        <v>4110</v>
      </c>
      <c r="B1157" t="s">
        <v>578</v>
      </c>
      <c r="C1157">
        <v>11</v>
      </c>
      <c r="D1157">
        <v>20</v>
      </c>
    </row>
    <row r="1158" spans="1:4" ht="15.75" customHeight="1">
      <c r="A1158" t="s">
        <v>4111</v>
      </c>
      <c r="B1158" t="s">
        <v>578</v>
      </c>
      <c r="C1158">
        <v>9</v>
      </c>
      <c r="D1158">
        <v>20</v>
      </c>
    </row>
    <row r="1159" spans="1:4" ht="15.75" customHeight="1">
      <c r="A1159" t="s">
        <v>4112</v>
      </c>
      <c r="B1159" t="s">
        <v>582</v>
      </c>
      <c r="C1159">
        <v>11</v>
      </c>
      <c r="D1159">
        <v>20</v>
      </c>
    </row>
    <row r="1160" spans="1:4" ht="15.75" customHeight="1">
      <c r="A1160" t="s">
        <v>4113</v>
      </c>
      <c r="B1160" t="s">
        <v>582</v>
      </c>
      <c r="C1160">
        <v>15</v>
      </c>
      <c r="D1160">
        <v>20</v>
      </c>
    </row>
    <row r="1161" spans="1:4" ht="15.75" customHeight="1">
      <c r="A1161" t="s">
        <v>4114</v>
      </c>
      <c r="B1161" t="s">
        <v>584</v>
      </c>
      <c r="C1161">
        <v>11</v>
      </c>
      <c r="D1161">
        <v>20</v>
      </c>
    </row>
    <row r="1162" spans="1:4" ht="15.75" customHeight="1">
      <c r="A1162" t="s">
        <v>4115</v>
      </c>
      <c r="B1162" t="s">
        <v>584</v>
      </c>
      <c r="C1162">
        <v>9</v>
      </c>
      <c r="D1162">
        <v>20</v>
      </c>
    </row>
    <row r="1163" spans="1:4" ht="15.75" customHeight="1">
      <c r="A1163" t="s">
        <v>4116</v>
      </c>
      <c r="B1163" t="s">
        <v>586</v>
      </c>
      <c r="C1163">
        <v>11</v>
      </c>
      <c r="D1163">
        <v>20</v>
      </c>
    </row>
    <row r="1164" spans="1:4" ht="15.75" customHeight="1">
      <c r="A1164" t="s">
        <v>4117</v>
      </c>
      <c r="B1164" t="s">
        <v>586</v>
      </c>
      <c r="C1164">
        <v>11</v>
      </c>
      <c r="D1164">
        <v>20</v>
      </c>
    </row>
    <row r="1165" spans="1:4" ht="15.75" customHeight="1">
      <c r="A1165" t="s">
        <v>4118</v>
      </c>
      <c r="B1165" t="s">
        <v>586</v>
      </c>
      <c r="C1165">
        <v>19</v>
      </c>
      <c r="D1165">
        <v>25</v>
      </c>
    </row>
    <row r="1166" spans="1:4" ht="15.75" customHeight="1">
      <c r="A1166" t="s">
        <v>4119</v>
      </c>
      <c r="B1166" t="s">
        <v>592</v>
      </c>
      <c r="C1166">
        <v>11</v>
      </c>
      <c r="D1166">
        <v>20</v>
      </c>
    </row>
    <row r="1167" spans="1:4" ht="15.75" customHeight="1">
      <c r="A1167" t="s">
        <v>4120</v>
      </c>
      <c r="B1167" t="s">
        <v>592</v>
      </c>
      <c r="C1167">
        <v>15</v>
      </c>
      <c r="D1167">
        <v>20</v>
      </c>
    </row>
    <row r="1168" spans="1:4" ht="15.75" customHeight="1">
      <c r="A1168" t="s">
        <v>4121</v>
      </c>
      <c r="B1168" t="s">
        <v>592</v>
      </c>
      <c r="C1168">
        <v>19</v>
      </c>
      <c r="D1168">
        <v>25</v>
      </c>
    </row>
    <row r="1169" spans="1:4" ht="15.75" customHeight="1">
      <c r="A1169" t="s">
        <v>4122</v>
      </c>
      <c r="B1169" t="s">
        <v>596</v>
      </c>
      <c r="C1169">
        <v>11</v>
      </c>
      <c r="D1169">
        <v>20</v>
      </c>
    </row>
    <row r="1170" spans="1:4" ht="15.75" customHeight="1">
      <c r="A1170" t="s">
        <v>4123</v>
      </c>
      <c r="B1170" t="s">
        <v>596</v>
      </c>
      <c r="C1170">
        <v>15</v>
      </c>
      <c r="D1170">
        <v>20</v>
      </c>
    </row>
    <row r="1171" spans="1:4" ht="15.75" customHeight="1">
      <c r="A1171" t="s">
        <v>4124</v>
      </c>
      <c r="B1171" t="s">
        <v>598</v>
      </c>
      <c r="C1171">
        <v>11</v>
      </c>
      <c r="D1171">
        <v>20</v>
      </c>
    </row>
    <row r="1172" spans="1:4" ht="15.75" customHeight="1">
      <c r="A1172" t="s">
        <v>4125</v>
      </c>
      <c r="B1172" t="s">
        <v>598</v>
      </c>
      <c r="C1172">
        <v>15</v>
      </c>
      <c r="D1172">
        <v>20</v>
      </c>
    </row>
    <row r="1173" spans="1:4" ht="15.75" customHeight="1">
      <c r="A1173" t="s">
        <v>4126</v>
      </c>
      <c r="B1173" t="s">
        <v>600</v>
      </c>
      <c r="C1173">
        <v>11</v>
      </c>
      <c r="D1173">
        <v>20</v>
      </c>
    </row>
    <row r="1174" spans="1:4" ht="15.75" customHeight="1">
      <c r="A1174" t="s">
        <v>4127</v>
      </c>
      <c r="B1174" t="s">
        <v>600</v>
      </c>
      <c r="C1174">
        <v>15</v>
      </c>
      <c r="D1174">
        <v>20</v>
      </c>
    </row>
    <row r="1175" spans="1:4" ht="15.75" customHeight="1">
      <c r="A1175" t="s">
        <v>4128</v>
      </c>
      <c r="B1175" t="s">
        <v>600</v>
      </c>
      <c r="C1175">
        <v>19</v>
      </c>
      <c r="D1175">
        <v>25</v>
      </c>
    </row>
    <row r="1176" spans="1:4" ht="15.75" customHeight="1">
      <c r="A1176" t="s">
        <v>4129</v>
      </c>
      <c r="B1176" t="s">
        <v>602</v>
      </c>
      <c r="C1176">
        <v>11</v>
      </c>
      <c r="D1176">
        <v>20</v>
      </c>
    </row>
    <row r="1177" spans="1:4" ht="15.75" customHeight="1">
      <c r="A1177" t="s">
        <v>4130</v>
      </c>
      <c r="B1177" t="s">
        <v>602</v>
      </c>
      <c r="C1177">
        <v>15</v>
      </c>
      <c r="D1177">
        <v>20</v>
      </c>
    </row>
    <row r="1178" spans="1:4" ht="15.75" customHeight="1">
      <c r="A1178" t="s">
        <v>4131</v>
      </c>
      <c r="B1178" t="s">
        <v>602</v>
      </c>
      <c r="C1178">
        <v>19</v>
      </c>
      <c r="D1178">
        <v>25</v>
      </c>
    </row>
    <row r="1179" spans="1:4" ht="15.75" customHeight="1">
      <c r="A1179" t="s">
        <v>4132</v>
      </c>
      <c r="B1179" t="s">
        <v>605</v>
      </c>
      <c r="C1179">
        <v>11</v>
      </c>
      <c r="D1179">
        <v>20</v>
      </c>
    </row>
    <row r="1180" spans="1:4" ht="15.75" customHeight="1">
      <c r="A1180" t="s">
        <v>4133</v>
      </c>
      <c r="B1180" t="s">
        <v>605</v>
      </c>
      <c r="C1180">
        <v>11</v>
      </c>
      <c r="D1180">
        <v>20</v>
      </c>
    </row>
    <row r="1181" spans="1:4" ht="15.75" customHeight="1">
      <c r="A1181" t="s">
        <v>4134</v>
      </c>
      <c r="B1181" t="s">
        <v>607</v>
      </c>
      <c r="C1181">
        <v>11</v>
      </c>
      <c r="D1181">
        <v>20</v>
      </c>
    </row>
    <row r="1182" spans="1:4" ht="15.75" customHeight="1">
      <c r="A1182" t="s">
        <v>4135</v>
      </c>
      <c r="B1182" t="s">
        <v>607</v>
      </c>
      <c r="C1182">
        <v>9</v>
      </c>
      <c r="D1182">
        <v>20</v>
      </c>
    </row>
    <row r="1183" spans="1:4" ht="15.75" customHeight="1">
      <c r="A1183" t="s">
        <v>4136</v>
      </c>
      <c r="B1183" t="s">
        <v>611</v>
      </c>
      <c r="C1183">
        <v>11</v>
      </c>
      <c r="D1183">
        <v>20</v>
      </c>
    </row>
    <row r="1184" spans="1:4" ht="15.75" customHeight="1">
      <c r="A1184" t="s">
        <v>4137</v>
      </c>
      <c r="B1184" t="s">
        <v>611</v>
      </c>
      <c r="C1184">
        <v>11</v>
      </c>
      <c r="D1184">
        <v>20</v>
      </c>
    </row>
    <row r="1185" spans="1:4" ht="15.75" customHeight="1">
      <c r="A1185" t="s">
        <v>4138</v>
      </c>
      <c r="B1185" t="s">
        <v>615</v>
      </c>
      <c r="C1185">
        <v>11</v>
      </c>
      <c r="D1185">
        <v>20</v>
      </c>
    </row>
    <row r="1186" spans="1:4" ht="15.75" customHeight="1">
      <c r="A1186" t="s">
        <v>4139</v>
      </c>
      <c r="B1186" t="s">
        <v>615</v>
      </c>
      <c r="C1186">
        <v>19</v>
      </c>
      <c r="D1186">
        <v>25</v>
      </c>
    </row>
    <row r="1187" spans="1:4" ht="15.75" customHeight="1">
      <c r="A1187" t="s">
        <v>4140</v>
      </c>
      <c r="B1187" t="s">
        <v>620</v>
      </c>
      <c r="C1187">
        <v>11</v>
      </c>
      <c r="D1187">
        <v>20</v>
      </c>
    </row>
    <row r="1188" spans="1:4" ht="15.75" customHeight="1">
      <c r="A1188" t="s">
        <v>4141</v>
      </c>
      <c r="B1188" t="s">
        <v>620</v>
      </c>
      <c r="C1188">
        <v>11</v>
      </c>
      <c r="D1188">
        <v>20</v>
      </c>
    </row>
    <row r="1189" spans="1:4" ht="15.75" customHeight="1">
      <c r="A1189" t="s">
        <v>4142</v>
      </c>
      <c r="B1189" t="s">
        <v>620</v>
      </c>
      <c r="C1189">
        <v>19</v>
      </c>
      <c r="D1189">
        <v>25</v>
      </c>
    </row>
    <row r="1190" spans="1:4" ht="15.75" customHeight="1">
      <c r="A1190" t="s">
        <v>4143</v>
      </c>
      <c r="B1190" t="s">
        <v>625</v>
      </c>
      <c r="C1190">
        <v>11</v>
      </c>
      <c r="D1190">
        <v>20</v>
      </c>
    </row>
    <row r="1191" spans="1:4" ht="15.75" customHeight="1">
      <c r="A1191" t="s">
        <v>4144</v>
      </c>
      <c r="B1191" t="s">
        <v>625</v>
      </c>
      <c r="C1191">
        <v>15</v>
      </c>
      <c r="D1191">
        <v>20</v>
      </c>
    </row>
    <row r="1192" spans="1:4" ht="15.75" customHeight="1">
      <c r="A1192" t="s">
        <v>4145</v>
      </c>
      <c r="B1192" t="s">
        <v>625</v>
      </c>
      <c r="C1192">
        <v>19</v>
      </c>
      <c r="D1192">
        <v>25</v>
      </c>
    </row>
    <row r="1193" spans="1:4" ht="15.75" customHeight="1">
      <c r="A1193" t="s">
        <v>4146</v>
      </c>
      <c r="B1193" t="s">
        <v>628</v>
      </c>
      <c r="C1193">
        <v>11</v>
      </c>
      <c r="D1193">
        <v>20</v>
      </c>
    </row>
    <row r="1194" spans="1:4" ht="15.75" customHeight="1">
      <c r="A1194" t="s">
        <v>4147</v>
      </c>
      <c r="B1194" t="s">
        <v>628</v>
      </c>
      <c r="C1194">
        <v>11</v>
      </c>
      <c r="D1194">
        <v>20</v>
      </c>
    </row>
    <row r="1195" spans="1:4" ht="15.75" customHeight="1">
      <c r="A1195" t="s">
        <v>4148</v>
      </c>
      <c r="B1195" t="s">
        <v>628</v>
      </c>
      <c r="C1195">
        <v>19</v>
      </c>
      <c r="D1195">
        <v>25</v>
      </c>
    </row>
    <row r="1196" spans="1:4" ht="15.75" customHeight="1">
      <c r="A1196" t="s">
        <v>4149</v>
      </c>
      <c r="B1196" t="s">
        <v>633</v>
      </c>
      <c r="C1196">
        <v>11</v>
      </c>
      <c r="D1196">
        <v>20</v>
      </c>
    </row>
    <row r="1197" spans="1:4" ht="15.75" customHeight="1">
      <c r="A1197" t="s">
        <v>4150</v>
      </c>
      <c r="B1197" t="s">
        <v>633</v>
      </c>
      <c r="C1197">
        <v>9</v>
      </c>
      <c r="D1197">
        <v>20</v>
      </c>
    </row>
    <row r="1198" spans="1:4" ht="15.75" customHeight="1">
      <c r="A1198" t="s">
        <v>4151</v>
      </c>
      <c r="B1198" t="s">
        <v>639</v>
      </c>
      <c r="C1198">
        <v>11</v>
      </c>
      <c r="D1198">
        <v>20</v>
      </c>
    </row>
    <row r="1199" spans="1:4" ht="15.75" customHeight="1">
      <c r="A1199" t="s">
        <v>5719</v>
      </c>
      <c r="B1199" t="s">
        <v>5359</v>
      </c>
      <c r="C1199">
        <v>9</v>
      </c>
      <c r="D1199">
        <v>20</v>
      </c>
    </row>
    <row r="1200" spans="1:4" ht="15.75" customHeight="1">
      <c r="A1200" t="s">
        <v>5720</v>
      </c>
      <c r="B1200" t="s">
        <v>5359</v>
      </c>
      <c r="C1200">
        <v>9</v>
      </c>
      <c r="D1200">
        <v>20</v>
      </c>
    </row>
    <row r="1201" spans="1:4" ht="15.75" customHeight="1">
      <c r="A1201" t="s">
        <v>4152</v>
      </c>
      <c r="B1201" t="s">
        <v>643</v>
      </c>
      <c r="C1201">
        <v>11</v>
      </c>
      <c r="D1201">
        <v>20</v>
      </c>
    </row>
    <row r="1202" spans="1:4" ht="15.75" customHeight="1">
      <c r="A1202" t="s">
        <v>4153</v>
      </c>
      <c r="B1202" t="s">
        <v>643</v>
      </c>
      <c r="C1202">
        <v>15</v>
      </c>
      <c r="D1202">
        <v>20</v>
      </c>
    </row>
    <row r="1203" spans="1:4" ht="15.75" customHeight="1">
      <c r="A1203" t="s">
        <v>4154</v>
      </c>
      <c r="B1203" t="s">
        <v>645</v>
      </c>
      <c r="C1203">
        <v>11</v>
      </c>
      <c r="D1203">
        <v>20</v>
      </c>
    </row>
    <row r="1204" spans="1:4" ht="15.75" customHeight="1">
      <c r="A1204" t="s">
        <v>4155</v>
      </c>
      <c r="B1204" t="s">
        <v>645</v>
      </c>
      <c r="C1204">
        <v>9</v>
      </c>
      <c r="D1204">
        <v>20</v>
      </c>
    </row>
    <row r="1205" spans="1:4" ht="15.75" customHeight="1">
      <c r="A1205" t="s">
        <v>4156</v>
      </c>
      <c r="B1205" t="s">
        <v>647</v>
      </c>
      <c r="C1205">
        <v>11</v>
      </c>
      <c r="D1205">
        <v>20</v>
      </c>
    </row>
    <row r="1206" spans="1:4" ht="15.75" customHeight="1">
      <c r="A1206" t="s">
        <v>4157</v>
      </c>
      <c r="B1206" t="s">
        <v>647</v>
      </c>
      <c r="C1206">
        <v>9</v>
      </c>
      <c r="D1206">
        <v>20</v>
      </c>
    </row>
    <row r="1207" spans="1:4" ht="15.75" customHeight="1">
      <c r="A1207" t="s">
        <v>4158</v>
      </c>
      <c r="B1207" t="s">
        <v>650</v>
      </c>
      <c r="C1207">
        <v>11</v>
      </c>
      <c r="D1207">
        <v>20</v>
      </c>
    </row>
    <row r="1208" spans="1:4" ht="15.75" customHeight="1">
      <c r="A1208" t="s">
        <v>4159</v>
      </c>
      <c r="B1208" t="s">
        <v>650</v>
      </c>
      <c r="C1208">
        <v>9</v>
      </c>
      <c r="D1208">
        <v>20</v>
      </c>
    </row>
    <row r="1209" spans="1:4" ht="15.75" customHeight="1">
      <c r="A1209" t="s">
        <v>4160</v>
      </c>
      <c r="B1209" t="s">
        <v>650</v>
      </c>
      <c r="C1209">
        <v>19</v>
      </c>
      <c r="D1209">
        <v>25</v>
      </c>
    </row>
    <row r="1210" spans="1:4" ht="15.75" customHeight="1">
      <c r="A1210" t="s">
        <v>4161</v>
      </c>
      <c r="B1210" t="s">
        <v>653</v>
      </c>
      <c r="C1210">
        <v>11</v>
      </c>
      <c r="D1210">
        <v>20</v>
      </c>
    </row>
    <row r="1211" spans="1:4" ht="15.75" customHeight="1">
      <c r="A1211" t="s">
        <v>4162</v>
      </c>
      <c r="B1211" t="s">
        <v>653</v>
      </c>
      <c r="C1211">
        <v>9</v>
      </c>
      <c r="D1211">
        <v>20</v>
      </c>
    </row>
    <row r="1212" spans="1:4" ht="15.75" customHeight="1">
      <c r="A1212" t="s">
        <v>4163</v>
      </c>
      <c r="B1212" t="s">
        <v>653</v>
      </c>
      <c r="C1212">
        <v>19</v>
      </c>
      <c r="D1212">
        <v>25</v>
      </c>
    </row>
    <row r="1213" spans="1:4" ht="15.75" customHeight="1">
      <c r="A1213" t="s">
        <v>4164</v>
      </c>
      <c r="B1213" t="s">
        <v>658</v>
      </c>
      <c r="C1213">
        <v>11</v>
      </c>
      <c r="D1213">
        <v>20</v>
      </c>
    </row>
    <row r="1214" spans="1:4" ht="15.75" customHeight="1">
      <c r="A1214" t="s">
        <v>4165</v>
      </c>
      <c r="B1214" t="s">
        <v>658</v>
      </c>
      <c r="C1214">
        <v>11</v>
      </c>
      <c r="D1214">
        <v>20</v>
      </c>
    </row>
    <row r="1215" spans="1:4" ht="15.75" customHeight="1">
      <c r="A1215" t="s">
        <v>4166</v>
      </c>
      <c r="B1215" t="s">
        <v>658</v>
      </c>
      <c r="C1215">
        <v>19</v>
      </c>
      <c r="D1215">
        <v>25</v>
      </c>
    </row>
    <row r="1216" spans="1:4" ht="15.75" customHeight="1">
      <c r="A1216" t="s">
        <v>4167</v>
      </c>
      <c r="B1216" t="s">
        <v>658</v>
      </c>
      <c r="C1216">
        <v>11</v>
      </c>
      <c r="D1216">
        <v>40</v>
      </c>
    </row>
    <row r="1217" spans="1:4" ht="15.75" customHeight="1">
      <c r="A1217" t="s">
        <v>4168</v>
      </c>
      <c r="B1217" t="s">
        <v>664</v>
      </c>
      <c r="C1217">
        <v>16</v>
      </c>
      <c r="D1217">
        <v>20</v>
      </c>
    </row>
    <row r="1218" spans="1:4" ht="15.75" customHeight="1">
      <c r="A1218" t="s">
        <v>4169</v>
      </c>
      <c r="B1218" t="s">
        <v>666</v>
      </c>
      <c r="C1218">
        <v>11</v>
      </c>
      <c r="D1218">
        <v>20</v>
      </c>
    </row>
    <row r="1219" spans="1:4" ht="15.75" customHeight="1">
      <c r="A1219" t="s">
        <v>4170</v>
      </c>
      <c r="B1219" t="s">
        <v>666</v>
      </c>
      <c r="C1219">
        <v>15</v>
      </c>
      <c r="D1219">
        <v>20</v>
      </c>
    </row>
    <row r="1220" spans="1:4" ht="15.75" customHeight="1">
      <c r="A1220" t="s">
        <v>4171</v>
      </c>
      <c r="B1220" t="s">
        <v>668</v>
      </c>
      <c r="C1220">
        <v>11</v>
      </c>
      <c r="D1220">
        <v>20</v>
      </c>
    </row>
    <row r="1221" spans="1:4" ht="15.75" customHeight="1">
      <c r="A1221" t="s">
        <v>4172</v>
      </c>
      <c r="B1221" t="s">
        <v>668</v>
      </c>
      <c r="C1221">
        <v>9</v>
      </c>
      <c r="D1221">
        <v>20</v>
      </c>
    </row>
    <row r="1222" spans="1:4" ht="15.75" customHeight="1">
      <c r="A1222" t="s">
        <v>4173</v>
      </c>
      <c r="B1222" t="s">
        <v>668</v>
      </c>
      <c r="C1222">
        <v>19</v>
      </c>
      <c r="D1222">
        <v>25</v>
      </c>
    </row>
    <row r="1223" spans="1:4" ht="15.75" customHeight="1">
      <c r="A1223" t="s">
        <v>4174</v>
      </c>
      <c r="B1223" t="s">
        <v>671</v>
      </c>
      <c r="C1223">
        <v>11</v>
      </c>
      <c r="D1223">
        <v>20</v>
      </c>
    </row>
    <row r="1224" spans="1:4" ht="15.75" customHeight="1">
      <c r="A1224" t="s">
        <v>4175</v>
      </c>
      <c r="B1224" t="s">
        <v>671</v>
      </c>
      <c r="C1224">
        <v>9</v>
      </c>
      <c r="D1224">
        <v>20</v>
      </c>
    </row>
    <row r="1225" spans="1:4" ht="15.75" customHeight="1">
      <c r="A1225" t="s">
        <v>4176</v>
      </c>
      <c r="B1225" t="s">
        <v>673</v>
      </c>
      <c r="C1225">
        <v>11</v>
      </c>
      <c r="D1225">
        <v>20</v>
      </c>
    </row>
    <row r="1226" spans="1:4" ht="15.75" customHeight="1">
      <c r="A1226" t="s">
        <v>4177</v>
      </c>
      <c r="B1226" t="s">
        <v>673</v>
      </c>
      <c r="C1226">
        <v>9</v>
      </c>
      <c r="D1226">
        <v>20</v>
      </c>
    </row>
    <row r="1227" spans="1:4" ht="15.75" customHeight="1">
      <c r="A1227" t="s">
        <v>4178</v>
      </c>
      <c r="B1227" t="s">
        <v>675</v>
      </c>
      <c r="C1227">
        <v>11</v>
      </c>
      <c r="D1227">
        <v>20</v>
      </c>
    </row>
    <row r="1228" spans="1:4" ht="15.75" customHeight="1">
      <c r="A1228" t="s">
        <v>4179</v>
      </c>
      <c r="B1228" t="s">
        <v>675</v>
      </c>
      <c r="C1228">
        <v>15</v>
      </c>
      <c r="D1228">
        <v>20</v>
      </c>
    </row>
    <row r="1229" spans="1:4" ht="15.75" customHeight="1">
      <c r="A1229" t="s">
        <v>4180</v>
      </c>
      <c r="B1229" t="s">
        <v>677</v>
      </c>
      <c r="C1229">
        <v>11</v>
      </c>
      <c r="D1229">
        <v>20</v>
      </c>
    </row>
    <row r="1230" spans="1:4" ht="15.75" customHeight="1">
      <c r="A1230" t="s">
        <v>4181</v>
      </c>
      <c r="B1230" t="s">
        <v>677</v>
      </c>
      <c r="C1230">
        <v>15</v>
      </c>
      <c r="D1230">
        <v>20</v>
      </c>
    </row>
    <row r="1231" spans="1:4" ht="15.75" customHeight="1">
      <c r="A1231" t="s">
        <v>4182</v>
      </c>
      <c r="B1231" t="s">
        <v>677</v>
      </c>
      <c r="C1231">
        <v>19</v>
      </c>
      <c r="D1231">
        <v>25</v>
      </c>
    </row>
    <row r="1232" spans="1:4" ht="15.75" customHeight="1">
      <c r="A1232" t="s">
        <v>4183</v>
      </c>
      <c r="B1232" t="s">
        <v>682</v>
      </c>
      <c r="C1232">
        <v>11</v>
      </c>
      <c r="D1232">
        <v>20</v>
      </c>
    </row>
    <row r="1233" spans="1:4" ht="15.75" customHeight="1">
      <c r="A1233" t="s">
        <v>4184</v>
      </c>
      <c r="B1233" t="s">
        <v>682</v>
      </c>
      <c r="C1233">
        <v>9</v>
      </c>
      <c r="D1233">
        <v>20</v>
      </c>
    </row>
    <row r="1234" spans="1:4" ht="15.75" customHeight="1">
      <c r="A1234" t="s">
        <v>4185</v>
      </c>
      <c r="B1234" t="s">
        <v>682</v>
      </c>
      <c r="C1234">
        <v>19</v>
      </c>
      <c r="D1234">
        <v>25</v>
      </c>
    </row>
    <row r="1235" spans="1:4" ht="15.75" customHeight="1">
      <c r="A1235" t="s">
        <v>4186</v>
      </c>
      <c r="B1235" t="s">
        <v>688</v>
      </c>
      <c r="C1235">
        <v>11</v>
      </c>
      <c r="D1235">
        <v>20</v>
      </c>
    </row>
    <row r="1236" spans="1:4" ht="15.75" customHeight="1">
      <c r="A1236" t="s">
        <v>4187</v>
      </c>
      <c r="B1236" t="s">
        <v>690</v>
      </c>
      <c r="C1236">
        <v>11</v>
      </c>
      <c r="D1236">
        <v>20</v>
      </c>
    </row>
    <row r="1237" spans="1:4" ht="15.75" customHeight="1">
      <c r="A1237" t="s">
        <v>4188</v>
      </c>
      <c r="B1237" t="s">
        <v>690</v>
      </c>
      <c r="C1237">
        <v>9</v>
      </c>
      <c r="D1237">
        <v>20</v>
      </c>
    </row>
    <row r="1238" spans="1:4" ht="15.75" customHeight="1">
      <c r="A1238" t="s">
        <v>4189</v>
      </c>
      <c r="B1238" t="s">
        <v>694</v>
      </c>
      <c r="C1238">
        <v>11</v>
      </c>
      <c r="D1238">
        <v>20</v>
      </c>
    </row>
    <row r="1239" spans="1:4" ht="15.75" customHeight="1">
      <c r="A1239" t="s">
        <v>4190</v>
      </c>
      <c r="B1239" t="s">
        <v>694</v>
      </c>
      <c r="C1239">
        <v>15</v>
      </c>
      <c r="D1239">
        <v>20</v>
      </c>
    </row>
    <row r="1240" spans="1:4" ht="15.75" customHeight="1">
      <c r="A1240" t="s">
        <v>4191</v>
      </c>
      <c r="B1240" t="s">
        <v>697</v>
      </c>
      <c r="C1240">
        <v>11</v>
      </c>
      <c r="D1240">
        <v>20</v>
      </c>
    </row>
    <row r="1241" spans="1:4" ht="15.75" customHeight="1">
      <c r="A1241" t="s">
        <v>4192</v>
      </c>
      <c r="B1241" t="s">
        <v>697</v>
      </c>
      <c r="C1241">
        <v>15</v>
      </c>
      <c r="D1241">
        <v>20</v>
      </c>
    </row>
    <row r="1242" spans="1:4" ht="15.75" customHeight="1">
      <c r="A1242" t="s">
        <v>4193</v>
      </c>
      <c r="B1242" t="s">
        <v>700</v>
      </c>
      <c r="C1242">
        <v>11</v>
      </c>
      <c r="D1242">
        <v>20</v>
      </c>
    </row>
    <row r="1243" spans="1:4" ht="15.75" customHeight="1">
      <c r="A1243" t="s">
        <v>4194</v>
      </c>
      <c r="B1243" t="s">
        <v>700</v>
      </c>
      <c r="C1243">
        <v>9</v>
      </c>
      <c r="D1243">
        <v>20</v>
      </c>
    </row>
    <row r="1244" spans="1:4" ht="15.75" customHeight="1">
      <c r="A1244" t="s">
        <v>4195</v>
      </c>
      <c r="B1244" t="s">
        <v>704</v>
      </c>
      <c r="C1244">
        <v>11</v>
      </c>
      <c r="D1244">
        <v>20</v>
      </c>
    </row>
    <row r="1245" spans="1:4" ht="15.75" customHeight="1">
      <c r="A1245" t="s">
        <v>4196</v>
      </c>
      <c r="B1245" t="s">
        <v>704</v>
      </c>
      <c r="C1245">
        <v>11</v>
      </c>
      <c r="D1245">
        <v>20</v>
      </c>
    </row>
    <row r="1246" spans="1:4" ht="15.75" customHeight="1">
      <c r="A1246" t="s">
        <v>4197</v>
      </c>
      <c r="B1246" t="s">
        <v>704</v>
      </c>
      <c r="C1246">
        <v>19</v>
      </c>
      <c r="D1246">
        <v>25</v>
      </c>
    </row>
    <row r="1247" spans="1:4" ht="15.75" customHeight="1">
      <c r="A1247" t="s">
        <v>4198</v>
      </c>
      <c r="B1247" t="s">
        <v>710</v>
      </c>
      <c r="C1247">
        <v>11</v>
      </c>
      <c r="D1247">
        <v>20</v>
      </c>
    </row>
    <row r="1248" spans="1:4" ht="15.75" customHeight="1">
      <c r="A1248" t="s">
        <v>4199</v>
      </c>
      <c r="B1248" t="s">
        <v>710</v>
      </c>
      <c r="C1248">
        <v>15</v>
      </c>
      <c r="D1248">
        <v>20</v>
      </c>
    </row>
    <row r="1249" spans="1:4" ht="15.75" customHeight="1">
      <c r="A1249" t="s">
        <v>4200</v>
      </c>
      <c r="B1249" t="s">
        <v>710</v>
      </c>
      <c r="C1249">
        <v>19</v>
      </c>
      <c r="D1249">
        <v>25</v>
      </c>
    </row>
    <row r="1250" spans="1:4" ht="15.75" customHeight="1">
      <c r="A1250" t="s">
        <v>4201</v>
      </c>
      <c r="B1250" t="s">
        <v>716</v>
      </c>
      <c r="C1250">
        <v>11</v>
      </c>
      <c r="D1250">
        <v>20</v>
      </c>
    </row>
    <row r="1251" spans="1:4" ht="15.75" customHeight="1">
      <c r="A1251" t="s">
        <v>4202</v>
      </c>
      <c r="B1251" t="s">
        <v>716</v>
      </c>
      <c r="C1251">
        <v>15</v>
      </c>
      <c r="D1251">
        <v>20</v>
      </c>
    </row>
    <row r="1252" spans="1:4" ht="15.75" customHeight="1">
      <c r="A1252" t="s">
        <v>4203</v>
      </c>
      <c r="B1252" t="s">
        <v>720</v>
      </c>
      <c r="C1252">
        <v>11</v>
      </c>
      <c r="D1252">
        <v>20</v>
      </c>
    </row>
    <row r="1253" spans="1:4" ht="15.75" customHeight="1">
      <c r="A1253" t="s">
        <v>4204</v>
      </c>
      <c r="B1253" t="s">
        <v>720</v>
      </c>
      <c r="C1253">
        <v>15</v>
      </c>
      <c r="D1253">
        <v>20</v>
      </c>
    </row>
    <row r="1254" spans="1:4" ht="15.75" customHeight="1">
      <c r="A1254" t="s">
        <v>4205</v>
      </c>
      <c r="B1254" t="s">
        <v>722</v>
      </c>
      <c r="C1254">
        <v>11</v>
      </c>
      <c r="D1254">
        <v>20</v>
      </c>
    </row>
    <row r="1255" spans="1:4" ht="15.75" customHeight="1">
      <c r="A1255" t="s">
        <v>4206</v>
      </c>
      <c r="B1255" t="s">
        <v>722</v>
      </c>
      <c r="C1255">
        <v>15</v>
      </c>
      <c r="D1255">
        <v>20</v>
      </c>
    </row>
    <row r="1256" spans="1:4" ht="15.75" customHeight="1">
      <c r="A1256" t="s">
        <v>4207</v>
      </c>
      <c r="B1256" t="s">
        <v>722</v>
      </c>
      <c r="C1256">
        <v>19</v>
      </c>
      <c r="D1256">
        <v>25</v>
      </c>
    </row>
    <row r="1257" spans="1:4" ht="15.75" customHeight="1">
      <c r="A1257" t="s">
        <v>4208</v>
      </c>
      <c r="B1257" t="s">
        <v>728</v>
      </c>
      <c r="C1257">
        <v>11</v>
      </c>
      <c r="D1257">
        <v>20</v>
      </c>
    </row>
    <row r="1258" spans="1:4" ht="15.75" customHeight="1">
      <c r="A1258" t="s">
        <v>4209</v>
      </c>
      <c r="B1258" t="s">
        <v>728</v>
      </c>
      <c r="C1258">
        <v>11</v>
      </c>
      <c r="D1258">
        <v>20</v>
      </c>
    </row>
    <row r="1259" spans="1:4" ht="15.75" customHeight="1">
      <c r="A1259" t="s">
        <v>4210</v>
      </c>
      <c r="B1259" t="s">
        <v>733</v>
      </c>
      <c r="C1259">
        <v>11</v>
      </c>
      <c r="D1259">
        <v>20</v>
      </c>
    </row>
    <row r="1260" spans="1:4" ht="15.75" customHeight="1">
      <c r="A1260" t="s">
        <v>4211</v>
      </c>
      <c r="B1260" t="s">
        <v>733</v>
      </c>
      <c r="C1260">
        <v>9</v>
      </c>
      <c r="D1260">
        <v>20</v>
      </c>
    </row>
    <row r="1261" spans="1:4" ht="15.75" customHeight="1">
      <c r="A1261" t="s">
        <v>4212</v>
      </c>
      <c r="B1261" t="s">
        <v>735</v>
      </c>
      <c r="C1261">
        <v>11</v>
      </c>
      <c r="D1261">
        <v>20</v>
      </c>
    </row>
    <row r="1262" spans="1:4" ht="15.75" customHeight="1">
      <c r="A1262" t="s">
        <v>4213</v>
      </c>
      <c r="B1262" t="s">
        <v>735</v>
      </c>
      <c r="C1262">
        <v>15</v>
      </c>
      <c r="D1262">
        <v>20</v>
      </c>
    </row>
    <row r="1263" spans="1:4" ht="15.75" customHeight="1">
      <c r="A1263" t="s">
        <v>4214</v>
      </c>
      <c r="B1263" t="s">
        <v>739</v>
      </c>
      <c r="C1263">
        <v>11</v>
      </c>
      <c r="D1263">
        <v>20</v>
      </c>
    </row>
    <row r="1264" spans="1:4" ht="15.75" customHeight="1">
      <c r="A1264" t="s">
        <v>4215</v>
      </c>
      <c r="B1264" t="s">
        <v>739</v>
      </c>
      <c r="C1264">
        <v>15</v>
      </c>
      <c r="D1264">
        <v>20</v>
      </c>
    </row>
    <row r="1265" spans="1:4" ht="15.75" customHeight="1">
      <c r="A1265" t="s">
        <v>4216</v>
      </c>
      <c r="B1265" t="s">
        <v>743</v>
      </c>
      <c r="C1265">
        <v>11</v>
      </c>
      <c r="D1265">
        <v>20</v>
      </c>
    </row>
    <row r="1266" spans="1:4" ht="15.75" customHeight="1">
      <c r="A1266" t="s">
        <v>4217</v>
      </c>
      <c r="B1266" t="s">
        <v>743</v>
      </c>
      <c r="C1266">
        <v>9</v>
      </c>
      <c r="D1266">
        <v>20</v>
      </c>
    </row>
    <row r="1267" spans="1:4" ht="15.75" customHeight="1">
      <c r="A1267" t="s">
        <v>4218</v>
      </c>
      <c r="B1267" t="s">
        <v>746</v>
      </c>
      <c r="C1267">
        <v>11</v>
      </c>
      <c r="D1267">
        <v>20</v>
      </c>
    </row>
    <row r="1268" spans="1:4" ht="15.75" customHeight="1">
      <c r="A1268" t="s">
        <v>4219</v>
      </c>
      <c r="B1268" t="s">
        <v>746</v>
      </c>
      <c r="C1268">
        <v>9</v>
      </c>
      <c r="D1268">
        <v>20</v>
      </c>
    </row>
    <row r="1269" spans="1:4" ht="15.75" customHeight="1">
      <c r="A1269" t="s">
        <v>4220</v>
      </c>
      <c r="B1269" t="s">
        <v>746</v>
      </c>
      <c r="C1269">
        <v>19</v>
      </c>
      <c r="D1269">
        <v>25</v>
      </c>
    </row>
    <row r="1270" spans="1:4" ht="15.75" customHeight="1">
      <c r="A1270" t="s">
        <v>4221</v>
      </c>
      <c r="B1270" t="s">
        <v>746</v>
      </c>
      <c r="C1270">
        <v>11</v>
      </c>
      <c r="D1270">
        <v>40</v>
      </c>
    </row>
    <row r="1271" spans="1:4" ht="15.75" customHeight="1">
      <c r="A1271" t="s">
        <v>4222</v>
      </c>
      <c r="B1271" t="s">
        <v>749</v>
      </c>
      <c r="C1271">
        <v>11</v>
      </c>
      <c r="D1271">
        <v>20</v>
      </c>
    </row>
    <row r="1272" spans="1:4" ht="15.75" customHeight="1">
      <c r="A1272" t="s">
        <v>4223</v>
      </c>
      <c r="B1272" t="s">
        <v>749</v>
      </c>
      <c r="C1272">
        <v>9</v>
      </c>
      <c r="D1272">
        <v>20</v>
      </c>
    </row>
    <row r="1273" spans="1:4" ht="15.75" customHeight="1">
      <c r="A1273" t="s">
        <v>4224</v>
      </c>
      <c r="B1273" t="s">
        <v>751</v>
      </c>
      <c r="C1273">
        <v>18</v>
      </c>
      <c r="D1273">
        <v>20</v>
      </c>
    </row>
    <row r="1274" spans="1:4" ht="15.75" customHeight="1">
      <c r="A1274" t="s">
        <v>4225</v>
      </c>
      <c r="B1274" t="s">
        <v>753</v>
      </c>
      <c r="C1274">
        <v>11</v>
      </c>
      <c r="D1274">
        <v>20</v>
      </c>
    </row>
    <row r="1275" spans="1:4" ht="15.75" customHeight="1">
      <c r="A1275" t="s">
        <v>4226</v>
      </c>
      <c r="B1275" t="s">
        <v>753</v>
      </c>
      <c r="C1275">
        <v>9</v>
      </c>
      <c r="D1275">
        <v>20</v>
      </c>
    </row>
    <row r="1276" spans="1:4" ht="15.75" customHeight="1">
      <c r="A1276" t="s">
        <v>4227</v>
      </c>
      <c r="B1276" t="s">
        <v>757</v>
      </c>
      <c r="C1276">
        <v>11</v>
      </c>
      <c r="D1276">
        <v>20</v>
      </c>
    </row>
    <row r="1277" spans="1:4" ht="15.75" customHeight="1">
      <c r="A1277" t="s">
        <v>4228</v>
      </c>
      <c r="B1277" t="s">
        <v>757</v>
      </c>
      <c r="C1277">
        <v>9</v>
      </c>
      <c r="D1277">
        <v>20</v>
      </c>
    </row>
    <row r="1278" spans="1:4" ht="15.75" customHeight="1">
      <c r="A1278" t="s">
        <v>4229</v>
      </c>
      <c r="B1278" t="s">
        <v>757</v>
      </c>
      <c r="C1278">
        <v>19</v>
      </c>
      <c r="D1278">
        <v>26</v>
      </c>
    </row>
    <row r="1279" spans="1:4" ht="15.75" customHeight="1">
      <c r="A1279" t="s">
        <v>4230</v>
      </c>
      <c r="B1279" t="s">
        <v>757</v>
      </c>
      <c r="C1279">
        <v>11</v>
      </c>
      <c r="D1279">
        <v>40</v>
      </c>
    </row>
    <row r="1280" spans="1:4" ht="15.75" customHeight="1">
      <c r="A1280" t="s">
        <v>4231</v>
      </c>
      <c r="B1280" t="s">
        <v>762</v>
      </c>
      <c r="C1280">
        <v>11</v>
      </c>
      <c r="D1280">
        <v>20</v>
      </c>
    </row>
    <row r="1281" spans="1:4" ht="15.75" customHeight="1">
      <c r="A1281" t="s">
        <v>4232</v>
      </c>
      <c r="B1281" t="s">
        <v>762</v>
      </c>
      <c r="C1281">
        <v>9</v>
      </c>
      <c r="D1281">
        <v>20</v>
      </c>
    </row>
    <row r="1282" spans="1:4" ht="15.75" customHeight="1">
      <c r="A1282" t="s">
        <v>4233</v>
      </c>
      <c r="B1282" t="s">
        <v>762</v>
      </c>
      <c r="C1282">
        <v>19</v>
      </c>
      <c r="D1282">
        <v>25</v>
      </c>
    </row>
    <row r="1283" spans="1:4" ht="15.75" customHeight="1">
      <c r="A1283" t="s">
        <v>4234</v>
      </c>
      <c r="B1283" t="s">
        <v>766</v>
      </c>
      <c r="C1283">
        <v>11</v>
      </c>
      <c r="D1283">
        <v>20</v>
      </c>
    </row>
    <row r="1284" spans="1:4" ht="15.75" customHeight="1">
      <c r="A1284" t="s">
        <v>4235</v>
      </c>
      <c r="B1284" t="s">
        <v>766</v>
      </c>
      <c r="C1284">
        <v>9</v>
      </c>
      <c r="D1284">
        <v>20</v>
      </c>
    </row>
    <row r="1285" spans="1:4" ht="15.75" customHeight="1">
      <c r="A1285" t="s">
        <v>4236</v>
      </c>
      <c r="B1285" t="s">
        <v>766</v>
      </c>
      <c r="C1285">
        <v>8</v>
      </c>
      <c r="D1285">
        <v>25</v>
      </c>
    </row>
    <row r="1286" spans="1:4" ht="15.75" customHeight="1">
      <c r="A1286" t="s">
        <v>4237</v>
      </c>
      <c r="B1286" t="s">
        <v>771</v>
      </c>
      <c r="C1286">
        <v>11</v>
      </c>
      <c r="D1286">
        <v>20</v>
      </c>
    </row>
    <row r="1287" spans="1:4" ht="15.75" customHeight="1">
      <c r="A1287" t="s">
        <v>4238</v>
      </c>
      <c r="B1287" t="s">
        <v>771</v>
      </c>
      <c r="C1287">
        <v>9</v>
      </c>
      <c r="D1287">
        <v>20</v>
      </c>
    </row>
    <row r="1288" spans="1:4" ht="15.75" customHeight="1">
      <c r="A1288" t="s">
        <v>4239</v>
      </c>
      <c r="B1288" t="s">
        <v>771</v>
      </c>
      <c r="C1288">
        <v>19</v>
      </c>
      <c r="D1288">
        <v>25</v>
      </c>
    </row>
    <row r="1289" spans="1:4" ht="15.75" customHeight="1">
      <c r="A1289" t="s">
        <v>4240</v>
      </c>
      <c r="B1289" t="s">
        <v>776</v>
      </c>
      <c r="C1289">
        <v>11</v>
      </c>
      <c r="D1289">
        <v>20</v>
      </c>
    </row>
    <row r="1290" spans="1:4" ht="15.75" customHeight="1">
      <c r="A1290" t="s">
        <v>4241</v>
      </c>
      <c r="B1290" t="s">
        <v>776</v>
      </c>
      <c r="C1290">
        <v>9</v>
      </c>
      <c r="D1290">
        <v>20</v>
      </c>
    </row>
    <row r="1291" spans="1:4" ht="15.75" customHeight="1">
      <c r="A1291" t="s">
        <v>4242</v>
      </c>
      <c r="B1291" t="s">
        <v>778</v>
      </c>
      <c r="C1291">
        <v>11</v>
      </c>
      <c r="D1291">
        <v>20</v>
      </c>
    </row>
    <row r="1292" spans="1:4" ht="15.75" customHeight="1">
      <c r="A1292" t="s">
        <v>4243</v>
      </c>
      <c r="B1292" t="s">
        <v>778</v>
      </c>
      <c r="C1292">
        <v>11</v>
      </c>
      <c r="D1292">
        <v>20</v>
      </c>
    </row>
    <row r="1293" spans="1:4" ht="15.75" customHeight="1">
      <c r="A1293" t="s">
        <v>4244</v>
      </c>
      <c r="B1293" t="s">
        <v>780</v>
      </c>
      <c r="C1293">
        <v>11</v>
      </c>
      <c r="D1293">
        <v>20</v>
      </c>
    </row>
    <row r="1294" spans="1:4" ht="15.75" customHeight="1">
      <c r="A1294" t="s">
        <v>4245</v>
      </c>
      <c r="B1294" t="s">
        <v>782</v>
      </c>
      <c r="C1294">
        <v>11</v>
      </c>
      <c r="D1294">
        <v>20</v>
      </c>
    </row>
    <row r="1295" spans="1:4" ht="15.75" customHeight="1">
      <c r="A1295" t="s">
        <v>4246</v>
      </c>
      <c r="B1295" t="s">
        <v>782</v>
      </c>
      <c r="C1295">
        <v>9</v>
      </c>
      <c r="D1295">
        <v>20</v>
      </c>
    </row>
    <row r="1296" spans="1:4" ht="15.75" customHeight="1">
      <c r="A1296" t="s">
        <v>4247</v>
      </c>
      <c r="B1296" t="s">
        <v>785</v>
      </c>
      <c r="C1296">
        <v>11</v>
      </c>
      <c r="D1296">
        <v>20</v>
      </c>
    </row>
    <row r="1297" spans="1:4" ht="15.75" customHeight="1">
      <c r="A1297" t="s">
        <v>4248</v>
      </c>
      <c r="B1297" t="s">
        <v>785</v>
      </c>
      <c r="C1297">
        <v>11</v>
      </c>
      <c r="D1297">
        <v>20</v>
      </c>
    </row>
    <row r="1298" spans="1:4" ht="15.75" customHeight="1">
      <c r="A1298" t="s">
        <v>4249</v>
      </c>
      <c r="B1298" t="s">
        <v>785</v>
      </c>
      <c r="C1298">
        <v>19</v>
      </c>
      <c r="D1298">
        <v>25</v>
      </c>
    </row>
    <row r="1299" spans="1:4" ht="15.75" customHeight="1">
      <c r="A1299" t="s">
        <v>4250</v>
      </c>
      <c r="B1299" t="s">
        <v>790</v>
      </c>
      <c r="C1299">
        <v>11</v>
      </c>
      <c r="D1299">
        <v>20</v>
      </c>
    </row>
    <row r="1300" spans="1:4" ht="15.75" customHeight="1">
      <c r="A1300" t="s">
        <v>4251</v>
      </c>
      <c r="B1300" t="s">
        <v>790</v>
      </c>
      <c r="C1300">
        <v>9</v>
      </c>
      <c r="D1300">
        <v>20</v>
      </c>
    </row>
    <row r="1301" spans="1:4" ht="15.75" customHeight="1">
      <c r="A1301" t="s">
        <v>4252</v>
      </c>
      <c r="B1301" t="s">
        <v>792</v>
      </c>
      <c r="C1301">
        <v>11</v>
      </c>
      <c r="D1301">
        <v>20</v>
      </c>
    </row>
    <row r="1302" spans="1:4" ht="15.75" customHeight="1">
      <c r="A1302" t="s">
        <v>4253</v>
      </c>
      <c r="B1302" t="s">
        <v>792</v>
      </c>
      <c r="C1302">
        <v>9</v>
      </c>
      <c r="D1302">
        <v>20</v>
      </c>
    </row>
    <row r="1303" spans="1:4" ht="15.75" customHeight="1">
      <c r="A1303" t="s">
        <v>4254</v>
      </c>
      <c r="B1303" t="s">
        <v>794</v>
      </c>
      <c r="C1303">
        <v>11</v>
      </c>
      <c r="D1303">
        <v>20</v>
      </c>
    </row>
    <row r="1304" spans="1:4" ht="15.75" customHeight="1">
      <c r="A1304" t="s">
        <v>4255</v>
      </c>
      <c r="B1304" t="s">
        <v>794</v>
      </c>
      <c r="C1304">
        <v>9</v>
      </c>
      <c r="D1304">
        <v>20</v>
      </c>
    </row>
    <row r="1305" spans="1:4" ht="15.75" customHeight="1">
      <c r="A1305" t="s">
        <v>4256</v>
      </c>
      <c r="B1305" t="s">
        <v>796</v>
      </c>
      <c r="C1305">
        <v>11</v>
      </c>
      <c r="D1305">
        <v>20</v>
      </c>
    </row>
    <row r="1306" spans="1:4" ht="15.75" customHeight="1">
      <c r="A1306" t="s">
        <v>4257</v>
      </c>
      <c r="B1306" t="s">
        <v>796</v>
      </c>
      <c r="C1306">
        <v>9</v>
      </c>
      <c r="D1306">
        <v>20</v>
      </c>
    </row>
    <row r="1307" spans="1:4" ht="15.75" customHeight="1">
      <c r="A1307" t="s">
        <v>4258</v>
      </c>
      <c r="B1307" t="s">
        <v>796</v>
      </c>
      <c r="C1307">
        <v>19</v>
      </c>
      <c r="D1307">
        <v>25</v>
      </c>
    </row>
    <row r="1308" spans="1:4" ht="15.75" customHeight="1">
      <c r="A1308" t="s">
        <v>4259</v>
      </c>
      <c r="B1308" t="s">
        <v>796</v>
      </c>
      <c r="C1308">
        <v>11</v>
      </c>
      <c r="D1308">
        <v>40</v>
      </c>
    </row>
    <row r="1309" spans="1:4" ht="15.75" customHeight="1">
      <c r="A1309" t="s">
        <v>4260</v>
      </c>
      <c r="B1309" t="s">
        <v>801</v>
      </c>
      <c r="C1309">
        <v>11</v>
      </c>
      <c r="D1309">
        <v>20</v>
      </c>
    </row>
    <row r="1310" spans="1:4" ht="15.75" customHeight="1">
      <c r="A1310" t="s">
        <v>4261</v>
      </c>
      <c r="B1310" t="s">
        <v>801</v>
      </c>
      <c r="C1310">
        <v>15</v>
      </c>
      <c r="D1310">
        <v>20</v>
      </c>
    </row>
    <row r="1311" spans="1:4" ht="15.75" customHeight="1">
      <c r="A1311" t="s">
        <v>4262</v>
      </c>
      <c r="B1311" t="s">
        <v>801</v>
      </c>
      <c r="C1311">
        <v>19</v>
      </c>
      <c r="D1311">
        <v>25</v>
      </c>
    </row>
    <row r="1312" spans="1:4" ht="15.75" customHeight="1">
      <c r="A1312" t="s">
        <v>4263</v>
      </c>
      <c r="B1312" t="s">
        <v>806</v>
      </c>
      <c r="C1312">
        <v>11</v>
      </c>
      <c r="D1312">
        <v>20</v>
      </c>
    </row>
    <row r="1313" spans="1:4" ht="15.75" customHeight="1">
      <c r="A1313" t="s">
        <v>4264</v>
      </c>
      <c r="B1313" t="s">
        <v>806</v>
      </c>
      <c r="C1313">
        <v>15</v>
      </c>
      <c r="D1313">
        <v>20</v>
      </c>
    </row>
    <row r="1314" spans="1:4" ht="15.75" customHeight="1">
      <c r="A1314" t="s">
        <v>4265</v>
      </c>
      <c r="B1314" t="s">
        <v>806</v>
      </c>
      <c r="C1314">
        <v>19</v>
      </c>
      <c r="D1314">
        <v>25</v>
      </c>
    </row>
    <row r="1315" spans="1:4" ht="15.75" customHeight="1">
      <c r="A1315" t="s">
        <v>4266</v>
      </c>
      <c r="B1315" t="s">
        <v>812</v>
      </c>
      <c r="C1315">
        <v>11</v>
      </c>
      <c r="D1315">
        <v>20</v>
      </c>
    </row>
    <row r="1316" spans="1:4" ht="15.75" customHeight="1">
      <c r="A1316" t="s">
        <v>4267</v>
      </c>
      <c r="B1316" t="s">
        <v>812</v>
      </c>
      <c r="C1316">
        <v>9</v>
      </c>
      <c r="D1316">
        <v>20</v>
      </c>
    </row>
    <row r="1317" spans="1:4" ht="15.75" customHeight="1">
      <c r="A1317" t="s">
        <v>4268</v>
      </c>
      <c r="B1317" t="s">
        <v>814</v>
      </c>
      <c r="C1317">
        <v>11</v>
      </c>
      <c r="D1317">
        <v>20</v>
      </c>
    </row>
    <row r="1318" spans="1:4" ht="15.75" customHeight="1">
      <c r="A1318" t="s">
        <v>4269</v>
      </c>
      <c r="B1318" t="s">
        <v>816</v>
      </c>
      <c r="C1318">
        <v>11</v>
      </c>
      <c r="D1318">
        <v>20</v>
      </c>
    </row>
    <row r="1319" spans="1:4" ht="15.75" customHeight="1">
      <c r="A1319" t="s">
        <v>4270</v>
      </c>
      <c r="B1319" t="s">
        <v>816</v>
      </c>
      <c r="C1319">
        <v>9</v>
      </c>
      <c r="D1319">
        <v>20</v>
      </c>
    </row>
    <row r="1320" spans="1:4" ht="15.75" customHeight="1">
      <c r="A1320" t="s">
        <v>5721</v>
      </c>
      <c r="B1320" t="s">
        <v>5361</v>
      </c>
      <c r="C1320">
        <v>9</v>
      </c>
      <c r="D1320">
        <v>20</v>
      </c>
    </row>
    <row r="1321" spans="1:4" ht="15.75" customHeight="1">
      <c r="A1321" t="s">
        <v>5722</v>
      </c>
      <c r="B1321" t="s">
        <v>5361</v>
      </c>
      <c r="C1321">
        <v>9</v>
      </c>
      <c r="D1321">
        <v>20</v>
      </c>
    </row>
    <row r="1322" spans="1:4" ht="15.75" customHeight="1">
      <c r="A1322" t="s">
        <v>4271</v>
      </c>
      <c r="B1322" t="s">
        <v>818</v>
      </c>
      <c r="C1322">
        <v>11</v>
      </c>
      <c r="D1322">
        <v>20</v>
      </c>
    </row>
    <row r="1323" spans="1:4" ht="15.75" customHeight="1">
      <c r="A1323" t="s">
        <v>4272</v>
      </c>
      <c r="B1323" t="s">
        <v>818</v>
      </c>
      <c r="C1323">
        <v>9</v>
      </c>
      <c r="D1323">
        <v>20</v>
      </c>
    </row>
    <row r="1324" spans="1:4" ht="15.75" customHeight="1">
      <c r="A1324" t="s">
        <v>4273</v>
      </c>
      <c r="B1324" t="s">
        <v>821</v>
      </c>
      <c r="C1324">
        <v>11</v>
      </c>
      <c r="D1324">
        <v>20</v>
      </c>
    </row>
    <row r="1325" spans="1:4" ht="15.75" customHeight="1">
      <c r="A1325" t="s">
        <v>4274</v>
      </c>
      <c r="B1325" t="s">
        <v>821</v>
      </c>
      <c r="C1325">
        <v>11</v>
      </c>
      <c r="D1325">
        <v>20</v>
      </c>
    </row>
    <row r="1326" spans="1:4" ht="15.75" customHeight="1">
      <c r="A1326" t="s">
        <v>4275</v>
      </c>
      <c r="B1326" t="s">
        <v>821</v>
      </c>
      <c r="C1326">
        <v>19</v>
      </c>
      <c r="D1326">
        <v>25</v>
      </c>
    </row>
    <row r="1327" spans="1:4" ht="15.75" customHeight="1">
      <c r="A1327" t="s">
        <v>4276</v>
      </c>
      <c r="B1327" t="s">
        <v>826</v>
      </c>
      <c r="C1327">
        <v>11</v>
      </c>
      <c r="D1327">
        <v>20</v>
      </c>
    </row>
    <row r="1328" spans="1:4" ht="15.75" customHeight="1">
      <c r="A1328" t="s">
        <v>4277</v>
      </c>
      <c r="B1328" t="s">
        <v>826</v>
      </c>
      <c r="C1328">
        <v>11</v>
      </c>
      <c r="D1328">
        <v>20</v>
      </c>
    </row>
    <row r="1329" spans="1:4" ht="15.75" customHeight="1">
      <c r="A1329" t="s">
        <v>4278</v>
      </c>
      <c r="B1329" t="s">
        <v>828</v>
      </c>
      <c r="C1329">
        <v>11</v>
      </c>
      <c r="D1329">
        <v>20</v>
      </c>
    </row>
    <row r="1330" spans="1:4" ht="15.75" customHeight="1">
      <c r="A1330" t="s">
        <v>4279</v>
      </c>
      <c r="B1330" t="s">
        <v>828</v>
      </c>
      <c r="C1330">
        <v>9</v>
      </c>
      <c r="D1330">
        <v>20</v>
      </c>
    </row>
    <row r="1331" spans="1:4" ht="15.75" customHeight="1">
      <c r="A1331" t="s">
        <v>4280</v>
      </c>
      <c r="B1331" t="s">
        <v>828</v>
      </c>
      <c r="C1331">
        <v>19</v>
      </c>
      <c r="D1331">
        <v>25</v>
      </c>
    </row>
    <row r="1332" spans="1:4" ht="15.75" customHeight="1">
      <c r="A1332" t="s">
        <v>4281</v>
      </c>
      <c r="B1332" t="s">
        <v>828</v>
      </c>
      <c r="C1332">
        <v>11</v>
      </c>
      <c r="D1332">
        <v>40</v>
      </c>
    </row>
    <row r="1333" spans="1:4" ht="15.75" customHeight="1">
      <c r="A1333" t="s">
        <v>4282</v>
      </c>
      <c r="B1333" t="s">
        <v>834</v>
      </c>
      <c r="C1333">
        <v>11</v>
      </c>
      <c r="D1333">
        <v>20</v>
      </c>
    </row>
    <row r="1334" spans="1:4" ht="15.75" customHeight="1">
      <c r="A1334" t="s">
        <v>4283</v>
      </c>
      <c r="B1334" t="s">
        <v>834</v>
      </c>
      <c r="C1334">
        <v>15</v>
      </c>
      <c r="D1334">
        <v>20</v>
      </c>
    </row>
    <row r="1335" spans="1:4" ht="15.75" customHeight="1">
      <c r="A1335" t="s">
        <v>4284</v>
      </c>
      <c r="B1335" t="s">
        <v>834</v>
      </c>
      <c r="C1335">
        <v>19</v>
      </c>
      <c r="D1335">
        <v>25</v>
      </c>
    </row>
    <row r="1336" spans="1:4" ht="15.75" customHeight="1">
      <c r="A1336" t="s">
        <v>4285</v>
      </c>
      <c r="B1336" t="s">
        <v>843</v>
      </c>
      <c r="C1336">
        <v>11</v>
      </c>
      <c r="D1336">
        <v>20</v>
      </c>
    </row>
    <row r="1337" spans="1:4" ht="15.75" customHeight="1">
      <c r="A1337" t="s">
        <v>4286</v>
      </c>
      <c r="B1337" t="s">
        <v>843</v>
      </c>
      <c r="C1337">
        <v>9</v>
      </c>
      <c r="D1337">
        <v>20</v>
      </c>
    </row>
    <row r="1338" spans="1:4" ht="15.75" customHeight="1">
      <c r="A1338" t="s">
        <v>4287</v>
      </c>
      <c r="B1338" t="s">
        <v>848</v>
      </c>
      <c r="C1338">
        <v>11</v>
      </c>
      <c r="D1338">
        <v>20</v>
      </c>
    </row>
    <row r="1339" spans="1:4" ht="15.75" customHeight="1">
      <c r="A1339" t="s">
        <v>4288</v>
      </c>
      <c r="B1339" t="s">
        <v>848</v>
      </c>
      <c r="C1339">
        <v>19</v>
      </c>
      <c r="D1339">
        <v>25</v>
      </c>
    </row>
    <row r="1340" spans="1:4" ht="15.75" customHeight="1">
      <c r="A1340" t="s">
        <v>4289</v>
      </c>
      <c r="B1340" t="s">
        <v>855</v>
      </c>
      <c r="C1340">
        <v>11</v>
      </c>
      <c r="D1340">
        <v>20</v>
      </c>
    </row>
    <row r="1341" spans="1:4" ht="15.75" customHeight="1">
      <c r="A1341" t="s">
        <v>4290</v>
      </c>
      <c r="B1341" t="s">
        <v>855</v>
      </c>
      <c r="C1341">
        <v>15</v>
      </c>
      <c r="D1341">
        <v>20</v>
      </c>
    </row>
    <row r="1342" spans="1:4" ht="15.75" customHeight="1">
      <c r="A1342" t="s">
        <v>4291</v>
      </c>
      <c r="B1342" t="s">
        <v>855</v>
      </c>
      <c r="C1342">
        <v>19</v>
      </c>
      <c r="D1342">
        <v>25</v>
      </c>
    </row>
    <row r="1343" spans="1:4" ht="15.75" customHeight="1">
      <c r="A1343" t="s">
        <v>4292</v>
      </c>
      <c r="B1343" t="s">
        <v>861</v>
      </c>
      <c r="C1343">
        <v>11</v>
      </c>
      <c r="D1343">
        <v>20</v>
      </c>
    </row>
    <row r="1344" spans="1:4" ht="15.75" customHeight="1">
      <c r="A1344" t="s">
        <v>4293</v>
      </c>
      <c r="B1344" t="s">
        <v>861</v>
      </c>
      <c r="C1344">
        <v>9</v>
      </c>
      <c r="D1344">
        <v>20</v>
      </c>
    </row>
    <row r="1345" spans="1:4" ht="15.75" customHeight="1">
      <c r="A1345" t="s">
        <v>4294</v>
      </c>
      <c r="B1345" t="s">
        <v>861</v>
      </c>
      <c r="C1345">
        <v>19</v>
      </c>
      <c r="D1345">
        <v>25</v>
      </c>
    </row>
    <row r="1346" spans="1:4" ht="15.75" customHeight="1">
      <c r="A1346" t="s">
        <v>4295</v>
      </c>
      <c r="B1346" t="s">
        <v>866</v>
      </c>
      <c r="C1346">
        <v>11</v>
      </c>
      <c r="D1346">
        <v>20</v>
      </c>
    </row>
    <row r="1347" spans="1:4" ht="15.75" customHeight="1">
      <c r="A1347" t="s">
        <v>4296</v>
      </c>
      <c r="B1347" t="s">
        <v>866</v>
      </c>
      <c r="C1347">
        <v>9</v>
      </c>
      <c r="D1347">
        <v>20</v>
      </c>
    </row>
    <row r="1348" spans="1:4" ht="15.75" customHeight="1">
      <c r="A1348" t="s">
        <v>4297</v>
      </c>
      <c r="B1348" t="s">
        <v>870</v>
      </c>
      <c r="C1348">
        <v>11</v>
      </c>
      <c r="D1348">
        <v>20</v>
      </c>
    </row>
    <row r="1349" spans="1:4" ht="15.75" customHeight="1">
      <c r="A1349" t="s">
        <v>4298</v>
      </c>
      <c r="B1349" t="s">
        <v>873</v>
      </c>
      <c r="C1349">
        <v>11</v>
      </c>
      <c r="D1349">
        <v>20</v>
      </c>
    </row>
    <row r="1350" spans="1:4" ht="15.75" customHeight="1">
      <c r="A1350" t="s">
        <v>4299</v>
      </c>
      <c r="B1350" t="s">
        <v>873</v>
      </c>
      <c r="C1350">
        <v>11</v>
      </c>
      <c r="D1350">
        <v>20</v>
      </c>
    </row>
    <row r="1351" spans="1:4" ht="15.75" customHeight="1">
      <c r="A1351" t="s">
        <v>4300</v>
      </c>
      <c r="B1351" t="s">
        <v>883</v>
      </c>
      <c r="C1351">
        <v>11</v>
      </c>
      <c r="D1351">
        <v>20</v>
      </c>
    </row>
    <row r="1352" spans="1:4" ht="15.75" customHeight="1">
      <c r="A1352" t="s">
        <v>4301</v>
      </c>
      <c r="B1352" t="s">
        <v>883</v>
      </c>
      <c r="C1352">
        <v>9</v>
      </c>
      <c r="D1352">
        <v>20</v>
      </c>
    </row>
    <row r="1353" spans="1:4" ht="15.75" customHeight="1">
      <c r="A1353" t="s">
        <v>4302</v>
      </c>
      <c r="B1353" t="s">
        <v>883</v>
      </c>
      <c r="C1353">
        <v>19</v>
      </c>
      <c r="D1353">
        <v>25</v>
      </c>
    </row>
    <row r="1354" spans="1:4" ht="15.75" customHeight="1">
      <c r="A1354" t="s">
        <v>4303</v>
      </c>
      <c r="B1354" t="s">
        <v>887</v>
      </c>
      <c r="C1354">
        <v>11</v>
      </c>
      <c r="D1354">
        <v>20</v>
      </c>
    </row>
    <row r="1355" spans="1:4" ht="15.75" customHeight="1">
      <c r="A1355" t="s">
        <v>4304</v>
      </c>
      <c r="B1355" t="s">
        <v>887</v>
      </c>
      <c r="C1355">
        <v>9</v>
      </c>
      <c r="D1355">
        <v>20</v>
      </c>
    </row>
    <row r="1356" spans="1:4" ht="15.75" customHeight="1">
      <c r="A1356" t="s">
        <v>4305</v>
      </c>
      <c r="B1356" t="s">
        <v>890</v>
      </c>
      <c r="C1356">
        <v>11</v>
      </c>
      <c r="D1356">
        <v>20</v>
      </c>
    </row>
    <row r="1357" spans="1:4" ht="15.75" customHeight="1">
      <c r="A1357" t="s">
        <v>4306</v>
      </c>
      <c r="B1357" t="s">
        <v>890</v>
      </c>
      <c r="C1357">
        <v>9</v>
      </c>
      <c r="D1357">
        <v>20</v>
      </c>
    </row>
    <row r="1358" spans="1:4" ht="15.75" customHeight="1">
      <c r="A1358" t="s">
        <v>4307</v>
      </c>
      <c r="B1358" t="s">
        <v>890</v>
      </c>
      <c r="C1358">
        <v>19</v>
      </c>
      <c r="D1358">
        <v>25</v>
      </c>
    </row>
    <row r="1359" spans="1:4" ht="15.75" customHeight="1">
      <c r="A1359" t="s">
        <v>4308</v>
      </c>
      <c r="B1359" t="s">
        <v>896</v>
      </c>
      <c r="C1359">
        <v>11</v>
      </c>
      <c r="D1359">
        <v>20</v>
      </c>
    </row>
    <row r="1360" spans="1:4" ht="15.75" customHeight="1">
      <c r="A1360" t="s">
        <v>4309</v>
      </c>
      <c r="B1360" t="s">
        <v>896</v>
      </c>
      <c r="C1360">
        <v>11</v>
      </c>
      <c r="D1360">
        <v>20</v>
      </c>
    </row>
    <row r="1361" spans="1:4" ht="15.75" customHeight="1">
      <c r="A1361" t="s">
        <v>4310</v>
      </c>
      <c r="B1361" t="s">
        <v>896</v>
      </c>
      <c r="C1361">
        <v>19</v>
      </c>
      <c r="D1361">
        <v>25</v>
      </c>
    </row>
    <row r="1362" spans="1:4" ht="15.75" customHeight="1">
      <c r="A1362" t="s">
        <v>4311</v>
      </c>
      <c r="B1362" t="s">
        <v>900</v>
      </c>
      <c r="C1362">
        <v>11</v>
      </c>
      <c r="D1362">
        <v>20</v>
      </c>
    </row>
    <row r="1363" spans="1:4" ht="15.75" customHeight="1">
      <c r="A1363" t="s">
        <v>4312</v>
      </c>
      <c r="B1363" t="s">
        <v>900</v>
      </c>
      <c r="C1363">
        <v>11</v>
      </c>
      <c r="D1363">
        <v>20</v>
      </c>
    </row>
    <row r="1364" spans="1:4" ht="15.75" customHeight="1">
      <c r="A1364" t="s">
        <v>4313</v>
      </c>
      <c r="B1364" t="s">
        <v>900</v>
      </c>
      <c r="C1364">
        <v>19</v>
      </c>
      <c r="D1364">
        <v>25</v>
      </c>
    </row>
    <row r="1365" spans="1:4" ht="15.75" customHeight="1">
      <c r="A1365" t="s">
        <v>4314</v>
      </c>
      <c r="B1365" t="s">
        <v>904</v>
      </c>
      <c r="C1365">
        <v>11</v>
      </c>
      <c r="D1365">
        <v>20</v>
      </c>
    </row>
    <row r="1366" spans="1:4" ht="15.75" customHeight="1">
      <c r="A1366" t="s">
        <v>4315</v>
      </c>
      <c r="B1366" t="s">
        <v>904</v>
      </c>
      <c r="C1366">
        <v>9</v>
      </c>
      <c r="D1366">
        <v>20</v>
      </c>
    </row>
    <row r="1367" spans="1:4" ht="15.75" customHeight="1">
      <c r="A1367" t="s">
        <v>4316</v>
      </c>
      <c r="B1367" t="s">
        <v>908</v>
      </c>
      <c r="C1367">
        <v>11</v>
      </c>
      <c r="D1367">
        <v>20</v>
      </c>
    </row>
    <row r="1368" spans="1:4" ht="15.75" customHeight="1">
      <c r="A1368" t="s">
        <v>4317</v>
      </c>
      <c r="B1368" t="s">
        <v>908</v>
      </c>
      <c r="C1368">
        <v>9</v>
      </c>
      <c r="D1368">
        <v>20</v>
      </c>
    </row>
    <row r="1369" spans="1:4" ht="15.75" customHeight="1">
      <c r="A1369" t="s">
        <v>4318</v>
      </c>
      <c r="B1369" t="s">
        <v>908</v>
      </c>
      <c r="C1369">
        <v>19</v>
      </c>
      <c r="D1369">
        <v>25</v>
      </c>
    </row>
    <row r="1370" spans="1:4" ht="15.75" customHeight="1">
      <c r="A1370" t="s">
        <v>4319</v>
      </c>
      <c r="B1370" t="s">
        <v>911</v>
      </c>
      <c r="C1370">
        <v>11</v>
      </c>
      <c r="D1370">
        <v>20</v>
      </c>
    </row>
    <row r="1371" spans="1:4" ht="15.75" customHeight="1">
      <c r="A1371" t="s">
        <v>4320</v>
      </c>
      <c r="B1371" t="s">
        <v>911</v>
      </c>
      <c r="C1371">
        <v>15</v>
      </c>
      <c r="D1371">
        <v>20</v>
      </c>
    </row>
    <row r="1372" spans="1:4" ht="15.75" customHeight="1">
      <c r="A1372" t="s">
        <v>4321</v>
      </c>
      <c r="B1372" t="s">
        <v>911</v>
      </c>
      <c r="C1372">
        <v>19</v>
      </c>
      <c r="D1372">
        <v>25</v>
      </c>
    </row>
    <row r="1373" spans="1:4" ht="15.75" customHeight="1">
      <c r="A1373" t="s">
        <v>4322</v>
      </c>
      <c r="B1373" t="s">
        <v>911</v>
      </c>
      <c r="C1373">
        <v>11</v>
      </c>
      <c r="D1373">
        <v>40</v>
      </c>
    </row>
    <row r="1374" spans="1:4" ht="15.75" customHeight="1">
      <c r="A1374" t="s">
        <v>4323</v>
      </c>
      <c r="B1374" t="s">
        <v>917</v>
      </c>
      <c r="C1374">
        <v>11</v>
      </c>
      <c r="D1374">
        <v>20</v>
      </c>
    </row>
    <row r="1375" spans="1:4" ht="15.75" customHeight="1">
      <c r="A1375" t="s">
        <v>4324</v>
      </c>
      <c r="B1375" t="s">
        <v>917</v>
      </c>
      <c r="C1375">
        <v>9</v>
      </c>
      <c r="D1375">
        <v>20</v>
      </c>
    </row>
    <row r="1376" spans="1:4" ht="15.75" customHeight="1">
      <c r="A1376" t="s">
        <v>4325</v>
      </c>
      <c r="B1376" t="s">
        <v>920</v>
      </c>
      <c r="C1376">
        <v>11</v>
      </c>
      <c r="D1376">
        <v>20</v>
      </c>
    </row>
    <row r="1377" spans="1:4" ht="15.75" customHeight="1">
      <c r="A1377" t="s">
        <v>4326</v>
      </c>
      <c r="B1377" t="s">
        <v>920</v>
      </c>
      <c r="C1377">
        <v>15</v>
      </c>
      <c r="D1377">
        <v>20</v>
      </c>
    </row>
    <row r="1378" spans="1:4" ht="15.75" customHeight="1">
      <c r="A1378" t="s">
        <v>4327</v>
      </c>
      <c r="B1378" t="s">
        <v>922</v>
      </c>
      <c r="C1378">
        <v>11</v>
      </c>
      <c r="D1378">
        <v>20</v>
      </c>
    </row>
    <row r="1379" spans="1:4" ht="15.75" customHeight="1">
      <c r="A1379" t="s">
        <v>4328</v>
      </c>
      <c r="B1379" t="s">
        <v>922</v>
      </c>
      <c r="C1379">
        <v>9</v>
      </c>
      <c r="D1379">
        <v>20</v>
      </c>
    </row>
    <row r="1380" spans="1:4" ht="15.75" customHeight="1">
      <c r="A1380" t="s">
        <v>4329</v>
      </c>
      <c r="B1380" t="s">
        <v>922</v>
      </c>
      <c r="C1380">
        <v>19</v>
      </c>
      <c r="D1380">
        <v>25</v>
      </c>
    </row>
    <row r="1381" spans="1:4" ht="15.75" customHeight="1">
      <c r="A1381" t="s">
        <v>4330</v>
      </c>
      <c r="B1381" t="s">
        <v>922</v>
      </c>
      <c r="C1381">
        <v>11</v>
      </c>
      <c r="D1381">
        <v>40</v>
      </c>
    </row>
    <row r="1382" spans="1:4" ht="15.75" customHeight="1">
      <c r="A1382" t="s">
        <v>4331</v>
      </c>
      <c r="B1382" t="s">
        <v>928</v>
      </c>
      <c r="C1382">
        <v>11</v>
      </c>
      <c r="D1382">
        <v>20</v>
      </c>
    </row>
    <row r="1383" spans="1:4" ht="15.75" customHeight="1">
      <c r="A1383" t="s">
        <v>4332</v>
      </c>
      <c r="B1383" t="s">
        <v>928</v>
      </c>
      <c r="C1383">
        <v>15</v>
      </c>
      <c r="D1383">
        <v>20</v>
      </c>
    </row>
    <row r="1384" spans="1:4" ht="15.75" customHeight="1">
      <c r="A1384" t="s">
        <v>4333</v>
      </c>
      <c r="B1384" t="s">
        <v>930</v>
      </c>
      <c r="C1384">
        <v>11</v>
      </c>
      <c r="D1384">
        <v>20</v>
      </c>
    </row>
    <row r="1385" spans="1:4" ht="15.75" customHeight="1">
      <c r="A1385" t="s">
        <v>4334</v>
      </c>
      <c r="B1385" t="s">
        <v>930</v>
      </c>
      <c r="C1385">
        <v>9</v>
      </c>
      <c r="D1385">
        <v>20</v>
      </c>
    </row>
    <row r="1386" spans="1:4" ht="15.75" customHeight="1">
      <c r="A1386" t="s">
        <v>4335</v>
      </c>
      <c r="B1386" t="s">
        <v>930</v>
      </c>
      <c r="C1386">
        <v>19</v>
      </c>
      <c r="D1386">
        <v>25</v>
      </c>
    </row>
    <row r="1387" spans="1:4" ht="15.75" customHeight="1">
      <c r="A1387" t="s">
        <v>4336</v>
      </c>
      <c r="B1387" t="s">
        <v>935</v>
      </c>
      <c r="C1387">
        <v>11</v>
      </c>
      <c r="D1387">
        <v>20</v>
      </c>
    </row>
    <row r="1388" spans="1:4" ht="15.75" customHeight="1">
      <c r="A1388" t="s">
        <v>4337</v>
      </c>
      <c r="B1388" t="s">
        <v>935</v>
      </c>
      <c r="C1388">
        <v>15</v>
      </c>
      <c r="D1388">
        <v>20</v>
      </c>
    </row>
    <row r="1389" spans="1:4" ht="15.75" customHeight="1">
      <c r="A1389" t="s">
        <v>4338</v>
      </c>
      <c r="B1389" t="s">
        <v>940</v>
      </c>
      <c r="C1389">
        <v>11</v>
      </c>
      <c r="D1389">
        <v>20</v>
      </c>
    </row>
    <row r="1390" spans="1:4" ht="15.75" customHeight="1">
      <c r="A1390" t="s">
        <v>4339</v>
      </c>
      <c r="B1390" t="s">
        <v>940</v>
      </c>
      <c r="C1390">
        <v>15</v>
      </c>
      <c r="D1390">
        <v>20</v>
      </c>
    </row>
    <row r="1391" spans="1:4" ht="15.75" customHeight="1">
      <c r="A1391" t="s">
        <v>4340</v>
      </c>
      <c r="B1391" t="s">
        <v>943</v>
      </c>
      <c r="C1391">
        <v>11</v>
      </c>
      <c r="D1391">
        <v>20</v>
      </c>
    </row>
    <row r="1392" spans="1:4" ht="15.75" customHeight="1">
      <c r="A1392" t="s">
        <v>4341</v>
      </c>
      <c r="B1392" t="s">
        <v>943</v>
      </c>
      <c r="C1392">
        <v>19</v>
      </c>
      <c r="D1392">
        <v>25</v>
      </c>
    </row>
    <row r="1393" spans="1:4" ht="15.75" customHeight="1">
      <c r="A1393" t="s">
        <v>5723</v>
      </c>
      <c r="B1393" t="s">
        <v>5363</v>
      </c>
      <c r="C1393">
        <v>9</v>
      </c>
      <c r="D1393">
        <v>20</v>
      </c>
    </row>
    <row r="1394" spans="1:4" ht="15.75" customHeight="1">
      <c r="A1394" t="s">
        <v>5724</v>
      </c>
      <c r="B1394" t="s">
        <v>5363</v>
      </c>
      <c r="C1394">
        <v>9</v>
      </c>
      <c r="D1394">
        <v>20</v>
      </c>
    </row>
    <row r="1395" spans="1:4" ht="15.75" customHeight="1">
      <c r="A1395" t="s">
        <v>5725</v>
      </c>
      <c r="B1395" t="s">
        <v>5365</v>
      </c>
      <c r="C1395">
        <v>9</v>
      </c>
      <c r="D1395">
        <v>20</v>
      </c>
    </row>
    <row r="1396" spans="1:4" ht="15.75" customHeight="1">
      <c r="A1396" t="s">
        <v>5726</v>
      </c>
      <c r="B1396" t="s">
        <v>5365</v>
      </c>
      <c r="C1396">
        <v>9</v>
      </c>
      <c r="D1396">
        <v>20</v>
      </c>
    </row>
    <row r="1397" spans="1:4" ht="15.75" customHeight="1">
      <c r="A1397" t="s">
        <v>4342</v>
      </c>
      <c r="B1397" t="s">
        <v>946</v>
      </c>
      <c r="C1397">
        <v>11</v>
      </c>
      <c r="D1397">
        <v>20</v>
      </c>
    </row>
    <row r="1398" spans="1:4" ht="15.75" customHeight="1">
      <c r="A1398" t="s">
        <v>4343</v>
      </c>
      <c r="B1398" t="s">
        <v>946</v>
      </c>
      <c r="C1398">
        <v>9</v>
      </c>
      <c r="D1398">
        <v>20</v>
      </c>
    </row>
    <row r="1399" spans="1:4" ht="15.75" customHeight="1">
      <c r="A1399" t="s">
        <v>4344</v>
      </c>
      <c r="B1399" t="s">
        <v>946</v>
      </c>
      <c r="C1399">
        <v>19</v>
      </c>
      <c r="D1399">
        <v>25</v>
      </c>
    </row>
    <row r="1400" spans="1:4" ht="15.75" customHeight="1">
      <c r="A1400" t="s">
        <v>4345</v>
      </c>
      <c r="B1400" t="s">
        <v>951</v>
      </c>
      <c r="C1400">
        <v>11</v>
      </c>
      <c r="D1400">
        <v>20</v>
      </c>
    </row>
    <row r="1401" spans="1:4" ht="15.75" customHeight="1">
      <c r="A1401" t="s">
        <v>4346</v>
      </c>
      <c r="B1401" t="s">
        <v>951</v>
      </c>
      <c r="C1401">
        <v>9</v>
      </c>
      <c r="D1401">
        <v>20</v>
      </c>
    </row>
    <row r="1402" spans="1:4" ht="15.75" customHeight="1">
      <c r="A1402" t="s">
        <v>4347</v>
      </c>
      <c r="B1402" t="s">
        <v>953</v>
      </c>
      <c r="C1402">
        <v>11</v>
      </c>
      <c r="D1402">
        <v>20</v>
      </c>
    </row>
    <row r="1403" spans="1:4" ht="15.75" customHeight="1">
      <c r="A1403" t="s">
        <v>4348</v>
      </c>
      <c r="B1403" t="s">
        <v>953</v>
      </c>
      <c r="C1403">
        <v>15</v>
      </c>
      <c r="D1403">
        <v>20</v>
      </c>
    </row>
    <row r="1404" spans="1:4" ht="15.75" customHeight="1">
      <c r="A1404" t="s">
        <v>5727</v>
      </c>
      <c r="B1404" t="s">
        <v>5367</v>
      </c>
      <c r="C1404">
        <v>9</v>
      </c>
      <c r="D1404">
        <v>20</v>
      </c>
    </row>
    <row r="1405" spans="1:4" ht="15.75" customHeight="1">
      <c r="A1405" t="s">
        <v>5728</v>
      </c>
      <c r="B1405" t="s">
        <v>5367</v>
      </c>
      <c r="C1405">
        <v>9</v>
      </c>
      <c r="D1405">
        <v>20</v>
      </c>
    </row>
    <row r="1406" spans="1:4" ht="15.75" customHeight="1">
      <c r="A1406" t="s">
        <v>4349</v>
      </c>
      <c r="B1406" t="s">
        <v>171</v>
      </c>
      <c r="C1406">
        <v>19</v>
      </c>
      <c r="D1406">
        <v>25</v>
      </c>
    </row>
    <row r="1407" spans="1:4" ht="15.75" customHeight="1">
      <c r="A1407" t="s">
        <v>4350</v>
      </c>
      <c r="B1407" t="s">
        <v>1085</v>
      </c>
      <c r="C1407">
        <v>11</v>
      </c>
      <c r="D1407">
        <v>20</v>
      </c>
    </row>
    <row r="1408" spans="1:4" ht="15.75" customHeight="1">
      <c r="A1408" t="s">
        <v>4351</v>
      </c>
      <c r="B1408" t="s">
        <v>1085</v>
      </c>
      <c r="C1408">
        <v>9</v>
      </c>
      <c r="D1408">
        <v>20</v>
      </c>
    </row>
    <row r="1409" spans="1:4" ht="15.75" customHeight="1">
      <c r="A1409" t="s">
        <v>4352</v>
      </c>
      <c r="B1409" t="s">
        <v>1085</v>
      </c>
      <c r="C1409">
        <v>19</v>
      </c>
      <c r="D1409">
        <v>25</v>
      </c>
    </row>
    <row r="1410" spans="1:4" ht="15.75" customHeight="1">
      <c r="A1410" t="s">
        <v>4353</v>
      </c>
      <c r="B1410" t="s">
        <v>4354</v>
      </c>
      <c r="C1410">
        <v>11</v>
      </c>
      <c r="D1410">
        <v>20</v>
      </c>
    </row>
    <row r="1411" spans="1:4" ht="15.75" customHeight="1">
      <c r="A1411" t="s">
        <v>4355</v>
      </c>
      <c r="B1411" t="s">
        <v>4354</v>
      </c>
      <c r="C1411">
        <v>15</v>
      </c>
      <c r="D1411">
        <v>20</v>
      </c>
    </row>
    <row r="1412" spans="1:4" ht="15.75" customHeight="1">
      <c r="A1412" t="s">
        <v>4356</v>
      </c>
      <c r="B1412" t="s">
        <v>4354</v>
      </c>
      <c r="C1412">
        <v>19</v>
      </c>
      <c r="D1412">
        <v>25</v>
      </c>
    </row>
    <row r="1413" spans="1:4" ht="15.75" customHeight="1">
      <c r="A1413" t="s">
        <v>4357</v>
      </c>
      <c r="B1413" t="s">
        <v>1094</v>
      </c>
      <c r="C1413">
        <v>11</v>
      </c>
      <c r="D1413">
        <v>20</v>
      </c>
    </row>
    <row r="1414" spans="1:4" ht="15.75" customHeight="1">
      <c r="A1414" t="s">
        <v>4358</v>
      </c>
      <c r="B1414" t="s">
        <v>1094</v>
      </c>
      <c r="C1414">
        <v>11</v>
      </c>
      <c r="D1414">
        <v>20</v>
      </c>
    </row>
    <row r="1415" spans="1:4" ht="15.75" customHeight="1">
      <c r="A1415" t="s">
        <v>4359</v>
      </c>
      <c r="B1415" t="s">
        <v>1097</v>
      </c>
      <c r="C1415">
        <v>11</v>
      </c>
      <c r="D1415">
        <v>20</v>
      </c>
    </row>
    <row r="1416" spans="1:4" ht="15.75" customHeight="1">
      <c r="A1416" t="s">
        <v>4360</v>
      </c>
      <c r="B1416" t="s">
        <v>1097</v>
      </c>
      <c r="C1416">
        <v>9</v>
      </c>
      <c r="D1416">
        <v>20</v>
      </c>
    </row>
    <row r="1417" spans="1:4" ht="15.75" customHeight="1">
      <c r="A1417" t="s">
        <v>4361</v>
      </c>
      <c r="B1417" t="s">
        <v>1097</v>
      </c>
      <c r="C1417">
        <v>19</v>
      </c>
      <c r="D1417">
        <v>25</v>
      </c>
    </row>
    <row r="1418" spans="1:4" ht="15.75" customHeight="1">
      <c r="A1418" t="s">
        <v>4362</v>
      </c>
      <c r="B1418" t="s">
        <v>1101</v>
      </c>
      <c r="C1418">
        <v>11</v>
      </c>
      <c r="D1418">
        <v>20</v>
      </c>
    </row>
    <row r="1419" spans="1:4" ht="15.75" customHeight="1">
      <c r="A1419" t="s">
        <v>4363</v>
      </c>
      <c r="B1419" t="s">
        <v>4364</v>
      </c>
      <c r="C1419">
        <v>15</v>
      </c>
      <c r="D1419">
        <v>20</v>
      </c>
    </row>
    <row r="1420" spans="1:4" ht="15.75" customHeight="1">
      <c r="A1420" t="s">
        <v>4365</v>
      </c>
      <c r="B1420" t="s">
        <v>1106</v>
      </c>
      <c r="C1420">
        <v>11</v>
      </c>
      <c r="D1420">
        <v>20</v>
      </c>
    </row>
    <row r="1421" spans="1:4" ht="15.75" customHeight="1">
      <c r="A1421" t="s">
        <v>4366</v>
      </c>
      <c r="B1421" t="s">
        <v>1106</v>
      </c>
      <c r="C1421">
        <v>9</v>
      </c>
      <c r="D1421">
        <v>20</v>
      </c>
    </row>
    <row r="1422" spans="1:4" ht="15.75" customHeight="1">
      <c r="A1422" t="s">
        <v>4367</v>
      </c>
      <c r="B1422" t="s">
        <v>1106</v>
      </c>
      <c r="C1422">
        <v>19</v>
      </c>
      <c r="D1422">
        <v>25</v>
      </c>
    </row>
    <row r="1423" spans="1:4" ht="15.75" customHeight="1">
      <c r="A1423" t="s">
        <v>4368</v>
      </c>
      <c r="B1423" t="s">
        <v>1114</v>
      </c>
      <c r="C1423">
        <v>11</v>
      </c>
      <c r="D1423">
        <v>20</v>
      </c>
    </row>
    <row r="1424" spans="1:4" ht="15.75" customHeight="1">
      <c r="A1424" t="s">
        <v>4369</v>
      </c>
      <c r="B1424" t="s">
        <v>1114</v>
      </c>
      <c r="C1424">
        <v>9</v>
      </c>
      <c r="D1424">
        <v>20</v>
      </c>
    </row>
    <row r="1425" spans="1:4" ht="15.75" customHeight="1">
      <c r="A1425" t="s">
        <v>4370</v>
      </c>
      <c r="B1425" t="s">
        <v>1127</v>
      </c>
      <c r="C1425">
        <v>11</v>
      </c>
      <c r="D1425">
        <v>20</v>
      </c>
    </row>
    <row r="1426" spans="1:4" ht="15.75" customHeight="1">
      <c r="A1426" t="s">
        <v>4371</v>
      </c>
      <c r="B1426" t="s">
        <v>1127</v>
      </c>
      <c r="C1426">
        <v>11</v>
      </c>
      <c r="D1426">
        <v>20</v>
      </c>
    </row>
    <row r="1427" spans="1:4" ht="15.75" customHeight="1">
      <c r="A1427" t="s">
        <v>4372</v>
      </c>
      <c r="B1427" t="s">
        <v>1132</v>
      </c>
      <c r="C1427">
        <v>11</v>
      </c>
      <c r="D1427">
        <v>20</v>
      </c>
    </row>
    <row r="1428" spans="1:4" ht="15.75" customHeight="1">
      <c r="A1428" t="s">
        <v>4373</v>
      </c>
      <c r="B1428" t="s">
        <v>1132</v>
      </c>
      <c r="C1428">
        <v>9</v>
      </c>
      <c r="D1428">
        <v>20</v>
      </c>
    </row>
    <row r="1429" spans="1:4" ht="15.75" customHeight="1">
      <c r="A1429" t="s">
        <v>4374</v>
      </c>
      <c r="B1429" t="s">
        <v>1132</v>
      </c>
      <c r="C1429">
        <v>19</v>
      </c>
      <c r="D1429">
        <v>25</v>
      </c>
    </row>
    <row r="1430" spans="1:4" ht="15.75" customHeight="1">
      <c r="A1430" t="s">
        <v>4375</v>
      </c>
      <c r="B1430" t="s">
        <v>1137</v>
      </c>
      <c r="C1430">
        <v>11</v>
      </c>
      <c r="D1430">
        <v>20</v>
      </c>
    </row>
    <row r="1431" spans="1:4" ht="15.75" customHeight="1">
      <c r="A1431" t="s">
        <v>4376</v>
      </c>
      <c r="B1431" t="s">
        <v>1137</v>
      </c>
      <c r="C1431">
        <v>9</v>
      </c>
      <c r="D1431">
        <v>20</v>
      </c>
    </row>
    <row r="1432" spans="1:4" ht="15.75" customHeight="1">
      <c r="A1432" t="s">
        <v>4377</v>
      </c>
      <c r="B1432" t="s">
        <v>1139</v>
      </c>
      <c r="C1432">
        <v>11</v>
      </c>
      <c r="D1432">
        <v>20</v>
      </c>
    </row>
    <row r="1433" spans="1:4" ht="15.75" customHeight="1">
      <c r="A1433" t="s">
        <v>4378</v>
      </c>
      <c r="B1433" t="s">
        <v>1139</v>
      </c>
      <c r="C1433">
        <v>11</v>
      </c>
      <c r="D1433">
        <v>20</v>
      </c>
    </row>
    <row r="1434" spans="1:4" ht="15.75" customHeight="1">
      <c r="A1434" t="s">
        <v>4379</v>
      </c>
      <c r="B1434" t="s">
        <v>1141</v>
      </c>
      <c r="C1434">
        <v>11</v>
      </c>
      <c r="D1434">
        <v>20</v>
      </c>
    </row>
    <row r="1435" spans="1:4" ht="15.75" customHeight="1">
      <c r="A1435" t="s">
        <v>4380</v>
      </c>
      <c r="B1435" t="s">
        <v>1141</v>
      </c>
      <c r="C1435">
        <v>9</v>
      </c>
      <c r="D1435">
        <v>20</v>
      </c>
    </row>
    <row r="1436" spans="1:4" ht="15.75" customHeight="1">
      <c r="A1436" t="s">
        <v>4381</v>
      </c>
      <c r="B1436" t="s">
        <v>1144</v>
      </c>
      <c r="C1436">
        <v>11</v>
      </c>
      <c r="D1436">
        <v>20</v>
      </c>
    </row>
    <row r="1437" spans="1:4" ht="15.75" customHeight="1">
      <c r="A1437" t="s">
        <v>4382</v>
      </c>
      <c r="B1437" t="s">
        <v>1141</v>
      </c>
      <c r="C1437">
        <v>11</v>
      </c>
      <c r="D1437">
        <v>20</v>
      </c>
    </row>
    <row r="1438" spans="1:4" ht="15.75" customHeight="1">
      <c r="A1438" t="s">
        <v>4383</v>
      </c>
      <c r="B1438" t="s">
        <v>1141</v>
      </c>
      <c r="C1438">
        <v>11</v>
      </c>
      <c r="D1438">
        <v>20</v>
      </c>
    </row>
    <row r="1439" spans="1:4" ht="15.75" customHeight="1">
      <c r="A1439" t="s">
        <v>4384</v>
      </c>
      <c r="B1439" t="s">
        <v>1150</v>
      </c>
      <c r="C1439">
        <v>11</v>
      </c>
      <c r="D1439">
        <v>20</v>
      </c>
    </row>
    <row r="1440" spans="1:4" ht="15.75" customHeight="1">
      <c r="A1440" t="s">
        <v>4385</v>
      </c>
      <c r="B1440" t="s">
        <v>1152</v>
      </c>
      <c r="C1440">
        <v>11</v>
      </c>
      <c r="D1440">
        <v>20</v>
      </c>
    </row>
    <row r="1441" spans="1:4" ht="15.75" customHeight="1">
      <c r="A1441" t="s">
        <v>4386</v>
      </c>
      <c r="B1441" t="s">
        <v>1152</v>
      </c>
      <c r="C1441">
        <v>19</v>
      </c>
      <c r="D1441">
        <v>25</v>
      </c>
    </row>
    <row r="1442" spans="1:4" ht="15.75" customHeight="1">
      <c r="A1442" t="s">
        <v>4387</v>
      </c>
      <c r="B1442" t="s">
        <v>1155</v>
      </c>
      <c r="C1442">
        <v>11</v>
      </c>
      <c r="D1442">
        <v>20</v>
      </c>
    </row>
    <row r="1443" spans="1:4" ht="15.75" customHeight="1">
      <c r="A1443" t="s">
        <v>4388</v>
      </c>
      <c r="B1443" t="s">
        <v>1155</v>
      </c>
      <c r="C1443">
        <v>9</v>
      </c>
      <c r="D1443">
        <v>20</v>
      </c>
    </row>
    <row r="1444" spans="1:4" ht="15.75" customHeight="1">
      <c r="A1444" t="s">
        <v>4389</v>
      </c>
      <c r="B1444" t="s">
        <v>1159</v>
      </c>
      <c r="C1444">
        <v>11</v>
      </c>
      <c r="D1444">
        <v>20</v>
      </c>
    </row>
    <row r="1445" spans="1:4" ht="15.75" customHeight="1">
      <c r="A1445" t="s">
        <v>4390</v>
      </c>
      <c r="B1445" t="s">
        <v>1162</v>
      </c>
      <c r="C1445">
        <v>11</v>
      </c>
      <c r="D1445">
        <v>20</v>
      </c>
    </row>
    <row r="1446" spans="1:4" ht="15.75" customHeight="1">
      <c r="A1446" t="s">
        <v>4391</v>
      </c>
      <c r="B1446" t="s">
        <v>1162</v>
      </c>
      <c r="C1446">
        <v>9</v>
      </c>
      <c r="D1446">
        <v>20</v>
      </c>
    </row>
    <row r="1447" spans="1:4" ht="15.75" customHeight="1">
      <c r="A1447" t="s">
        <v>5729</v>
      </c>
      <c r="B1447" t="s">
        <v>5369</v>
      </c>
      <c r="C1447">
        <v>9</v>
      </c>
      <c r="D1447">
        <v>20</v>
      </c>
    </row>
    <row r="1448" spans="1:4" ht="15.75" customHeight="1">
      <c r="A1448" t="s">
        <v>5730</v>
      </c>
      <c r="B1448" t="s">
        <v>5369</v>
      </c>
      <c r="C1448">
        <v>9</v>
      </c>
      <c r="D1448">
        <v>20</v>
      </c>
    </row>
    <row r="1449" spans="1:4" ht="15.75" customHeight="1">
      <c r="A1449" t="s">
        <v>4392</v>
      </c>
      <c r="B1449" t="s">
        <v>1165</v>
      </c>
      <c r="C1449">
        <v>11</v>
      </c>
      <c r="D1449">
        <v>20</v>
      </c>
    </row>
    <row r="1450" spans="1:4" ht="15.75" customHeight="1">
      <c r="A1450" t="s">
        <v>4393</v>
      </c>
      <c r="B1450" t="s">
        <v>1165</v>
      </c>
      <c r="C1450">
        <v>9</v>
      </c>
      <c r="D1450">
        <v>20</v>
      </c>
    </row>
    <row r="1451" spans="1:4" ht="15.75" customHeight="1">
      <c r="A1451" t="s">
        <v>4394</v>
      </c>
      <c r="B1451" t="s">
        <v>1165</v>
      </c>
      <c r="C1451">
        <v>19</v>
      </c>
      <c r="D1451">
        <v>25</v>
      </c>
    </row>
    <row r="1452" spans="1:4" ht="15.75" customHeight="1">
      <c r="A1452" t="s">
        <v>4395</v>
      </c>
      <c r="B1452" t="s">
        <v>4396</v>
      </c>
      <c r="C1452">
        <v>11</v>
      </c>
      <c r="D1452">
        <v>20</v>
      </c>
    </row>
    <row r="1453" spans="1:4" ht="15.75" customHeight="1">
      <c r="A1453" t="s">
        <v>5731</v>
      </c>
      <c r="B1453" t="s">
        <v>5371</v>
      </c>
      <c r="C1453">
        <v>9</v>
      </c>
      <c r="D1453">
        <v>20</v>
      </c>
    </row>
    <row r="1454" spans="1:4" ht="15.75" customHeight="1">
      <c r="A1454" t="s">
        <v>5732</v>
      </c>
      <c r="B1454" t="s">
        <v>5371</v>
      </c>
      <c r="C1454">
        <v>9</v>
      </c>
      <c r="D1454">
        <v>20</v>
      </c>
    </row>
    <row r="1455" spans="1:4" ht="15.75" customHeight="1">
      <c r="A1455" t="s">
        <v>5733</v>
      </c>
      <c r="B1455" t="s">
        <v>5373</v>
      </c>
      <c r="C1455">
        <v>11</v>
      </c>
      <c r="D1455">
        <v>20</v>
      </c>
    </row>
    <row r="1456" spans="1:4" ht="15.75" customHeight="1">
      <c r="A1456" t="s">
        <v>4397</v>
      </c>
      <c r="B1456" t="s">
        <v>1173</v>
      </c>
      <c r="C1456">
        <v>11</v>
      </c>
      <c r="D1456">
        <v>20</v>
      </c>
    </row>
    <row r="1457" spans="1:4" ht="15.75" customHeight="1">
      <c r="A1457" t="s">
        <v>4398</v>
      </c>
      <c r="B1457" t="s">
        <v>1173</v>
      </c>
      <c r="C1457">
        <v>9</v>
      </c>
      <c r="D1457">
        <v>20</v>
      </c>
    </row>
    <row r="1458" spans="1:4" ht="15.75" customHeight="1">
      <c r="A1458" t="s">
        <v>4399</v>
      </c>
      <c r="B1458" t="s">
        <v>4400</v>
      </c>
      <c r="C1458">
        <v>11</v>
      </c>
      <c r="D1458">
        <v>20</v>
      </c>
    </row>
    <row r="1459" spans="1:4" ht="15.75" customHeight="1">
      <c r="A1459" t="s">
        <v>4401</v>
      </c>
      <c r="B1459" t="s">
        <v>1176</v>
      </c>
      <c r="C1459">
        <v>11</v>
      </c>
      <c r="D1459">
        <v>20</v>
      </c>
    </row>
    <row r="1460" spans="1:4" ht="15.75" customHeight="1">
      <c r="A1460" t="s">
        <v>4402</v>
      </c>
      <c r="B1460" t="s">
        <v>1178</v>
      </c>
      <c r="C1460">
        <v>11</v>
      </c>
      <c r="D1460">
        <v>20</v>
      </c>
    </row>
    <row r="1461" spans="1:4" ht="15.75" customHeight="1">
      <c r="A1461" t="s">
        <v>4403</v>
      </c>
      <c r="B1461" t="s">
        <v>1178</v>
      </c>
      <c r="C1461">
        <v>9</v>
      </c>
      <c r="D1461">
        <v>20</v>
      </c>
    </row>
    <row r="1462" spans="1:4" ht="15.75" customHeight="1">
      <c r="A1462" t="s">
        <v>4404</v>
      </c>
      <c r="B1462" t="s">
        <v>4405</v>
      </c>
      <c r="C1462">
        <v>11</v>
      </c>
      <c r="D1462">
        <v>20</v>
      </c>
    </row>
    <row r="1463" spans="1:4" ht="15.75" customHeight="1">
      <c r="A1463" t="s">
        <v>4406</v>
      </c>
      <c r="B1463" t="s">
        <v>1184</v>
      </c>
      <c r="C1463">
        <v>11</v>
      </c>
      <c r="D1463">
        <v>20</v>
      </c>
    </row>
    <row r="1464" spans="1:4" ht="15.75" customHeight="1">
      <c r="A1464" t="s">
        <v>4407</v>
      </c>
      <c r="B1464" t="s">
        <v>1184</v>
      </c>
      <c r="C1464">
        <v>11</v>
      </c>
      <c r="D1464">
        <v>20</v>
      </c>
    </row>
    <row r="1465" spans="1:4" ht="15.75" customHeight="1">
      <c r="A1465" t="s">
        <v>4408</v>
      </c>
      <c r="B1465" t="s">
        <v>4409</v>
      </c>
      <c r="C1465">
        <v>11</v>
      </c>
      <c r="D1465">
        <v>20</v>
      </c>
    </row>
    <row r="1466" spans="1:4" ht="15.75" customHeight="1">
      <c r="A1466" t="s">
        <v>4410</v>
      </c>
      <c r="B1466" t="s">
        <v>1187</v>
      </c>
      <c r="C1466">
        <v>11</v>
      </c>
      <c r="D1466">
        <v>20</v>
      </c>
    </row>
    <row r="1467" spans="1:4" ht="15.75" customHeight="1">
      <c r="A1467" t="s">
        <v>4411</v>
      </c>
      <c r="B1467" t="s">
        <v>1187</v>
      </c>
      <c r="C1467">
        <v>9</v>
      </c>
      <c r="D1467">
        <v>20</v>
      </c>
    </row>
    <row r="1468" spans="1:4" ht="15.75" customHeight="1">
      <c r="A1468" t="s">
        <v>4412</v>
      </c>
      <c r="B1468" t="s">
        <v>1192</v>
      </c>
      <c r="C1468">
        <v>11</v>
      </c>
      <c r="D1468">
        <v>20</v>
      </c>
    </row>
    <row r="1469" spans="1:4" ht="15.75" customHeight="1">
      <c r="A1469" t="s">
        <v>4413</v>
      </c>
      <c r="B1469" t="s">
        <v>1192</v>
      </c>
      <c r="C1469">
        <v>11</v>
      </c>
      <c r="D1469">
        <v>20</v>
      </c>
    </row>
    <row r="1470" spans="1:4" ht="15.75" customHeight="1">
      <c r="A1470" t="s">
        <v>4414</v>
      </c>
      <c r="B1470" t="s">
        <v>1194</v>
      </c>
      <c r="C1470">
        <v>11</v>
      </c>
      <c r="D1470">
        <v>20</v>
      </c>
    </row>
    <row r="1471" spans="1:4" ht="15.75" customHeight="1">
      <c r="A1471" t="s">
        <v>4415</v>
      </c>
      <c r="B1471" t="s">
        <v>1194</v>
      </c>
      <c r="C1471">
        <v>9</v>
      </c>
      <c r="D1471">
        <v>20</v>
      </c>
    </row>
    <row r="1472" spans="1:4" ht="15.75" customHeight="1">
      <c r="A1472" t="s">
        <v>5734</v>
      </c>
      <c r="B1472" t="s">
        <v>5376</v>
      </c>
      <c r="C1472">
        <v>11</v>
      </c>
      <c r="D1472">
        <v>20</v>
      </c>
    </row>
    <row r="1473" spans="1:4" ht="15.75" customHeight="1">
      <c r="A1473" t="s">
        <v>4416</v>
      </c>
      <c r="B1473" t="s">
        <v>1198</v>
      </c>
      <c r="C1473">
        <v>11</v>
      </c>
      <c r="D1473">
        <v>20</v>
      </c>
    </row>
    <row r="1474" spans="1:4" ht="15.75" customHeight="1">
      <c r="A1474" t="s">
        <v>4417</v>
      </c>
      <c r="B1474" t="s">
        <v>4418</v>
      </c>
      <c r="C1474">
        <v>11</v>
      </c>
      <c r="D1474">
        <v>20</v>
      </c>
    </row>
    <row r="1475" spans="1:4" ht="15.75" customHeight="1">
      <c r="A1475" t="s">
        <v>4419</v>
      </c>
      <c r="B1475" t="s">
        <v>1200</v>
      </c>
      <c r="C1475">
        <v>11</v>
      </c>
      <c r="D1475">
        <v>20</v>
      </c>
    </row>
    <row r="1476" spans="1:4" ht="15.75" customHeight="1">
      <c r="A1476" t="s">
        <v>4420</v>
      </c>
      <c r="B1476" t="s">
        <v>1200</v>
      </c>
      <c r="C1476">
        <v>9</v>
      </c>
      <c r="D1476">
        <v>20</v>
      </c>
    </row>
    <row r="1477" spans="1:4" ht="15.75" customHeight="1">
      <c r="A1477" t="s">
        <v>4421</v>
      </c>
      <c r="B1477" t="s">
        <v>1202</v>
      </c>
      <c r="C1477">
        <v>11</v>
      </c>
      <c r="D1477">
        <v>20</v>
      </c>
    </row>
    <row r="1478" spans="1:4" ht="15.75" customHeight="1">
      <c r="A1478" t="s">
        <v>4422</v>
      </c>
      <c r="B1478" t="s">
        <v>1202</v>
      </c>
      <c r="C1478">
        <v>11</v>
      </c>
      <c r="D1478">
        <v>20</v>
      </c>
    </row>
    <row r="1479" spans="1:4" ht="15.75" customHeight="1">
      <c r="A1479" t="s">
        <v>5735</v>
      </c>
      <c r="B1479" t="s">
        <v>5379</v>
      </c>
      <c r="C1479">
        <v>11</v>
      </c>
      <c r="D1479">
        <v>20</v>
      </c>
    </row>
    <row r="1480" spans="1:4" ht="15.75" customHeight="1">
      <c r="A1480" t="s">
        <v>4423</v>
      </c>
      <c r="B1480" t="s">
        <v>1204</v>
      </c>
      <c r="C1480">
        <v>9</v>
      </c>
      <c r="D1480">
        <v>20</v>
      </c>
    </row>
    <row r="1481" spans="1:4" ht="15.75" customHeight="1">
      <c r="A1481" t="s">
        <v>4424</v>
      </c>
      <c r="B1481" t="s">
        <v>1207</v>
      </c>
      <c r="C1481">
        <v>11</v>
      </c>
      <c r="D1481">
        <v>20</v>
      </c>
    </row>
    <row r="1482" spans="1:4" ht="15.75" customHeight="1">
      <c r="A1482" t="s">
        <v>4425</v>
      </c>
      <c r="B1482" t="s">
        <v>1207</v>
      </c>
      <c r="C1482">
        <v>9</v>
      </c>
      <c r="D1482">
        <v>20</v>
      </c>
    </row>
    <row r="1483" spans="1:4" ht="14.25">
      <c r="A1483" t="s">
        <v>4426</v>
      </c>
      <c r="B1483" t="s">
        <v>1211</v>
      </c>
      <c r="C1483">
        <v>11</v>
      </c>
      <c r="D1483">
        <v>20</v>
      </c>
    </row>
    <row r="1484" spans="1:4" ht="14.25">
      <c r="A1484" t="s">
        <v>4427</v>
      </c>
      <c r="B1484" t="s">
        <v>1211</v>
      </c>
      <c r="C1484">
        <v>9</v>
      </c>
      <c r="D1484">
        <v>20</v>
      </c>
    </row>
    <row r="1485" spans="1:4" ht="14.25">
      <c r="A1485" t="s">
        <v>4428</v>
      </c>
      <c r="B1485" t="s">
        <v>1214</v>
      </c>
      <c r="C1485">
        <v>11</v>
      </c>
      <c r="D1485">
        <v>20</v>
      </c>
    </row>
    <row r="1486" spans="1:4" ht="14.25">
      <c r="A1486" t="s">
        <v>4429</v>
      </c>
      <c r="B1486" t="s">
        <v>1214</v>
      </c>
      <c r="C1486">
        <v>11</v>
      </c>
      <c r="D1486">
        <v>20</v>
      </c>
    </row>
    <row r="1487" spans="1:4" ht="14.25">
      <c r="A1487" t="s">
        <v>4430</v>
      </c>
      <c r="B1487" t="s">
        <v>1216</v>
      </c>
      <c r="C1487">
        <v>11</v>
      </c>
      <c r="D1487">
        <v>20</v>
      </c>
    </row>
    <row r="1488" spans="1:4" ht="14.25">
      <c r="A1488" t="s">
        <v>4431</v>
      </c>
      <c r="B1488" t="s">
        <v>1216</v>
      </c>
      <c r="C1488">
        <v>9</v>
      </c>
      <c r="D1488">
        <v>20</v>
      </c>
    </row>
    <row r="1489" spans="1:4" ht="14.25">
      <c r="A1489" t="s">
        <v>4432</v>
      </c>
      <c r="B1489" t="s">
        <v>1218</v>
      </c>
      <c r="C1489">
        <v>11</v>
      </c>
      <c r="D1489">
        <v>20</v>
      </c>
    </row>
    <row r="1490" spans="1:4" ht="14.25">
      <c r="A1490" t="s">
        <v>4433</v>
      </c>
      <c r="B1490" t="s">
        <v>1218</v>
      </c>
      <c r="C1490">
        <v>9</v>
      </c>
      <c r="D1490">
        <v>20</v>
      </c>
    </row>
    <row r="1491" spans="1:4" ht="14.25">
      <c r="A1491" t="s">
        <v>4434</v>
      </c>
      <c r="B1491" t="s">
        <v>1220</v>
      </c>
      <c r="C1491">
        <v>11</v>
      </c>
      <c r="D1491">
        <v>20</v>
      </c>
    </row>
    <row r="1492" spans="1:4" ht="14.25">
      <c r="A1492" t="s">
        <v>4435</v>
      </c>
      <c r="B1492" t="s">
        <v>1220</v>
      </c>
      <c r="C1492">
        <v>15</v>
      </c>
      <c r="D1492">
        <v>20</v>
      </c>
    </row>
    <row r="1493" spans="1:4" ht="14.25">
      <c r="A1493" t="s">
        <v>5736</v>
      </c>
      <c r="B1493" t="s">
        <v>5382</v>
      </c>
      <c r="C1493">
        <v>11</v>
      </c>
      <c r="D1493">
        <v>20</v>
      </c>
    </row>
    <row r="1494" spans="1:4" ht="14.25">
      <c r="A1494" t="s">
        <v>4436</v>
      </c>
      <c r="B1494" t="s">
        <v>1222</v>
      </c>
      <c r="C1494">
        <v>11</v>
      </c>
      <c r="D1494">
        <v>20</v>
      </c>
    </row>
    <row r="1495" spans="1:4" ht="14.25">
      <c r="A1495" t="s">
        <v>4437</v>
      </c>
      <c r="B1495" t="s">
        <v>1222</v>
      </c>
      <c r="C1495">
        <v>9</v>
      </c>
      <c r="D1495">
        <v>20</v>
      </c>
    </row>
    <row r="1496" spans="1:4" ht="14.25">
      <c r="A1496" t="s">
        <v>4438</v>
      </c>
      <c r="B1496" t="s">
        <v>1225</v>
      </c>
      <c r="C1496">
        <v>11</v>
      </c>
      <c r="D1496">
        <v>20</v>
      </c>
    </row>
    <row r="1497" spans="1:4" ht="14.25">
      <c r="A1497" t="s">
        <v>4439</v>
      </c>
      <c r="B1497" t="s">
        <v>1228</v>
      </c>
      <c r="C1497">
        <v>11</v>
      </c>
      <c r="D1497">
        <v>20</v>
      </c>
    </row>
    <row r="1498" spans="1:4" ht="14.25">
      <c r="A1498" t="s">
        <v>4440</v>
      </c>
      <c r="B1498" t="s">
        <v>1228</v>
      </c>
      <c r="C1498">
        <v>15</v>
      </c>
      <c r="D1498">
        <v>20</v>
      </c>
    </row>
    <row r="1499" spans="1:4" ht="14.25">
      <c r="A1499" t="s">
        <v>4441</v>
      </c>
      <c r="B1499" t="s">
        <v>1230</v>
      </c>
      <c r="C1499">
        <v>11</v>
      </c>
      <c r="D1499">
        <v>20</v>
      </c>
    </row>
    <row r="1500" spans="1:4" ht="14.25">
      <c r="A1500" t="s">
        <v>4442</v>
      </c>
      <c r="B1500" t="s">
        <v>1230</v>
      </c>
      <c r="C1500">
        <v>9</v>
      </c>
      <c r="D1500">
        <v>20</v>
      </c>
    </row>
    <row r="1501" spans="1:4" ht="14.25">
      <c r="A1501" t="s">
        <v>4443</v>
      </c>
      <c r="B1501" t="s">
        <v>1234</v>
      </c>
      <c r="C1501">
        <v>11</v>
      </c>
      <c r="D1501">
        <v>20</v>
      </c>
    </row>
    <row r="1502" spans="1:4" ht="14.25">
      <c r="A1502" t="s">
        <v>4444</v>
      </c>
      <c r="B1502" t="s">
        <v>1237</v>
      </c>
      <c r="C1502">
        <v>11</v>
      </c>
      <c r="D1502">
        <v>20</v>
      </c>
    </row>
    <row r="1503" spans="1:4" ht="14.25">
      <c r="A1503" t="s">
        <v>4445</v>
      </c>
      <c r="B1503" t="s">
        <v>1239</v>
      </c>
      <c r="C1503">
        <v>11</v>
      </c>
      <c r="D1503">
        <v>20</v>
      </c>
    </row>
    <row r="1504" spans="1:4" ht="14.25">
      <c r="A1504" t="s">
        <v>4446</v>
      </c>
      <c r="B1504" t="s">
        <v>1241</v>
      </c>
      <c r="C1504">
        <v>11</v>
      </c>
      <c r="D1504">
        <v>20</v>
      </c>
    </row>
    <row r="1505" spans="1:4" ht="14.25">
      <c r="A1505" t="s">
        <v>4447</v>
      </c>
      <c r="B1505" t="s">
        <v>1241</v>
      </c>
      <c r="C1505">
        <v>15</v>
      </c>
      <c r="D1505">
        <v>20</v>
      </c>
    </row>
    <row r="1506" spans="1:4" ht="14.25">
      <c r="A1506" t="s">
        <v>4448</v>
      </c>
      <c r="B1506" t="s">
        <v>1247</v>
      </c>
      <c r="C1506">
        <v>11</v>
      </c>
      <c r="D1506">
        <v>20</v>
      </c>
    </row>
    <row r="1507" spans="1:4" ht="14.25">
      <c r="A1507" t="s">
        <v>4449</v>
      </c>
      <c r="B1507" t="s">
        <v>1247</v>
      </c>
      <c r="C1507">
        <v>11</v>
      </c>
      <c r="D1507">
        <v>20</v>
      </c>
    </row>
    <row r="1508" spans="1:4" ht="14.25">
      <c r="A1508" t="s">
        <v>4450</v>
      </c>
      <c r="B1508" t="s">
        <v>4451</v>
      </c>
      <c r="C1508">
        <v>8</v>
      </c>
      <c r="D1508">
        <v>20</v>
      </c>
    </row>
    <row r="1509" spans="1:4" ht="14.25">
      <c r="A1509" t="s">
        <v>4452</v>
      </c>
      <c r="B1509" t="s">
        <v>1253</v>
      </c>
      <c r="C1509">
        <v>15</v>
      </c>
      <c r="D1509">
        <v>20</v>
      </c>
    </row>
    <row r="1510" spans="1:4" ht="14.25">
      <c r="A1510" t="s">
        <v>4453</v>
      </c>
      <c r="B1510" t="s">
        <v>1255</v>
      </c>
      <c r="C1510">
        <v>11</v>
      </c>
      <c r="D1510">
        <v>20</v>
      </c>
    </row>
    <row r="1511" spans="1:4" ht="14.25">
      <c r="A1511" t="s">
        <v>4454</v>
      </c>
      <c r="B1511" t="s">
        <v>1255</v>
      </c>
      <c r="C1511">
        <v>9</v>
      </c>
      <c r="D1511">
        <v>20</v>
      </c>
    </row>
    <row r="1512" spans="1:4" ht="14.25">
      <c r="A1512" t="s">
        <v>4455</v>
      </c>
      <c r="B1512" t="s">
        <v>1257</v>
      </c>
      <c r="C1512">
        <v>11</v>
      </c>
      <c r="D1512">
        <v>20</v>
      </c>
    </row>
    <row r="1513" spans="1:4" ht="14.25">
      <c r="A1513" t="s">
        <v>4456</v>
      </c>
      <c r="B1513" t="s">
        <v>1260</v>
      </c>
      <c r="C1513">
        <v>11</v>
      </c>
      <c r="D1513">
        <v>20</v>
      </c>
    </row>
    <row r="1514" spans="1:4" ht="14.25">
      <c r="A1514" t="s">
        <v>4457</v>
      </c>
      <c r="B1514" t="s">
        <v>1260</v>
      </c>
      <c r="C1514">
        <v>9</v>
      </c>
      <c r="D1514">
        <v>20</v>
      </c>
    </row>
    <row r="1515" spans="1:4" ht="14.25">
      <c r="A1515" t="s">
        <v>4458</v>
      </c>
      <c r="B1515" t="s">
        <v>1263</v>
      </c>
      <c r="C1515">
        <v>11</v>
      </c>
      <c r="D1515">
        <v>20</v>
      </c>
    </row>
    <row r="1516" spans="1:4" ht="14.25">
      <c r="A1516" t="s">
        <v>4459</v>
      </c>
      <c r="B1516" t="s">
        <v>1269</v>
      </c>
      <c r="C1516">
        <v>11</v>
      </c>
      <c r="D1516">
        <v>20</v>
      </c>
    </row>
    <row r="1517" spans="1:4" ht="14.25">
      <c r="A1517" t="s">
        <v>4460</v>
      </c>
      <c r="B1517" t="s">
        <v>1271</v>
      </c>
      <c r="C1517">
        <v>11</v>
      </c>
      <c r="D1517">
        <v>20</v>
      </c>
    </row>
    <row r="1518" spans="1:4" ht="14.25">
      <c r="A1518" t="s">
        <v>4461</v>
      </c>
      <c r="B1518" t="s">
        <v>1271</v>
      </c>
      <c r="C1518">
        <v>9</v>
      </c>
      <c r="D1518">
        <v>20</v>
      </c>
    </row>
    <row r="1519" spans="1:4" ht="14.25">
      <c r="A1519" t="s">
        <v>4462</v>
      </c>
      <c r="B1519" t="s">
        <v>1275</v>
      </c>
      <c r="C1519">
        <v>11</v>
      </c>
      <c r="D1519">
        <v>20</v>
      </c>
    </row>
    <row r="1520" spans="1:4" ht="14.25">
      <c r="A1520" t="s">
        <v>5737</v>
      </c>
      <c r="B1520" t="s">
        <v>5385</v>
      </c>
      <c r="C1520">
        <v>9</v>
      </c>
      <c r="D1520">
        <v>20</v>
      </c>
    </row>
    <row r="1521" spans="1:4" ht="14.25">
      <c r="A1521" t="s">
        <v>5738</v>
      </c>
      <c r="B1521" t="s">
        <v>5385</v>
      </c>
      <c r="C1521">
        <v>9</v>
      </c>
      <c r="D1521">
        <v>20</v>
      </c>
    </row>
    <row r="1522" spans="1:4" ht="14.25">
      <c r="A1522" t="s">
        <v>5739</v>
      </c>
      <c r="B1522" t="s">
        <v>5387</v>
      </c>
      <c r="C1522">
        <v>11</v>
      </c>
      <c r="D1522">
        <v>20</v>
      </c>
    </row>
    <row r="1523" spans="1:4" ht="14.25">
      <c r="A1523" t="s">
        <v>4463</v>
      </c>
      <c r="B1523" t="s">
        <v>1278</v>
      </c>
      <c r="C1523">
        <v>11</v>
      </c>
      <c r="D1523">
        <v>20</v>
      </c>
    </row>
    <row r="1524" spans="1:4" ht="14.25">
      <c r="A1524" t="s">
        <v>4464</v>
      </c>
      <c r="B1524" t="s">
        <v>1278</v>
      </c>
      <c r="C1524">
        <v>9</v>
      </c>
      <c r="D1524">
        <v>20</v>
      </c>
    </row>
    <row r="1525" spans="1:4" ht="14.25">
      <c r="A1525" t="s">
        <v>4465</v>
      </c>
      <c r="B1525" t="s">
        <v>1280</v>
      </c>
      <c r="C1525">
        <v>11</v>
      </c>
      <c r="D1525">
        <v>20</v>
      </c>
    </row>
    <row r="1526" spans="1:4" ht="14.25">
      <c r="A1526" t="s">
        <v>4466</v>
      </c>
      <c r="B1526" t="s">
        <v>1280</v>
      </c>
      <c r="C1526">
        <v>9</v>
      </c>
      <c r="D1526">
        <v>20</v>
      </c>
    </row>
    <row r="1527" spans="1:4" ht="14.25">
      <c r="A1527" t="s">
        <v>4467</v>
      </c>
      <c r="B1527" t="s">
        <v>1280</v>
      </c>
      <c r="C1527">
        <v>19</v>
      </c>
      <c r="D1527">
        <v>25</v>
      </c>
    </row>
    <row r="1528" spans="1:4" ht="14.25">
      <c r="A1528" t="s">
        <v>4468</v>
      </c>
      <c r="B1528" t="s">
        <v>1285</v>
      </c>
      <c r="C1528">
        <v>11</v>
      </c>
      <c r="D1528">
        <v>20</v>
      </c>
    </row>
    <row r="1529" spans="1:4" ht="14.25">
      <c r="A1529" t="s">
        <v>4469</v>
      </c>
      <c r="B1529" t="s">
        <v>1289</v>
      </c>
      <c r="C1529">
        <v>11</v>
      </c>
      <c r="D1529">
        <v>20</v>
      </c>
    </row>
    <row r="1530" spans="1:4" ht="14.25">
      <c r="A1530" t="s">
        <v>4470</v>
      </c>
      <c r="B1530" t="s">
        <v>1289</v>
      </c>
      <c r="C1530">
        <v>15</v>
      </c>
      <c r="D1530">
        <v>20</v>
      </c>
    </row>
    <row r="1531" spans="1:4" ht="14.25">
      <c r="A1531" t="s">
        <v>4471</v>
      </c>
      <c r="B1531" t="s">
        <v>1291</v>
      </c>
      <c r="C1531">
        <v>11</v>
      </c>
      <c r="D1531">
        <v>20</v>
      </c>
    </row>
    <row r="1532" spans="1:4" ht="14.25">
      <c r="A1532" t="s">
        <v>4472</v>
      </c>
      <c r="B1532" t="s">
        <v>1291</v>
      </c>
      <c r="C1532">
        <v>9</v>
      </c>
      <c r="D1532">
        <v>20</v>
      </c>
    </row>
    <row r="1533" spans="1:4" ht="14.25">
      <c r="A1533" t="s">
        <v>4473</v>
      </c>
      <c r="B1533" t="s">
        <v>1294</v>
      </c>
      <c r="C1533">
        <v>11</v>
      </c>
      <c r="D1533">
        <v>20</v>
      </c>
    </row>
    <row r="1534" spans="1:4" ht="14.25">
      <c r="A1534" t="s">
        <v>4474</v>
      </c>
      <c r="B1534" t="s">
        <v>1297</v>
      </c>
      <c r="C1534">
        <v>11</v>
      </c>
      <c r="D1534">
        <v>20</v>
      </c>
    </row>
    <row r="1535" spans="1:4" ht="14.25">
      <c r="A1535" t="s">
        <v>4475</v>
      </c>
      <c r="B1535" t="s">
        <v>1297</v>
      </c>
      <c r="C1535">
        <v>9</v>
      </c>
      <c r="D1535">
        <v>20</v>
      </c>
    </row>
    <row r="1536" spans="1:4" ht="14.25">
      <c r="A1536" t="s">
        <v>4476</v>
      </c>
      <c r="B1536" t="s">
        <v>1299</v>
      </c>
      <c r="C1536">
        <v>11</v>
      </c>
      <c r="D1536">
        <v>20</v>
      </c>
    </row>
    <row r="1537" spans="1:4" ht="14.25">
      <c r="A1537" t="s">
        <v>4477</v>
      </c>
      <c r="B1537" t="s">
        <v>1299</v>
      </c>
      <c r="C1537">
        <v>9</v>
      </c>
      <c r="D1537">
        <v>20</v>
      </c>
    </row>
    <row r="1538" spans="1:4" ht="14.25">
      <c r="A1538" t="s">
        <v>4478</v>
      </c>
      <c r="B1538" t="s">
        <v>1299</v>
      </c>
      <c r="C1538">
        <v>19</v>
      </c>
      <c r="D1538">
        <v>25</v>
      </c>
    </row>
    <row r="1539" spans="1:4" ht="14.25">
      <c r="A1539" t="s">
        <v>4479</v>
      </c>
      <c r="B1539" t="s">
        <v>1307</v>
      </c>
      <c r="C1539">
        <v>11</v>
      </c>
      <c r="D1539">
        <v>20</v>
      </c>
    </row>
    <row r="1540" spans="1:4" ht="14.25">
      <c r="A1540" t="s">
        <v>4480</v>
      </c>
      <c r="B1540" t="s">
        <v>1310</v>
      </c>
      <c r="C1540">
        <v>15</v>
      </c>
      <c r="D1540">
        <v>20</v>
      </c>
    </row>
    <row r="1541" spans="1:4" ht="14.25">
      <c r="A1541" t="s">
        <v>4481</v>
      </c>
      <c r="B1541" t="s">
        <v>1312</v>
      </c>
      <c r="C1541">
        <v>11</v>
      </c>
      <c r="D1541">
        <v>20</v>
      </c>
    </row>
    <row r="1542" spans="1:4" ht="14.25">
      <c r="A1542" t="s">
        <v>4482</v>
      </c>
      <c r="B1542" t="s">
        <v>1312</v>
      </c>
      <c r="C1542">
        <v>9</v>
      </c>
      <c r="D1542">
        <v>20</v>
      </c>
    </row>
    <row r="1543" spans="1:4" ht="14.25">
      <c r="A1543" t="s">
        <v>4483</v>
      </c>
      <c r="B1543" t="s">
        <v>1312</v>
      </c>
      <c r="C1543">
        <v>19</v>
      </c>
      <c r="D1543">
        <v>25</v>
      </c>
    </row>
    <row r="1544" spans="1:4" ht="14.25">
      <c r="A1544" t="s">
        <v>4484</v>
      </c>
      <c r="B1544" t="s">
        <v>1317</v>
      </c>
      <c r="C1544">
        <v>11</v>
      </c>
      <c r="D1544">
        <v>20</v>
      </c>
    </row>
    <row r="1545" spans="1:4" ht="14.25">
      <c r="A1545" t="s">
        <v>4485</v>
      </c>
      <c r="B1545" t="s">
        <v>1320</v>
      </c>
      <c r="C1545">
        <v>11</v>
      </c>
      <c r="D1545">
        <v>20</v>
      </c>
    </row>
    <row r="1546" spans="1:4" ht="14.25">
      <c r="A1546" t="s">
        <v>4486</v>
      </c>
      <c r="B1546" t="s">
        <v>1320</v>
      </c>
      <c r="C1546">
        <v>19</v>
      </c>
      <c r="D1546">
        <v>25</v>
      </c>
    </row>
    <row r="1547" spans="1:4" ht="14.25">
      <c r="A1547" t="s">
        <v>4487</v>
      </c>
      <c r="B1547" t="s">
        <v>1320</v>
      </c>
      <c r="C1547">
        <v>9</v>
      </c>
      <c r="D1547">
        <v>20</v>
      </c>
    </row>
    <row r="1548" spans="1:4" ht="14.25">
      <c r="A1548" t="s">
        <v>4488</v>
      </c>
      <c r="B1548" t="s">
        <v>1320</v>
      </c>
      <c r="C1548">
        <v>19</v>
      </c>
      <c r="D1548">
        <v>25</v>
      </c>
    </row>
    <row r="1549" spans="1:4" ht="14.25">
      <c r="A1549" t="s">
        <v>4489</v>
      </c>
      <c r="B1549" t="s">
        <v>1326</v>
      </c>
      <c r="C1549">
        <v>11</v>
      </c>
      <c r="D1549">
        <v>20</v>
      </c>
    </row>
    <row r="1550" spans="1:4" ht="14.25">
      <c r="A1550" t="s">
        <v>4490</v>
      </c>
      <c r="B1550" t="s">
        <v>1329</v>
      </c>
      <c r="C1550">
        <v>15</v>
      </c>
      <c r="D1550">
        <v>20</v>
      </c>
    </row>
    <row r="1551" spans="1:4" ht="14.25">
      <c r="A1551" t="s">
        <v>4491</v>
      </c>
      <c r="B1551" t="s">
        <v>1332</v>
      </c>
      <c r="C1551">
        <v>11</v>
      </c>
      <c r="D1551">
        <v>20</v>
      </c>
    </row>
    <row r="1552" spans="1:4" ht="14.25">
      <c r="A1552" t="s">
        <v>4492</v>
      </c>
      <c r="B1552" t="s">
        <v>1334</v>
      </c>
      <c r="C1552">
        <v>11</v>
      </c>
      <c r="D1552">
        <v>20</v>
      </c>
    </row>
    <row r="1553" spans="1:4" ht="14.25">
      <c r="A1553" t="s">
        <v>4493</v>
      </c>
      <c r="B1553" t="s">
        <v>1334</v>
      </c>
      <c r="C1553">
        <v>9</v>
      </c>
      <c r="D1553">
        <v>20</v>
      </c>
    </row>
    <row r="1554" spans="1:4" ht="14.25">
      <c r="A1554" t="s">
        <v>5740</v>
      </c>
      <c r="B1554" t="s">
        <v>5392</v>
      </c>
      <c r="C1554">
        <v>11</v>
      </c>
      <c r="D1554">
        <v>20</v>
      </c>
    </row>
    <row r="1555" spans="1:4" ht="14.25">
      <c r="A1555" t="s">
        <v>4494</v>
      </c>
      <c r="B1555" t="s">
        <v>1338</v>
      </c>
      <c r="C1555">
        <v>11</v>
      </c>
      <c r="D1555">
        <v>20</v>
      </c>
    </row>
    <row r="1556" spans="1:4" ht="14.25">
      <c r="A1556" t="s">
        <v>4495</v>
      </c>
      <c r="B1556" t="s">
        <v>1340</v>
      </c>
      <c r="C1556">
        <v>11</v>
      </c>
      <c r="D1556">
        <v>20</v>
      </c>
    </row>
    <row r="1557" spans="1:4" ht="14.25">
      <c r="A1557" t="s">
        <v>4496</v>
      </c>
      <c r="B1557" t="s">
        <v>1340</v>
      </c>
      <c r="C1557">
        <v>9</v>
      </c>
      <c r="D1557">
        <v>20</v>
      </c>
    </row>
    <row r="1558" spans="1:4" ht="14.25">
      <c r="A1558" t="s">
        <v>4497</v>
      </c>
      <c r="B1558" t="s">
        <v>1344</v>
      </c>
      <c r="C1558">
        <v>11</v>
      </c>
      <c r="D1558">
        <v>20</v>
      </c>
    </row>
    <row r="1559" spans="1:4" ht="14.25">
      <c r="A1559" t="s">
        <v>4498</v>
      </c>
      <c r="B1559" t="s">
        <v>1344</v>
      </c>
      <c r="C1559">
        <v>9</v>
      </c>
      <c r="D1559">
        <v>20</v>
      </c>
    </row>
    <row r="1560" spans="1:4" ht="14.25">
      <c r="A1560" t="s">
        <v>4499</v>
      </c>
      <c r="B1560" t="s">
        <v>1344</v>
      </c>
      <c r="C1560">
        <v>19</v>
      </c>
      <c r="D1560">
        <v>25</v>
      </c>
    </row>
    <row r="1561" spans="1:4" ht="14.25">
      <c r="A1561" t="s">
        <v>4500</v>
      </c>
      <c r="B1561" t="s">
        <v>1348</v>
      </c>
      <c r="C1561">
        <v>11</v>
      </c>
      <c r="D1561">
        <v>20</v>
      </c>
    </row>
    <row r="1562" spans="1:4" ht="14.25">
      <c r="A1562" t="s">
        <v>4501</v>
      </c>
      <c r="B1562" t="s">
        <v>1348</v>
      </c>
      <c r="C1562">
        <v>9</v>
      </c>
      <c r="D1562">
        <v>20</v>
      </c>
    </row>
    <row r="1563" spans="1:4" ht="14.25">
      <c r="A1563" t="s">
        <v>5741</v>
      </c>
      <c r="B1563" t="s">
        <v>5395</v>
      </c>
      <c r="C1563">
        <v>11</v>
      </c>
      <c r="D1563">
        <v>20</v>
      </c>
    </row>
    <row r="1564" spans="1:4" ht="14.25">
      <c r="A1564" t="s">
        <v>5742</v>
      </c>
      <c r="B1564" t="s">
        <v>5400</v>
      </c>
      <c r="C1564">
        <v>11</v>
      </c>
      <c r="D1564">
        <v>20</v>
      </c>
    </row>
    <row r="1565" spans="1:4" ht="14.25">
      <c r="A1565" t="s">
        <v>4502</v>
      </c>
      <c r="B1565" t="s">
        <v>1353</v>
      </c>
      <c r="C1565">
        <v>11</v>
      </c>
      <c r="D1565">
        <v>20</v>
      </c>
    </row>
    <row r="1566" spans="1:4" ht="14.25">
      <c r="A1566" t="s">
        <v>4503</v>
      </c>
      <c r="B1566" t="s">
        <v>1353</v>
      </c>
      <c r="C1566">
        <v>9</v>
      </c>
      <c r="D1566">
        <v>20</v>
      </c>
    </row>
    <row r="1567" spans="1:4" ht="14.25">
      <c r="A1567" t="s">
        <v>4504</v>
      </c>
      <c r="B1567" t="s">
        <v>1360</v>
      </c>
      <c r="C1567">
        <v>11</v>
      </c>
      <c r="D1567">
        <v>20</v>
      </c>
    </row>
    <row r="1568" spans="1:4" ht="14.25">
      <c r="A1568" t="s">
        <v>4505</v>
      </c>
      <c r="B1568" t="s">
        <v>1360</v>
      </c>
      <c r="C1568">
        <v>9</v>
      </c>
      <c r="D1568">
        <v>20</v>
      </c>
    </row>
    <row r="1569" spans="1:4" ht="14.25">
      <c r="A1569" t="s">
        <v>4506</v>
      </c>
      <c r="B1569" t="s">
        <v>1360</v>
      </c>
      <c r="C1569">
        <v>19</v>
      </c>
      <c r="D1569">
        <v>25</v>
      </c>
    </row>
    <row r="1570" spans="1:4" ht="14.25">
      <c r="A1570" t="s">
        <v>4507</v>
      </c>
      <c r="B1570" t="s">
        <v>1360</v>
      </c>
      <c r="C1570">
        <v>11</v>
      </c>
      <c r="D1570">
        <v>40</v>
      </c>
    </row>
    <row r="1571" spans="1:4" ht="14.25">
      <c r="A1571" t="s">
        <v>4508</v>
      </c>
      <c r="B1571" t="s">
        <v>1365</v>
      </c>
      <c r="C1571">
        <v>11</v>
      </c>
      <c r="D1571">
        <v>20</v>
      </c>
    </row>
    <row r="1572" spans="1:4" ht="14.25">
      <c r="A1572" t="s">
        <v>4509</v>
      </c>
      <c r="B1572" t="s">
        <v>1368</v>
      </c>
      <c r="C1572">
        <v>11</v>
      </c>
      <c r="D1572">
        <v>20</v>
      </c>
    </row>
    <row r="1573" spans="1:4" ht="14.25">
      <c r="A1573" t="s">
        <v>4510</v>
      </c>
      <c r="B1573" t="s">
        <v>1368</v>
      </c>
      <c r="C1573">
        <v>9</v>
      </c>
      <c r="D1573">
        <v>20</v>
      </c>
    </row>
    <row r="1574" spans="1:4" ht="14.25">
      <c r="A1574" t="s">
        <v>4511</v>
      </c>
      <c r="B1574" t="s">
        <v>1371</v>
      </c>
      <c r="C1574">
        <v>11</v>
      </c>
      <c r="D1574">
        <v>20</v>
      </c>
    </row>
    <row r="1575" spans="1:4" ht="14.25">
      <c r="A1575" t="s">
        <v>4512</v>
      </c>
      <c r="B1575" t="s">
        <v>1371</v>
      </c>
      <c r="C1575">
        <v>9</v>
      </c>
      <c r="D1575">
        <v>20</v>
      </c>
    </row>
    <row r="1576" spans="1:4" ht="14.25">
      <c r="A1576" t="s">
        <v>5743</v>
      </c>
      <c r="B1576" t="s">
        <v>5403</v>
      </c>
      <c r="C1576">
        <v>11</v>
      </c>
      <c r="D1576">
        <v>20</v>
      </c>
    </row>
    <row r="1577" spans="1:4" ht="14.25">
      <c r="A1577" t="s">
        <v>4513</v>
      </c>
      <c r="B1577" t="s">
        <v>1374</v>
      </c>
      <c r="C1577">
        <v>11</v>
      </c>
      <c r="D1577">
        <v>20</v>
      </c>
    </row>
    <row r="1578" spans="1:4" ht="14.25">
      <c r="A1578" t="s">
        <v>4514</v>
      </c>
      <c r="B1578" t="s">
        <v>1374</v>
      </c>
      <c r="C1578">
        <v>9</v>
      </c>
      <c r="D1578">
        <v>20</v>
      </c>
    </row>
    <row r="1579" spans="1:4" ht="14.25">
      <c r="A1579" t="s">
        <v>4515</v>
      </c>
      <c r="B1579" t="s">
        <v>1378</v>
      </c>
      <c r="C1579">
        <v>11</v>
      </c>
      <c r="D1579">
        <v>20</v>
      </c>
    </row>
    <row r="1580" spans="1:4" ht="14.25">
      <c r="A1580" t="s">
        <v>5744</v>
      </c>
      <c r="B1580" t="s">
        <v>5406</v>
      </c>
      <c r="C1580">
        <v>11</v>
      </c>
      <c r="D1580">
        <v>20</v>
      </c>
    </row>
    <row r="1581" spans="1:4" ht="14.25">
      <c r="A1581" t="s">
        <v>4516</v>
      </c>
      <c r="B1581" t="s">
        <v>1382</v>
      </c>
      <c r="C1581">
        <v>11</v>
      </c>
      <c r="D1581">
        <v>20</v>
      </c>
    </row>
    <row r="1582" spans="1:4" ht="14.25">
      <c r="A1582" t="s">
        <v>4517</v>
      </c>
      <c r="B1582" t="s">
        <v>1384</v>
      </c>
      <c r="C1582">
        <v>11</v>
      </c>
      <c r="D1582">
        <v>20</v>
      </c>
    </row>
    <row r="1583" spans="1:4" ht="14.25">
      <c r="A1583" t="s">
        <v>4518</v>
      </c>
      <c r="B1583" t="s">
        <v>1384</v>
      </c>
      <c r="C1583">
        <v>9</v>
      </c>
      <c r="D1583">
        <v>20</v>
      </c>
    </row>
    <row r="1584" spans="1:4" ht="14.25">
      <c r="A1584" t="s">
        <v>4519</v>
      </c>
      <c r="B1584" t="s">
        <v>1386</v>
      </c>
      <c r="C1584">
        <v>11</v>
      </c>
      <c r="D1584">
        <v>20</v>
      </c>
    </row>
    <row r="1585" spans="1:4" ht="14.25">
      <c r="A1585" t="s">
        <v>4520</v>
      </c>
      <c r="B1585" t="s">
        <v>1386</v>
      </c>
      <c r="C1585">
        <v>9</v>
      </c>
      <c r="D1585">
        <v>20</v>
      </c>
    </row>
    <row r="1586" spans="1:4" ht="14.25">
      <c r="A1586" t="s">
        <v>4521</v>
      </c>
      <c r="B1586" t="s">
        <v>1389</v>
      </c>
      <c r="C1586">
        <v>11</v>
      </c>
      <c r="D1586">
        <v>20</v>
      </c>
    </row>
    <row r="1587" spans="1:4" ht="14.25">
      <c r="A1587" t="s">
        <v>4522</v>
      </c>
      <c r="B1587" t="s">
        <v>1389</v>
      </c>
      <c r="C1587">
        <v>9</v>
      </c>
      <c r="D1587">
        <v>20</v>
      </c>
    </row>
    <row r="1588" spans="1:4" ht="14.25">
      <c r="A1588" t="s">
        <v>4523</v>
      </c>
      <c r="B1588" t="s">
        <v>1393</v>
      </c>
      <c r="C1588">
        <v>11</v>
      </c>
      <c r="D1588">
        <v>20</v>
      </c>
    </row>
    <row r="1589" spans="1:4" ht="14.25">
      <c r="A1589" t="s">
        <v>4524</v>
      </c>
      <c r="B1589" t="s">
        <v>1393</v>
      </c>
      <c r="C1589">
        <v>9</v>
      </c>
      <c r="D1589">
        <v>20</v>
      </c>
    </row>
    <row r="1590" spans="1:4" ht="14.25">
      <c r="A1590" t="s">
        <v>4525</v>
      </c>
      <c r="B1590" t="s">
        <v>1393</v>
      </c>
      <c r="C1590">
        <v>19</v>
      </c>
      <c r="D1590">
        <v>25</v>
      </c>
    </row>
    <row r="1591" spans="1:4" ht="14.25">
      <c r="A1591" t="s">
        <v>4526</v>
      </c>
      <c r="B1591" t="s">
        <v>1398</v>
      </c>
      <c r="C1591">
        <v>11</v>
      </c>
      <c r="D1591">
        <v>20</v>
      </c>
    </row>
    <row r="1592" spans="1:4" ht="14.25">
      <c r="A1592" t="s">
        <v>4527</v>
      </c>
      <c r="B1592" t="s">
        <v>4528</v>
      </c>
      <c r="C1592">
        <v>11</v>
      </c>
      <c r="D1592">
        <v>40</v>
      </c>
    </row>
    <row r="1593" spans="1:4" ht="14.25">
      <c r="A1593" t="s">
        <v>4529</v>
      </c>
      <c r="B1593" t="s">
        <v>1401</v>
      </c>
      <c r="C1593">
        <v>11</v>
      </c>
      <c r="D1593">
        <v>20</v>
      </c>
    </row>
    <row r="1594" spans="1:4" ht="14.25">
      <c r="A1594" t="s">
        <v>4530</v>
      </c>
      <c r="B1594" t="s">
        <v>1403</v>
      </c>
      <c r="C1594">
        <v>11</v>
      </c>
      <c r="D1594">
        <v>20</v>
      </c>
    </row>
    <row r="1595" spans="1:4" ht="14.25">
      <c r="A1595" t="s">
        <v>4531</v>
      </c>
      <c r="B1595" t="s">
        <v>1403</v>
      </c>
      <c r="C1595">
        <v>11</v>
      </c>
      <c r="D1595">
        <v>20</v>
      </c>
    </row>
    <row r="1596" spans="1:4" ht="14.25">
      <c r="A1596" t="s">
        <v>4532</v>
      </c>
      <c r="B1596" t="s">
        <v>1403</v>
      </c>
      <c r="C1596">
        <v>19</v>
      </c>
      <c r="D1596">
        <v>25</v>
      </c>
    </row>
    <row r="1597" spans="1:4" ht="14.25">
      <c r="A1597" t="s">
        <v>4533</v>
      </c>
      <c r="B1597" t="s">
        <v>1406</v>
      </c>
      <c r="C1597">
        <v>11</v>
      </c>
      <c r="D1597">
        <v>20</v>
      </c>
    </row>
    <row r="1598" spans="1:4" ht="14.25">
      <c r="A1598" t="s">
        <v>4534</v>
      </c>
      <c r="B1598" t="s">
        <v>1409</v>
      </c>
      <c r="C1598">
        <v>11</v>
      </c>
      <c r="D1598">
        <v>20</v>
      </c>
    </row>
    <row r="1599" spans="1:4" ht="14.25">
      <c r="A1599" t="s">
        <v>4535</v>
      </c>
      <c r="B1599" t="s">
        <v>1409</v>
      </c>
      <c r="C1599">
        <v>11</v>
      </c>
      <c r="D1599">
        <v>20</v>
      </c>
    </row>
    <row r="1600" spans="1:4" ht="14.25">
      <c r="A1600" t="s">
        <v>4536</v>
      </c>
      <c r="B1600" t="s">
        <v>1411</v>
      </c>
      <c r="C1600">
        <v>11</v>
      </c>
      <c r="D1600">
        <v>20</v>
      </c>
    </row>
    <row r="1601" spans="1:4" ht="14.25">
      <c r="A1601" t="s">
        <v>4537</v>
      </c>
      <c r="B1601" t="s">
        <v>1411</v>
      </c>
      <c r="C1601">
        <v>9</v>
      </c>
      <c r="D1601">
        <v>20</v>
      </c>
    </row>
    <row r="1602" spans="1:4" ht="14.25">
      <c r="A1602" t="s">
        <v>4538</v>
      </c>
      <c r="B1602" t="s">
        <v>1411</v>
      </c>
      <c r="C1602">
        <v>19</v>
      </c>
      <c r="D1602">
        <v>25</v>
      </c>
    </row>
    <row r="1603" spans="1:4" ht="14.25">
      <c r="A1603" t="s">
        <v>4539</v>
      </c>
      <c r="B1603" t="s">
        <v>1416</v>
      </c>
      <c r="C1603">
        <v>11</v>
      </c>
      <c r="D1603">
        <v>20</v>
      </c>
    </row>
    <row r="1604" spans="1:4" ht="14.25">
      <c r="A1604" t="s">
        <v>4540</v>
      </c>
      <c r="B1604" t="s">
        <v>1416</v>
      </c>
      <c r="C1604">
        <v>9</v>
      </c>
      <c r="D1604">
        <v>20</v>
      </c>
    </row>
    <row r="1605" spans="1:4" ht="14.25">
      <c r="A1605" t="s">
        <v>4541</v>
      </c>
      <c r="B1605" t="s">
        <v>1416</v>
      </c>
      <c r="C1605">
        <v>19</v>
      </c>
      <c r="D1605">
        <v>25</v>
      </c>
    </row>
    <row r="1606" spans="1:4" ht="14.25">
      <c r="A1606" t="s">
        <v>4542</v>
      </c>
      <c r="B1606" t="s">
        <v>1421</v>
      </c>
      <c r="C1606">
        <v>11</v>
      </c>
      <c r="D1606">
        <v>20</v>
      </c>
    </row>
    <row r="1607" spans="1:4" ht="14.25">
      <c r="A1607" t="s">
        <v>4543</v>
      </c>
      <c r="B1607" t="s">
        <v>1421</v>
      </c>
      <c r="C1607">
        <v>9</v>
      </c>
      <c r="D1607">
        <v>20</v>
      </c>
    </row>
    <row r="1608" spans="1:4" ht="14.25">
      <c r="A1608" t="s">
        <v>5745</v>
      </c>
      <c r="B1608" t="s">
        <v>5410</v>
      </c>
      <c r="C1608">
        <v>11</v>
      </c>
      <c r="D1608">
        <v>20</v>
      </c>
    </row>
    <row r="1609" spans="1:4" ht="14.25">
      <c r="A1609" t="s">
        <v>4544</v>
      </c>
      <c r="B1609" t="s">
        <v>1423</v>
      </c>
      <c r="C1609">
        <v>11</v>
      </c>
      <c r="D1609">
        <v>20</v>
      </c>
    </row>
    <row r="1610" spans="1:4" ht="14.25">
      <c r="A1610" t="s">
        <v>4545</v>
      </c>
      <c r="B1610" t="s">
        <v>1423</v>
      </c>
      <c r="C1610">
        <v>9</v>
      </c>
      <c r="D1610">
        <v>20</v>
      </c>
    </row>
    <row r="1611" spans="1:4" ht="14.25">
      <c r="A1611" t="s">
        <v>4546</v>
      </c>
      <c r="B1611" t="s">
        <v>1423</v>
      </c>
      <c r="C1611">
        <v>19</v>
      </c>
      <c r="D1611">
        <v>25</v>
      </c>
    </row>
    <row r="1612" spans="1:4" ht="14.25">
      <c r="A1612" t="s">
        <v>4547</v>
      </c>
      <c r="C1612">
        <v>11</v>
      </c>
      <c r="D1612">
        <v>20</v>
      </c>
    </row>
    <row r="1613" spans="1:4" ht="14.25">
      <c r="A1613" t="s">
        <v>4548</v>
      </c>
      <c r="C1613">
        <v>11</v>
      </c>
      <c r="D1613">
        <v>20</v>
      </c>
    </row>
    <row r="1614" spans="1:4" ht="14.25">
      <c r="A1614" t="s">
        <v>4549</v>
      </c>
      <c r="C1614">
        <v>19</v>
      </c>
      <c r="D1614">
        <v>25</v>
      </c>
    </row>
    <row r="1615" spans="1:4" ht="14.25">
      <c r="A1615" t="s">
        <v>4550</v>
      </c>
      <c r="B1615" t="s">
        <v>1429</v>
      </c>
      <c r="C1615">
        <v>11</v>
      </c>
      <c r="D1615">
        <v>20</v>
      </c>
    </row>
    <row r="1616" spans="1:4" ht="14.25">
      <c r="A1616" t="s">
        <v>4551</v>
      </c>
      <c r="B1616" t="s">
        <v>1437</v>
      </c>
      <c r="C1616">
        <v>11</v>
      </c>
      <c r="D1616">
        <v>20</v>
      </c>
    </row>
    <row r="1617" spans="1:4" ht="14.25">
      <c r="A1617" t="s">
        <v>4552</v>
      </c>
      <c r="B1617" t="s">
        <v>1437</v>
      </c>
      <c r="C1617">
        <v>9</v>
      </c>
      <c r="D1617">
        <v>20</v>
      </c>
    </row>
    <row r="1618" spans="1:4" ht="14.25">
      <c r="A1618" t="s">
        <v>4553</v>
      </c>
      <c r="B1618" t="s">
        <v>1443</v>
      </c>
      <c r="C1618">
        <v>11</v>
      </c>
      <c r="D1618">
        <v>20</v>
      </c>
    </row>
    <row r="1619" spans="1:4" ht="14.25">
      <c r="A1619" t="s">
        <v>4554</v>
      </c>
      <c r="B1619" t="s">
        <v>1443</v>
      </c>
      <c r="C1619">
        <v>15</v>
      </c>
      <c r="D1619">
        <v>20</v>
      </c>
    </row>
    <row r="1620" spans="1:4" ht="14.25">
      <c r="A1620" t="s">
        <v>4555</v>
      </c>
      <c r="B1620" t="s">
        <v>1443</v>
      </c>
      <c r="C1620">
        <v>19</v>
      </c>
      <c r="D1620">
        <v>25</v>
      </c>
    </row>
    <row r="1621" spans="1:4" ht="14.25">
      <c r="A1621" t="s">
        <v>4556</v>
      </c>
      <c r="B1621" t="s">
        <v>1447</v>
      </c>
      <c r="C1621">
        <v>11</v>
      </c>
      <c r="D1621">
        <v>20</v>
      </c>
    </row>
    <row r="1622" spans="1:4" ht="14.25">
      <c r="A1622" t="s">
        <v>4557</v>
      </c>
      <c r="B1622" t="s">
        <v>1447</v>
      </c>
      <c r="C1622">
        <v>9</v>
      </c>
      <c r="D1622">
        <v>20</v>
      </c>
    </row>
    <row r="1623" spans="1:4" ht="14.25">
      <c r="A1623" t="s">
        <v>4558</v>
      </c>
      <c r="B1623" t="s">
        <v>1447</v>
      </c>
      <c r="C1623">
        <v>19</v>
      </c>
      <c r="D1623">
        <v>25</v>
      </c>
    </row>
    <row r="1624" spans="1:4" ht="14.25">
      <c r="A1624" t="s">
        <v>4559</v>
      </c>
      <c r="B1624" t="s">
        <v>2129</v>
      </c>
      <c r="C1624">
        <v>11</v>
      </c>
      <c r="D1624">
        <v>40</v>
      </c>
    </row>
    <row r="1625" spans="1:4" ht="14.25">
      <c r="A1625" t="s">
        <v>4560</v>
      </c>
      <c r="B1625" t="s">
        <v>4561</v>
      </c>
      <c r="C1625">
        <v>11</v>
      </c>
      <c r="D1625">
        <v>20</v>
      </c>
    </row>
    <row r="1626" spans="1:4" ht="14.25">
      <c r="A1626" t="s">
        <v>4562</v>
      </c>
      <c r="B1626" t="s">
        <v>1466</v>
      </c>
      <c r="C1626">
        <v>11</v>
      </c>
      <c r="D1626">
        <v>20</v>
      </c>
    </row>
    <row r="1627" spans="1:4" ht="14.25">
      <c r="A1627" t="s">
        <v>4563</v>
      </c>
      <c r="B1627" t="s">
        <v>1466</v>
      </c>
      <c r="C1627">
        <v>9</v>
      </c>
      <c r="D1627">
        <v>20</v>
      </c>
    </row>
    <row r="1628" spans="1:4" ht="14.25">
      <c r="A1628" t="s">
        <v>4564</v>
      </c>
      <c r="B1628" t="s">
        <v>1466</v>
      </c>
      <c r="C1628">
        <v>19</v>
      </c>
      <c r="D1628">
        <v>25</v>
      </c>
    </row>
    <row r="1629" spans="1:4" ht="14.25">
      <c r="A1629" t="s">
        <v>4565</v>
      </c>
      <c r="B1629" t="s">
        <v>1466</v>
      </c>
      <c r="C1629">
        <v>11</v>
      </c>
      <c r="D1629">
        <v>40</v>
      </c>
    </row>
    <row r="1630" spans="1:4" ht="14.25">
      <c r="A1630" t="s">
        <v>4566</v>
      </c>
      <c r="B1630" t="s">
        <v>1479</v>
      </c>
      <c r="C1630">
        <v>11</v>
      </c>
      <c r="D1630">
        <v>20</v>
      </c>
    </row>
    <row r="1631" spans="1:4" ht="14.25">
      <c r="A1631" t="s">
        <v>4567</v>
      </c>
      <c r="B1631" t="s">
        <v>1482</v>
      </c>
      <c r="C1631">
        <v>15</v>
      </c>
      <c r="D1631">
        <v>20</v>
      </c>
    </row>
    <row r="1632" spans="1:4" ht="14.25">
      <c r="A1632" t="s">
        <v>4568</v>
      </c>
      <c r="B1632" t="s">
        <v>1484</v>
      </c>
      <c r="C1632">
        <v>11</v>
      </c>
      <c r="D1632">
        <v>20</v>
      </c>
    </row>
    <row r="1633" spans="1:4" ht="14.25">
      <c r="A1633" t="s">
        <v>4569</v>
      </c>
      <c r="B1633" t="s">
        <v>1484</v>
      </c>
      <c r="C1633">
        <v>9</v>
      </c>
      <c r="D1633">
        <v>20</v>
      </c>
    </row>
    <row r="1634" spans="1:4" ht="14.25">
      <c r="A1634" t="s">
        <v>4570</v>
      </c>
      <c r="B1634" t="s">
        <v>1487</v>
      </c>
      <c r="C1634">
        <v>11</v>
      </c>
      <c r="D1634">
        <v>20</v>
      </c>
    </row>
    <row r="1635" spans="1:4" ht="14.25">
      <c r="A1635" t="s">
        <v>4571</v>
      </c>
      <c r="B1635" t="s">
        <v>1491</v>
      </c>
      <c r="C1635">
        <v>11</v>
      </c>
      <c r="D1635">
        <v>20</v>
      </c>
    </row>
    <row r="1636" spans="1:4" ht="14.25">
      <c r="A1636" t="s">
        <v>4572</v>
      </c>
      <c r="B1636" t="s">
        <v>1491</v>
      </c>
      <c r="C1636">
        <v>9</v>
      </c>
      <c r="D1636">
        <v>20</v>
      </c>
    </row>
    <row r="1637" spans="1:4" ht="14.25">
      <c r="A1637" t="s">
        <v>4573</v>
      </c>
      <c r="B1637" t="s">
        <v>1491</v>
      </c>
      <c r="C1637">
        <v>19</v>
      </c>
      <c r="D1637">
        <v>25</v>
      </c>
    </row>
    <row r="1638" spans="1:4" ht="14.25">
      <c r="A1638" t="s">
        <v>4574</v>
      </c>
      <c r="B1638" t="s">
        <v>1491</v>
      </c>
      <c r="C1638">
        <v>11</v>
      </c>
      <c r="D1638">
        <v>40</v>
      </c>
    </row>
    <row r="1639" spans="1:4" ht="14.25">
      <c r="A1639" t="s">
        <v>4575</v>
      </c>
      <c r="B1639" t="s">
        <v>2149</v>
      </c>
      <c r="C1639">
        <v>11</v>
      </c>
      <c r="D1639">
        <v>40</v>
      </c>
    </row>
    <row r="1640" spans="1:4" ht="14.25">
      <c r="A1640" t="s">
        <v>4576</v>
      </c>
      <c r="B1640" t="s">
        <v>4577</v>
      </c>
      <c r="C1640">
        <v>11</v>
      </c>
      <c r="D1640">
        <v>40</v>
      </c>
    </row>
    <row r="1641" spans="1:4" ht="14.25">
      <c r="A1641" t="s">
        <v>4578</v>
      </c>
      <c r="B1641" t="s">
        <v>1496</v>
      </c>
      <c r="C1641">
        <v>11</v>
      </c>
      <c r="D1641">
        <v>20</v>
      </c>
    </row>
    <row r="1642" spans="1:4" ht="14.25">
      <c r="A1642" t="s">
        <v>4579</v>
      </c>
      <c r="B1642" t="s">
        <v>1498</v>
      </c>
      <c r="C1642">
        <v>11</v>
      </c>
      <c r="D1642">
        <v>20</v>
      </c>
    </row>
    <row r="1643" spans="1:4" ht="14.25">
      <c r="A1643" t="s">
        <v>4580</v>
      </c>
      <c r="B1643" t="s">
        <v>1498</v>
      </c>
      <c r="C1643">
        <v>9</v>
      </c>
      <c r="D1643">
        <v>20</v>
      </c>
    </row>
    <row r="1644" spans="1:4" ht="14.25">
      <c r="A1644" t="s">
        <v>4581</v>
      </c>
      <c r="B1644" t="s">
        <v>4582</v>
      </c>
      <c r="C1644">
        <v>11</v>
      </c>
      <c r="D1644">
        <v>20</v>
      </c>
    </row>
    <row r="1645" spans="1:4" ht="14.25">
      <c r="A1645" t="s">
        <v>4583</v>
      </c>
      <c r="B1645" t="s">
        <v>1504</v>
      </c>
      <c r="C1645">
        <v>11</v>
      </c>
      <c r="D1645">
        <v>20</v>
      </c>
    </row>
    <row r="1646" spans="1:4" ht="14.25">
      <c r="A1646" t="s">
        <v>4584</v>
      </c>
      <c r="B1646" t="s">
        <v>1507</v>
      </c>
      <c r="C1646">
        <v>15</v>
      </c>
      <c r="D1646">
        <v>20</v>
      </c>
    </row>
    <row r="1647" spans="1:4" ht="14.25">
      <c r="A1647" t="s">
        <v>4585</v>
      </c>
      <c r="B1647" t="s">
        <v>1509</v>
      </c>
      <c r="C1647">
        <v>11</v>
      </c>
      <c r="D1647">
        <v>20</v>
      </c>
    </row>
    <row r="1648" spans="1:4" ht="14.25">
      <c r="A1648" t="s">
        <v>4586</v>
      </c>
      <c r="B1648" t="s">
        <v>1509</v>
      </c>
      <c r="C1648">
        <v>9</v>
      </c>
      <c r="D1648">
        <v>20</v>
      </c>
    </row>
    <row r="1649" spans="1:4" ht="14.25">
      <c r="A1649" t="s">
        <v>4587</v>
      </c>
      <c r="B1649" t="s">
        <v>1513</v>
      </c>
      <c r="C1649">
        <v>15</v>
      </c>
      <c r="D1649">
        <v>20</v>
      </c>
    </row>
    <row r="1650" spans="1:4" ht="14.25">
      <c r="A1650" t="s">
        <v>4588</v>
      </c>
      <c r="B1650" t="s">
        <v>1513</v>
      </c>
      <c r="C1650">
        <v>15</v>
      </c>
      <c r="D1650">
        <v>20</v>
      </c>
    </row>
    <row r="1651" spans="1:4" ht="14.25">
      <c r="A1651" t="s">
        <v>4589</v>
      </c>
      <c r="B1651" t="s">
        <v>1515</v>
      </c>
      <c r="C1651">
        <v>11</v>
      </c>
      <c r="D1651">
        <v>20</v>
      </c>
    </row>
    <row r="1652" spans="1:4" ht="14.25">
      <c r="A1652" t="s">
        <v>4590</v>
      </c>
      <c r="B1652" t="s">
        <v>1515</v>
      </c>
      <c r="C1652">
        <v>15</v>
      </c>
      <c r="D1652">
        <v>20</v>
      </c>
    </row>
    <row r="1653" spans="1:4" ht="14.25">
      <c r="A1653" t="s">
        <v>4591</v>
      </c>
      <c r="B1653" t="s">
        <v>1517</v>
      </c>
      <c r="C1653">
        <v>11</v>
      </c>
      <c r="D1653">
        <v>20</v>
      </c>
    </row>
    <row r="1654" spans="1:4" ht="14.25">
      <c r="A1654" t="s">
        <v>4592</v>
      </c>
      <c r="B1654" t="s">
        <v>1517</v>
      </c>
      <c r="C1654">
        <v>9</v>
      </c>
      <c r="D1654">
        <v>20</v>
      </c>
    </row>
    <row r="1655" spans="1:4" ht="14.25">
      <c r="A1655" t="s">
        <v>4593</v>
      </c>
      <c r="B1655" t="s">
        <v>1517</v>
      </c>
      <c r="C1655">
        <v>19</v>
      </c>
      <c r="D1655">
        <v>25</v>
      </c>
    </row>
    <row r="1656" spans="1:4" ht="14.25">
      <c r="A1656" t="s">
        <v>4594</v>
      </c>
      <c r="B1656" t="s">
        <v>1520</v>
      </c>
      <c r="C1656">
        <v>11</v>
      </c>
      <c r="D1656">
        <v>20</v>
      </c>
    </row>
    <row r="1657" spans="1:4" ht="14.25">
      <c r="A1657" t="s">
        <v>4595</v>
      </c>
      <c r="B1657" t="s">
        <v>1520</v>
      </c>
      <c r="C1657">
        <v>9</v>
      </c>
      <c r="D1657">
        <v>20</v>
      </c>
    </row>
    <row r="1658" spans="1:4" ht="14.25">
      <c r="A1658" t="s">
        <v>4596</v>
      </c>
      <c r="B1658" t="s">
        <v>1520</v>
      </c>
      <c r="C1658">
        <v>19</v>
      </c>
      <c r="D1658">
        <v>25</v>
      </c>
    </row>
    <row r="1659" spans="1:4" ht="14.25">
      <c r="A1659" t="s">
        <v>4597</v>
      </c>
      <c r="B1659" t="s">
        <v>1542</v>
      </c>
      <c r="C1659">
        <v>11</v>
      </c>
      <c r="D1659">
        <v>20</v>
      </c>
    </row>
    <row r="1660" spans="1:4" ht="14.25">
      <c r="A1660" t="s">
        <v>4598</v>
      </c>
      <c r="B1660" t="s">
        <v>1542</v>
      </c>
      <c r="C1660">
        <v>11</v>
      </c>
      <c r="D1660">
        <v>20</v>
      </c>
    </row>
    <row r="1661" spans="1:4" ht="14.25">
      <c r="A1661" t="s">
        <v>4599</v>
      </c>
      <c r="B1661" t="s">
        <v>1542</v>
      </c>
      <c r="C1661">
        <v>19</v>
      </c>
      <c r="D1661">
        <v>25</v>
      </c>
    </row>
    <row r="1662" spans="1:4" ht="14.25">
      <c r="A1662" t="s">
        <v>4600</v>
      </c>
      <c r="B1662" t="s">
        <v>4601</v>
      </c>
      <c r="C1662">
        <v>11</v>
      </c>
      <c r="D1662">
        <v>20</v>
      </c>
    </row>
    <row r="1663" spans="1:4" ht="14.25">
      <c r="A1663" t="s">
        <v>4602</v>
      </c>
      <c r="B1663" t="s">
        <v>4601</v>
      </c>
      <c r="C1663">
        <v>11</v>
      </c>
      <c r="D1663">
        <v>20</v>
      </c>
    </row>
    <row r="1664" spans="1:4" ht="14.25">
      <c r="A1664" t="s">
        <v>4603</v>
      </c>
      <c r="B1664" t="s">
        <v>4601</v>
      </c>
      <c r="C1664">
        <v>19</v>
      </c>
      <c r="D1664">
        <v>25</v>
      </c>
    </row>
    <row r="1665" spans="1:4" ht="14.25">
      <c r="A1665" t="s">
        <v>4604</v>
      </c>
      <c r="B1665" t="s">
        <v>2744</v>
      </c>
      <c r="C1665">
        <v>9</v>
      </c>
      <c r="D1665">
        <v>20</v>
      </c>
    </row>
    <row r="1666" spans="1:4" ht="14.25">
      <c r="A1666" t="s">
        <v>4605</v>
      </c>
      <c r="B1666" t="s">
        <v>1003</v>
      </c>
      <c r="C1666">
        <v>9</v>
      </c>
      <c r="D1666">
        <v>20</v>
      </c>
    </row>
    <row r="1667" spans="1:4" ht="14.25">
      <c r="A1667" t="s">
        <v>4606</v>
      </c>
      <c r="B1667" t="s">
        <v>4607</v>
      </c>
      <c r="C1667">
        <v>9</v>
      </c>
      <c r="D1667">
        <v>20</v>
      </c>
    </row>
    <row r="1668" spans="1:4" ht="14.25">
      <c r="A1668" t="s">
        <v>4608</v>
      </c>
      <c r="B1668" t="s">
        <v>2748</v>
      </c>
      <c r="C1668">
        <v>9</v>
      </c>
      <c r="D1668">
        <v>20</v>
      </c>
    </row>
    <row r="1669" spans="1:4" ht="14.25">
      <c r="A1669" t="s">
        <v>4609</v>
      </c>
      <c r="B1669" t="s">
        <v>2750</v>
      </c>
      <c r="C1669">
        <v>9</v>
      </c>
      <c r="D1669">
        <v>20</v>
      </c>
    </row>
    <row r="1670" spans="1:4" ht="14.25">
      <c r="A1670" t="s">
        <v>4610</v>
      </c>
      <c r="B1670" t="s">
        <v>2752</v>
      </c>
      <c r="C1670">
        <v>9</v>
      </c>
      <c r="D1670">
        <v>20</v>
      </c>
    </row>
    <row r="1671" spans="1:4" ht="14.25">
      <c r="A1671" t="s">
        <v>4611</v>
      </c>
      <c r="B1671" t="s">
        <v>2756</v>
      </c>
      <c r="C1671">
        <v>9</v>
      </c>
      <c r="D1671">
        <v>20</v>
      </c>
    </row>
    <row r="1672" spans="1:4" ht="14.25">
      <c r="A1672" t="s">
        <v>4612</v>
      </c>
      <c r="B1672" t="s">
        <v>2760</v>
      </c>
      <c r="C1672">
        <v>9</v>
      </c>
      <c r="D1672">
        <v>20</v>
      </c>
    </row>
    <row r="1673" spans="1:4" ht="14.25">
      <c r="A1673" t="s">
        <v>4613</v>
      </c>
      <c r="B1673" t="s">
        <v>1012</v>
      </c>
      <c r="C1673">
        <v>8</v>
      </c>
      <c r="D1673">
        <v>20</v>
      </c>
    </row>
    <row r="1674" spans="1:4" ht="14.25">
      <c r="A1674" t="s">
        <v>4614</v>
      </c>
      <c r="B1674" t="s">
        <v>2762</v>
      </c>
      <c r="C1674">
        <v>9</v>
      </c>
      <c r="D1674">
        <v>20</v>
      </c>
    </row>
    <row r="1675" spans="1:4" ht="14.25">
      <c r="A1675" t="s">
        <v>4615</v>
      </c>
      <c r="B1675" t="s">
        <v>2762</v>
      </c>
      <c r="C1675">
        <v>8</v>
      </c>
      <c r="D1675">
        <v>40</v>
      </c>
    </row>
    <row r="1676" spans="1:4" ht="14.25">
      <c r="A1676" t="s">
        <v>4616</v>
      </c>
      <c r="B1676" t="s">
        <v>1016</v>
      </c>
      <c r="C1676">
        <v>8</v>
      </c>
      <c r="D1676">
        <v>20</v>
      </c>
    </row>
    <row r="1677" spans="1:4" ht="14.25">
      <c r="A1677" t="s">
        <v>4617</v>
      </c>
      <c r="B1677" t="s">
        <v>2764</v>
      </c>
      <c r="C1677">
        <v>9</v>
      </c>
      <c r="D1677">
        <v>20</v>
      </c>
    </row>
    <row r="1678" spans="1:4" ht="14.25">
      <c r="A1678" t="s">
        <v>4618</v>
      </c>
      <c r="B1678" t="s">
        <v>1022</v>
      </c>
      <c r="C1678">
        <v>8</v>
      </c>
      <c r="D1678">
        <v>20</v>
      </c>
    </row>
    <row r="1679" spans="1:4" ht="14.25">
      <c r="A1679" t="s">
        <v>4619</v>
      </c>
      <c r="B1679" t="s">
        <v>1025</v>
      </c>
      <c r="C1679">
        <v>8</v>
      </c>
      <c r="D1679">
        <v>20</v>
      </c>
    </row>
    <row r="1680" spans="1:4" ht="14.25">
      <c r="A1680" t="s">
        <v>4620</v>
      </c>
      <c r="B1680" t="s">
        <v>2766</v>
      </c>
      <c r="C1680">
        <v>9</v>
      </c>
      <c r="D1680">
        <v>20</v>
      </c>
    </row>
    <row r="1681" spans="1:4" ht="14.25">
      <c r="A1681" t="s">
        <v>4621</v>
      </c>
      <c r="B1681">
        <v>10</v>
      </c>
      <c r="C1681">
        <v>9</v>
      </c>
      <c r="D1681">
        <v>20</v>
      </c>
    </row>
    <row r="1682" spans="1:4" ht="14.25">
      <c r="A1682" t="s">
        <v>4622</v>
      </c>
      <c r="B1682">
        <v>11</v>
      </c>
      <c r="C1682">
        <v>9</v>
      </c>
      <c r="D1682">
        <v>20</v>
      </c>
    </row>
    <row r="1683" spans="1:4" ht="14.25">
      <c r="A1683" t="s">
        <v>4623</v>
      </c>
      <c r="B1683">
        <v>12</v>
      </c>
      <c r="C1683">
        <v>9</v>
      </c>
      <c r="D1683">
        <v>20</v>
      </c>
    </row>
    <row r="1684" spans="1:4" ht="14.25">
      <c r="A1684" t="s">
        <v>4624</v>
      </c>
      <c r="B1684">
        <v>13</v>
      </c>
      <c r="C1684">
        <v>9</v>
      </c>
      <c r="D1684">
        <v>20</v>
      </c>
    </row>
    <row r="1685" spans="1:4" ht="14.25">
      <c r="A1685" t="s">
        <v>4625</v>
      </c>
      <c r="B1685" t="s">
        <v>4626</v>
      </c>
      <c r="C1685">
        <v>9</v>
      </c>
      <c r="D1685">
        <v>20</v>
      </c>
    </row>
    <row r="1686" spans="1:4" ht="14.25">
      <c r="A1686" t="s">
        <v>5508</v>
      </c>
      <c r="B1686" t="s">
        <v>5509</v>
      </c>
      <c r="C1686">
        <v>9</v>
      </c>
      <c r="D1686">
        <v>20</v>
      </c>
    </row>
    <row r="1687" spans="1:4" ht="14.25">
      <c r="A1687" t="s">
        <v>5510</v>
      </c>
      <c r="B1687" t="s">
        <v>5511</v>
      </c>
      <c r="C1687">
        <v>9</v>
      </c>
      <c r="D1687">
        <v>20</v>
      </c>
    </row>
    <row r="1688" spans="1:4" ht="14.25">
      <c r="A1688" t="s">
        <v>4627</v>
      </c>
      <c r="B1688">
        <v>14</v>
      </c>
      <c r="C1688">
        <v>9</v>
      </c>
      <c r="D1688">
        <v>20</v>
      </c>
    </row>
    <row r="1689" spans="1:4" ht="14.25">
      <c r="A1689" t="s">
        <v>4628</v>
      </c>
      <c r="B1689" t="s">
        <v>4629</v>
      </c>
      <c r="C1689">
        <v>9</v>
      </c>
      <c r="D1689">
        <v>20</v>
      </c>
    </row>
    <row r="1690" spans="1:4" ht="14.25">
      <c r="A1690" t="s">
        <v>4630</v>
      </c>
      <c r="B1690">
        <v>15</v>
      </c>
      <c r="C1690">
        <v>9</v>
      </c>
      <c r="D1690">
        <v>20</v>
      </c>
    </row>
    <row r="1691" spans="1:4" ht="14.25">
      <c r="A1691" t="s">
        <v>4631</v>
      </c>
      <c r="B1691" t="s">
        <v>4632</v>
      </c>
      <c r="C1691">
        <v>9</v>
      </c>
      <c r="D1691">
        <v>20</v>
      </c>
    </row>
    <row r="1692" spans="1:4" ht="14.25">
      <c r="A1692" t="s">
        <v>4633</v>
      </c>
      <c r="B1692">
        <v>16</v>
      </c>
      <c r="C1692">
        <v>9</v>
      </c>
      <c r="D1692">
        <v>20</v>
      </c>
    </row>
    <row r="1693" spans="1:4" ht="14.25">
      <c r="A1693" t="s">
        <v>4634</v>
      </c>
      <c r="B1693">
        <v>17</v>
      </c>
      <c r="C1693">
        <v>9</v>
      </c>
      <c r="D1693">
        <v>20</v>
      </c>
    </row>
    <row r="1694" spans="1:4" ht="14.25">
      <c r="A1694" t="s">
        <v>5746</v>
      </c>
      <c r="B1694" t="s">
        <v>5592</v>
      </c>
      <c r="C1694">
        <v>8</v>
      </c>
      <c r="D1694">
        <v>20</v>
      </c>
    </row>
    <row r="1695" spans="1:4" ht="14.25">
      <c r="A1695" t="s">
        <v>5747</v>
      </c>
      <c r="B1695" t="s">
        <v>5594</v>
      </c>
      <c r="C1695">
        <v>8</v>
      </c>
      <c r="D1695">
        <v>20</v>
      </c>
    </row>
    <row r="1696" spans="1:4" ht="14.25">
      <c r="A1696" t="s">
        <v>4635</v>
      </c>
      <c r="B1696">
        <v>18</v>
      </c>
      <c r="C1696">
        <v>9</v>
      </c>
      <c r="D1696">
        <v>20</v>
      </c>
    </row>
    <row r="1697" spans="1:4" ht="14.25">
      <c r="A1697" t="s">
        <v>5748</v>
      </c>
      <c r="B1697" t="s">
        <v>5749</v>
      </c>
      <c r="C1697">
        <v>9</v>
      </c>
      <c r="D1697">
        <v>20</v>
      </c>
    </row>
    <row r="1698" spans="1:4" ht="14.25">
      <c r="A1698" t="s">
        <v>4636</v>
      </c>
      <c r="B1698" t="s">
        <v>4637</v>
      </c>
      <c r="C1698">
        <v>9</v>
      </c>
      <c r="D1698">
        <v>20</v>
      </c>
    </row>
    <row r="1699" spans="1:4" ht="14.25">
      <c r="A1699" t="s">
        <v>4638</v>
      </c>
      <c r="B1699" t="s">
        <v>1074</v>
      </c>
      <c r="C1699">
        <v>8</v>
      </c>
      <c r="D1699">
        <v>20</v>
      </c>
    </row>
    <row r="1700" spans="1:4" ht="14.25">
      <c r="A1700" t="s">
        <v>5750</v>
      </c>
      <c r="B1700" t="s">
        <v>5596</v>
      </c>
      <c r="C1700">
        <v>8</v>
      </c>
      <c r="D1700">
        <v>20</v>
      </c>
    </row>
    <row r="1701" spans="1:4" ht="14.25">
      <c r="A1701" t="s">
        <v>4639</v>
      </c>
      <c r="B1701" t="s">
        <v>1085</v>
      </c>
      <c r="C1701">
        <v>9</v>
      </c>
      <c r="D1701">
        <v>20</v>
      </c>
    </row>
    <row r="1702" spans="1:4" ht="14.25">
      <c r="A1702" t="s">
        <v>4640</v>
      </c>
      <c r="B1702" t="s">
        <v>1085</v>
      </c>
      <c r="C1702">
        <v>9</v>
      </c>
      <c r="D1702">
        <v>20</v>
      </c>
    </row>
    <row r="1703" spans="1:4" ht="14.25">
      <c r="A1703" t="s">
        <v>4641</v>
      </c>
      <c r="B1703" t="s">
        <v>1085</v>
      </c>
      <c r="C1703">
        <v>19</v>
      </c>
      <c r="D1703">
        <v>25</v>
      </c>
    </row>
    <row r="1704" spans="1:4" ht="14.25">
      <c r="A1704" t="s">
        <v>4642</v>
      </c>
      <c r="B1704" t="s">
        <v>1085</v>
      </c>
      <c r="C1704">
        <v>8</v>
      </c>
      <c r="D1704">
        <v>40</v>
      </c>
    </row>
    <row r="1705" spans="1:4" ht="14.25">
      <c r="A1705" t="s">
        <v>4643</v>
      </c>
      <c r="B1705" t="s">
        <v>4644</v>
      </c>
      <c r="C1705">
        <v>9</v>
      </c>
      <c r="D1705">
        <v>20</v>
      </c>
    </row>
    <row r="1706" spans="1:4" ht="14.25">
      <c r="A1706" t="s">
        <v>4645</v>
      </c>
      <c r="B1706" t="s">
        <v>4354</v>
      </c>
      <c r="C1706">
        <v>9</v>
      </c>
      <c r="D1706">
        <v>20</v>
      </c>
    </row>
    <row r="1707" spans="1:4" ht="14.25">
      <c r="A1707" t="s">
        <v>4646</v>
      </c>
      <c r="B1707" t="s">
        <v>4354</v>
      </c>
      <c r="C1707">
        <v>9</v>
      </c>
      <c r="D1707">
        <v>20</v>
      </c>
    </row>
    <row r="1708" spans="1:4" ht="14.25">
      <c r="A1708" t="s">
        <v>4647</v>
      </c>
      <c r="B1708" t="s">
        <v>1094</v>
      </c>
      <c r="C1708">
        <v>16</v>
      </c>
      <c r="D1708">
        <v>20</v>
      </c>
    </row>
    <row r="1709" spans="1:4" ht="14.25">
      <c r="A1709" t="s">
        <v>4648</v>
      </c>
      <c r="B1709" t="s">
        <v>1094</v>
      </c>
      <c r="C1709">
        <v>9</v>
      </c>
      <c r="D1709">
        <v>20</v>
      </c>
    </row>
    <row r="1710" spans="1:4" ht="14.25">
      <c r="A1710" t="s">
        <v>4649</v>
      </c>
      <c r="B1710" t="s">
        <v>1097</v>
      </c>
      <c r="C1710">
        <v>9</v>
      </c>
      <c r="D1710">
        <v>20</v>
      </c>
    </row>
    <row r="1711" spans="1:4" ht="14.25">
      <c r="A1711" t="s">
        <v>4650</v>
      </c>
      <c r="B1711" t="s">
        <v>1097</v>
      </c>
      <c r="C1711">
        <v>9</v>
      </c>
      <c r="D1711">
        <v>20</v>
      </c>
    </row>
    <row r="1712" spans="1:4" ht="14.25">
      <c r="A1712" t="s">
        <v>5751</v>
      </c>
      <c r="B1712" t="s">
        <v>1097</v>
      </c>
      <c r="C1712">
        <v>0</v>
      </c>
      <c r="D1712">
        <v>0</v>
      </c>
    </row>
    <row r="1713" spans="1:4" ht="14.25">
      <c r="A1713" t="s">
        <v>4651</v>
      </c>
      <c r="B1713" t="s">
        <v>1097</v>
      </c>
      <c r="C1713">
        <v>9</v>
      </c>
      <c r="D1713">
        <v>20</v>
      </c>
    </row>
    <row r="1714" spans="1:4" ht="14.25">
      <c r="A1714" t="s">
        <v>4652</v>
      </c>
      <c r="B1714" t="s">
        <v>1097</v>
      </c>
      <c r="C1714">
        <v>19</v>
      </c>
      <c r="D1714">
        <v>25</v>
      </c>
    </row>
    <row r="1715" spans="1:4" ht="14.25">
      <c r="A1715" t="s">
        <v>5752</v>
      </c>
      <c r="B1715" t="s">
        <v>1097</v>
      </c>
      <c r="C1715">
        <v>30</v>
      </c>
      <c r="D1715">
        <v>40</v>
      </c>
    </row>
    <row r="1716" spans="1:4" ht="14.25">
      <c r="A1716" t="s">
        <v>4653</v>
      </c>
      <c r="B1716" t="s">
        <v>1101</v>
      </c>
      <c r="C1716">
        <v>9</v>
      </c>
      <c r="D1716">
        <v>20</v>
      </c>
    </row>
    <row r="1717" spans="1:4" ht="14.25">
      <c r="A1717" t="s">
        <v>4654</v>
      </c>
      <c r="B1717" t="s">
        <v>1101</v>
      </c>
      <c r="C1717">
        <v>9</v>
      </c>
      <c r="D1717">
        <v>20</v>
      </c>
    </row>
    <row r="1718" spans="1:4" ht="14.25">
      <c r="A1718" t="s">
        <v>4655</v>
      </c>
      <c r="B1718" t="s">
        <v>1101</v>
      </c>
      <c r="C1718">
        <v>8</v>
      </c>
      <c r="D1718">
        <v>40</v>
      </c>
    </row>
    <row r="1719" spans="1:4" ht="14.25">
      <c r="A1719" t="s">
        <v>4656</v>
      </c>
      <c r="B1719" t="s">
        <v>4364</v>
      </c>
      <c r="C1719">
        <v>9</v>
      </c>
      <c r="D1719">
        <v>20</v>
      </c>
    </row>
    <row r="1720" spans="1:4" ht="14.25">
      <c r="A1720" t="s">
        <v>4657</v>
      </c>
      <c r="B1720" t="s">
        <v>1106</v>
      </c>
      <c r="C1720">
        <v>9</v>
      </c>
      <c r="D1720">
        <v>20</v>
      </c>
    </row>
    <row r="1721" spans="1:4" ht="14.25">
      <c r="A1721" t="s">
        <v>4658</v>
      </c>
      <c r="B1721" t="s">
        <v>1106</v>
      </c>
      <c r="C1721">
        <v>19</v>
      </c>
      <c r="D1721">
        <v>25</v>
      </c>
    </row>
    <row r="1722" spans="1:4" ht="14.25">
      <c r="A1722" t="s">
        <v>4659</v>
      </c>
      <c r="B1722" t="s">
        <v>1106</v>
      </c>
      <c r="C1722">
        <v>9</v>
      </c>
      <c r="D1722">
        <v>20</v>
      </c>
    </row>
    <row r="1723" spans="1:4" ht="14.25">
      <c r="A1723" t="s">
        <v>4660</v>
      </c>
      <c r="B1723" t="s">
        <v>1106</v>
      </c>
      <c r="C1723">
        <v>19</v>
      </c>
      <c r="D1723">
        <v>25</v>
      </c>
    </row>
    <row r="1724" spans="1:4" ht="14.25">
      <c r="A1724" t="s">
        <v>4661</v>
      </c>
      <c r="B1724" t="s">
        <v>1106</v>
      </c>
      <c r="C1724">
        <v>8</v>
      </c>
      <c r="D1724">
        <v>40</v>
      </c>
    </row>
    <row r="1725" spans="1:4" ht="14.25">
      <c r="A1725" t="s">
        <v>4662</v>
      </c>
      <c r="B1725" t="s">
        <v>1114</v>
      </c>
      <c r="C1725">
        <v>9</v>
      </c>
      <c r="D1725">
        <v>20</v>
      </c>
    </row>
    <row r="1726" spans="1:4" ht="14.25">
      <c r="A1726" t="s">
        <v>4663</v>
      </c>
      <c r="B1726" t="s">
        <v>1114</v>
      </c>
      <c r="C1726">
        <v>19</v>
      </c>
      <c r="D1726">
        <v>25</v>
      </c>
    </row>
    <row r="1727" spans="1:4" ht="14.25">
      <c r="A1727" t="s">
        <v>4664</v>
      </c>
      <c r="B1727" t="s">
        <v>1114</v>
      </c>
      <c r="C1727">
        <v>9</v>
      </c>
      <c r="D1727">
        <v>20</v>
      </c>
    </row>
    <row r="1728" spans="1:4" ht="14.25">
      <c r="A1728" t="s">
        <v>4665</v>
      </c>
      <c r="B1728" t="s">
        <v>1114</v>
      </c>
      <c r="C1728">
        <v>19</v>
      </c>
      <c r="D1728">
        <v>25</v>
      </c>
    </row>
    <row r="1729" spans="1:4" ht="14.25">
      <c r="A1729" t="s">
        <v>4666</v>
      </c>
      <c r="B1729" t="s">
        <v>1118</v>
      </c>
      <c r="C1729">
        <v>8</v>
      </c>
      <c r="D1729">
        <v>20</v>
      </c>
    </row>
    <row r="1730" spans="1:4" ht="14.25">
      <c r="A1730" t="s">
        <v>4667</v>
      </c>
      <c r="B1730" t="s">
        <v>1120</v>
      </c>
      <c r="C1730">
        <v>8</v>
      </c>
      <c r="D1730">
        <v>20</v>
      </c>
    </row>
    <row r="1731" spans="1:4" ht="14.25">
      <c r="A1731" t="s">
        <v>4668</v>
      </c>
      <c r="B1731" t="s">
        <v>1123</v>
      </c>
      <c r="C1731">
        <v>8</v>
      </c>
      <c r="D1731">
        <v>20</v>
      </c>
    </row>
    <row r="1732" spans="1:4" ht="14.25">
      <c r="A1732" t="s">
        <v>4669</v>
      </c>
      <c r="B1732" t="s">
        <v>1125</v>
      </c>
      <c r="C1732">
        <v>8</v>
      </c>
      <c r="D1732">
        <v>20</v>
      </c>
    </row>
    <row r="1733" spans="1:4" ht="14.25">
      <c r="A1733" t="s">
        <v>4670</v>
      </c>
      <c r="B1733" t="s">
        <v>1127</v>
      </c>
      <c r="C1733">
        <v>9</v>
      </c>
      <c r="D1733">
        <v>20</v>
      </c>
    </row>
    <row r="1734" spans="1:4" ht="14.25">
      <c r="A1734" t="s">
        <v>4671</v>
      </c>
      <c r="B1734" t="s">
        <v>1127</v>
      </c>
      <c r="C1734">
        <v>9</v>
      </c>
      <c r="D1734">
        <v>20</v>
      </c>
    </row>
    <row r="1735" spans="1:4" ht="14.25">
      <c r="A1735" t="s">
        <v>4672</v>
      </c>
      <c r="B1735" t="s">
        <v>1129</v>
      </c>
      <c r="C1735">
        <v>9</v>
      </c>
      <c r="D1735">
        <v>20</v>
      </c>
    </row>
    <row r="1736" spans="1:4" ht="14.25">
      <c r="A1736" t="s">
        <v>4673</v>
      </c>
      <c r="B1736" t="s">
        <v>1132</v>
      </c>
      <c r="C1736">
        <v>9</v>
      </c>
      <c r="D1736">
        <v>20</v>
      </c>
    </row>
    <row r="1737" spans="1:4" ht="14.25">
      <c r="A1737" t="s">
        <v>4674</v>
      </c>
      <c r="B1737" t="s">
        <v>1132</v>
      </c>
      <c r="C1737">
        <v>19</v>
      </c>
      <c r="D1737">
        <v>25</v>
      </c>
    </row>
    <row r="1738" spans="1:4" ht="14.25">
      <c r="A1738" t="s">
        <v>4675</v>
      </c>
      <c r="B1738" t="s">
        <v>1132</v>
      </c>
      <c r="C1738">
        <v>9</v>
      </c>
      <c r="D1738">
        <v>20</v>
      </c>
    </row>
    <row r="1739" spans="1:4" ht="14.25">
      <c r="A1739" t="s">
        <v>4676</v>
      </c>
      <c r="B1739" t="s">
        <v>1132</v>
      </c>
      <c r="C1739">
        <v>19</v>
      </c>
      <c r="D1739">
        <v>25</v>
      </c>
    </row>
    <row r="1740" spans="1:4" ht="14.25">
      <c r="A1740" t="s">
        <v>4677</v>
      </c>
      <c r="B1740" t="s">
        <v>1132</v>
      </c>
      <c r="C1740">
        <v>8</v>
      </c>
      <c r="D1740">
        <v>40</v>
      </c>
    </row>
    <row r="1741" spans="1:4" ht="14.25">
      <c r="A1741" t="s">
        <v>4678</v>
      </c>
      <c r="B1741" t="s">
        <v>1137</v>
      </c>
      <c r="C1741">
        <v>9</v>
      </c>
      <c r="D1741">
        <v>20</v>
      </c>
    </row>
    <row r="1742" spans="1:4" ht="14.25">
      <c r="A1742" t="s">
        <v>4679</v>
      </c>
      <c r="B1742" t="s">
        <v>1137</v>
      </c>
      <c r="C1742">
        <v>9</v>
      </c>
      <c r="D1742">
        <v>20</v>
      </c>
    </row>
    <row r="1743" spans="1:4" ht="14.25">
      <c r="A1743" t="s">
        <v>4680</v>
      </c>
      <c r="B1743" t="s">
        <v>1139</v>
      </c>
      <c r="C1743">
        <v>9</v>
      </c>
      <c r="D1743">
        <v>20</v>
      </c>
    </row>
    <row r="1744" spans="1:4" ht="14.25">
      <c r="A1744" t="s">
        <v>4681</v>
      </c>
      <c r="B1744" t="s">
        <v>1139</v>
      </c>
      <c r="C1744">
        <v>9</v>
      </c>
      <c r="D1744">
        <v>20</v>
      </c>
    </row>
    <row r="1745" spans="1:4" ht="14.25">
      <c r="A1745" t="s">
        <v>4682</v>
      </c>
      <c r="B1745" t="s">
        <v>1141</v>
      </c>
      <c r="C1745">
        <v>9</v>
      </c>
      <c r="D1745">
        <v>20</v>
      </c>
    </row>
    <row r="1746" spans="1:4" ht="14.25">
      <c r="A1746" t="s">
        <v>4683</v>
      </c>
      <c r="B1746" t="s">
        <v>1141</v>
      </c>
      <c r="C1746">
        <v>9</v>
      </c>
      <c r="D1746">
        <v>20</v>
      </c>
    </row>
    <row r="1747" spans="1:4" ht="14.25">
      <c r="A1747" t="s">
        <v>4684</v>
      </c>
      <c r="B1747" t="s">
        <v>1141</v>
      </c>
      <c r="C1747">
        <v>30</v>
      </c>
      <c r="D1747">
        <v>40</v>
      </c>
    </row>
    <row r="1748" spans="1:4" ht="14.25">
      <c r="A1748" t="s">
        <v>4685</v>
      </c>
      <c r="B1748" t="s">
        <v>1141</v>
      </c>
      <c r="C1748">
        <v>9</v>
      </c>
      <c r="D1748">
        <v>20</v>
      </c>
    </row>
    <row r="1749" spans="1:4" ht="14.25">
      <c r="A1749" t="s">
        <v>4686</v>
      </c>
      <c r="B1749" t="s">
        <v>1147</v>
      </c>
      <c r="C1749">
        <v>9</v>
      </c>
      <c r="D1749">
        <v>20</v>
      </c>
    </row>
    <row r="1750" spans="1:4" ht="14.25">
      <c r="A1750" t="s">
        <v>4687</v>
      </c>
      <c r="B1750" t="s">
        <v>1147</v>
      </c>
      <c r="C1750">
        <v>9</v>
      </c>
      <c r="D1750">
        <v>20</v>
      </c>
    </row>
    <row r="1751" spans="1:4" ht="14.25">
      <c r="A1751" t="s">
        <v>4688</v>
      </c>
      <c r="B1751" t="s">
        <v>1150</v>
      </c>
      <c r="C1751">
        <v>9</v>
      </c>
      <c r="D1751">
        <v>20</v>
      </c>
    </row>
    <row r="1752" spans="1:4" ht="14.25">
      <c r="A1752" t="s">
        <v>4689</v>
      </c>
      <c r="B1752" t="s">
        <v>1152</v>
      </c>
      <c r="C1752">
        <v>9</v>
      </c>
      <c r="D1752">
        <v>20</v>
      </c>
    </row>
    <row r="1753" spans="1:4" ht="14.25">
      <c r="A1753" t="s">
        <v>4690</v>
      </c>
      <c r="B1753" t="s">
        <v>1155</v>
      </c>
      <c r="C1753">
        <v>9</v>
      </c>
      <c r="D1753">
        <v>20</v>
      </c>
    </row>
    <row r="1754" spans="1:4" ht="14.25">
      <c r="A1754" t="s">
        <v>4691</v>
      </c>
      <c r="B1754" t="s">
        <v>1155</v>
      </c>
      <c r="C1754">
        <v>19</v>
      </c>
      <c r="D1754">
        <v>25</v>
      </c>
    </row>
    <row r="1755" spans="1:4" ht="14.25">
      <c r="A1755" t="s">
        <v>4692</v>
      </c>
      <c r="B1755" t="s">
        <v>1155</v>
      </c>
      <c r="C1755">
        <v>9</v>
      </c>
      <c r="D1755">
        <v>20</v>
      </c>
    </row>
    <row r="1756" spans="1:4" ht="14.25">
      <c r="A1756" t="s">
        <v>4693</v>
      </c>
      <c r="B1756" t="s">
        <v>1155</v>
      </c>
      <c r="C1756">
        <v>19</v>
      </c>
      <c r="D1756">
        <v>25</v>
      </c>
    </row>
    <row r="1757" spans="1:4" ht="14.25">
      <c r="A1757" t="s">
        <v>4694</v>
      </c>
      <c r="B1757" t="s">
        <v>1155</v>
      </c>
      <c r="C1757">
        <v>8</v>
      </c>
      <c r="D1757">
        <v>40</v>
      </c>
    </row>
    <row r="1758" spans="1:4" ht="14.25">
      <c r="A1758" t="s">
        <v>4695</v>
      </c>
      <c r="B1758" t="s">
        <v>1162</v>
      </c>
      <c r="C1758">
        <v>9</v>
      </c>
      <c r="D1758">
        <v>20</v>
      </c>
    </row>
    <row r="1759" spans="1:4" ht="14.25">
      <c r="A1759" t="s">
        <v>4696</v>
      </c>
      <c r="B1759" t="s">
        <v>1162</v>
      </c>
      <c r="C1759">
        <v>9</v>
      </c>
      <c r="D1759">
        <v>20</v>
      </c>
    </row>
    <row r="1760" spans="1:4" ht="14.25">
      <c r="A1760" t="s">
        <v>4697</v>
      </c>
      <c r="B1760" t="s">
        <v>1162</v>
      </c>
      <c r="C1760">
        <v>19</v>
      </c>
      <c r="D1760">
        <v>25</v>
      </c>
    </row>
    <row r="1761" spans="1:4" ht="14.25">
      <c r="A1761" t="s">
        <v>4698</v>
      </c>
      <c r="B1761" t="s">
        <v>1162</v>
      </c>
      <c r="C1761">
        <v>8</v>
      </c>
      <c r="D1761">
        <v>40</v>
      </c>
    </row>
    <row r="1762" spans="1:4" ht="14.25">
      <c r="A1762" t="s">
        <v>5512</v>
      </c>
      <c r="B1762" t="s">
        <v>5369</v>
      </c>
      <c r="C1762">
        <v>9</v>
      </c>
      <c r="D1762">
        <v>20</v>
      </c>
    </row>
    <row r="1763" spans="1:4" ht="14.25">
      <c r="A1763" t="s">
        <v>5513</v>
      </c>
      <c r="B1763" t="s">
        <v>5369</v>
      </c>
      <c r="C1763">
        <v>9</v>
      </c>
      <c r="D1763">
        <v>20</v>
      </c>
    </row>
    <row r="1764" spans="1:4" ht="14.25">
      <c r="A1764" t="s">
        <v>4699</v>
      </c>
      <c r="B1764" t="s">
        <v>1165</v>
      </c>
      <c r="C1764">
        <v>9</v>
      </c>
      <c r="D1764">
        <v>20</v>
      </c>
    </row>
    <row r="1765" spans="1:4" ht="14.25">
      <c r="A1765" t="s">
        <v>4700</v>
      </c>
      <c r="B1765" t="s">
        <v>1165</v>
      </c>
      <c r="C1765">
        <v>19</v>
      </c>
      <c r="D1765">
        <v>25</v>
      </c>
    </row>
    <row r="1766" spans="1:4" ht="14.25">
      <c r="A1766" t="s">
        <v>4701</v>
      </c>
      <c r="B1766" t="s">
        <v>1165</v>
      </c>
      <c r="C1766">
        <v>9</v>
      </c>
      <c r="D1766">
        <v>20</v>
      </c>
    </row>
    <row r="1767" spans="1:4" ht="14.25">
      <c r="A1767" t="s">
        <v>4702</v>
      </c>
      <c r="B1767" t="s">
        <v>1165</v>
      </c>
      <c r="C1767">
        <v>19</v>
      </c>
      <c r="D1767">
        <v>25</v>
      </c>
    </row>
    <row r="1768" spans="1:4" ht="14.25">
      <c r="A1768" t="s">
        <v>4703</v>
      </c>
      <c r="B1768" t="s">
        <v>1165</v>
      </c>
      <c r="C1768">
        <v>8</v>
      </c>
      <c r="D1768">
        <v>40</v>
      </c>
    </row>
    <row r="1769" spans="1:4" ht="14.25">
      <c r="A1769" t="s">
        <v>4704</v>
      </c>
      <c r="B1769" t="s">
        <v>1165</v>
      </c>
      <c r="C1769">
        <v>9</v>
      </c>
      <c r="D1769">
        <v>20</v>
      </c>
    </row>
    <row r="1770" spans="1:4" ht="14.25">
      <c r="A1770" t="s">
        <v>4705</v>
      </c>
      <c r="B1770" t="s">
        <v>1171</v>
      </c>
      <c r="C1770">
        <v>9</v>
      </c>
      <c r="D1770">
        <v>20</v>
      </c>
    </row>
    <row r="1771" spans="1:4" ht="14.25">
      <c r="A1771" t="s">
        <v>4706</v>
      </c>
      <c r="B1771" t="s">
        <v>1171</v>
      </c>
      <c r="C1771">
        <v>9</v>
      </c>
      <c r="D1771">
        <v>20</v>
      </c>
    </row>
    <row r="1772" spans="1:4" ht="14.25">
      <c r="A1772" t="s">
        <v>5514</v>
      </c>
      <c r="B1772" t="s">
        <v>5371</v>
      </c>
      <c r="C1772">
        <v>9</v>
      </c>
      <c r="D1772">
        <v>20</v>
      </c>
    </row>
    <row r="1773" spans="1:4" ht="14.25">
      <c r="A1773" t="s">
        <v>5515</v>
      </c>
      <c r="B1773" t="s">
        <v>5371</v>
      </c>
      <c r="C1773">
        <v>9</v>
      </c>
      <c r="D1773">
        <v>20</v>
      </c>
    </row>
    <row r="1774" spans="1:4" ht="14.25">
      <c r="A1774" t="s">
        <v>5516</v>
      </c>
      <c r="B1774" t="s">
        <v>5371</v>
      </c>
      <c r="C1774">
        <v>9</v>
      </c>
      <c r="D1774">
        <v>20</v>
      </c>
    </row>
    <row r="1775" spans="1:4" ht="14.25">
      <c r="A1775" t="s">
        <v>5517</v>
      </c>
      <c r="B1775" t="s">
        <v>5371</v>
      </c>
      <c r="C1775">
        <v>9</v>
      </c>
      <c r="D1775">
        <v>40</v>
      </c>
    </row>
    <row r="1776" spans="1:4" ht="14.25">
      <c r="A1776" t="s">
        <v>4707</v>
      </c>
      <c r="B1776" t="s">
        <v>1173</v>
      </c>
      <c r="C1776">
        <v>9</v>
      </c>
      <c r="D1776">
        <v>20</v>
      </c>
    </row>
    <row r="1777" spans="1:4" ht="14.25">
      <c r="A1777" t="s">
        <v>4708</v>
      </c>
      <c r="B1777" t="s">
        <v>1173</v>
      </c>
      <c r="C1777">
        <v>9</v>
      </c>
      <c r="D1777">
        <v>20</v>
      </c>
    </row>
    <row r="1778" spans="1:4" ht="14.25">
      <c r="A1778" t="s">
        <v>4709</v>
      </c>
      <c r="B1778" t="s">
        <v>1173</v>
      </c>
      <c r="C1778">
        <v>19</v>
      </c>
      <c r="D1778">
        <v>25</v>
      </c>
    </row>
    <row r="1779" spans="1:4" ht="14.25">
      <c r="A1779" t="s">
        <v>4710</v>
      </c>
      <c r="B1779" t="s">
        <v>1176</v>
      </c>
      <c r="C1779">
        <v>9</v>
      </c>
      <c r="D1779">
        <v>20</v>
      </c>
    </row>
    <row r="1780" spans="1:4" ht="14.25">
      <c r="A1780" t="s">
        <v>4711</v>
      </c>
      <c r="B1780" t="s">
        <v>1178</v>
      </c>
      <c r="C1780">
        <v>9</v>
      </c>
      <c r="D1780">
        <v>20</v>
      </c>
    </row>
    <row r="1781" spans="1:4" ht="14.25">
      <c r="A1781" t="s">
        <v>4712</v>
      </c>
      <c r="B1781" t="s">
        <v>1178</v>
      </c>
      <c r="C1781">
        <v>9</v>
      </c>
      <c r="D1781">
        <v>20</v>
      </c>
    </row>
    <row r="1782" spans="1:4" ht="14.25">
      <c r="A1782" t="s">
        <v>4713</v>
      </c>
      <c r="B1782" t="s">
        <v>1178</v>
      </c>
      <c r="C1782">
        <v>19</v>
      </c>
      <c r="D1782">
        <v>25</v>
      </c>
    </row>
    <row r="1783" spans="1:4" ht="14.25">
      <c r="A1783" t="s">
        <v>4714</v>
      </c>
      <c r="B1783" t="s">
        <v>1184</v>
      </c>
      <c r="C1783">
        <v>9</v>
      </c>
      <c r="D1783">
        <v>20</v>
      </c>
    </row>
    <row r="1784" spans="1:4" ht="14.25">
      <c r="A1784" t="s">
        <v>4715</v>
      </c>
      <c r="B1784" t="s">
        <v>1184</v>
      </c>
      <c r="C1784">
        <v>9</v>
      </c>
      <c r="D1784">
        <v>20</v>
      </c>
    </row>
    <row r="1785" spans="1:4" ht="14.25">
      <c r="A1785" t="s">
        <v>4716</v>
      </c>
      <c r="B1785" t="s">
        <v>1184</v>
      </c>
      <c r="C1785">
        <v>8</v>
      </c>
      <c r="D1785">
        <v>40</v>
      </c>
    </row>
    <row r="1786" spans="1:4" ht="14.25">
      <c r="A1786" t="s">
        <v>4717</v>
      </c>
      <c r="B1786" t="s">
        <v>4409</v>
      </c>
      <c r="C1786">
        <v>9</v>
      </c>
      <c r="D1786">
        <v>20</v>
      </c>
    </row>
    <row r="1787" spans="1:4" ht="14.25">
      <c r="A1787" t="s">
        <v>4718</v>
      </c>
      <c r="B1787" t="s">
        <v>1187</v>
      </c>
      <c r="C1787">
        <v>9</v>
      </c>
      <c r="D1787">
        <v>20</v>
      </c>
    </row>
    <row r="1788" spans="1:4" ht="14.25">
      <c r="A1788" t="s">
        <v>4719</v>
      </c>
      <c r="B1788" t="s">
        <v>1187</v>
      </c>
      <c r="C1788">
        <v>9</v>
      </c>
      <c r="D1788">
        <v>20</v>
      </c>
    </row>
    <row r="1789" spans="1:4" ht="14.25">
      <c r="A1789" t="s">
        <v>4720</v>
      </c>
      <c r="B1789" t="s">
        <v>1187</v>
      </c>
      <c r="C1789">
        <v>9</v>
      </c>
      <c r="D1789">
        <v>40</v>
      </c>
    </row>
    <row r="1790" spans="1:4" ht="14.25">
      <c r="A1790" t="s">
        <v>4721</v>
      </c>
      <c r="B1790" t="s">
        <v>4722</v>
      </c>
      <c r="C1790">
        <v>9</v>
      </c>
      <c r="D1790">
        <v>20</v>
      </c>
    </row>
    <row r="1791" spans="1:4" ht="14.25">
      <c r="A1791" t="s">
        <v>4723</v>
      </c>
      <c r="B1791" t="s">
        <v>1192</v>
      </c>
      <c r="C1791">
        <v>9</v>
      </c>
      <c r="D1791">
        <v>20</v>
      </c>
    </row>
    <row r="1792" spans="1:4" ht="14.25">
      <c r="A1792" t="s">
        <v>4724</v>
      </c>
      <c r="B1792" t="s">
        <v>1192</v>
      </c>
      <c r="C1792">
        <v>9</v>
      </c>
      <c r="D1792">
        <v>20</v>
      </c>
    </row>
    <row r="1793" spans="1:4" ht="14.25">
      <c r="A1793" t="s">
        <v>4725</v>
      </c>
      <c r="B1793" t="s">
        <v>1192</v>
      </c>
      <c r="C1793">
        <v>9</v>
      </c>
      <c r="D1793">
        <v>20</v>
      </c>
    </row>
    <row r="1794" spans="1:4" ht="14.25">
      <c r="A1794" t="s">
        <v>4726</v>
      </c>
      <c r="B1794" t="s">
        <v>1194</v>
      </c>
      <c r="C1794">
        <v>9</v>
      </c>
      <c r="D1794">
        <v>20</v>
      </c>
    </row>
    <row r="1795" spans="1:4" ht="14.25">
      <c r="A1795" t="s">
        <v>4727</v>
      </c>
      <c r="B1795" t="s">
        <v>1194</v>
      </c>
      <c r="C1795">
        <v>19</v>
      </c>
      <c r="D1795">
        <v>25</v>
      </c>
    </row>
    <row r="1796" spans="1:4" ht="14.25">
      <c r="A1796" t="s">
        <v>4728</v>
      </c>
      <c r="B1796" t="s">
        <v>1194</v>
      </c>
      <c r="C1796">
        <v>9</v>
      </c>
      <c r="D1796">
        <v>20</v>
      </c>
    </row>
    <row r="1797" spans="1:4" ht="14.25">
      <c r="A1797" t="s">
        <v>4729</v>
      </c>
      <c r="B1797" t="s">
        <v>1194</v>
      </c>
      <c r="C1797">
        <v>19</v>
      </c>
      <c r="D1797">
        <v>25</v>
      </c>
    </row>
    <row r="1798" spans="1:4" ht="14.25">
      <c r="A1798" t="s">
        <v>4730</v>
      </c>
      <c r="B1798" t="s">
        <v>1198</v>
      </c>
      <c r="C1798">
        <v>9</v>
      </c>
      <c r="D1798">
        <v>20</v>
      </c>
    </row>
    <row r="1799" spans="1:4" ht="14.25">
      <c r="A1799" t="s">
        <v>4731</v>
      </c>
      <c r="B1799" t="s">
        <v>1198</v>
      </c>
      <c r="C1799">
        <v>8</v>
      </c>
      <c r="D1799">
        <v>40</v>
      </c>
    </row>
    <row r="1800" spans="1:4" ht="14.25">
      <c r="A1800" t="s">
        <v>4732</v>
      </c>
      <c r="B1800" t="s">
        <v>4418</v>
      </c>
      <c r="C1800">
        <v>9</v>
      </c>
      <c r="D1800">
        <v>20</v>
      </c>
    </row>
    <row r="1801" spans="1:4" ht="14.25">
      <c r="A1801" t="s">
        <v>4733</v>
      </c>
      <c r="B1801" t="s">
        <v>1200</v>
      </c>
      <c r="C1801">
        <v>9</v>
      </c>
      <c r="D1801">
        <v>20</v>
      </c>
    </row>
    <row r="1802" spans="1:4" ht="14.25">
      <c r="A1802" t="s">
        <v>4734</v>
      </c>
      <c r="B1802" t="s">
        <v>1200</v>
      </c>
      <c r="C1802">
        <v>9</v>
      </c>
      <c r="D1802">
        <v>20</v>
      </c>
    </row>
    <row r="1803" spans="1:4" ht="14.25">
      <c r="A1803" t="s">
        <v>4735</v>
      </c>
      <c r="B1803" t="s">
        <v>1202</v>
      </c>
      <c r="C1803">
        <v>9</v>
      </c>
      <c r="D1803">
        <v>20</v>
      </c>
    </row>
    <row r="1804" spans="1:4" ht="14.25">
      <c r="A1804" t="s">
        <v>4736</v>
      </c>
      <c r="B1804" t="s">
        <v>1202</v>
      </c>
      <c r="C1804">
        <v>9</v>
      </c>
      <c r="D1804">
        <v>20</v>
      </c>
    </row>
    <row r="1805" spans="1:4" ht="14.25">
      <c r="A1805" t="s">
        <v>5518</v>
      </c>
      <c r="B1805" t="s">
        <v>5753</v>
      </c>
      <c r="C1805">
        <v>9</v>
      </c>
      <c r="D1805">
        <v>20</v>
      </c>
    </row>
    <row r="1806" spans="1:4" ht="14.25">
      <c r="A1806" t="s">
        <v>5519</v>
      </c>
      <c r="B1806" t="s">
        <v>5753</v>
      </c>
      <c r="C1806">
        <v>9</v>
      </c>
      <c r="D1806">
        <v>40</v>
      </c>
    </row>
    <row r="1807" spans="1:4" ht="14.25">
      <c r="A1807" t="s">
        <v>4737</v>
      </c>
      <c r="B1807" t="s">
        <v>5754</v>
      </c>
      <c r="C1807">
        <v>9</v>
      </c>
      <c r="D1807">
        <v>20</v>
      </c>
    </row>
    <row r="1808" spans="1:4" ht="14.25">
      <c r="A1808" t="s">
        <v>4738</v>
      </c>
      <c r="B1808" t="s">
        <v>1207</v>
      </c>
      <c r="C1808">
        <v>9</v>
      </c>
      <c r="D1808">
        <v>20</v>
      </c>
    </row>
    <row r="1809" spans="1:4" ht="14.25">
      <c r="A1809" t="s">
        <v>4739</v>
      </c>
      <c r="B1809" t="s">
        <v>1207</v>
      </c>
      <c r="C1809">
        <v>19</v>
      </c>
      <c r="D1809">
        <v>25</v>
      </c>
    </row>
    <row r="1810" spans="1:4" ht="14.25">
      <c r="A1810" t="s">
        <v>4740</v>
      </c>
      <c r="B1810" t="s">
        <v>1207</v>
      </c>
      <c r="C1810">
        <v>9</v>
      </c>
      <c r="D1810">
        <v>20</v>
      </c>
    </row>
    <row r="1811" spans="1:4" ht="14.25">
      <c r="A1811" t="s">
        <v>4741</v>
      </c>
      <c r="B1811" t="s">
        <v>1207</v>
      </c>
      <c r="C1811">
        <v>19</v>
      </c>
      <c r="D1811">
        <v>25</v>
      </c>
    </row>
    <row r="1812" spans="1:4" ht="14.25">
      <c r="A1812" t="s">
        <v>4742</v>
      </c>
      <c r="B1812" t="s">
        <v>1207</v>
      </c>
      <c r="C1812">
        <v>9</v>
      </c>
      <c r="D1812">
        <v>40</v>
      </c>
    </row>
    <row r="1813" spans="1:4" ht="14.25">
      <c r="A1813" t="s">
        <v>4743</v>
      </c>
      <c r="B1813" t="s">
        <v>1211</v>
      </c>
      <c r="C1813">
        <v>9</v>
      </c>
      <c r="D1813">
        <v>20</v>
      </c>
    </row>
    <row r="1814" spans="1:4" ht="14.25">
      <c r="A1814" t="s">
        <v>4744</v>
      </c>
      <c r="B1814" t="s">
        <v>1211</v>
      </c>
      <c r="C1814">
        <v>9</v>
      </c>
      <c r="D1814">
        <v>20</v>
      </c>
    </row>
    <row r="1815" spans="1:4" ht="14.25">
      <c r="A1815" t="s">
        <v>4745</v>
      </c>
      <c r="B1815" t="s">
        <v>1211</v>
      </c>
      <c r="C1815">
        <v>8</v>
      </c>
      <c r="D1815">
        <v>40</v>
      </c>
    </row>
    <row r="1816" spans="1:4" ht="14.25">
      <c r="A1816" t="s">
        <v>4746</v>
      </c>
      <c r="B1816" t="s">
        <v>1214</v>
      </c>
      <c r="C1816">
        <v>9</v>
      </c>
      <c r="D1816">
        <v>20</v>
      </c>
    </row>
    <row r="1817" spans="1:4" ht="14.25">
      <c r="A1817" t="s">
        <v>4747</v>
      </c>
      <c r="B1817" t="s">
        <v>1214</v>
      </c>
      <c r="C1817">
        <v>9</v>
      </c>
      <c r="D1817">
        <v>20</v>
      </c>
    </row>
    <row r="1818" spans="1:4" ht="14.25">
      <c r="A1818" t="s">
        <v>4748</v>
      </c>
      <c r="B1818" t="s">
        <v>1214</v>
      </c>
      <c r="C1818">
        <v>19</v>
      </c>
      <c r="D1818">
        <v>25</v>
      </c>
    </row>
    <row r="1819" spans="1:4" ht="14.25">
      <c r="A1819" t="s">
        <v>4749</v>
      </c>
      <c r="B1819" t="s">
        <v>1216</v>
      </c>
      <c r="C1819">
        <v>9</v>
      </c>
      <c r="D1819">
        <v>20</v>
      </c>
    </row>
    <row r="1820" spans="1:4" ht="14.25">
      <c r="A1820" t="s">
        <v>5520</v>
      </c>
      <c r="B1820" t="s">
        <v>1216</v>
      </c>
      <c r="C1820">
        <v>28</v>
      </c>
      <c r="D1820">
        <v>40</v>
      </c>
    </row>
    <row r="1821" spans="1:4" ht="14.25">
      <c r="A1821" t="s">
        <v>4750</v>
      </c>
      <c r="B1821" t="s">
        <v>1216</v>
      </c>
      <c r="C1821">
        <v>9</v>
      </c>
      <c r="D1821">
        <v>20</v>
      </c>
    </row>
    <row r="1822" spans="1:4" ht="14.25">
      <c r="A1822" t="s">
        <v>4751</v>
      </c>
      <c r="B1822" t="s">
        <v>1218</v>
      </c>
      <c r="C1822">
        <v>9</v>
      </c>
      <c r="D1822">
        <v>20</v>
      </c>
    </row>
    <row r="1823" spans="1:4" ht="14.25">
      <c r="A1823" t="s">
        <v>4752</v>
      </c>
      <c r="B1823" t="s">
        <v>1218</v>
      </c>
      <c r="C1823">
        <v>9</v>
      </c>
      <c r="D1823">
        <v>20</v>
      </c>
    </row>
    <row r="1824" spans="1:4" ht="14.25">
      <c r="A1824" t="s">
        <v>4753</v>
      </c>
      <c r="B1824" t="s">
        <v>1220</v>
      </c>
      <c r="C1824">
        <v>9</v>
      </c>
      <c r="D1824">
        <v>20</v>
      </c>
    </row>
    <row r="1825" spans="1:4" ht="14.25">
      <c r="A1825" t="s">
        <v>4754</v>
      </c>
      <c r="B1825" t="s">
        <v>1220</v>
      </c>
      <c r="C1825">
        <v>9</v>
      </c>
      <c r="D1825">
        <v>20</v>
      </c>
    </row>
    <row r="1826" spans="1:4" ht="14.25">
      <c r="A1826" t="s">
        <v>4755</v>
      </c>
      <c r="B1826" t="s">
        <v>1220</v>
      </c>
      <c r="C1826">
        <v>8</v>
      </c>
      <c r="D1826">
        <v>40</v>
      </c>
    </row>
    <row r="1827" spans="1:4" ht="14.25">
      <c r="A1827" t="s">
        <v>5521</v>
      </c>
      <c r="B1827" t="s">
        <v>5755</v>
      </c>
      <c r="C1827">
        <v>9</v>
      </c>
      <c r="D1827">
        <v>20</v>
      </c>
    </row>
    <row r="1828" spans="1:4" ht="14.25">
      <c r="A1828" t="s">
        <v>5522</v>
      </c>
      <c r="B1828" t="s">
        <v>5755</v>
      </c>
      <c r="C1828">
        <v>9</v>
      </c>
      <c r="D1828">
        <v>40</v>
      </c>
    </row>
    <row r="1829" spans="1:4" ht="14.25">
      <c r="A1829" t="s">
        <v>4756</v>
      </c>
      <c r="B1829" t="s">
        <v>1222</v>
      </c>
      <c r="C1829">
        <v>9</v>
      </c>
      <c r="D1829">
        <v>20</v>
      </c>
    </row>
    <row r="1830" spans="1:4" ht="14.25">
      <c r="A1830" t="s">
        <v>4757</v>
      </c>
      <c r="B1830" t="s">
        <v>1222</v>
      </c>
      <c r="C1830">
        <v>8</v>
      </c>
      <c r="D1830">
        <v>40</v>
      </c>
    </row>
    <row r="1831" spans="1:4" ht="14.25">
      <c r="A1831" t="s">
        <v>4758</v>
      </c>
      <c r="B1831" t="s">
        <v>1222</v>
      </c>
      <c r="C1831">
        <v>9</v>
      </c>
      <c r="D1831">
        <v>20</v>
      </c>
    </row>
    <row r="1832" spans="1:4" ht="14.25">
      <c r="A1832" t="s">
        <v>4759</v>
      </c>
      <c r="B1832" t="s">
        <v>1222</v>
      </c>
      <c r="C1832">
        <v>9</v>
      </c>
      <c r="D1832">
        <v>20</v>
      </c>
    </row>
    <row r="1833" spans="1:4" ht="14.25">
      <c r="A1833" t="s">
        <v>4760</v>
      </c>
      <c r="B1833" t="s">
        <v>1228</v>
      </c>
      <c r="C1833">
        <v>9</v>
      </c>
      <c r="D1833">
        <v>20</v>
      </c>
    </row>
    <row r="1834" spans="1:4" ht="14.25">
      <c r="A1834" t="s">
        <v>4761</v>
      </c>
      <c r="B1834" t="s">
        <v>1228</v>
      </c>
      <c r="C1834">
        <v>9</v>
      </c>
      <c r="D1834">
        <v>20</v>
      </c>
    </row>
    <row r="1835" spans="1:4" ht="14.25">
      <c r="A1835" t="s">
        <v>4762</v>
      </c>
      <c r="B1835" t="s">
        <v>1230</v>
      </c>
      <c r="C1835">
        <v>9</v>
      </c>
      <c r="D1835">
        <v>20</v>
      </c>
    </row>
    <row r="1836" spans="1:4" ht="14.25">
      <c r="A1836" t="s">
        <v>4763</v>
      </c>
      <c r="B1836" t="s">
        <v>1230</v>
      </c>
      <c r="C1836">
        <v>19</v>
      </c>
      <c r="D1836">
        <v>25</v>
      </c>
    </row>
    <row r="1837" spans="1:4" ht="14.25">
      <c r="A1837" t="s">
        <v>4764</v>
      </c>
      <c r="B1837" t="s">
        <v>1230</v>
      </c>
      <c r="C1837">
        <v>9</v>
      </c>
      <c r="D1837">
        <v>20</v>
      </c>
    </row>
    <row r="1838" spans="1:4" ht="14.25">
      <c r="A1838" t="s">
        <v>4765</v>
      </c>
      <c r="B1838" t="s">
        <v>1230</v>
      </c>
      <c r="C1838">
        <v>19</v>
      </c>
      <c r="D1838">
        <v>25</v>
      </c>
    </row>
    <row r="1839" spans="1:4" ht="14.25">
      <c r="A1839" t="s">
        <v>4766</v>
      </c>
      <c r="B1839" t="s">
        <v>1230</v>
      </c>
      <c r="C1839">
        <v>8</v>
      </c>
      <c r="D1839">
        <v>40</v>
      </c>
    </row>
    <row r="1840" spans="1:4" ht="14.25">
      <c r="A1840" t="s">
        <v>5756</v>
      </c>
      <c r="B1840" t="s">
        <v>1230</v>
      </c>
      <c r="C1840">
        <v>9</v>
      </c>
      <c r="D1840">
        <v>20</v>
      </c>
    </row>
    <row r="1841" spans="1:4" ht="14.25">
      <c r="A1841" t="s">
        <v>4767</v>
      </c>
      <c r="B1841" t="s">
        <v>1237</v>
      </c>
      <c r="C1841">
        <v>9</v>
      </c>
      <c r="D1841">
        <v>20</v>
      </c>
    </row>
    <row r="1842" spans="1:4" ht="14.25">
      <c r="A1842" t="s">
        <v>4768</v>
      </c>
      <c r="B1842" t="s">
        <v>1237</v>
      </c>
      <c r="C1842">
        <v>9</v>
      </c>
      <c r="D1842">
        <v>20</v>
      </c>
    </row>
    <row r="1843" spans="1:4" ht="14.25">
      <c r="A1843" t="s">
        <v>4769</v>
      </c>
      <c r="B1843" t="s">
        <v>1239</v>
      </c>
      <c r="C1843">
        <v>16</v>
      </c>
      <c r="D1843">
        <v>20</v>
      </c>
    </row>
    <row r="1844" spans="1:4" ht="14.25">
      <c r="A1844" t="s">
        <v>4770</v>
      </c>
      <c r="B1844" t="s">
        <v>1239</v>
      </c>
      <c r="C1844">
        <v>16</v>
      </c>
      <c r="D1844">
        <v>20</v>
      </c>
    </row>
    <row r="1845" spans="1:4" ht="14.25">
      <c r="A1845" t="s">
        <v>4771</v>
      </c>
      <c r="B1845" t="s">
        <v>1241</v>
      </c>
      <c r="C1845">
        <v>9</v>
      </c>
      <c r="D1845">
        <v>20</v>
      </c>
    </row>
    <row r="1846" spans="1:4" ht="14.25">
      <c r="A1846" t="s">
        <v>4772</v>
      </c>
      <c r="B1846" t="s">
        <v>1244</v>
      </c>
      <c r="C1846">
        <v>9</v>
      </c>
      <c r="D1846">
        <v>20</v>
      </c>
    </row>
    <row r="1847" spans="1:4" ht="14.25">
      <c r="A1847" t="s">
        <v>4773</v>
      </c>
      <c r="B1847" t="s">
        <v>1244</v>
      </c>
      <c r="C1847">
        <v>9</v>
      </c>
      <c r="D1847">
        <v>20</v>
      </c>
    </row>
    <row r="1848" spans="1:4" ht="14.25">
      <c r="A1848" t="s">
        <v>4774</v>
      </c>
      <c r="B1848" t="s">
        <v>1247</v>
      </c>
      <c r="C1848">
        <v>9</v>
      </c>
      <c r="D1848">
        <v>20</v>
      </c>
    </row>
    <row r="1849" spans="1:4" ht="14.25">
      <c r="A1849" t="s">
        <v>4775</v>
      </c>
      <c r="B1849" t="s">
        <v>1247</v>
      </c>
      <c r="C1849">
        <v>9</v>
      </c>
      <c r="D1849">
        <v>20</v>
      </c>
    </row>
    <row r="1850" spans="1:4" ht="14.25">
      <c r="A1850" t="s">
        <v>4776</v>
      </c>
      <c r="B1850" t="s">
        <v>1250</v>
      </c>
      <c r="C1850">
        <v>9</v>
      </c>
      <c r="D1850">
        <v>20</v>
      </c>
    </row>
    <row r="1851" spans="1:4" ht="14.25">
      <c r="A1851" t="s">
        <v>4777</v>
      </c>
      <c r="B1851" t="s">
        <v>1250</v>
      </c>
      <c r="C1851">
        <v>9</v>
      </c>
      <c r="D1851">
        <v>20</v>
      </c>
    </row>
    <row r="1852" spans="1:4" ht="14.25">
      <c r="A1852" t="s">
        <v>4778</v>
      </c>
      <c r="B1852" t="s">
        <v>1250</v>
      </c>
      <c r="C1852">
        <v>8</v>
      </c>
      <c r="D1852">
        <v>40</v>
      </c>
    </row>
    <row r="1853" spans="1:4" ht="14.25">
      <c r="A1853" t="s">
        <v>4779</v>
      </c>
      <c r="B1853" t="s">
        <v>1253</v>
      </c>
      <c r="C1853">
        <v>9</v>
      </c>
      <c r="D1853">
        <v>20</v>
      </c>
    </row>
    <row r="1854" spans="1:4" ht="14.25">
      <c r="A1854" t="s">
        <v>4780</v>
      </c>
      <c r="B1854" t="s">
        <v>4781</v>
      </c>
      <c r="C1854">
        <v>9</v>
      </c>
      <c r="D1854">
        <v>20</v>
      </c>
    </row>
    <row r="1855" spans="1:4" ht="14.25">
      <c r="A1855" t="s">
        <v>4782</v>
      </c>
      <c r="B1855" t="s">
        <v>1255</v>
      </c>
      <c r="C1855">
        <v>9</v>
      </c>
      <c r="D1855">
        <v>20</v>
      </c>
    </row>
    <row r="1856" spans="1:4" ht="14.25">
      <c r="A1856" t="s">
        <v>4783</v>
      </c>
      <c r="B1856" t="s">
        <v>1255</v>
      </c>
      <c r="C1856">
        <v>9</v>
      </c>
      <c r="D1856">
        <v>20</v>
      </c>
    </row>
    <row r="1857" spans="1:4" ht="14.25">
      <c r="A1857" t="s">
        <v>4784</v>
      </c>
      <c r="B1857" t="s">
        <v>1255</v>
      </c>
      <c r="C1857">
        <v>9</v>
      </c>
      <c r="D1857">
        <v>40</v>
      </c>
    </row>
    <row r="1858" spans="1:4" ht="14.25">
      <c r="A1858" t="s">
        <v>4785</v>
      </c>
      <c r="B1858" t="s">
        <v>1260</v>
      </c>
      <c r="C1858">
        <v>9</v>
      </c>
      <c r="D1858">
        <v>20</v>
      </c>
    </row>
    <row r="1859" spans="1:4" ht="14.25">
      <c r="A1859" t="s">
        <v>4786</v>
      </c>
      <c r="B1859" t="s">
        <v>1260</v>
      </c>
      <c r="C1859">
        <v>9</v>
      </c>
      <c r="D1859">
        <v>20</v>
      </c>
    </row>
    <row r="1860" spans="1:4" ht="14.25">
      <c r="A1860" t="s">
        <v>4787</v>
      </c>
      <c r="B1860" t="s">
        <v>1260</v>
      </c>
      <c r="C1860">
        <v>8</v>
      </c>
      <c r="D1860">
        <v>40</v>
      </c>
    </row>
    <row r="1861" spans="1:4" ht="14.25">
      <c r="A1861" t="s">
        <v>4788</v>
      </c>
      <c r="B1861" t="s">
        <v>1269</v>
      </c>
      <c r="C1861">
        <v>9</v>
      </c>
      <c r="D1861">
        <v>20</v>
      </c>
    </row>
    <row r="1862" spans="1:4" ht="14.25">
      <c r="A1862" t="s">
        <v>4789</v>
      </c>
      <c r="B1862" t="s">
        <v>1269</v>
      </c>
      <c r="C1862">
        <v>9</v>
      </c>
      <c r="D1862">
        <v>20</v>
      </c>
    </row>
    <row r="1863" spans="1:4" ht="14.25">
      <c r="A1863" t="s">
        <v>4790</v>
      </c>
      <c r="B1863" t="s">
        <v>1269</v>
      </c>
      <c r="C1863">
        <v>8</v>
      </c>
      <c r="D1863">
        <v>40</v>
      </c>
    </row>
    <row r="1864" spans="1:4" ht="14.25">
      <c r="A1864" t="s">
        <v>4791</v>
      </c>
      <c r="B1864" t="s">
        <v>1271</v>
      </c>
      <c r="C1864">
        <v>9</v>
      </c>
      <c r="D1864">
        <v>20</v>
      </c>
    </row>
    <row r="1865" spans="1:4" ht="14.25">
      <c r="A1865" t="s">
        <v>4792</v>
      </c>
      <c r="B1865" t="s">
        <v>1271</v>
      </c>
      <c r="C1865">
        <v>19</v>
      </c>
      <c r="D1865">
        <v>25</v>
      </c>
    </row>
    <row r="1866" spans="1:4" ht="14.25">
      <c r="A1866" t="s">
        <v>4793</v>
      </c>
      <c r="B1866" t="s">
        <v>1271</v>
      </c>
      <c r="C1866">
        <v>9</v>
      </c>
      <c r="D1866">
        <v>20</v>
      </c>
    </row>
    <row r="1867" spans="1:4" ht="14.25">
      <c r="A1867" t="s">
        <v>4794</v>
      </c>
      <c r="B1867" t="s">
        <v>1271</v>
      </c>
      <c r="C1867">
        <v>19</v>
      </c>
      <c r="D1867">
        <v>25</v>
      </c>
    </row>
    <row r="1868" spans="1:4" ht="14.25">
      <c r="A1868" t="s">
        <v>4795</v>
      </c>
      <c r="B1868" t="s">
        <v>1271</v>
      </c>
      <c r="C1868">
        <v>9</v>
      </c>
      <c r="D1868">
        <v>40</v>
      </c>
    </row>
    <row r="1869" spans="1:4" ht="14.25">
      <c r="A1869" t="s">
        <v>4796</v>
      </c>
      <c r="B1869" t="s">
        <v>1271</v>
      </c>
      <c r="C1869">
        <v>9</v>
      </c>
      <c r="D1869">
        <v>20</v>
      </c>
    </row>
    <row r="1870" spans="1:4" ht="14.25">
      <c r="A1870" t="s">
        <v>5523</v>
      </c>
      <c r="B1870" t="s">
        <v>5385</v>
      </c>
      <c r="C1870">
        <v>9</v>
      </c>
      <c r="D1870">
        <v>20</v>
      </c>
    </row>
    <row r="1871" spans="1:4" ht="14.25">
      <c r="A1871" t="s">
        <v>5524</v>
      </c>
      <c r="B1871" t="s">
        <v>5385</v>
      </c>
      <c r="C1871">
        <v>9</v>
      </c>
      <c r="D1871">
        <v>20</v>
      </c>
    </row>
    <row r="1872" spans="1:4" ht="14.25">
      <c r="A1872" t="s">
        <v>5525</v>
      </c>
      <c r="B1872" t="s">
        <v>5385</v>
      </c>
      <c r="C1872">
        <v>9</v>
      </c>
      <c r="D1872">
        <v>20</v>
      </c>
    </row>
    <row r="1873" spans="1:4" ht="14.25">
      <c r="A1873" t="s">
        <v>5526</v>
      </c>
      <c r="B1873" t="s">
        <v>5385</v>
      </c>
      <c r="C1873">
        <v>9</v>
      </c>
      <c r="D1873">
        <v>40</v>
      </c>
    </row>
    <row r="1874" spans="1:4" ht="14.25">
      <c r="A1874" t="s">
        <v>4797</v>
      </c>
      <c r="B1874" t="s">
        <v>1278</v>
      </c>
      <c r="C1874">
        <v>9</v>
      </c>
      <c r="D1874">
        <v>20</v>
      </c>
    </row>
    <row r="1875" spans="1:4" ht="14.25">
      <c r="A1875" t="s">
        <v>4798</v>
      </c>
      <c r="B1875" t="s">
        <v>1278</v>
      </c>
      <c r="C1875">
        <v>9</v>
      </c>
      <c r="D1875">
        <v>20</v>
      </c>
    </row>
    <row r="1876" spans="1:4" ht="14.25">
      <c r="A1876" t="s">
        <v>4799</v>
      </c>
      <c r="B1876" t="s">
        <v>1278</v>
      </c>
      <c r="C1876">
        <v>9</v>
      </c>
      <c r="D1876">
        <v>40</v>
      </c>
    </row>
    <row r="1877" spans="1:4" ht="14.25">
      <c r="A1877" t="s">
        <v>4800</v>
      </c>
      <c r="B1877" t="s">
        <v>1280</v>
      </c>
      <c r="C1877">
        <v>9</v>
      </c>
      <c r="D1877">
        <v>20</v>
      </c>
    </row>
    <row r="1878" spans="1:4" ht="14.25">
      <c r="A1878" t="s">
        <v>4801</v>
      </c>
      <c r="B1878" t="s">
        <v>1280</v>
      </c>
      <c r="C1878">
        <v>19</v>
      </c>
      <c r="D1878">
        <v>25</v>
      </c>
    </row>
    <row r="1879" spans="1:4" ht="14.25">
      <c r="A1879" t="s">
        <v>4802</v>
      </c>
      <c r="B1879" t="s">
        <v>1280</v>
      </c>
      <c r="C1879">
        <v>9</v>
      </c>
      <c r="D1879">
        <v>20</v>
      </c>
    </row>
    <row r="1880" spans="1:4" ht="14.25">
      <c r="A1880" t="s">
        <v>4803</v>
      </c>
      <c r="B1880" t="s">
        <v>1280</v>
      </c>
      <c r="C1880">
        <v>19</v>
      </c>
      <c r="D1880">
        <v>25</v>
      </c>
    </row>
    <row r="1881" spans="1:4" ht="14.25">
      <c r="A1881" t="s">
        <v>4804</v>
      </c>
      <c r="B1881" t="s">
        <v>1280</v>
      </c>
      <c r="C1881">
        <v>8</v>
      </c>
      <c r="D1881">
        <v>40</v>
      </c>
    </row>
    <row r="1882" spans="1:4" ht="14.25">
      <c r="A1882" t="s">
        <v>4805</v>
      </c>
      <c r="B1882" t="s">
        <v>1280</v>
      </c>
      <c r="C1882">
        <v>9</v>
      </c>
      <c r="D1882">
        <v>20</v>
      </c>
    </row>
    <row r="1883" spans="1:4" ht="14.25">
      <c r="A1883" t="s">
        <v>4806</v>
      </c>
      <c r="B1883" t="s">
        <v>1289</v>
      </c>
      <c r="C1883">
        <v>9</v>
      </c>
      <c r="D1883">
        <v>20</v>
      </c>
    </row>
    <row r="1884" spans="1:4" ht="14.25">
      <c r="A1884" t="s">
        <v>4807</v>
      </c>
      <c r="B1884" t="s">
        <v>1289</v>
      </c>
      <c r="C1884">
        <v>9</v>
      </c>
      <c r="D1884">
        <v>20</v>
      </c>
    </row>
    <row r="1885" spans="1:4" ht="14.25">
      <c r="A1885" t="s">
        <v>4808</v>
      </c>
      <c r="B1885" t="s">
        <v>1280</v>
      </c>
      <c r="C1885">
        <v>8</v>
      </c>
      <c r="D1885">
        <v>40</v>
      </c>
    </row>
    <row r="1886" spans="1:4" ht="14.25">
      <c r="A1886" t="s">
        <v>4809</v>
      </c>
      <c r="B1886" t="s">
        <v>2116</v>
      </c>
      <c r="C1886">
        <v>8</v>
      </c>
      <c r="D1886">
        <v>40</v>
      </c>
    </row>
    <row r="1887" spans="1:4" ht="14.25">
      <c r="A1887" t="s">
        <v>4810</v>
      </c>
      <c r="B1887" t="s">
        <v>1291</v>
      </c>
      <c r="C1887">
        <v>9</v>
      </c>
      <c r="D1887">
        <v>20</v>
      </c>
    </row>
    <row r="1888" spans="1:4" ht="14.25">
      <c r="A1888" t="s">
        <v>4811</v>
      </c>
      <c r="B1888" t="s">
        <v>1291</v>
      </c>
      <c r="C1888">
        <v>9</v>
      </c>
      <c r="D1888">
        <v>20</v>
      </c>
    </row>
    <row r="1889" spans="1:4" ht="14.25">
      <c r="A1889" t="s">
        <v>4812</v>
      </c>
      <c r="B1889" t="s">
        <v>1291</v>
      </c>
      <c r="C1889">
        <v>8</v>
      </c>
      <c r="D1889">
        <v>40</v>
      </c>
    </row>
    <row r="1890" spans="1:4" ht="14.25">
      <c r="A1890" t="s">
        <v>4813</v>
      </c>
      <c r="B1890" t="s">
        <v>1291</v>
      </c>
      <c r="C1890">
        <v>9</v>
      </c>
      <c r="D1890">
        <v>20</v>
      </c>
    </row>
    <row r="1891" spans="1:4" ht="14.25">
      <c r="A1891" t="s">
        <v>4814</v>
      </c>
      <c r="B1891" t="s">
        <v>1297</v>
      </c>
      <c r="C1891">
        <v>9</v>
      </c>
      <c r="D1891">
        <v>20</v>
      </c>
    </row>
    <row r="1892" spans="1:4" ht="14.25">
      <c r="A1892" t="s">
        <v>4815</v>
      </c>
      <c r="B1892" t="s">
        <v>1297</v>
      </c>
      <c r="C1892">
        <v>9</v>
      </c>
      <c r="D1892">
        <v>20</v>
      </c>
    </row>
    <row r="1893" spans="1:4" ht="14.25">
      <c r="A1893" t="s">
        <v>4816</v>
      </c>
      <c r="B1893" t="s">
        <v>1297</v>
      </c>
      <c r="C1893">
        <v>8</v>
      </c>
      <c r="D1893">
        <v>40</v>
      </c>
    </row>
    <row r="1894" spans="1:4" ht="14.25">
      <c r="A1894" t="s">
        <v>4817</v>
      </c>
      <c r="B1894" t="s">
        <v>1299</v>
      </c>
      <c r="C1894">
        <v>9</v>
      </c>
      <c r="D1894">
        <v>20</v>
      </c>
    </row>
    <row r="1895" spans="1:4" ht="14.25">
      <c r="A1895" t="s">
        <v>4818</v>
      </c>
      <c r="B1895" t="s">
        <v>1299</v>
      </c>
      <c r="C1895">
        <v>19</v>
      </c>
      <c r="D1895">
        <v>25</v>
      </c>
    </row>
    <row r="1896" spans="1:4" ht="14.25">
      <c r="A1896" t="s">
        <v>4819</v>
      </c>
      <c r="B1896" t="s">
        <v>1299</v>
      </c>
      <c r="C1896">
        <v>9</v>
      </c>
      <c r="D1896">
        <v>20</v>
      </c>
    </row>
    <row r="1897" spans="1:4" ht="14.25">
      <c r="A1897" t="s">
        <v>4820</v>
      </c>
      <c r="B1897" t="s">
        <v>1299</v>
      </c>
      <c r="C1897">
        <v>19</v>
      </c>
      <c r="D1897">
        <v>25</v>
      </c>
    </row>
    <row r="1898" spans="1:4" ht="14.25">
      <c r="A1898" t="s">
        <v>4821</v>
      </c>
      <c r="B1898" t="s">
        <v>1299</v>
      </c>
      <c r="C1898">
        <v>8</v>
      </c>
      <c r="D1898">
        <v>40</v>
      </c>
    </row>
    <row r="1899" spans="1:4" ht="14.25">
      <c r="A1899" t="s">
        <v>4822</v>
      </c>
      <c r="B1899" t="s">
        <v>1299</v>
      </c>
      <c r="C1899">
        <v>9</v>
      </c>
      <c r="D1899">
        <v>20</v>
      </c>
    </row>
    <row r="1900" spans="1:4" ht="14.25">
      <c r="A1900" t="s">
        <v>4823</v>
      </c>
      <c r="B1900" t="s">
        <v>1299</v>
      </c>
      <c r="C1900">
        <v>8</v>
      </c>
      <c r="D1900">
        <v>40</v>
      </c>
    </row>
    <row r="1901" spans="1:4" ht="14.25">
      <c r="A1901" t="s">
        <v>4824</v>
      </c>
      <c r="B1901" t="s">
        <v>1312</v>
      </c>
      <c r="C1901">
        <v>9</v>
      </c>
      <c r="D1901">
        <v>20</v>
      </c>
    </row>
    <row r="1902" spans="1:4" ht="14.25">
      <c r="A1902" t="s">
        <v>4825</v>
      </c>
      <c r="B1902" t="s">
        <v>1312</v>
      </c>
      <c r="C1902">
        <v>19</v>
      </c>
      <c r="D1902">
        <v>25</v>
      </c>
    </row>
    <row r="1903" spans="1:4" ht="14.25">
      <c r="A1903" t="s">
        <v>4826</v>
      </c>
      <c r="B1903" t="s">
        <v>1312</v>
      </c>
      <c r="C1903">
        <v>9</v>
      </c>
      <c r="D1903">
        <v>20</v>
      </c>
    </row>
    <row r="1904" spans="1:4" ht="14.25">
      <c r="A1904" t="s">
        <v>4827</v>
      </c>
      <c r="B1904" t="s">
        <v>1312</v>
      </c>
      <c r="C1904">
        <v>19</v>
      </c>
      <c r="D1904">
        <v>25</v>
      </c>
    </row>
    <row r="1905" spans="1:4" ht="14.25">
      <c r="A1905" t="s">
        <v>4828</v>
      </c>
      <c r="B1905" t="s">
        <v>1312</v>
      </c>
      <c r="C1905">
        <v>8</v>
      </c>
      <c r="D1905">
        <v>40</v>
      </c>
    </row>
    <row r="1906" spans="1:4" ht="14.25">
      <c r="A1906" t="s">
        <v>4829</v>
      </c>
      <c r="B1906" t="s">
        <v>1312</v>
      </c>
      <c r="C1906">
        <v>9</v>
      </c>
      <c r="D1906">
        <v>20</v>
      </c>
    </row>
    <row r="1907" spans="1:4" ht="14.25">
      <c r="A1907" t="s">
        <v>4830</v>
      </c>
      <c r="B1907" t="s">
        <v>1320</v>
      </c>
      <c r="C1907">
        <v>9</v>
      </c>
      <c r="D1907">
        <v>20</v>
      </c>
    </row>
    <row r="1908" spans="1:4" ht="14.25">
      <c r="A1908" t="s">
        <v>4831</v>
      </c>
      <c r="B1908" t="s">
        <v>1320</v>
      </c>
      <c r="C1908">
        <v>19</v>
      </c>
      <c r="D1908">
        <v>25</v>
      </c>
    </row>
    <row r="1909" spans="1:4" ht="14.25">
      <c r="A1909" t="s">
        <v>4832</v>
      </c>
      <c r="B1909" t="s">
        <v>1320</v>
      </c>
      <c r="C1909">
        <v>9</v>
      </c>
      <c r="D1909">
        <v>20</v>
      </c>
    </row>
    <row r="1910" spans="1:4" ht="14.25">
      <c r="A1910" t="s">
        <v>4833</v>
      </c>
      <c r="B1910" t="s">
        <v>1320</v>
      </c>
      <c r="C1910">
        <v>19</v>
      </c>
      <c r="D1910">
        <v>25</v>
      </c>
    </row>
    <row r="1911" spans="1:4" ht="14.25">
      <c r="A1911" t="s">
        <v>4834</v>
      </c>
      <c r="B1911" t="s">
        <v>1320</v>
      </c>
      <c r="C1911">
        <v>8</v>
      </c>
      <c r="D1911">
        <v>40</v>
      </c>
    </row>
    <row r="1912" spans="1:4" ht="14.25">
      <c r="A1912" t="s">
        <v>4835</v>
      </c>
      <c r="B1912" t="s">
        <v>1320</v>
      </c>
      <c r="C1912">
        <v>9</v>
      </c>
      <c r="D1912">
        <v>20</v>
      </c>
    </row>
    <row r="1913" spans="1:4" ht="14.25">
      <c r="A1913" t="s">
        <v>4836</v>
      </c>
      <c r="B1913" t="s">
        <v>1329</v>
      </c>
      <c r="C1913">
        <v>9</v>
      </c>
      <c r="D1913">
        <v>20</v>
      </c>
    </row>
    <row r="1914" spans="1:4" ht="14.25">
      <c r="A1914" t="s">
        <v>4837</v>
      </c>
      <c r="B1914" t="s">
        <v>1332</v>
      </c>
      <c r="C1914">
        <v>9</v>
      </c>
      <c r="D1914">
        <v>20</v>
      </c>
    </row>
    <row r="1915" spans="1:4" ht="14.25">
      <c r="A1915" t="s">
        <v>4838</v>
      </c>
      <c r="B1915" t="s">
        <v>1332</v>
      </c>
      <c r="C1915">
        <v>9</v>
      </c>
      <c r="D1915">
        <v>20</v>
      </c>
    </row>
    <row r="1916" spans="1:4" ht="14.25">
      <c r="A1916" t="s">
        <v>4839</v>
      </c>
      <c r="B1916" t="s">
        <v>1334</v>
      </c>
      <c r="C1916">
        <v>9</v>
      </c>
      <c r="D1916">
        <v>20</v>
      </c>
    </row>
    <row r="1917" spans="1:4" ht="14.25">
      <c r="A1917" t="s">
        <v>4840</v>
      </c>
      <c r="B1917" t="s">
        <v>1334</v>
      </c>
      <c r="C1917">
        <v>19</v>
      </c>
      <c r="D1917">
        <v>25</v>
      </c>
    </row>
    <row r="1918" spans="1:4" ht="14.25">
      <c r="A1918" t="s">
        <v>4841</v>
      </c>
      <c r="B1918" t="s">
        <v>1334</v>
      </c>
      <c r="C1918">
        <v>8</v>
      </c>
      <c r="D1918">
        <v>20</v>
      </c>
    </row>
    <row r="1919" spans="1:4" ht="14.25">
      <c r="A1919" t="s">
        <v>4842</v>
      </c>
      <c r="B1919" t="s">
        <v>1334</v>
      </c>
      <c r="C1919">
        <v>19</v>
      </c>
      <c r="D1919">
        <v>25</v>
      </c>
    </row>
    <row r="1920" spans="1:4" ht="14.25">
      <c r="A1920" t="s">
        <v>4843</v>
      </c>
      <c r="B1920" t="s">
        <v>1334</v>
      </c>
      <c r="C1920">
        <v>9</v>
      </c>
      <c r="D1920">
        <v>40</v>
      </c>
    </row>
    <row r="1921" spans="1:4" ht="14.25">
      <c r="A1921" t="s">
        <v>5527</v>
      </c>
      <c r="B1921" t="s">
        <v>1334</v>
      </c>
      <c r="C1921">
        <v>9</v>
      </c>
      <c r="D1921">
        <v>20</v>
      </c>
    </row>
    <row r="1922" spans="1:4" ht="14.25">
      <c r="A1922" t="s">
        <v>5528</v>
      </c>
      <c r="B1922" t="s">
        <v>1334</v>
      </c>
      <c r="C1922">
        <v>9</v>
      </c>
      <c r="D1922">
        <v>40</v>
      </c>
    </row>
    <row r="1923" spans="1:4" ht="14.25">
      <c r="A1923" t="s">
        <v>4844</v>
      </c>
      <c r="B1923" t="s">
        <v>1334</v>
      </c>
      <c r="C1923">
        <v>9</v>
      </c>
      <c r="D1923">
        <v>20</v>
      </c>
    </row>
    <row r="1924" spans="1:4" ht="14.25">
      <c r="A1924" t="s">
        <v>4845</v>
      </c>
      <c r="B1924" t="s">
        <v>1340</v>
      </c>
      <c r="C1924">
        <v>9</v>
      </c>
      <c r="D1924">
        <v>20</v>
      </c>
    </row>
    <row r="1925" spans="1:4" ht="14.25">
      <c r="A1925" t="s">
        <v>4846</v>
      </c>
      <c r="B1925" t="s">
        <v>1340</v>
      </c>
      <c r="C1925">
        <v>9</v>
      </c>
      <c r="D1925">
        <v>20</v>
      </c>
    </row>
    <row r="1926" spans="1:4" ht="14.25">
      <c r="A1926" t="s">
        <v>4847</v>
      </c>
      <c r="B1926" t="s">
        <v>1340</v>
      </c>
      <c r="C1926">
        <v>19</v>
      </c>
      <c r="D1926">
        <v>25</v>
      </c>
    </row>
    <row r="1927" spans="1:4" ht="14.25">
      <c r="A1927" t="s">
        <v>4848</v>
      </c>
      <c r="B1927" t="s">
        <v>1340</v>
      </c>
      <c r="C1927">
        <v>9</v>
      </c>
      <c r="D1927">
        <v>40</v>
      </c>
    </row>
    <row r="1928" spans="1:4" ht="14.25">
      <c r="A1928" t="s">
        <v>4849</v>
      </c>
      <c r="B1928" t="s">
        <v>1344</v>
      </c>
      <c r="C1928">
        <v>9</v>
      </c>
      <c r="D1928">
        <v>20</v>
      </c>
    </row>
    <row r="1929" spans="1:4" ht="14.25">
      <c r="A1929" t="s">
        <v>4850</v>
      </c>
      <c r="B1929" t="s">
        <v>1344</v>
      </c>
      <c r="C1929">
        <v>9</v>
      </c>
      <c r="D1929">
        <v>20</v>
      </c>
    </row>
    <row r="1930" spans="1:4" ht="14.25">
      <c r="A1930" t="s">
        <v>4851</v>
      </c>
      <c r="B1930" t="s">
        <v>1344</v>
      </c>
      <c r="C1930">
        <v>19</v>
      </c>
      <c r="D1930">
        <v>25</v>
      </c>
    </row>
    <row r="1931" spans="1:4" ht="14.25">
      <c r="A1931" t="s">
        <v>4852</v>
      </c>
      <c r="B1931" t="s">
        <v>1344</v>
      </c>
      <c r="C1931">
        <v>9</v>
      </c>
      <c r="D1931">
        <v>40</v>
      </c>
    </row>
    <row r="1932" spans="1:4" ht="14.25">
      <c r="A1932" t="s">
        <v>4853</v>
      </c>
      <c r="B1932" t="s">
        <v>1348</v>
      </c>
      <c r="C1932">
        <v>9</v>
      </c>
      <c r="D1932">
        <v>20</v>
      </c>
    </row>
    <row r="1933" spans="1:4" ht="14.25">
      <c r="A1933" t="s">
        <v>4854</v>
      </c>
      <c r="B1933" t="s">
        <v>1348</v>
      </c>
      <c r="C1933">
        <v>19</v>
      </c>
      <c r="D1933">
        <v>25</v>
      </c>
    </row>
    <row r="1934" spans="1:4" ht="14.25">
      <c r="A1934" t="s">
        <v>4855</v>
      </c>
      <c r="B1934" t="s">
        <v>1348</v>
      </c>
      <c r="C1934">
        <v>9</v>
      </c>
      <c r="D1934">
        <v>20</v>
      </c>
    </row>
    <row r="1935" spans="1:4" ht="14.25">
      <c r="A1935" t="s">
        <v>4856</v>
      </c>
      <c r="B1935" t="s">
        <v>1348</v>
      </c>
      <c r="C1935">
        <v>19</v>
      </c>
      <c r="D1935">
        <v>25</v>
      </c>
    </row>
    <row r="1936" spans="1:4" ht="14.25">
      <c r="A1936" t="s">
        <v>4857</v>
      </c>
      <c r="B1936" t="s">
        <v>1348</v>
      </c>
      <c r="C1936">
        <v>8</v>
      </c>
      <c r="D1936">
        <v>40</v>
      </c>
    </row>
    <row r="1937" spans="1:4" ht="14.25">
      <c r="A1937" t="s">
        <v>5529</v>
      </c>
      <c r="B1937" t="s">
        <v>1348</v>
      </c>
      <c r="C1937">
        <v>9</v>
      </c>
      <c r="D1937">
        <v>20</v>
      </c>
    </row>
    <row r="1938" spans="1:4" ht="14.25">
      <c r="A1938" t="s">
        <v>5530</v>
      </c>
      <c r="B1938" t="s">
        <v>1348</v>
      </c>
      <c r="C1938">
        <v>9</v>
      </c>
      <c r="D1938">
        <v>40</v>
      </c>
    </row>
    <row r="1939" spans="1:4" ht="14.25">
      <c r="A1939" t="s">
        <v>5531</v>
      </c>
      <c r="B1939" t="s">
        <v>5398</v>
      </c>
      <c r="C1939">
        <v>9</v>
      </c>
      <c r="D1939">
        <v>20</v>
      </c>
    </row>
    <row r="1940" spans="1:4" ht="14.25">
      <c r="A1940" t="s">
        <v>5532</v>
      </c>
      <c r="B1940" t="s">
        <v>5398</v>
      </c>
      <c r="C1940">
        <v>9</v>
      </c>
      <c r="D1940">
        <v>20</v>
      </c>
    </row>
    <row r="1941" spans="1:4" ht="14.25">
      <c r="A1941" t="s">
        <v>5533</v>
      </c>
      <c r="B1941" t="s">
        <v>5398</v>
      </c>
      <c r="C1941">
        <v>9</v>
      </c>
      <c r="D1941">
        <v>20</v>
      </c>
    </row>
    <row r="1942" spans="1:4" ht="14.25">
      <c r="A1942" t="s">
        <v>5534</v>
      </c>
      <c r="B1942" t="s">
        <v>5398</v>
      </c>
      <c r="C1942">
        <v>9</v>
      </c>
      <c r="D1942">
        <v>40</v>
      </c>
    </row>
    <row r="1943" spans="1:4" ht="14.25">
      <c r="A1943" t="s">
        <v>4858</v>
      </c>
      <c r="B1943" t="s">
        <v>1353</v>
      </c>
      <c r="C1943">
        <v>9</v>
      </c>
      <c r="D1943">
        <v>20</v>
      </c>
    </row>
    <row r="1944" spans="1:4" ht="14.25">
      <c r="A1944" t="s">
        <v>4859</v>
      </c>
      <c r="B1944" t="s">
        <v>1353</v>
      </c>
      <c r="C1944">
        <v>9</v>
      </c>
      <c r="D1944">
        <v>20</v>
      </c>
    </row>
    <row r="1945" spans="1:4" ht="14.25">
      <c r="A1945" t="s">
        <v>4860</v>
      </c>
      <c r="B1945" t="s">
        <v>1353</v>
      </c>
      <c r="C1945">
        <v>19</v>
      </c>
      <c r="D1945">
        <v>25</v>
      </c>
    </row>
    <row r="1946" spans="1:4" ht="14.25">
      <c r="A1946" t="s">
        <v>4861</v>
      </c>
      <c r="B1946" t="s">
        <v>1353</v>
      </c>
      <c r="C1946">
        <v>9</v>
      </c>
      <c r="D1946">
        <v>20</v>
      </c>
    </row>
    <row r="1947" spans="1:4" ht="14.25">
      <c r="A1947" t="s">
        <v>4862</v>
      </c>
      <c r="B1947" t="s">
        <v>1353</v>
      </c>
      <c r="C1947">
        <v>19</v>
      </c>
      <c r="D1947">
        <v>25</v>
      </c>
    </row>
    <row r="1948" spans="1:4" ht="14.25">
      <c r="A1948" t="s">
        <v>4863</v>
      </c>
      <c r="B1948" t="s">
        <v>1353</v>
      </c>
      <c r="C1948">
        <v>8</v>
      </c>
      <c r="D1948">
        <v>40</v>
      </c>
    </row>
    <row r="1949" spans="1:4" ht="14.25">
      <c r="A1949" t="s">
        <v>4864</v>
      </c>
      <c r="B1949" t="s">
        <v>1358</v>
      </c>
      <c r="C1949">
        <v>9</v>
      </c>
      <c r="D1949">
        <v>20</v>
      </c>
    </row>
    <row r="1950" spans="1:4" ht="14.25">
      <c r="A1950" t="s">
        <v>4865</v>
      </c>
      <c r="B1950" t="s">
        <v>1353</v>
      </c>
      <c r="C1950">
        <v>8</v>
      </c>
      <c r="D1950">
        <v>40</v>
      </c>
    </row>
    <row r="1951" spans="1:4" ht="14.25">
      <c r="A1951" t="s">
        <v>4866</v>
      </c>
      <c r="B1951" t="s">
        <v>1360</v>
      </c>
      <c r="C1951">
        <v>9</v>
      </c>
      <c r="D1951">
        <v>20</v>
      </c>
    </row>
    <row r="1952" spans="1:4" ht="14.25">
      <c r="A1952" t="s">
        <v>4867</v>
      </c>
      <c r="B1952" t="s">
        <v>1360</v>
      </c>
      <c r="C1952">
        <v>19</v>
      </c>
      <c r="D1952">
        <v>25</v>
      </c>
    </row>
    <row r="1953" spans="1:4" ht="14.25">
      <c r="A1953" t="s">
        <v>4868</v>
      </c>
      <c r="B1953" t="s">
        <v>1360</v>
      </c>
      <c r="C1953">
        <v>9</v>
      </c>
      <c r="D1953">
        <v>20</v>
      </c>
    </row>
    <row r="1954" spans="1:4" ht="14.25">
      <c r="A1954" t="s">
        <v>4869</v>
      </c>
      <c r="B1954" t="s">
        <v>1360</v>
      </c>
      <c r="C1954">
        <v>19</v>
      </c>
      <c r="D1954">
        <v>25</v>
      </c>
    </row>
    <row r="1955" spans="1:4" ht="14.25">
      <c r="A1955" t="s">
        <v>4870</v>
      </c>
      <c r="B1955" t="s">
        <v>1360</v>
      </c>
      <c r="C1955">
        <v>8</v>
      </c>
      <c r="D1955">
        <v>40</v>
      </c>
    </row>
    <row r="1956" spans="1:4" ht="14.25">
      <c r="A1956" t="s">
        <v>4871</v>
      </c>
      <c r="B1956" t="s">
        <v>1360</v>
      </c>
      <c r="C1956">
        <v>9</v>
      </c>
      <c r="D1956">
        <v>20</v>
      </c>
    </row>
    <row r="1957" spans="1:4" ht="14.25">
      <c r="A1957" t="s">
        <v>4872</v>
      </c>
      <c r="B1957" t="s">
        <v>1368</v>
      </c>
      <c r="C1957">
        <v>9</v>
      </c>
      <c r="D1957">
        <v>20</v>
      </c>
    </row>
    <row r="1958" spans="1:4" ht="14.25">
      <c r="A1958" t="s">
        <v>4873</v>
      </c>
      <c r="B1958" t="s">
        <v>1368</v>
      </c>
      <c r="C1958">
        <v>9</v>
      </c>
      <c r="D1958">
        <v>20</v>
      </c>
    </row>
    <row r="1959" spans="1:4" ht="14.25">
      <c r="A1959" t="s">
        <v>4874</v>
      </c>
      <c r="B1959" t="s">
        <v>1368</v>
      </c>
      <c r="C1959">
        <v>8</v>
      </c>
      <c r="D1959">
        <v>40</v>
      </c>
    </row>
    <row r="1960" spans="1:4" ht="14.25">
      <c r="A1960" t="s">
        <v>4875</v>
      </c>
      <c r="B1960" t="s">
        <v>1371</v>
      </c>
      <c r="C1960">
        <v>9</v>
      </c>
      <c r="D1960">
        <v>20</v>
      </c>
    </row>
    <row r="1961" spans="1:4" ht="14.25">
      <c r="A1961" t="s">
        <v>4876</v>
      </c>
      <c r="B1961" t="s">
        <v>1371</v>
      </c>
      <c r="C1961">
        <v>9</v>
      </c>
      <c r="D1961">
        <v>20</v>
      </c>
    </row>
    <row r="1962" spans="1:4" ht="14.25">
      <c r="A1962" t="s">
        <v>4877</v>
      </c>
      <c r="B1962" t="s">
        <v>1371</v>
      </c>
      <c r="C1962">
        <v>9</v>
      </c>
      <c r="D1962">
        <v>40</v>
      </c>
    </row>
    <row r="1963" spans="1:4" ht="14.25">
      <c r="A1963" t="s">
        <v>5535</v>
      </c>
      <c r="B1963" t="s">
        <v>1371</v>
      </c>
      <c r="C1963">
        <v>9</v>
      </c>
      <c r="D1963">
        <v>20</v>
      </c>
    </row>
    <row r="1964" spans="1:4" ht="14.25">
      <c r="A1964" t="s">
        <v>5536</v>
      </c>
      <c r="B1964" t="s">
        <v>1371</v>
      </c>
      <c r="C1964">
        <v>9</v>
      </c>
      <c r="D1964">
        <v>40</v>
      </c>
    </row>
    <row r="1965" spans="1:4" ht="14.25">
      <c r="A1965" t="s">
        <v>4878</v>
      </c>
      <c r="B1965" t="s">
        <v>1374</v>
      </c>
      <c r="C1965">
        <v>9</v>
      </c>
      <c r="D1965">
        <v>20</v>
      </c>
    </row>
    <row r="1966" spans="1:4" ht="14.25">
      <c r="A1966" t="s">
        <v>4879</v>
      </c>
      <c r="B1966" t="s">
        <v>1374</v>
      </c>
      <c r="C1966">
        <v>9</v>
      </c>
      <c r="D1966">
        <v>20</v>
      </c>
    </row>
    <row r="1967" spans="1:4" ht="14.25">
      <c r="A1967" t="s">
        <v>4880</v>
      </c>
      <c r="B1967" t="s">
        <v>1374</v>
      </c>
      <c r="C1967">
        <v>8</v>
      </c>
      <c r="D1967">
        <v>40</v>
      </c>
    </row>
    <row r="1968" spans="1:4" ht="14.25">
      <c r="A1968" t="s">
        <v>4881</v>
      </c>
      <c r="B1968" t="s">
        <v>1376</v>
      </c>
      <c r="C1968">
        <v>9</v>
      </c>
      <c r="D1968">
        <v>20</v>
      </c>
    </row>
    <row r="1969" spans="1:4" ht="14.25">
      <c r="A1969" t="s">
        <v>4882</v>
      </c>
      <c r="B1969" t="s">
        <v>1376</v>
      </c>
      <c r="C1969">
        <v>9</v>
      </c>
      <c r="D1969">
        <v>20</v>
      </c>
    </row>
    <row r="1970" spans="1:4" ht="14.25">
      <c r="A1970" t="s">
        <v>4883</v>
      </c>
      <c r="B1970" t="s">
        <v>1376</v>
      </c>
      <c r="C1970">
        <v>8</v>
      </c>
      <c r="D1970">
        <v>40</v>
      </c>
    </row>
    <row r="1971" spans="1:4" ht="14.25">
      <c r="A1971" t="s">
        <v>4884</v>
      </c>
      <c r="B1971" t="s">
        <v>1378</v>
      </c>
      <c r="C1971">
        <v>9</v>
      </c>
      <c r="D1971">
        <v>20</v>
      </c>
    </row>
    <row r="1972" spans="1:4" ht="14.25">
      <c r="A1972" t="s">
        <v>5537</v>
      </c>
      <c r="B1972" t="s">
        <v>5757</v>
      </c>
      <c r="C1972">
        <v>9</v>
      </c>
      <c r="D1972">
        <v>20</v>
      </c>
    </row>
    <row r="1973" spans="1:4" ht="14.25">
      <c r="A1973" t="s">
        <v>5538</v>
      </c>
      <c r="B1973" t="s">
        <v>5757</v>
      </c>
      <c r="C1973">
        <v>9</v>
      </c>
      <c r="D1973">
        <v>40</v>
      </c>
    </row>
    <row r="1974" spans="1:4" ht="14.25">
      <c r="A1974" t="s">
        <v>4885</v>
      </c>
      <c r="B1974" t="s">
        <v>1382</v>
      </c>
      <c r="C1974">
        <v>9</v>
      </c>
      <c r="D1974">
        <v>20</v>
      </c>
    </row>
    <row r="1975" spans="1:4" ht="14.25">
      <c r="A1975" t="s">
        <v>4886</v>
      </c>
      <c r="B1975" t="s">
        <v>1382</v>
      </c>
      <c r="C1975">
        <v>8</v>
      </c>
      <c r="D1975">
        <v>40</v>
      </c>
    </row>
    <row r="1976" spans="1:4" ht="14.25">
      <c r="A1976" t="s">
        <v>4887</v>
      </c>
      <c r="B1976" t="s">
        <v>1384</v>
      </c>
      <c r="C1976">
        <v>9</v>
      </c>
      <c r="D1976">
        <v>20</v>
      </c>
    </row>
    <row r="1977" spans="1:4" ht="14.25">
      <c r="A1977" t="s">
        <v>4888</v>
      </c>
      <c r="B1977" t="s">
        <v>1384</v>
      </c>
      <c r="C1977">
        <v>9</v>
      </c>
      <c r="D1977">
        <v>20</v>
      </c>
    </row>
    <row r="1978" spans="1:4" ht="14.25">
      <c r="A1978" t="s">
        <v>4889</v>
      </c>
      <c r="B1978" t="s">
        <v>1384</v>
      </c>
      <c r="C1978">
        <v>9</v>
      </c>
      <c r="D1978">
        <v>40</v>
      </c>
    </row>
    <row r="1979" spans="1:4" ht="14.25">
      <c r="A1979" t="s">
        <v>4890</v>
      </c>
      <c r="B1979" t="s">
        <v>1386</v>
      </c>
      <c r="C1979">
        <v>9</v>
      </c>
      <c r="D1979">
        <v>20</v>
      </c>
    </row>
    <row r="1980" spans="1:4" ht="14.25">
      <c r="A1980" t="s">
        <v>4891</v>
      </c>
      <c r="B1980" t="s">
        <v>1386</v>
      </c>
      <c r="C1980">
        <v>9</v>
      </c>
      <c r="D1980">
        <v>20</v>
      </c>
    </row>
    <row r="1981" spans="1:4" ht="14.25">
      <c r="A1981" t="s">
        <v>4892</v>
      </c>
      <c r="B1981" t="s">
        <v>1386</v>
      </c>
      <c r="C1981">
        <v>9</v>
      </c>
      <c r="D1981">
        <v>40</v>
      </c>
    </row>
    <row r="1982" spans="1:4" ht="14.25">
      <c r="A1982" t="s">
        <v>4893</v>
      </c>
      <c r="B1982" t="s">
        <v>4894</v>
      </c>
      <c r="C1982">
        <v>9</v>
      </c>
      <c r="D1982">
        <v>20</v>
      </c>
    </row>
    <row r="1983" spans="1:4" ht="14.25">
      <c r="A1983" t="s">
        <v>4895</v>
      </c>
      <c r="B1983" t="s">
        <v>4896</v>
      </c>
      <c r="C1983">
        <v>9</v>
      </c>
      <c r="D1983">
        <v>20</v>
      </c>
    </row>
    <row r="1984" spans="1:4" ht="14.25">
      <c r="A1984" t="s">
        <v>4897</v>
      </c>
      <c r="B1984" t="s">
        <v>4898</v>
      </c>
      <c r="C1984">
        <v>9</v>
      </c>
      <c r="D1984">
        <v>20</v>
      </c>
    </row>
    <row r="1985" spans="1:4" ht="14.25">
      <c r="A1985" t="s">
        <v>4899</v>
      </c>
      <c r="B1985" t="s">
        <v>1389</v>
      </c>
      <c r="C1985">
        <v>9</v>
      </c>
      <c r="D1985">
        <v>20</v>
      </c>
    </row>
    <row r="1986" spans="1:4" ht="14.25">
      <c r="A1986" t="s">
        <v>5758</v>
      </c>
      <c r="B1986" t="s">
        <v>1389</v>
      </c>
      <c r="C1986">
        <v>0</v>
      </c>
      <c r="D1986">
        <v>0</v>
      </c>
    </row>
    <row r="1987" spans="1:4" ht="14.25">
      <c r="A1987" t="s">
        <v>4900</v>
      </c>
      <c r="B1987" t="s">
        <v>1389</v>
      </c>
      <c r="C1987">
        <v>9</v>
      </c>
      <c r="D1987">
        <v>20</v>
      </c>
    </row>
    <row r="1988" spans="1:4" ht="14.25">
      <c r="A1988" t="s">
        <v>4901</v>
      </c>
      <c r="B1988" t="s">
        <v>1389</v>
      </c>
      <c r="C1988">
        <v>19</v>
      </c>
      <c r="D1988">
        <v>25</v>
      </c>
    </row>
    <row r="1989" spans="1:4" ht="14.25">
      <c r="A1989" t="s">
        <v>4902</v>
      </c>
      <c r="B1989" t="s">
        <v>1389</v>
      </c>
      <c r="C1989">
        <v>8</v>
      </c>
      <c r="D1989">
        <v>40</v>
      </c>
    </row>
    <row r="1990" spans="1:4" ht="14.25">
      <c r="A1990" t="s">
        <v>4903</v>
      </c>
      <c r="B1990" t="s">
        <v>1393</v>
      </c>
      <c r="C1990">
        <v>9</v>
      </c>
      <c r="D1990">
        <v>20</v>
      </c>
    </row>
    <row r="1991" spans="1:4" ht="14.25">
      <c r="A1991" t="s">
        <v>4904</v>
      </c>
      <c r="B1991" t="s">
        <v>1393</v>
      </c>
      <c r="C1991">
        <v>19</v>
      </c>
      <c r="D1991">
        <v>25</v>
      </c>
    </row>
    <row r="1992" spans="1:4" ht="14.25">
      <c r="A1992" t="s">
        <v>4905</v>
      </c>
      <c r="B1992" t="s">
        <v>1393</v>
      </c>
      <c r="C1992">
        <v>9</v>
      </c>
      <c r="D1992">
        <v>20</v>
      </c>
    </row>
    <row r="1993" spans="1:4" ht="14.25">
      <c r="A1993" t="s">
        <v>4906</v>
      </c>
      <c r="B1993" t="s">
        <v>1393</v>
      </c>
      <c r="C1993">
        <v>19</v>
      </c>
      <c r="D1993">
        <v>25</v>
      </c>
    </row>
    <row r="1994" spans="1:4" ht="14.25">
      <c r="A1994" t="s">
        <v>4907</v>
      </c>
      <c r="B1994" t="s">
        <v>1393</v>
      </c>
      <c r="C1994">
        <v>8</v>
      </c>
      <c r="D1994">
        <v>40</v>
      </c>
    </row>
    <row r="1995" spans="1:4" ht="14.25">
      <c r="A1995" t="s">
        <v>4908</v>
      </c>
      <c r="B1995" t="s">
        <v>1393</v>
      </c>
      <c r="C1995">
        <v>9</v>
      </c>
      <c r="D1995">
        <v>20</v>
      </c>
    </row>
    <row r="1996" spans="1:4" ht="14.25">
      <c r="A1996" t="s">
        <v>4909</v>
      </c>
      <c r="B1996" t="s">
        <v>4528</v>
      </c>
      <c r="C1996">
        <v>8</v>
      </c>
      <c r="D1996">
        <v>40</v>
      </c>
    </row>
    <row r="1997" spans="1:4" ht="14.25">
      <c r="A1997" t="s">
        <v>4910</v>
      </c>
      <c r="B1997" t="s">
        <v>1393</v>
      </c>
      <c r="C1997">
        <v>9</v>
      </c>
      <c r="D1997">
        <v>20</v>
      </c>
    </row>
    <row r="1998" spans="1:4" ht="14.25">
      <c r="A1998" t="s">
        <v>4911</v>
      </c>
      <c r="C1998">
        <v>9</v>
      </c>
      <c r="D1998">
        <v>20</v>
      </c>
    </row>
    <row r="1999" spans="1:4" ht="14.25">
      <c r="A1999" t="s">
        <v>4912</v>
      </c>
      <c r="C1999">
        <v>9</v>
      </c>
      <c r="D1999">
        <v>20</v>
      </c>
    </row>
    <row r="2000" spans="1:4" ht="14.25">
      <c r="A2000" t="s">
        <v>4913</v>
      </c>
      <c r="C2000">
        <v>19</v>
      </c>
      <c r="D2000">
        <v>25</v>
      </c>
    </row>
    <row r="2001" spans="1:4" ht="14.25">
      <c r="A2001" t="s">
        <v>4914</v>
      </c>
      <c r="C2001">
        <v>8</v>
      </c>
      <c r="D2001">
        <v>40</v>
      </c>
    </row>
    <row r="2002" spans="1:4" ht="14.25">
      <c r="A2002" t="s">
        <v>4915</v>
      </c>
      <c r="B2002" t="s">
        <v>1403</v>
      </c>
      <c r="C2002">
        <v>9</v>
      </c>
      <c r="D2002">
        <v>20</v>
      </c>
    </row>
    <row r="2003" spans="1:4" ht="14.25">
      <c r="A2003" t="s">
        <v>4916</v>
      </c>
      <c r="B2003" t="s">
        <v>1409</v>
      </c>
      <c r="C2003">
        <v>9</v>
      </c>
      <c r="D2003">
        <v>20</v>
      </c>
    </row>
    <row r="2004" spans="1:4" ht="14.25">
      <c r="A2004" t="s">
        <v>4917</v>
      </c>
      <c r="B2004" t="s">
        <v>1409</v>
      </c>
      <c r="C2004">
        <v>9</v>
      </c>
      <c r="D2004">
        <v>20</v>
      </c>
    </row>
    <row r="2005" spans="1:4" ht="14.25">
      <c r="A2005" t="s">
        <v>4918</v>
      </c>
      <c r="B2005" t="s">
        <v>1411</v>
      </c>
      <c r="C2005">
        <v>9</v>
      </c>
      <c r="D2005">
        <v>20</v>
      </c>
    </row>
    <row r="2006" spans="1:4" ht="14.25">
      <c r="A2006" t="s">
        <v>4919</v>
      </c>
      <c r="B2006" t="s">
        <v>1403</v>
      </c>
      <c r="C2006">
        <v>19</v>
      </c>
      <c r="D2006">
        <v>25</v>
      </c>
    </row>
    <row r="2007" spans="1:4" ht="14.25">
      <c r="A2007" t="s">
        <v>4920</v>
      </c>
      <c r="B2007" t="s">
        <v>1403</v>
      </c>
      <c r="C2007">
        <v>9</v>
      </c>
      <c r="D2007">
        <v>20</v>
      </c>
    </row>
    <row r="2008" spans="1:4" ht="14.25">
      <c r="A2008" t="s">
        <v>4921</v>
      </c>
      <c r="B2008" t="s">
        <v>1403</v>
      </c>
      <c r="C2008">
        <v>19</v>
      </c>
      <c r="D2008">
        <v>25</v>
      </c>
    </row>
    <row r="2009" spans="1:4" ht="14.25">
      <c r="A2009" t="s">
        <v>4922</v>
      </c>
      <c r="B2009" t="s">
        <v>1403</v>
      </c>
      <c r="C2009">
        <v>8</v>
      </c>
      <c r="D2009">
        <v>40</v>
      </c>
    </row>
    <row r="2010" spans="1:4" ht="14.25">
      <c r="A2010" t="s">
        <v>4923</v>
      </c>
      <c r="B2010" t="s">
        <v>1416</v>
      </c>
      <c r="C2010">
        <v>9</v>
      </c>
      <c r="D2010">
        <v>20</v>
      </c>
    </row>
    <row r="2011" spans="1:4" ht="14.25">
      <c r="A2011" t="s">
        <v>4924</v>
      </c>
      <c r="B2011" t="s">
        <v>1416</v>
      </c>
      <c r="C2011">
        <v>19</v>
      </c>
      <c r="D2011">
        <v>25</v>
      </c>
    </row>
    <row r="2012" spans="1:4" ht="14.25">
      <c r="A2012" t="s">
        <v>4925</v>
      </c>
      <c r="B2012" t="s">
        <v>1416</v>
      </c>
      <c r="C2012">
        <v>9</v>
      </c>
      <c r="D2012">
        <v>20</v>
      </c>
    </row>
    <row r="2013" spans="1:4" ht="14.25">
      <c r="A2013" t="s">
        <v>4926</v>
      </c>
      <c r="B2013" t="s">
        <v>1416</v>
      </c>
      <c r="C2013">
        <v>19</v>
      </c>
      <c r="D2013">
        <v>25</v>
      </c>
    </row>
    <row r="2014" spans="1:4" ht="14.25">
      <c r="A2014" t="s">
        <v>4927</v>
      </c>
      <c r="B2014" t="s">
        <v>1416</v>
      </c>
      <c r="C2014">
        <v>8</v>
      </c>
      <c r="D2014">
        <v>40</v>
      </c>
    </row>
    <row r="2015" spans="1:4" ht="14.25">
      <c r="A2015" t="s">
        <v>4928</v>
      </c>
      <c r="B2015" t="s">
        <v>1416</v>
      </c>
      <c r="C2015">
        <v>9</v>
      </c>
      <c r="D2015">
        <v>20</v>
      </c>
    </row>
    <row r="2016" spans="1:4" ht="14.25">
      <c r="A2016" t="s">
        <v>4929</v>
      </c>
      <c r="B2016" t="s">
        <v>1421</v>
      </c>
      <c r="C2016">
        <v>9</v>
      </c>
      <c r="D2016">
        <v>20</v>
      </c>
    </row>
    <row r="2017" spans="1:4" ht="14.25">
      <c r="A2017" t="s">
        <v>4930</v>
      </c>
      <c r="B2017" t="s">
        <v>1421</v>
      </c>
      <c r="C2017">
        <v>9</v>
      </c>
      <c r="D2017">
        <v>20</v>
      </c>
    </row>
    <row r="2018" spans="1:4" ht="14.25">
      <c r="A2018" t="s">
        <v>4931</v>
      </c>
      <c r="B2018" t="s">
        <v>1421</v>
      </c>
      <c r="C2018">
        <v>9</v>
      </c>
      <c r="D2018">
        <v>40</v>
      </c>
    </row>
    <row r="2019" spans="1:4" ht="14.25">
      <c r="A2019" t="s">
        <v>5539</v>
      </c>
      <c r="B2019" t="s">
        <v>1421</v>
      </c>
      <c r="C2019">
        <v>9</v>
      </c>
      <c r="D2019">
        <v>20</v>
      </c>
    </row>
    <row r="2020" spans="1:4" ht="14.25">
      <c r="A2020" t="s">
        <v>5540</v>
      </c>
      <c r="B2020" t="s">
        <v>1421</v>
      </c>
      <c r="C2020">
        <v>9</v>
      </c>
      <c r="D2020">
        <v>40</v>
      </c>
    </row>
    <row r="2021" spans="1:4" ht="14.25">
      <c r="A2021" t="s">
        <v>4932</v>
      </c>
      <c r="B2021" t="s">
        <v>3891</v>
      </c>
      <c r="C2021">
        <v>9</v>
      </c>
      <c r="D2021">
        <v>20</v>
      </c>
    </row>
    <row r="2022" spans="1:4" ht="14.25">
      <c r="A2022" t="s">
        <v>4933</v>
      </c>
      <c r="B2022" t="s">
        <v>3891</v>
      </c>
      <c r="C2022">
        <v>19</v>
      </c>
      <c r="D2022">
        <v>25</v>
      </c>
    </row>
    <row r="2023" spans="1:4" ht="14.25">
      <c r="A2023" t="s">
        <v>4934</v>
      </c>
      <c r="B2023" t="s">
        <v>3891</v>
      </c>
      <c r="C2023">
        <v>9</v>
      </c>
      <c r="D2023">
        <v>20</v>
      </c>
    </row>
    <row r="2024" spans="1:4" ht="14.25">
      <c r="A2024" t="s">
        <v>4935</v>
      </c>
      <c r="B2024" t="s">
        <v>3891</v>
      </c>
      <c r="C2024">
        <v>19</v>
      </c>
      <c r="D2024">
        <v>25</v>
      </c>
    </row>
    <row r="2025" spans="1:4" ht="14.25">
      <c r="A2025" t="s">
        <v>4936</v>
      </c>
      <c r="B2025" t="s">
        <v>3891</v>
      </c>
      <c r="C2025">
        <v>9</v>
      </c>
      <c r="D2025">
        <v>40</v>
      </c>
    </row>
    <row r="2026" spans="1:4" ht="14.25">
      <c r="A2026" t="s">
        <v>4937</v>
      </c>
      <c r="C2026">
        <v>9</v>
      </c>
      <c r="D2026">
        <v>20</v>
      </c>
    </row>
    <row r="2027" spans="1:4" ht="14.25">
      <c r="A2027" t="s">
        <v>4938</v>
      </c>
      <c r="C2027">
        <v>9</v>
      </c>
      <c r="D2027">
        <v>20</v>
      </c>
    </row>
    <row r="2028" spans="1:4" ht="14.25">
      <c r="A2028" t="s">
        <v>4939</v>
      </c>
      <c r="C2028">
        <v>19</v>
      </c>
      <c r="D2028">
        <v>25</v>
      </c>
    </row>
    <row r="2029" spans="1:4" ht="14.25">
      <c r="A2029" t="s">
        <v>4940</v>
      </c>
      <c r="B2029" t="s">
        <v>1427</v>
      </c>
      <c r="C2029">
        <v>9</v>
      </c>
      <c r="D2029">
        <v>20</v>
      </c>
    </row>
    <row r="2030" spans="1:4" ht="14.25">
      <c r="A2030" t="s">
        <v>4941</v>
      </c>
      <c r="B2030" t="s">
        <v>1437</v>
      </c>
      <c r="C2030">
        <v>9</v>
      </c>
      <c r="D2030">
        <v>20</v>
      </c>
    </row>
    <row r="2031" spans="1:4" ht="14.25">
      <c r="A2031" t="s">
        <v>4942</v>
      </c>
      <c r="B2031" t="s">
        <v>1437</v>
      </c>
      <c r="C2031">
        <v>8</v>
      </c>
      <c r="D2031">
        <v>40</v>
      </c>
    </row>
    <row r="2032" spans="1:4" ht="14.25">
      <c r="A2032" t="s">
        <v>4943</v>
      </c>
      <c r="B2032" t="s">
        <v>1437</v>
      </c>
      <c r="C2032">
        <v>9</v>
      </c>
      <c r="D2032">
        <v>20</v>
      </c>
    </row>
    <row r="2033" spans="1:4" ht="14.25">
      <c r="A2033" t="s">
        <v>4944</v>
      </c>
      <c r="B2033" t="s">
        <v>1437</v>
      </c>
      <c r="C2033">
        <v>9</v>
      </c>
      <c r="D2033">
        <v>20</v>
      </c>
    </row>
    <row r="2034" spans="1:4" ht="14.25">
      <c r="A2034" t="s">
        <v>4945</v>
      </c>
      <c r="B2034" t="s">
        <v>1437</v>
      </c>
      <c r="C2034">
        <v>8</v>
      </c>
      <c r="D2034">
        <v>40</v>
      </c>
    </row>
    <row r="2035" spans="1:4" ht="14.25">
      <c r="A2035" t="s">
        <v>4946</v>
      </c>
      <c r="C2035">
        <v>8</v>
      </c>
      <c r="D2035">
        <v>40</v>
      </c>
    </row>
    <row r="2036" spans="1:4" ht="14.25">
      <c r="A2036" t="s">
        <v>4947</v>
      </c>
      <c r="B2036" t="s">
        <v>1441</v>
      </c>
      <c r="C2036">
        <v>9</v>
      </c>
      <c r="D2036">
        <v>20</v>
      </c>
    </row>
    <row r="2037" spans="1:4" ht="14.25">
      <c r="A2037" t="s">
        <v>4948</v>
      </c>
      <c r="B2037" t="s">
        <v>1441</v>
      </c>
      <c r="C2037">
        <v>9</v>
      </c>
      <c r="D2037">
        <v>20</v>
      </c>
    </row>
    <row r="2038" spans="1:4" ht="14.25">
      <c r="A2038" t="s">
        <v>4949</v>
      </c>
      <c r="B2038" t="s">
        <v>1443</v>
      </c>
      <c r="C2038">
        <v>19</v>
      </c>
      <c r="D2038">
        <v>25</v>
      </c>
    </row>
    <row r="2039" spans="1:4" ht="14.25">
      <c r="A2039" t="s">
        <v>4950</v>
      </c>
      <c r="B2039" t="s">
        <v>1447</v>
      </c>
      <c r="C2039">
        <v>9</v>
      </c>
      <c r="D2039">
        <v>20</v>
      </c>
    </row>
    <row r="2040" spans="1:4" ht="14.25">
      <c r="A2040" t="s">
        <v>4951</v>
      </c>
      <c r="B2040" t="s">
        <v>1437</v>
      </c>
      <c r="C2040">
        <v>19</v>
      </c>
      <c r="D2040">
        <v>25</v>
      </c>
    </row>
    <row r="2041" spans="1:4" ht="14.25">
      <c r="A2041" t="s">
        <v>4952</v>
      </c>
      <c r="B2041" t="s">
        <v>1437</v>
      </c>
      <c r="C2041">
        <v>9</v>
      </c>
      <c r="D2041">
        <v>20</v>
      </c>
    </row>
    <row r="2042" spans="1:4" ht="14.25">
      <c r="A2042" t="s">
        <v>4953</v>
      </c>
      <c r="B2042" t="s">
        <v>1437</v>
      </c>
      <c r="C2042">
        <v>19</v>
      </c>
      <c r="D2042">
        <v>25</v>
      </c>
    </row>
    <row r="2043" spans="1:4" ht="14.25">
      <c r="A2043" t="s">
        <v>4954</v>
      </c>
      <c r="B2043" t="s">
        <v>1437</v>
      </c>
      <c r="C2043">
        <v>8</v>
      </c>
      <c r="D2043">
        <v>40</v>
      </c>
    </row>
    <row r="2044" spans="1:4" ht="14.25">
      <c r="A2044" t="s">
        <v>4955</v>
      </c>
      <c r="B2044" t="s">
        <v>1437</v>
      </c>
      <c r="C2044">
        <v>8</v>
      </c>
      <c r="D2044">
        <v>40</v>
      </c>
    </row>
    <row r="2045" spans="1:4" ht="14.25">
      <c r="A2045" t="s">
        <v>4956</v>
      </c>
      <c r="B2045" t="s">
        <v>2129</v>
      </c>
      <c r="C2045">
        <v>8</v>
      </c>
      <c r="D2045">
        <v>40</v>
      </c>
    </row>
    <row r="2046" spans="1:4" ht="14.25">
      <c r="A2046" t="s">
        <v>4957</v>
      </c>
      <c r="B2046" t="s">
        <v>1437</v>
      </c>
      <c r="C2046">
        <v>9</v>
      </c>
      <c r="D2046">
        <v>20</v>
      </c>
    </row>
    <row r="2047" spans="1:4" ht="14.25">
      <c r="A2047" t="s">
        <v>4958</v>
      </c>
      <c r="B2047" t="s">
        <v>1437</v>
      </c>
      <c r="C2047">
        <v>9</v>
      </c>
      <c r="D2047">
        <v>20</v>
      </c>
    </row>
    <row r="2048" spans="1:4" ht="14.25">
      <c r="A2048" t="s">
        <v>4959</v>
      </c>
      <c r="B2048" t="s">
        <v>1456</v>
      </c>
      <c r="C2048">
        <v>8</v>
      </c>
      <c r="D2048">
        <v>20</v>
      </c>
    </row>
    <row r="2049" spans="1:4" ht="14.25">
      <c r="A2049" t="s">
        <v>4960</v>
      </c>
      <c r="B2049" t="s">
        <v>1460</v>
      </c>
      <c r="C2049">
        <v>8</v>
      </c>
      <c r="D2049">
        <v>20</v>
      </c>
    </row>
    <row r="2050" spans="1:4" ht="14.25">
      <c r="A2050" t="s">
        <v>4961</v>
      </c>
      <c r="B2050" t="s">
        <v>1462</v>
      </c>
      <c r="C2050">
        <v>8</v>
      </c>
      <c r="D2050">
        <v>20</v>
      </c>
    </row>
    <row r="2051" spans="1:4" ht="14.25">
      <c r="A2051" t="s">
        <v>4962</v>
      </c>
      <c r="C2051">
        <v>9</v>
      </c>
      <c r="D2051">
        <v>20</v>
      </c>
    </row>
    <row r="2052" spans="1:4" ht="14.25">
      <c r="A2052" t="s">
        <v>4963</v>
      </c>
      <c r="B2052" t="s">
        <v>1517</v>
      </c>
      <c r="C2052">
        <v>9</v>
      </c>
      <c r="D2052">
        <v>20</v>
      </c>
    </row>
    <row r="2053" spans="1:4" ht="14.25">
      <c r="A2053" t="s">
        <v>4964</v>
      </c>
      <c r="B2053" t="s">
        <v>1466</v>
      </c>
      <c r="C2053">
        <v>9</v>
      </c>
      <c r="D2053">
        <v>20</v>
      </c>
    </row>
    <row r="2054" spans="1:4" ht="14.25">
      <c r="A2054" t="s">
        <v>4965</v>
      </c>
      <c r="B2054" t="s">
        <v>1466</v>
      </c>
      <c r="C2054">
        <v>19</v>
      </c>
      <c r="D2054">
        <v>25</v>
      </c>
    </row>
    <row r="2055" spans="1:4" ht="14.25">
      <c r="A2055" t="s">
        <v>4966</v>
      </c>
      <c r="B2055" t="s">
        <v>1466</v>
      </c>
      <c r="C2055">
        <v>9</v>
      </c>
      <c r="D2055">
        <v>20</v>
      </c>
    </row>
    <row r="2056" spans="1:4" ht="14.25">
      <c r="A2056" t="s">
        <v>4967</v>
      </c>
      <c r="B2056" t="s">
        <v>1466</v>
      </c>
      <c r="C2056">
        <v>19</v>
      </c>
      <c r="D2056">
        <v>25</v>
      </c>
    </row>
    <row r="2057" spans="1:4" ht="14.25">
      <c r="A2057" t="s">
        <v>4968</v>
      </c>
      <c r="B2057" t="s">
        <v>1466</v>
      </c>
      <c r="C2057">
        <v>8</v>
      </c>
      <c r="D2057">
        <v>40</v>
      </c>
    </row>
    <row r="2058" spans="1:4" ht="14.25">
      <c r="A2058" t="s">
        <v>4969</v>
      </c>
      <c r="B2058" t="s">
        <v>1466</v>
      </c>
      <c r="C2058">
        <v>9</v>
      </c>
      <c r="D2058">
        <v>20</v>
      </c>
    </row>
    <row r="2059" spans="1:4" ht="14.25">
      <c r="A2059" t="s">
        <v>4970</v>
      </c>
      <c r="B2059" t="s">
        <v>1477</v>
      </c>
      <c r="C2059">
        <v>9</v>
      </c>
      <c r="D2059">
        <v>20</v>
      </c>
    </row>
    <row r="2060" spans="1:4" ht="14.25">
      <c r="A2060" t="s">
        <v>4971</v>
      </c>
      <c r="B2060" t="s">
        <v>1466</v>
      </c>
      <c r="C2060">
        <v>9</v>
      </c>
      <c r="D2060">
        <v>20</v>
      </c>
    </row>
    <row r="2061" spans="1:4" ht="14.25">
      <c r="A2061" t="s">
        <v>4972</v>
      </c>
      <c r="B2061" t="s">
        <v>1482</v>
      </c>
      <c r="C2061">
        <v>9</v>
      </c>
      <c r="D2061">
        <v>20</v>
      </c>
    </row>
    <row r="2062" spans="1:4" ht="14.25">
      <c r="A2062" t="s">
        <v>4973</v>
      </c>
      <c r="B2062" t="s">
        <v>1466</v>
      </c>
      <c r="C2062">
        <v>9</v>
      </c>
      <c r="D2062">
        <v>20</v>
      </c>
    </row>
    <row r="2063" spans="1:4" ht="14.25">
      <c r="A2063" t="s">
        <v>4974</v>
      </c>
      <c r="B2063" t="s">
        <v>1466</v>
      </c>
      <c r="C2063">
        <v>9</v>
      </c>
      <c r="D2063">
        <v>20</v>
      </c>
    </row>
    <row r="2064" spans="1:4" ht="14.25">
      <c r="A2064" t="s">
        <v>4975</v>
      </c>
      <c r="B2064" t="s">
        <v>1466</v>
      </c>
      <c r="C2064">
        <v>19</v>
      </c>
      <c r="D2064">
        <v>25</v>
      </c>
    </row>
    <row r="2065" spans="1:4" ht="14.25">
      <c r="A2065" t="s">
        <v>4976</v>
      </c>
      <c r="B2065" t="s">
        <v>1466</v>
      </c>
      <c r="C2065">
        <v>9</v>
      </c>
      <c r="D2065">
        <v>40</v>
      </c>
    </row>
    <row r="2066" spans="1:4" ht="14.25">
      <c r="A2066" t="s">
        <v>4977</v>
      </c>
      <c r="B2066" t="s">
        <v>1487</v>
      </c>
      <c r="C2066">
        <v>9</v>
      </c>
      <c r="D2066">
        <v>20</v>
      </c>
    </row>
    <row r="2067" spans="1:4" ht="14.25">
      <c r="A2067" t="s">
        <v>4978</v>
      </c>
      <c r="B2067" t="s">
        <v>1487</v>
      </c>
      <c r="C2067">
        <v>9</v>
      </c>
      <c r="D2067">
        <v>20</v>
      </c>
    </row>
    <row r="2068" spans="1:4" ht="14.25">
      <c r="A2068" t="s">
        <v>4979</v>
      </c>
      <c r="B2068" t="s">
        <v>1487</v>
      </c>
      <c r="C2068">
        <v>8</v>
      </c>
      <c r="D2068">
        <v>40</v>
      </c>
    </row>
    <row r="2069" spans="1:4" ht="14.25">
      <c r="A2069" t="s">
        <v>4980</v>
      </c>
      <c r="B2069" t="s">
        <v>1489</v>
      </c>
      <c r="C2069">
        <v>9</v>
      </c>
      <c r="D2069">
        <v>20</v>
      </c>
    </row>
    <row r="2070" spans="1:4" ht="14.25">
      <c r="A2070" t="s">
        <v>4981</v>
      </c>
      <c r="B2070" t="s">
        <v>1466</v>
      </c>
      <c r="C2070">
        <v>9</v>
      </c>
      <c r="D2070">
        <v>20</v>
      </c>
    </row>
    <row r="2071" spans="1:4" ht="14.25">
      <c r="A2071" t="s">
        <v>5759</v>
      </c>
      <c r="B2071" t="s">
        <v>1466</v>
      </c>
      <c r="C2071">
        <v>0</v>
      </c>
      <c r="D2071">
        <v>0</v>
      </c>
    </row>
    <row r="2072" spans="1:4" ht="14.25">
      <c r="A2072" t="s">
        <v>4982</v>
      </c>
      <c r="B2072" t="s">
        <v>1466</v>
      </c>
      <c r="C2072">
        <v>9</v>
      </c>
      <c r="D2072">
        <v>20</v>
      </c>
    </row>
    <row r="2073" spans="1:4" ht="14.25">
      <c r="A2073" t="s">
        <v>4983</v>
      </c>
      <c r="B2073" t="s">
        <v>1491</v>
      </c>
      <c r="C2073">
        <v>19</v>
      </c>
      <c r="D2073">
        <v>25</v>
      </c>
    </row>
    <row r="2074" spans="1:4" ht="14.25">
      <c r="A2074" t="s">
        <v>4984</v>
      </c>
      <c r="B2074" t="s">
        <v>1466</v>
      </c>
      <c r="C2074">
        <v>8</v>
      </c>
      <c r="D2074">
        <v>40</v>
      </c>
    </row>
    <row r="2075" spans="1:4" ht="14.25">
      <c r="A2075" t="s">
        <v>4985</v>
      </c>
      <c r="B2075" t="s">
        <v>1466</v>
      </c>
      <c r="C2075">
        <v>8</v>
      </c>
      <c r="D2075">
        <v>40</v>
      </c>
    </row>
    <row r="2076" spans="1:4" ht="14.25">
      <c r="A2076" t="s">
        <v>4986</v>
      </c>
      <c r="B2076" t="s">
        <v>1466</v>
      </c>
      <c r="C2076">
        <v>9</v>
      </c>
      <c r="D2076">
        <v>20</v>
      </c>
    </row>
    <row r="2077" spans="1:4" ht="14.25">
      <c r="A2077" t="s">
        <v>4987</v>
      </c>
      <c r="B2077" t="s">
        <v>1498</v>
      </c>
      <c r="C2077">
        <v>9</v>
      </c>
      <c r="D2077">
        <v>20</v>
      </c>
    </row>
    <row r="2078" spans="1:4" ht="14.25">
      <c r="A2078" t="s">
        <v>4988</v>
      </c>
      <c r="B2078" t="s">
        <v>1498</v>
      </c>
      <c r="C2078">
        <v>9</v>
      </c>
      <c r="D2078">
        <v>20</v>
      </c>
    </row>
    <row r="2079" spans="1:4" ht="14.25">
      <c r="A2079" t="s">
        <v>4989</v>
      </c>
      <c r="B2079" t="s">
        <v>1498</v>
      </c>
      <c r="C2079">
        <v>19</v>
      </c>
      <c r="D2079">
        <v>25</v>
      </c>
    </row>
    <row r="2080" spans="1:4" ht="14.25">
      <c r="A2080" t="s">
        <v>4990</v>
      </c>
      <c r="B2080" t="s">
        <v>1498</v>
      </c>
      <c r="C2080">
        <v>8</v>
      </c>
      <c r="D2080">
        <v>40</v>
      </c>
    </row>
    <row r="2081" spans="1:4" ht="14.25">
      <c r="A2081" t="s">
        <v>4991</v>
      </c>
      <c r="B2081" t="s">
        <v>1498</v>
      </c>
      <c r="C2081">
        <v>9</v>
      </c>
      <c r="D2081">
        <v>20</v>
      </c>
    </row>
    <row r="2082" spans="1:4" ht="14.25">
      <c r="A2082" t="s">
        <v>4992</v>
      </c>
      <c r="B2082" t="s">
        <v>1498</v>
      </c>
      <c r="C2082">
        <v>9</v>
      </c>
      <c r="D2082">
        <v>20</v>
      </c>
    </row>
    <row r="2083" spans="1:4" ht="14.25">
      <c r="A2083" t="s">
        <v>4993</v>
      </c>
      <c r="B2083" t="s">
        <v>1498</v>
      </c>
      <c r="C2083">
        <v>8</v>
      </c>
      <c r="D2083">
        <v>40</v>
      </c>
    </row>
    <row r="2084" spans="1:4" ht="14.25">
      <c r="A2084" t="s">
        <v>4994</v>
      </c>
      <c r="B2084" t="s">
        <v>1507</v>
      </c>
      <c r="C2084">
        <v>9</v>
      </c>
      <c r="D2084">
        <v>20</v>
      </c>
    </row>
    <row r="2085" spans="1:4" ht="14.25">
      <c r="A2085" t="s">
        <v>4995</v>
      </c>
      <c r="B2085" t="s">
        <v>1507</v>
      </c>
      <c r="C2085">
        <v>9</v>
      </c>
      <c r="D2085">
        <v>20</v>
      </c>
    </row>
    <row r="2086" spans="1:4" ht="14.25">
      <c r="A2086" t="s">
        <v>4996</v>
      </c>
      <c r="B2086" t="s">
        <v>1509</v>
      </c>
      <c r="C2086">
        <v>9</v>
      </c>
      <c r="D2086">
        <v>20</v>
      </c>
    </row>
    <row r="2087" spans="1:4" ht="14.25">
      <c r="A2087" t="s">
        <v>4997</v>
      </c>
      <c r="B2087" t="s">
        <v>1509</v>
      </c>
      <c r="C2087">
        <v>9</v>
      </c>
      <c r="D2087">
        <v>20</v>
      </c>
    </row>
    <row r="2088" spans="1:4" ht="14.25">
      <c r="A2088" t="s">
        <v>4998</v>
      </c>
      <c r="B2088" t="s">
        <v>1509</v>
      </c>
      <c r="C2088">
        <v>19</v>
      </c>
      <c r="D2088">
        <v>25</v>
      </c>
    </row>
    <row r="2089" spans="1:4" ht="14.25">
      <c r="A2089" t="s">
        <v>4999</v>
      </c>
      <c r="B2089" t="s">
        <v>1509</v>
      </c>
      <c r="C2089">
        <v>8</v>
      </c>
      <c r="D2089">
        <v>40</v>
      </c>
    </row>
    <row r="2090" spans="1:4" ht="14.25">
      <c r="A2090" t="s">
        <v>5000</v>
      </c>
      <c r="B2090" t="s">
        <v>1513</v>
      </c>
      <c r="C2090">
        <v>9</v>
      </c>
      <c r="D2090">
        <v>20</v>
      </c>
    </row>
    <row r="2091" spans="1:4" ht="14.25">
      <c r="A2091" t="s">
        <v>5001</v>
      </c>
      <c r="B2091" t="s">
        <v>1513</v>
      </c>
      <c r="C2091">
        <v>9</v>
      </c>
      <c r="D2091">
        <v>20</v>
      </c>
    </row>
    <row r="2092" spans="1:4" ht="14.25">
      <c r="A2092" t="s">
        <v>5002</v>
      </c>
      <c r="B2092" t="s">
        <v>1513</v>
      </c>
      <c r="C2092">
        <v>8</v>
      </c>
      <c r="D2092">
        <v>40</v>
      </c>
    </row>
    <row r="2093" spans="1:4" ht="14.25">
      <c r="A2093" t="s">
        <v>5003</v>
      </c>
      <c r="B2093" t="s">
        <v>1515</v>
      </c>
      <c r="C2093">
        <v>9</v>
      </c>
      <c r="D2093">
        <v>20</v>
      </c>
    </row>
    <row r="2094" spans="1:4" ht="14.25">
      <c r="A2094" t="s">
        <v>5004</v>
      </c>
      <c r="B2094" t="s">
        <v>1515</v>
      </c>
      <c r="C2094">
        <v>9</v>
      </c>
      <c r="D2094">
        <v>20</v>
      </c>
    </row>
    <row r="2095" spans="1:4" ht="14.25">
      <c r="A2095" t="s">
        <v>5005</v>
      </c>
      <c r="B2095" t="s">
        <v>1515</v>
      </c>
      <c r="C2095">
        <v>8</v>
      </c>
      <c r="D2095">
        <v>40</v>
      </c>
    </row>
    <row r="2096" spans="1:4" ht="14.25">
      <c r="A2096" t="s">
        <v>5006</v>
      </c>
      <c r="B2096" t="s">
        <v>1517</v>
      </c>
      <c r="C2096">
        <v>9</v>
      </c>
      <c r="D2096">
        <v>20</v>
      </c>
    </row>
    <row r="2097" spans="1:4" ht="14.25">
      <c r="A2097" t="s">
        <v>5007</v>
      </c>
      <c r="B2097" t="s">
        <v>1517</v>
      </c>
      <c r="C2097">
        <v>9</v>
      </c>
      <c r="D2097">
        <v>20</v>
      </c>
    </row>
    <row r="2098" spans="1:4" ht="14.25">
      <c r="A2098" t="s">
        <v>5008</v>
      </c>
      <c r="B2098" t="s">
        <v>5760</v>
      </c>
      <c r="C2098">
        <v>19</v>
      </c>
      <c r="D2098">
        <v>25</v>
      </c>
    </row>
    <row r="2099" spans="1:4" ht="14.25">
      <c r="A2099" t="s">
        <v>5009</v>
      </c>
      <c r="B2099" t="s">
        <v>1517</v>
      </c>
      <c r="C2099">
        <v>9</v>
      </c>
      <c r="D2099">
        <v>20</v>
      </c>
    </row>
    <row r="2100" spans="1:4" ht="14.25">
      <c r="A2100" t="s">
        <v>5010</v>
      </c>
      <c r="B2100" t="s">
        <v>5760</v>
      </c>
      <c r="C2100">
        <v>19</v>
      </c>
      <c r="D2100">
        <v>25</v>
      </c>
    </row>
    <row r="2101" spans="1:4" ht="14.25">
      <c r="A2101" t="s">
        <v>5011</v>
      </c>
      <c r="B2101" t="s">
        <v>5760</v>
      </c>
      <c r="C2101">
        <v>8</v>
      </c>
      <c r="D2101">
        <v>40</v>
      </c>
    </row>
    <row r="2102" spans="1:4" ht="14.25">
      <c r="A2102" t="s">
        <v>5012</v>
      </c>
      <c r="B2102" t="s">
        <v>1520</v>
      </c>
      <c r="C2102">
        <v>9</v>
      </c>
      <c r="D2102">
        <v>20</v>
      </c>
    </row>
    <row r="2103" spans="1:4" ht="14.25">
      <c r="A2103" t="s">
        <v>5013</v>
      </c>
      <c r="B2103" t="s">
        <v>5760</v>
      </c>
      <c r="C2103">
        <v>19</v>
      </c>
      <c r="D2103">
        <v>25</v>
      </c>
    </row>
    <row r="2104" spans="1:4" ht="14.25">
      <c r="A2104" t="s">
        <v>5014</v>
      </c>
      <c r="B2104" t="s">
        <v>1520</v>
      </c>
      <c r="C2104">
        <v>9</v>
      </c>
      <c r="D2104">
        <v>20</v>
      </c>
    </row>
    <row r="2105" spans="1:4" ht="14.25">
      <c r="A2105" t="s">
        <v>5015</v>
      </c>
      <c r="B2105" t="s">
        <v>5760</v>
      </c>
      <c r="C2105">
        <v>19</v>
      </c>
      <c r="D2105">
        <v>25</v>
      </c>
    </row>
    <row r="2106" spans="1:4" ht="14.25">
      <c r="A2106" t="s">
        <v>5016</v>
      </c>
      <c r="B2106" t="s">
        <v>5760</v>
      </c>
      <c r="C2106">
        <v>8</v>
      </c>
      <c r="D2106">
        <v>40</v>
      </c>
    </row>
    <row r="2107" spans="1:4" ht="14.25">
      <c r="A2107" t="s">
        <v>5017</v>
      </c>
      <c r="B2107" t="s">
        <v>1537</v>
      </c>
      <c r="C2107">
        <v>9</v>
      </c>
      <c r="D2107">
        <v>20</v>
      </c>
    </row>
    <row r="2108" spans="1:4" ht="14.25">
      <c r="A2108" t="s">
        <v>5018</v>
      </c>
      <c r="B2108" t="s">
        <v>1537</v>
      </c>
      <c r="C2108">
        <v>9</v>
      </c>
      <c r="D2108">
        <v>20</v>
      </c>
    </row>
    <row r="2109" spans="1:4" ht="14.25">
      <c r="A2109" t="s">
        <v>5019</v>
      </c>
      <c r="B2109" t="s">
        <v>5020</v>
      </c>
      <c r="C2109">
        <v>19</v>
      </c>
      <c r="D2109">
        <v>25</v>
      </c>
    </row>
    <row r="2110" spans="1:4" ht="14.25">
      <c r="A2110" t="s">
        <v>5021</v>
      </c>
      <c r="B2110" t="s">
        <v>1537</v>
      </c>
      <c r="C2110">
        <v>9</v>
      </c>
      <c r="D2110">
        <v>20</v>
      </c>
    </row>
    <row r="2111" spans="1:4" ht="14.25">
      <c r="A2111" t="s">
        <v>5022</v>
      </c>
      <c r="B2111" t="s">
        <v>1537</v>
      </c>
      <c r="C2111">
        <v>19</v>
      </c>
      <c r="D2111">
        <v>25</v>
      </c>
    </row>
    <row r="2112" spans="1:4" ht="14.25">
      <c r="A2112" t="s">
        <v>5023</v>
      </c>
      <c r="B2112" t="s">
        <v>1537</v>
      </c>
      <c r="C2112">
        <v>8</v>
      </c>
      <c r="D2112">
        <v>40</v>
      </c>
    </row>
    <row r="2113" spans="1:4" ht="14.25">
      <c r="A2113" t="s">
        <v>5024</v>
      </c>
      <c r="B2113" t="s">
        <v>1542</v>
      </c>
      <c r="C2113">
        <v>8</v>
      </c>
      <c r="D2113">
        <v>40</v>
      </c>
    </row>
    <row r="2114" spans="1:4" ht="14.25">
      <c r="A2114" t="s">
        <v>5025</v>
      </c>
      <c r="B2114" t="s">
        <v>4601</v>
      </c>
      <c r="C2114">
        <v>9</v>
      </c>
      <c r="D2114">
        <v>20</v>
      </c>
    </row>
    <row r="2115" spans="1:4" ht="14.25">
      <c r="A2115" t="s">
        <v>5026</v>
      </c>
      <c r="B2115" t="s">
        <v>1547</v>
      </c>
      <c r="C2115">
        <v>9</v>
      </c>
      <c r="D2115">
        <v>20</v>
      </c>
    </row>
    <row r="2116" spans="1:4" ht="14.25">
      <c r="A2116" t="s">
        <v>5027</v>
      </c>
      <c r="B2116" t="s">
        <v>5028</v>
      </c>
      <c r="C2116">
        <v>19</v>
      </c>
      <c r="D2116">
        <v>25</v>
      </c>
    </row>
    <row r="2117" spans="1:4" ht="14.25">
      <c r="A2117" t="s">
        <v>5029</v>
      </c>
      <c r="B2117" t="s">
        <v>1547</v>
      </c>
      <c r="C2117">
        <v>9</v>
      </c>
      <c r="D2117">
        <v>20</v>
      </c>
    </row>
    <row r="2118" spans="1:4" ht="14.25">
      <c r="A2118" t="s">
        <v>5030</v>
      </c>
      <c r="B2118" t="s">
        <v>1547</v>
      </c>
      <c r="C2118">
        <v>19</v>
      </c>
      <c r="D2118">
        <v>25</v>
      </c>
    </row>
    <row r="2119" spans="1:4" ht="14.25">
      <c r="A2119" t="s">
        <v>5031</v>
      </c>
      <c r="B2119" t="s">
        <v>1547</v>
      </c>
      <c r="C2119">
        <v>8</v>
      </c>
      <c r="D2119">
        <v>40</v>
      </c>
    </row>
    <row r="2120" spans="1:4" ht="14.25">
      <c r="A2120" t="s">
        <v>5761</v>
      </c>
      <c r="B2120" t="s">
        <v>2694</v>
      </c>
      <c r="C2120">
        <v>0</v>
      </c>
      <c r="D2120">
        <v>0</v>
      </c>
    </row>
    <row r="2121" spans="1:4" ht="14.25">
      <c r="A2121" t="s">
        <v>5032</v>
      </c>
      <c r="B2121" t="s">
        <v>2694</v>
      </c>
      <c r="C2121">
        <v>9</v>
      </c>
      <c r="D2121">
        <v>20</v>
      </c>
    </row>
    <row r="2122" spans="1:4" ht="14.25">
      <c r="A2122" t="s">
        <v>5033</v>
      </c>
      <c r="B2122" t="s">
        <v>2694</v>
      </c>
      <c r="C2122">
        <v>8</v>
      </c>
      <c r="D2122">
        <v>40</v>
      </c>
    </row>
    <row r="2123" spans="1:4" ht="14.25">
      <c r="A2123" t="s">
        <v>5034</v>
      </c>
      <c r="B2123" t="s">
        <v>2694</v>
      </c>
      <c r="C2123">
        <v>9</v>
      </c>
      <c r="D2123">
        <v>20</v>
      </c>
    </row>
    <row r="2124" spans="1:4" ht="14.25">
      <c r="A2124" t="s">
        <v>5762</v>
      </c>
      <c r="B2124" t="s">
        <v>2694</v>
      </c>
      <c r="C2124">
        <v>0</v>
      </c>
      <c r="D2124">
        <v>0</v>
      </c>
    </row>
    <row r="2125" spans="1:4" ht="14.25">
      <c r="A2125" t="s">
        <v>5035</v>
      </c>
      <c r="B2125" t="s">
        <v>2675</v>
      </c>
      <c r="C2125">
        <v>8</v>
      </c>
      <c r="D2125">
        <v>40</v>
      </c>
    </row>
    <row r="2126" spans="1:4" ht="14.25">
      <c r="A2126" t="s">
        <v>5036</v>
      </c>
      <c r="B2126" t="s">
        <v>2675</v>
      </c>
      <c r="C2126">
        <v>9</v>
      </c>
      <c r="D2126">
        <v>18</v>
      </c>
    </row>
    <row r="2127" spans="1:4" ht="14.25">
      <c r="A2127" t="s">
        <v>5037</v>
      </c>
      <c r="B2127" t="s">
        <v>2675</v>
      </c>
      <c r="C2127">
        <v>9</v>
      </c>
      <c r="D2127">
        <v>20</v>
      </c>
    </row>
    <row r="2128" spans="1:4" ht="14.25">
      <c r="A2128" t="s">
        <v>5038</v>
      </c>
      <c r="B2128" t="s">
        <v>2675</v>
      </c>
      <c r="C2128">
        <v>9</v>
      </c>
      <c r="D2128">
        <v>20</v>
      </c>
    </row>
    <row r="2129" spans="1:4" ht="14.25">
      <c r="A2129" t="s">
        <v>5039</v>
      </c>
      <c r="B2129" t="s">
        <v>2675</v>
      </c>
      <c r="C2129">
        <v>19</v>
      </c>
      <c r="D2129">
        <v>25</v>
      </c>
    </row>
    <row r="2130" spans="1:4" ht="14.25">
      <c r="A2130" t="s">
        <v>5040</v>
      </c>
      <c r="B2130" t="s">
        <v>2675</v>
      </c>
      <c r="C2130">
        <v>19</v>
      </c>
      <c r="D2130">
        <v>27</v>
      </c>
    </row>
    <row r="2131" spans="1:4" ht="14.25">
      <c r="A2131" t="s">
        <v>5763</v>
      </c>
      <c r="B2131" t="s">
        <v>2675</v>
      </c>
      <c r="C2131">
        <v>19</v>
      </c>
      <c r="D2131">
        <v>29</v>
      </c>
    </row>
    <row r="2132" spans="1:4" ht="14.25">
      <c r="A2132" t="s">
        <v>5041</v>
      </c>
      <c r="B2132" t="s">
        <v>2675</v>
      </c>
      <c r="C2132">
        <v>8</v>
      </c>
      <c r="D2132">
        <v>40</v>
      </c>
    </row>
    <row r="2133" spans="1:4" ht="14.25">
      <c r="A2133" t="s">
        <v>5042</v>
      </c>
      <c r="B2133" t="s">
        <v>2675</v>
      </c>
      <c r="C2133">
        <v>9</v>
      </c>
      <c r="D2133">
        <v>20</v>
      </c>
    </row>
    <row r="2134" spans="1:4" ht="14.25">
      <c r="A2134" t="s">
        <v>5043</v>
      </c>
      <c r="B2134" t="s">
        <v>2675</v>
      </c>
      <c r="C2134">
        <v>19</v>
      </c>
      <c r="D2134">
        <v>25</v>
      </c>
    </row>
    <row r="2135" spans="1:4" ht="14.25">
      <c r="A2135" t="s">
        <v>5044</v>
      </c>
      <c r="B2135" t="s">
        <v>2675</v>
      </c>
      <c r="C2135">
        <v>8</v>
      </c>
      <c r="D2135">
        <v>40</v>
      </c>
    </row>
    <row r="2136" spans="1:4" ht="14.25">
      <c r="A2136" t="s">
        <v>5045</v>
      </c>
      <c r="B2136" t="s">
        <v>2675</v>
      </c>
      <c r="C2136">
        <v>9</v>
      </c>
      <c r="D2136">
        <v>20</v>
      </c>
    </row>
    <row r="2137" spans="1:4" ht="14.25">
      <c r="A2137" t="s">
        <v>5046</v>
      </c>
      <c r="B2137" t="s">
        <v>2675</v>
      </c>
      <c r="C2137">
        <v>19</v>
      </c>
      <c r="D2137">
        <v>25</v>
      </c>
    </row>
    <row r="2138" spans="1:4" ht="14.25">
      <c r="A2138" t="s">
        <v>5047</v>
      </c>
      <c r="B2138" t="s">
        <v>2675</v>
      </c>
      <c r="C2138">
        <v>8</v>
      </c>
      <c r="D2138">
        <v>40</v>
      </c>
    </row>
    <row r="2139" spans="1:4" ht="14.25">
      <c r="A2139" t="s">
        <v>5048</v>
      </c>
      <c r="B2139" t="s">
        <v>2675</v>
      </c>
      <c r="C2139">
        <v>9</v>
      </c>
      <c r="D2139">
        <v>20</v>
      </c>
    </row>
    <row r="2140" spans="1:4" ht="14.25">
      <c r="A2140" t="s">
        <v>5049</v>
      </c>
      <c r="B2140" t="s">
        <v>2675</v>
      </c>
      <c r="C2140">
        <v>21</v>
      </c>
      <c r="D2140">
        <v>31</v>
      </c>
    </row>
    <row r="2141" spans="1:4" ht="14.25">
      <c r="A2141" t="s">
        <v>5050</v>
      </c>
      <c r="B2141" t="s">
        <v>2675</v>
      </c>
      <c r="C2141">
        <v>9</v>
      </c>
      <c r="D2141">
        <v>20</v>
      </c>
    </row>
    <row r="2142" spans="1:4" ht="14.25">
      <c r="A2142" t="s">
        <v>5051</v>
      </c>
      <c r="B2142" t="s">
        <v>2675</v>
      </c>
      <c r="C2142">
        <v>21</v>
      </c>
      <c r="D2142">
        <v>31</v>
      </c>
    </row>
    <row r="2143" spans="1:4" ht="14.25">
      <c r="A2143" t="s">
        <v>5052</v>
      </c>
      <c r="B2143" t="s">
        <v>5053</v>
      </c>
      <c r="C2143">
        <v>9</v>
      </c>
      <c r="D2143">
        <v>20</v>
      </c>
    </row>
    <row r="2144" spans="1:4" ht="14.25">
      <c r="A2144" t="s">
        <v>5054</v>
      </c>
      <c r="B2144" t="s">
        <v>5053</v>
      </c>
      <c r="C2144">
        <v>19</v>
      </c>
      <c r="D2144">
        <v>25</v>
      </c>
    </row>
    <row r="2145" spans="1:4" ht="14.25">
      <c r="A2145" t="s">
        <v>5055</v>
      </c>
      <c r="B2145" t="s">
        <v>5056</v>
      </c>
      <c r="C2145">
        <v>8</v>
      </c>
      <c r="D2145">
        <v>40</v>
      </c>
    </row>
    <row r="2146" spans="1:4" ht="14.25">
      <c r="A2146" t="s">
        <v>5057</v>
      </c>
      <c r="B2146" t="s">
        <v>2727</v>
      </c>
      <c r="C2146">
        <v>9</v>
      </c>
      <c r="D2146">
        <v>20</v>
      </c>
    </row>
    <row r="2147" spans="1:4" ht="14.25">
      <c r="A2147" t="s">
        <v>5058</v>
      </c>
      <c r="B2147" t="s">
        <v>2727</v>
      </c>
      <c r="C2147">
        <v>8</v>
      </c>
      <c r="D2147">
        <v>40</v>
      </c>
    </row>
    <row r="2148" spans="1:4" ht="14.25">
      <c r="A2148" t="s">
        <v>5764</v>
      </c>
      <c r="B2148" t="s">
        <v>5765</v>
      </c>
      <c r="C2148">
        <v>0</v>
      </c>
      <c r="D2148">
        <v>0</v>
      </c>
    </row>
    <row r="2149" spans="1:4" ht="14.25">
      <c r="A2149" t="s">
        <v>5766</v>
      </c>
      <c r="B2149" t="s">
        <v>5765</v>
      </c>
      <c r="C2149">
        <v>0</v>
      </c>
      <c r="D2149">
        <v>0</v>
      </c>
    </row>
    <row r="2150" spans="1:4" ht="14.25">
      <c r="A2150" t="s">
        <v>5059</v>
      </c>
      <c r="B2150" t="s">
        <v>2746</v>
      </c>
      <c r="C2150">
        <v>9</v>
      </c>
      <c r="D2150">
        <v>20</v>
      </c>
    </row>
    <row r="2151" spans="1:4" ht="14.25">
      <c r="A2151" t="s">
        <v>5060</v>
      </c>
      <c r="B2151" t="s">
        <v>2746</v>
      </c>
      <c r="C2151">
        <v>9</v>
      </c>
      <c r="D2151">
        <v>20</v>
      </c>
    </row>
    <row r="2152" spans="1:4" ht="14.25">
      <c r="A2152" t="s">
        <v>5767</v>
      </c>
      <c r="B2152" t="s">
        <v>2746</v>
      </c>
      <c r="C2152">
        <v>9</v>
      </c>
      <c r="D2152">
        <v>20</v>
      </c>
    </row>
    <row r="2153" spans="1:4" ht="14.25">
      <c r="A2153" t="s">
        <v>5768</v>
      </c>
      <c r="B2153" t="s">
        <v>5769</v>
      </c>
      <c r="C2153">
        <v>9</v>
      </c>
      <c r="D2153">
        <v>20</v>
      </c>
    </row>
    <row r="2154" spans="1:4" ht="14.25">
      <c r="A2154" t="s">
        <v>5770</v>
      </c>
      <c r="B2154" t="s">
        <v>5771</v>
      </c>
      <c r="C2154">
        <v>9</v>
      </c>
      <c r="D2154">
        <v>20</v>
      </c>
    </row>
    <row r="2155" spans="1:4" ht="14.25">
      <c r="A2155" t="s">
        <v>5772</v>
      </c>
      <c r="B2155" t="s">
        <v>2754</v>
      </c>
      <c r="C2155">
        <v>9</v>
      </c>
      <c r="D2155">
        <v>20</v>
      </c>
    </row>
    <row r="2156" spans="1:4" ht="14.25">
      <c r="A2156" t="s">
        <v>5773</v>
      </c>
      <c r="B2156" t="s">
        <v>2758</v>
      </c>
      <c r="C2156">
        <v>9</v>
      </c>
      <c r="D2156">
        <v>20</v>
      </c>
    </row>
    <row r="2157" spans="1:4" ht="14.25">
      <c r="A2157" t="s">
        <v>5061</v>
      </c>
      <c r="B2157" t="s">
        <v>5062</v>
      </c>
      <c r="C2157">
        <v>9</v>
      </c>
      <c r="D2157">
        <v>20</v>
      </c>
    </row>
    <row r="2158" spans="1:4" ht="14.25">
      <c r="A2158" t="s">
        <v>5774</v>
      </c>
      <c r="B2158" t="s">
        <v>5062</v>
      </c>
      <c r="C2158">
        <v>9</v>
      </c>
      <c r="D2158">
        <v>20</v>
      </c>
    </row>
    <row r="2159" spans="1:4" ht="14.25">
      <c r="A2159" t="s">
        <v>5775</v>
      </c>
      <c r="B2159" t="s">
        <v>5776</v>
      </c>
      <c r="C2159">
        <v>9</v>
      </c>
      <c r="D2159">
        <v>20</v>
      </c>
    </row>
    <row r="2160" spans="1:4" ht="14.25">
      <c r="A2160" t="s">
        <v>5777</v>
      </c>
      <c r="B2160" t="s">
        <v>3867</v>
      </c>
      <c r="C2160">
        <v>9</v>
      </c>
      <c r="D2160">
        <v>20</v>
      </c>
    </row>
    <row r="2161" spans="1:4" ht="14.25">
      <c r="A2161" t="s">
        <v>5778</v>
      </c>
      <c r="B2161" t="s">
        <v>5779</v>
      </c>
      <c r="C2161">
        <v>9</v>
      </c>
      <c r="D2161">
        <v>20</v>
      </c>
    </row>
    <row r="2162" spans="1:4" ht="14.25">
      <c r="A2162" t="s">
        <v>5063</v>
      </c>
      <c r="B2162" t="s">
        <v>5064</v>
      </c>
      <c r="C2162">
        <v>9</v>
      </c>
      <c r="D2162">
        <v>20</v>
      </c>
    </row>
    <row r="2163" spans="1:4" ht="14.25">
      <c r="A2163" t="s">
        <v>5780</v>
      </c>
      <c r="B2163" t="s">
        <v>5064</v>
      </c>
      <c r="C2163">
        <v>9</v>
      </c>
      <c r="D2163">
        <v>20</v>
      </c>
    </row>
    <row r="2164" spans="1:4" ht="14.25">
      <c r="A2164" t="s">
        <v>5781</v>
      </c>
      <c r="B2164" t="s">
        <v>5782</v>
      </c>
      <c r="C2164">
        <v>9</v>
      </c>
      <c r="D2164">
        <v>20</v>
      </c>
    </row>
    <row r="2165" spans="1:4" ht="14.25">
      <c r="A2165" t="s">
        <v>5065</v>
      </c>
      <c r="B2165">
        <v>12</v>
      </c>
      <c r="C2165">
        <v>9</v>
      </c>
      <c r="D2165">
        <v>20</v>
      </c>
    </row>
    <row r="2166" spans="1:4" ht="14.25">
      <c r="A2166" t="s">
        <v>5783</v>
      </c>
      <c r="B2166" t="s">
        <v>5784</v>
      </c>
      <c r="C2166">
        <v>9</v>
      </c>
      <c r="D2166">
        <v>20</v>
      </c>
    </row>
    <row r="2167" spans="1:4" ht="14.25">
      <c r="A2167" t="s">
        <v>5785</v>
      </c>
      <c r="B2167" t="s">
        <v>5786</v>
      </c>
      <c r="C2167">
        <v>9</v>
      </c>
      <c r="D2167">
        <v>20</v>
      </c>
    </row>
    <row r="2168" spans="1:4" ht="14.25">
      <c r="A2168" t="s">
        <v>5787</v>
      </c>
      <c r="B2168" t="s">
        <v>5788</v>
      </c>
      <c r="C2168">
        <v>9</v>
      </c>
      <c r="D2168">
        <v>20</v>
      </c>
    </row>
    <row r="2169" spans="1:4" ht="14.25">
      <c r="A2169" t="s">
        <v>5066</v>
      </c>
      <c r="B2169" t="s">
        <v>2774</v>
      </c>
      <c r="C2169">
        <v>18</v>
      </c>
      <c r="D2169">
        <v>45</v>
      </c>
    </row>
    <row r="2170" spans="1:4" ht="14.25">
      <c r="A2170" t="s">
        <v>5789</v>
      </c>
      <c r="B2170" t="s">
        <v>2774</v>
      </c>
      <c r="C2170">
        <v>9</v>
      </c>
      <c r="D2170">
        <v>20</v>
      </c>
    </row>
    <row r="2171" spans="1:4" ht="14.25">
      <c r="A2171" t="s">
        <v>5790</v>
      </c>
      <c r="B2171" t="s">
        <v>5791</v>
      </c>
      <c r="C2171">
        <v>9</v>
      </c>
      <c r="D2171">
        <v>20</v>
      </c>
    </row>
    <row r="2172" spans="1:4" ht="14.25">
      <c r="A2172" t="s">
        <v>5792</v>
      </c>
      <c r="B2172" t="s">
        <v>5793</v>
      </c>
      <c r="C2172">
        <v>9</v>
      </c>
      <c r="D2172">
        <v>20</v>
      </c>
    </row>
    <row r="2173" spans="1:4" ht="14.25">
      <c r="A2173" t="s">
        <v>5794</v>
      </c>
      <c r="B2173" t="s">
        <v>2788</v>
      </c>
      <c r="C2173">
        <v>9</v>
      </c>
      <c r="D2173">
        <v>20</v>
      </c>
    </row>
    <row r="2174" spans="1:4" ht="14.25">
      <c r="A2174" t="s">
        <v>5067</v>
      </c>
      <c r="B2174" t="s">
        <v>2779</v>
      </c>
      <c r="C2174">
        <v>9</v>
      </c>
      <c r="D2174">
        <v>20</v>
      </c>
    </row>
    <row r="2175" spans="1:4" ht="14.25">
      <c r="A2175" t="s">
        <v>5068</v>
      </c>
      <c r="B2175" t="s">
        <v>5069</v>
      </c>
      <c r="C2175">
        <v>9</v>
      </c>
      <c r="D2175">
        <v>20</v>
      </c>
    </row>
    <row r="2176" spans="1:4" ht="14.25">
      <c r="A2176" t="s">
        <v>5070</v>
      </c>
      <c r="B2176" t="s">
        <v>5069</v>
      </c>
      <c r="C2176">
        <v>18</v>
      </c>
      <c r="D2176">
        <v>45</v>
      </c>
    </row>
    <row r="2177" spans="1:4" ht="14.25">
      <c r="A2177" t="s">
        <v>5071</v>
      </c>
      <c r="B2177" t="s">
        <v>5072</v>
      </c>
      <c r="C2177">
        <v>9</v>
      </c>
      <c r="D2177">
        <v>20</v>
      </c>
    </row>
    <row r="2178" spans="1:4" ht="14.25">
      <c r="A2178" t="s">
        <v>5073</v>
      </c>
      <c r="B2178" t="s">
        <v>2783</v>
      </c>
      <c r="C2178">
        <v>9</v>
      </c>
      <c r="D2178">
        <v>20</v>
      </c>
    </row>
    <row r="2179" spans="1:4" ht="14.25">
      <c r="A2179" t="s">
        <v>5074</v>
      </c>
      <c r="B2179" t="s">
        <v>2785</v>
      </c>
      <c r="C2179">
        <v>9</v>
      </c>
      <c r="D2179">
        <v>20</v>
      </c>
    </row>
    <row r="2180" spans="1:4" ht="14.25">
      <c r="A2180" t="s">
        <v>5075</v>
      </c>
      <c r="B2180" t="s">
        <v>5076</v>
      </c>
      <c r="C2180">
        <v>9</v>
      </c>
      <c r="D2180">
        <v>20</v>
      </c>
    </row>
    <row r="2181" spans="1:4" ht="14.25">
      <c r="A2181" t="s">
        <v>5077</v>
      </c>
      <c r="C2181">
        <v>9</v>
      </c>
      <c r="D2181">
        <v>20</v>
      </c>
    </row>
    <row r="2182" spans="1:4" ht="14.25">
      <c r="A2182" t="s">
        <v>5078</v>
      </c>
      <c r="C2182">
        <v>9</v>
      </c>
      <c r="D2182">
        <v>20</v>
      </c>
    </row>
    <row r="2183" spans="1:4" ht="14.25">
      <c r="A2183" t="s">
        <v>5079</v>
      </c>
      <c r="B2183">
        <v>1703</v>
      </c>
      <c r="C2183">
        <v>8</v>
      </c>
      <c r="D2183">
        <v>40</v>
      </c>
    </row>
    <row r="2184" spans="1:4" ht="14.25">
      <c r="A2184" t="s">
        <v>5080</v>
      </c>
      <c r="C2184">
        <v>9</v>
      </c>
      <c r="D2184">
        <v>20</v>
      </c>
    </row>
    <row r="2185" spans="1:4" ht="14.25">
      <c r="A2185" t="s">
        <v>5081</v>
      </c>
      <c r="C2185">
        <v>9</v>
      </c>
      <c r="D2185">
        <v>20</v>
      </c>
    </row>
    <row r="2186" spans="1:4" ht="14.25">
      <c r="A2186" t="s">
        <v>5082</v>
      </c>
      <c r="C2186">
        <v>16</v>
      </c>
      <c r="D2186">
        <v>20</v>
      </c>
    </row>
    <row r="2187" spans="1:4" ht="14.25">
      <c r="A2187" t="s">
        <v>5083</v>
      </c>
      <c r="C2187">
        <v>16</v>
      </c>
      <c r="D2187">
        <v>20</v>
      </c>
    </row>
    <row r="2188" spans="1:4" ht="14.25">
      <c r="A2188" t="s">
        <v>5084</v>
      </c>
      <c r="C2188">
        <v>16</v>
      </c>
      <c r="D2188">
        <v>20</v>
      </c>
    </row>
    <row r="2189" spans="1:4" ht="14.25">
      <c r="A2189" t="s">
        <v>5085</v>
      </c>
      <c r="C2189">
        <v>16</v>
      </c>
      <c r="D2189">
        <v>20</v>
      </c>
    </row>
    <row r="2190" spans="1:4" ht="14.25">
      <c r="A2190" t="s">
        <v>5086</v>
      </c>
      <c r="C2190">
        <v>16</v>
      </c>
      <c r="D2190">
        <v>20</v>
      </c>
    </row>
    <row r="2191" spans="1:4" ht="14.25">
      <c r="A2191" t="s">
        <v>5087</v>
      </c>
      <c r="C2191">
        <v>16</v>
      </c>
      <c r="D2191">
        <v>20</v>
      </c>
    </row>
    <row r="2192" spans="1:4" ht="14.25">
      <c r="A2192" t="s">
        <v>5088</v>
      </c>
      <c r="C2192">
        <v>16</v>
      </c>
      <c r="D2192">
        <v>20</v>
      </c>
    </row>
    <row r="2193" spans="1:4" ht="14.25">
      <c r="A2193" t="s">
        <v>5089</v>
      </c>
      <c r="C2193">
        <v>16</v>
      </c>
      <c r="D2193">
        <v>20</v>
      </c>
    </row>
    <row r="2194" spans="1:4" ht="14.25">
      <c r="A2194" t="s">
        <v>5090</v>
      </c>
      <c r="C2194">
        <v>16</v>
      </c>
      <c r="D2194">
        <v>20</v>
      </c>
    </row>
    <row r="2195" spans="1:4" ht="14.25">
      <c r="A2195" t="s">
        <v>5091</v>
      </c>
      <c r="C2195">
        <v>16</v>
      </c>
      <c r="D2195">
        <v>20</v>
      </c>
    </row>
    <row r="2196" spans="1:4" ht="14.25">
      <c r="A2196" t="s">
        <v>5092</v>
      </c>
      <c r="C2196">
        <v>16</v>
      </c>
      <c r="D2196">
        <v>20</v>
      </c>
    </row>
    <row r="2197" spans="1:4" ht="14.25">
      <c r="A2197" t="s">
        <v>5093</v>
      </c>
      <c r="C2197">
        <v>16</v>
      </c>
      <c r="D2197">
        <v>20</v>
      </c>
    </row>
    <row r="2198" spans="1:4" ht="14.25">
      <c r="A2198" t="s">
        <v>5094</v>
      </c>
      <c r="B2198">
        <v>1920</v>
      </c>
      <c r="C2198">
        <v>16</v>
      </c>
      <c r="D2198">
        <v>20</v>
      </c>
    </row>
    <row r="2199" spans="1:4" ht="14.25">
      <c r="A2199" t="s">
        <v>5095</v>
      </c>
      <c r="B2199">
        <v>1920</v>
      </c>
      <c r="C2199">
        <v>9</v>
      </c>
      <c r="D2199">
        <v>25</v>
      </c>
    </row>
    <row r="2200" spans="1:4" ht="14.25">
      <c r="A2200" t="s">
        <v>5096</v>
      </c>
      <c r="C2200">
        <v>16</v>
      </c>
      <c r="D2200">
        <v>20</v>
      </c>
    </row>
    <row r="2201" spans="1:4" ht="14.25">
      <c r="A2201" t="s">
        <v>5097</v>
      </c>
      <c r="C2201">
        <v>16</v>
      </c>
      <c r="D2201">
        <v>20</v>
      </c>
    </row>
    <row r="2202" spans="1:4" ht="14.25">
      <c r="A2202" t="s">
        <v>5098</v>
      </c>
      <c r="C2202">
        <v>16</v>
      </c>
      <c r="D2202">
        <v>20</v>
      </c>
    </row>
    <row r="2203" spans="1:4" ht="14.25">
      <c r="A2203" t="s">
        <v>5099</v>
      </c>
      <c r="C2203">
        <v>16</v>
      </c>
      <c r="D2203">
        <v>20</v>
      </c>
    </row>
    <row r="2204" spans="1:4" ht="14.25">
      <c r="A2204" t="s">
        <v>5100</v>
      </c>
      <c r="C2204">
        <v>16</v>
      </c>
      <c r="D2204">
        <v>20</v>
      </c>
    </row>
    <row r="2205" spans="1:4" ht="14.25">
      <c r="A2205" t="s">
        <v>5101</v>
      </c>
      <c r="C2205">
        <v>16</v>
      </c>
      <c r="D2205">
        <v>20</v>
      </c>
    </row>
    <row r="2206" spans="1:4" ht="14.25">
      <c r="A2206" t="s">
        <v>5102</v>
      </c>
      <c r="C2206">
        <v>16</v>
      </c>
      <c r="D2206">
        <v>20</v>
      </c>
    </row>
    <row r="2207" spans="1:4" ht="14.25">
      <c r="A2207" t="s">
        <v>5103</v>
      </c>
      <c r="C2207">
        <v>16</v>
      </c>
      <c r="D2207">
        <v>20</v>
      </c>
    </row>
    <row r="2208" spans="1:4" ht="14.25">
      <c r="A2208" t="s">
        <v>5104</v>
      </c>
      <c r="C2208">
        <v>16</v>
      </c>
      <c r="D2208">
        <v>20</v>
      </c>
    </row>
    <row r="2209" spans="1:4" ht="14.25">
      <c r="A2209" t="s">
        <v>5105</v>
      </c>
      <c r="C2209">
        <v>16</v>
      </c>
      <c r="D2209">
        <v>20</v>
      </c>
    </row>
    <row r="2210" spans="1:4" ht="14.25">
      <c r="A2210" t="s">
        <v>5106</v>
      </c>
      <c r="C2210">
        <v>16</v>
      </c>
      <c r="D2210">
        <v>20</v>
      </c>
    </row>
    <row r="2211" spans="1:4" ht="14.25">
      <c r="A2211" t="s">
        <v>5107</v>
      </c>
      <c r="C2211">
        <v>16</v>
      </c>
      <c r="D2211">
        <v>20</v>
      </c>
    </row>
    <row r="2212" spans="1:4" ht="14.25">
      <c r="A2212" t="s">
        <v>5108</v>
      </c>
      <c r="B2212">
        <v>2455</v>
      </c>
      <c r="C2212">
        <v>8</v>
      </c>
      <c r="D2212">
        <v>25</v>
      </c>
    </row>
    <row r="2213" spans="1:4" ht="14.25">
      <c r="A2213" t="s">
        <v>5109</v>
      </c>
      <c r="C2213">
        <v>16</v>
      </c>
      <c r="D2213">
        <v>20</v>
      </c>
    </row>
    <row r="2214" spans="1:4" ht="14.25">
      <c r="A2214" t="s">
        <v>5110</v>
      </c>
      <c r="C2214">
        <v>16</v>
      </c>
      <c r="D2214">
        <v>20</v>
      </c>
    </row>
    <row r="2215" spans="1:4" ht="14.25">
      <c r="A2215" t="s">
        <v>5111</v>
      </c>
      <c r="C2215">
        <v>16</v>
      </c>
      <c r="D2215">
        <v>20</v>
      </c>
    </row>
    <row r="2216" spans="1:4" ht="14.25">
      <c r="A2216" t="s">
        <v>5112</v>
      </c>
      <c r="C2216">
        <v>16</v>
      </c>
      <c r="D2216">
        <v>20</v>
      </c>
    </row>
    <row r="2217" spans="1:4" ht="14.25">
      <c r="A2217" t="s">
        <v>5113</v>
      </c>
      <c r="C2217">
        <v>16</v>
      </c>
      <c r="D2217">
        <v>20</v>
      </c>
    </row>
    <row r="2218" spans="1:4" ht="14.25">
      <c r="A2218" t="s">
        <v>5114</v>
      </c>
      <c r="C2218">
        <v>16</v>
      </c>
      <c r="D2218">
        <v>20</v>
      </c>
    </row>
    <row r="2219" spans="1:4" ht="14.25">
      <c r="A2219" t="s">
        <v>5115</v>
      </c>
      <c r="B2219">
        <v>2461</v>
      </c>
      <c r="C2219">
        <v>8</v>
      </c>
      <c r="D2219">
        <v>40</v>
      </c>
    </row>
    <row r="2220" spans="1:4" ht="14.25">
      <c r="A2220" t="s">
        <v>5116</v>
      </c>
      <c r="B2220">
        <v>2462</v>
      </c>
      <c r="C2220">
        <v>16</v>
      </c>
      <c r="D2220">
        <v>20</v>
      </c>
    </row>
    <row r="2221" spans="1:4" ht="14.25">
      <c r="A2221" t="s">
        <v>5117</v>
      </c>
      <c r="C2221">
        <v>16</v>
      </c>
      <c r="D2221">
        <v>20</v>
      </c>
    </row>
    <row r="2222" spans="1:4" ht="14.25">
      <c r="A2222" t="s">
        <v>5118</v>
      </c>
      <c r="C2222">
        <v>16</v>
      </c>
      <c r="D2222">
        <v>20</v>
      </c>
    </row>
    <row r="2223" spans="1:4" ht="14.25">
      <c r="A2223" t="s">
        <v>5119</v>
      </c>
      <c r="B2223">
        <v>2464</v>
      </c>
      <c r="C2223">
        <v>8</v>
      </c>
      <c r="D2223">
        <v>25</v>
      </c>
    </row>
    <row r="2224" spans="1:4" ht="14.25">
      <c r="A2224" t="s">
        <v>5120</v>
      </c>
      <c r="C2224">
        <v>16</v>
      </c>
      <c r="D2224">
        <v>20</v>
      </c>
    </row>
    <row r="2225" spans="1:4" ht="14.25">
      <c r="A2225" t="s">
        <v>5121</v>
      </c>
      <c r="C2225">
        <v>16</v>
      </c>
      <c r="D2225">
        <v>20</v>
      </c>
    </row>
    <row r="2226" spans="1:4" ht="14.25">
      <c r="A2226" t="s">
        <v>5122</v>
      </c>
      <c r="C2226">
        <v>16</v>
      </c>
      <c r="D2226">
        <v>20</v>
      </c>
    </row>
    <row r="2227" spans="1:4" ht="14.25">
      <c r="A2227" t="s">
        <v>5123</v>
      </c>
      <c r="C2227">
        <v>16</v>
      </c>
      <c r="D2227">
        <v>20</v>
      </c>
    </row>
    <row r="2228" spans="1:4" ht="14.25">
      <c r="A2228" t="s">
        <v>5124</v>
      </c>
      <c r="C2228">
        <v>16</v>
      </c>
      <c r="D2228">
        <v>20</v>
      </c>
    </row>
    <row r="2229" spans="1:4" ht="14.25">
      <c r="A2229" t="s">
        <v>5125</v>
      </c>
      <c r="C2229">
        <v>16</v>
      </c>
      <c r="D2229">
        <v>20</v>
      </c>
    </row>
    <row r="2230" spans="1:4" ht="14.25">
      <c r="A2230" t="s">
        <v>5126</v>
      </c>
      <c r="C2230">
        <v>16</v>
      </c>
      <c r="D2230">
        <v>20</v>
      </c>
    </row>
    <row r="2231" spans="1:4" ht="14.25">
      <c r="A2231" t="s">
        <v>5127</v>
      </c>
      <c r="C2231">
        <v>16</v>
      </c>
      <c r="D2231">
        <v>20</v>
      </c>
    </row>
    <row r="2232" spans="1:4" ht="14.25">
      <c r="A2232" t="s">
        <v>5128</v>
      </c>
      <c r="C2232">
        <v>9</v>
      </c>
      <c r="D2232">
        <v>20</v>
      </c>
    </row>
    <row r="2233" spans="1:4" ht="14.25">
      <c r="A2233" t="s">
        <v>5129</v>
      </c>
      <c r="C2233">
        <v>11</v>
      </c>
      <c r="D2233">
        <v>40</v>
      </c>
    </row>
    <row r="2234" spans="1:4" ht="14.25">
      <c r="A2234" t="s">
        <v>5130</v>
      </c>
      <c r="C2234">
        <v>16</v>
      </c>
      <c r="D2234">
        <v>20</v>
      </c>
    </row>
    <row r="2235" spans="1:4" ht="14.25">
      <c r="A2235" t="s">
        <v>5131</v>
      </c>
      <c r="C2235">
        <v>16</v>
      </c>
      <c r="D2235">
        <v>20</v>
      </c>
    </row>
    <row r="2236" spans="1:4" ht="14.25">
      <c r="A2236" t="s">
        <v>5132</v>
      </c>
      <c r="C2236">
        <v>16</v>
      </c>
      <c r="D2236">
        <v>20</v>
      </c>
    </row>
    <row r="2237" spans="1:4" ht="14.25">
      <c r="A2237" t="s">
        <v>5133</v>
      </c>
      <c r="C2237">
        <v>16</v>
      </c>
      <c r="D2237">
        <v>20</v>
      </c>
    </row>
    <row r="2238" spans="1:4" ht="14.25">
      <c r="A2238" t="s">
        <v>5134</v>
      </c>
      <c r="C2238">
        <v>16</v>
      </c>
      <c r="D2238">
        <v>20</v>
      </c>
    </row>
    <row r="2239" spans="1:4" ht="14.25">
      <c r="A2239" t="s">
        <v>5135</v>
      </c>
      <c r="C2239">
        <v>16</v>
      </c>
      <c r="D2239">
        <v>20</v>
      </c>
    </row>
    <row r="2240" spans="1:4" ht="14.25">
      <c r="A2240" t="s">
        <v>5136</v>
      </c>
      <c r="B2240">
        <v>6339</v>
      </c>
      <c r="C2240">
        <v>16</v>
      </c>
      <c r="D2240">
        <v>20</v>
      </c>
    </row>
    <row r="2241" spans="1:4" ht="14.25">
      <c r="A2241" t="s">
        <v>5137</v>
      </c>
      <c r="C2241">
        <v>16</v>
      </c>
      <c r="D2241">
        <v>20</v>
      </c>
    </row>
    <row r="2242" spans="1:4" ht="14.25">
      <c r="A2242" t="s">
        <v>5138</v>
      </c>
      <c r="C2242">
        <v>16</v>
      </c>
      <c r="D2242">
        <v>20</v>
      </c>
    </row>
    <row r="2243" spans="1:4" ht="14.25">
      <c r="A2243" t="s">
        <v>5139</v>
      </c>
      <c r="C2243">
        <v>16</v>
      </c>
      <c r="D2243">
        <v>20</v>
      </c>
    </row>
    <row r="2244" spans="1:4" ht="14.25">
      <c r="A2244" t="s">
        <v>5140</v>
      </c>
      <c r="B2244">
        <v>1644</v>
      </c>
      <c r="C2244">
        <v>11</v>
      </c>
      <c r="D2244">
        <v>20</v>
      </c>
    </row>
    <row r="2245" spans="1:4" ht="14.25">
      <c r="A2245" t="s">
        <v>5141</v>
      </c>
      <c r="B2245">
        <v>1678</v>
      </c>
      <c r="C2245">
        <v>11</v>
      </c>
      <c r="D2245">
        <v>20</v>
      </c>
    </row>
    <row r="2246" spans="1:4" ht="14.25">
      <c r="A2246" t="s">
        <v>5142</v>
      </c>
      <c r="B2246">
        <v>1684</v>
      </c>
      <c r="C2246">
        <v>11</v>
      </c>
      <c r="D2246">
        <v>20</v>
      </c>
    </row>
    <row r="2247" spans="1:4" ht="14.25">
      <c r="A2247" t="s">
        <v>5143</v>
      </c>
      <c r="B2247">
        <v>1686</v>
      </c>
      <c r="C2247">
        <v>11</v>
      </c>
      <c r="D2247">
        <v>20</v>
      </c>
    </row>
    <row r="2248" spans="1:4" ht="14.25">
      <c r="A2248" t="s">
        <v>5144</v>
      </c>
      <c r="C2248">
        <v>11</v>
      </c>
      <c r="D2248">
        <v>20</v>
      </c>
    </row>
    <row r="2249" spans="1:4" ht="14.25">
      <c r="A2249" t="s">
        <v>5145</v>
      </c>
      <c r="B2249">
        <v>1687</v>
      </c>
      <c r="C2249">
        <v>11</v>
      </c>
      <c r="D2249">
        <v>20</v>
      </c>
    </row>
    <row r="2250" spans="1:4" ht="14.25">
      <c r="A2250" t="s">
        <v>5146</v>
      </c>
      <c r="B2250">
        <v>1696</v>
      </c>
      <c r="C2250">
        <v>11</v>
      </c>
      <c r="D2250">
        <v>20</v>
      </c>
    </row>
    <row r="2251" spans="1:4" ht="14.25">
      <c r="A2251" t="s">
        <v>5147</v>
      </c>
      <c r="B2251">
        <v>1697</v>
      </c>
      <c r="C2251">
        <v>11</v>
      </c>
      <c r="D2251">
        <v>20</v>
      </c>
    </row>
    <row r="2252" spans="1:4" ht="14.25">
      <c r="A2252" t="s">
        <v>5148</v>
      </c>
      <c r="B2252">
        <v>1698</v>
      </c>
      <c r="C2252">
        <v>11</v>
      </c>
      <c r="D2252">
        <v>20</v>
      </c>
    </row>
    <row r="2253" spans="1:4" ht="14.25">
      <c r="A2253" t="s">
        <v>5149</v>
      </c>
      <c r="B2253">
        <v>1700</v>
      </c>
      <c r="C2253">
        <v>11</v>
      </c>
      <c r="D2253">
        <v>20</v>
      </c>
    </row>
    <row r="2254" spans="1:4" ht="14.25">
      <c r="A2254" t="s">
        <v>5150</v>
      </c>
      <c r="B2254">
        <v>1702</v>
      </c>
      <c r="C2254">
        <v>11</v>
      </c>
      <c r="D2254">
        <v>20</v>
      </c>
    </row>
    <row r="2255" spans="1:4" ht="14.25">
      <c r="A2255" t="s">
        <v>5151</v>
      </c>
      <c r="B2255">
        <v>1703</v>
      </c>
      <c r="C2255">
        <v>11</v>
      </c>
      <c r="D2255">
        <v>20</v>
      </c>
    </row>
    <row r="2256" spans="1:4" ht="14.25">
      <c r="A2256" t="s">
        <v>5152</v>
      </c>
      <c r="B2256">
        <v>1744</v>
      </c>
      <c r="C2256">
        <v>11</v>
      </c>
      <c r="D2256">
        <v>20</v>
      </c>
    </row>
    <row r="2257" spans="1:4" ht="14.25">
      <c r="A2257" t="s">
        <v>5153</v>
      </c>
      <c r="B2257">
        <v>1745</v>
      </c>
      <c r="C2257">
        <v>11</v>
      </c>
      <c r="D2257">
        <v>20</v>
      </c>
    </row>
    <row r="2258" spans="1:4" ht="14.25">
      <c r="A2258" t="s">
        <v>5154</v>
      </c>
      <c r="B2258">
        <v>1746</v>
      </c>
      <c r="C2258">
        <v>11</v>
      </c>
      <c r="D2258">
        <v>20</v>
      </c>
    </row>
    <row r="2259" spans="1:4" ht="14.25">
      <c r="A2259" t="s">
        <v>5155</v>
      </c>
      <c r="B2259">
        <v>1895</v>
      </c>
      <c r="C2259">
        <v>11</v>
      </c>
      <c r="D2259">
        <v>20</v>
      </c>
    </row>
    <row r="2260" spans="1:4" ht="14.25">
      <c r="A2260" t="s">
        <v>5156</v>
      </c>
      <c r="B2260">
        <v>1896</v>
      </c>
      <c r="C2260">
        <v>11</v>
      </c>
      <c r="D2260">
        <v>20</v>
      </c>
    </row>
    <row r="2261" spans="1:4" ht="14.25">
      <c r="A2261" t="s">
        <v>5157</v>
      </c>
      <c r="B2261">
        <v>1897</v>
      </c>
      <c r="C2261">
        <v>11</v>
      </c>
      <c r="D2261">
        <v>20</v>
      </c>
    </row>
    <row r="2262" spans="1:4" ht="14.25">
      <c r="A2262" t="s">
        <v>5158</v>
      </c>
      <c r="B2262">
        <v>1898</v>
      </c>
      <c r="C2262">
        <v>11</v>
      </c>
      <c r="D2262">
        <v>20</v>
      </c>
    </row>
    <row r="2263" spans="1:4" ht="14.25">
      <c r="A2263" t="s">
        <v>5159</v>
      </c>
      <c r="B2263">
        <v>1899</v>
      </c>
      <c r="C2263">
        <v>11</v>
      </c>
      <c r="D2263">
        <v>20</v>
      </c>
    </row>
    <row r="2264" spans="1:4" ht="14.25">
      <c r="A2264" t="s">
        <v>5160</v>
      </c>
      <c r="B2264">
        <v>1900</v>
      </c>
      <c r="C2264">
        <v>11</v>
      </c>
      <c r="D2264">
        <v>20</v>
      </c>
    </row>
    <row r="2265" spans="1:4" ht="14.25">
      <c r="A2265" t="s">
        <v>5161</v>
      </c>
      <c r="B2265">
        <v>1901</v>
      </c>
      <c r="C2265">
        <v>11</v>
      </c>
      <c r="D2265">
        <v>20</v>
      </c>
    </row>
    <row r="2266" spans="1:4" ht="14.25">
      <c r="A2266" t="s">
        <v>5162</v>
      </c>
      <c r="B2266">
        <v>1902</v>
      </c>
      <c r="C2266">
        <v>11</v>
      </c>
      <c r="D2266">
        <v>20</v>
      </c>
    </row>
    <row r="2267" spans="1:4" ht="14.25">
      <c r="A2267" t="s">
        <v>5163</v>
      </c>
      <c r="B2267">
        <v>1903</v>
      </c>
      <c r="C2267">
        <v>11</v>
      </c>
      <c r="D2267">
        <v>20</v>
      </c>
    </row>
    <row r="2268" spans="1:4" ht="14.25">
      <c r="A2268" t="s">
        <v>5164</v>
      </c>
      <c r="B2268">
        <v>1904</v>
      </c>
      <c r="C2268">
        <v>11</v>
      </c>
      <c r="D2268">
        <v>20</v>
      </c>
    </row>
    <row r="2269" spans="1:4" ht="14.25">
      <c r="A2269" t="s">
        <v>5165</v>
      </c>
      <c r="B2269">
        <v>1907</v>
      </c>
      <c r="C2269">
        <v>11</v>
      </c>
      <c r="D2269">
        <v>20</v>
      </c>
    </row>
    <row r="2270" spans="1:4" ht="14.25">
      <c r="A2270" t="s">
        <v>5166</v>
      </c>
      <c r="B2270">
        <v>1910</v>
      </c>
      <c r="C2270">
        <v>11</v>
      </c>
      <c r="D2270">
        <v>20</v>
      </c>
    </row>
    <row r="2271" spans="1:4" ht="14.25">
      <c r="A2271" t="s">
        <v>5167</v>
      </c>
      <c r="C2271">
        <v>11</v>
      </c>
      <c r="D2271">
        <v>20</v>
      </c>
    </row>
    <row r="2272" spans="1:4" ht="14.25">
      <c r="A2272" t="s">
        <v>5168</v>
      </c>
      <c r="B2272">
        <v>1911</v>
      </c>
      <c r="C2272">
        <v>11</v>
      </c>
      <c r="D2272">
        <v>20</v>
      </c>
    </row>
    <row r="2273" spans="1:4" ht="14.25">
      <c r="A2273" t="s">
        <v>5169</v>
      </c>
      <c r="B2273">
        <v>1917</v>
      </c>
      <c r="C2273">
        <v>11</v>
      </c>
      <c r="D2273">
        <v>20</v>
      </c>
    </row>
    <row r="2274" spans="1:4" ht="14.25">
      <c r="A2274" t="s">
        <v>5170</v>
      </c>
      <c r="C2274">
        <v>11</v>
      </c>
      <c r="D2274">
        <v>20</v>
      </c>
    </row>
    <row r="2275" spans="1:4" ht="14.25">
      <c r="A2275" t="s">
        <v>5171</v>
      </c>
      <c r="B2275">
        <v>1918</v>
      </c>
      <c r="C2275">
        <v>11</v>
      </c>
      <c r="D2275">
        <v>20</v>
      </c>
    </row>
    <row r="2276" spans="1:4" ht="14.25">
      <c r="A2276" t="s">
        <v>5172</v>
      </c>
      <c r="B2276">
        <v>1919</v>
      </c>
      <c r="C2276">
        <v>11</v>
      </c>
      <c r="D2276">
        <v>20</v>
      </c>
    </row>
    <row r="2277" spans="1:4" ht="14.25">
      <c r="A2277" t="s">
        <v>5173</v>
      </c>
      <c r="B2277">
        <v>1920</v>
      </c>
      <c r="C2277">
        <v>11</v>
      </c>
      <c r="D2277">
        <v>20</v>
      </c>
    </row>
    <row r="2278" spans="1:4" ht="14.25">
      <c r="A2278" t="s">
        <v>5174</v>
      </c>
      <c r="B2278">
        <v>1923</v>
      </c>
      <c r="C2278">
        <v>11</v>
      </c>
      <c r="D2278">
        <v>20</v>
      </c>
    </row>
    <row r="2279" spans="1:4" ht="14.25">
      <c r="A2279" t="s">
        <v>5175</v>
      </c>
      <c r="B2279">
        <v>1974</v>
      </c>
      <c r="C2279">
        <v>11</v>
      </c>
      <c r="D2279">
        <v>20</v>
      </c>
    </row>
    <row r="2280" spans="1:4" ht="14.25">
      <c r="A2280" t="s">
        <v>5176</v>
      </c>
      <c r="B2280">
        <v>1977</v>
      </c>
      <c r="C2280">
        <v>11</v>
      </c>
      <c r="D2280">
        <v>20</v>
      </c>
    </row>
    <row r="2281" spans="1:4" ht="14.25">
      <c r="A2281" t="s">
        <v>5177</v>
      </c>
      <c r="B2281">
        <v>2015</v>
      </c>
      <c r="C2281">
        <v>11</v>
      </c>
      <c r="D2281">
        <v>20</v>
      </c>
    </row>
    <row r="2282" spans="1:4" ht="14.25">
      <c r="A2282" t="s">
        <v>5178</v>
      </c>
      <c r="B2282">
        <v>2016</v>
      </c>
      <c r="C2282">
        <v>11</v>
      </c>
      <c r="D2282">
        <v>20</v>
      </c>
    </row>
    <row r="2283" spans="1:4" ht="14.25">
      <c r="A2283" t="s">
        <v>5179</v>
      </c>
      <c r="B2283">
        <v>2063</v>
      </c>
      <c r="C2283">
        <v>11</v>
      </c>
      <c r="D2283">
        <v>20</v>
      </c>
    </row>
    <row r="2284" spans="1:4" ht="14.25">
      <c r="A2284" t="s">
        <v>5180</v>
      </c>
      <c r="B2284">
        <v>2100</v>
      </c>
      <c r="C2284">
        <v>11</v>
      </c>
      <c r="D2284">
        <v>20</v>
      </c>
    </row>
    <row r="2285" spans="1:4" ht="14.25">
      <c r="A2285" t="s">
        <v>5181</v>
      </c>
      <c r="B2285">
        <v>2101</v>
      </c>
      <c r="C2285">
        <v>11</v>
      </c>
      <c r="D2285">
        <v>20</v>
      </c>
    </row>
    <row r="2286" spans="1:4" ht="14.25">
      <c r="A2286" t="s">
        <v>5182</v>
      </c>
      <c r="B2286">
        <v>2102</v>
      </c>
      <c r="C2286">
        <v>11</v>
      </c>
      <c r="D2286">
        <v>20</v>
      </c>
    </row>
    <row r="2287" spans="1:4" ht="14.25">
      <c r="A2287" t="s">
        <v>5183</v>
      </c>
      <c r="B2287">
        <v>2103</v>
      </c>
      <c r="C2287">
        <v>11</v>
      </c>
      <c r="D2287">
        <v>20</v>
      </c>
    </row>
    <row r="2288" spans="1:4" ht="14.25">
      <c r="A2288" t="s">
        <v>5184</v>
      </c>
      <c r="B2288">
        <v>2104</v>
      </c>
      <c r="C2288">
        <v>11</v>
      </c>
      <c r="D2288">
        <v>20</v>
      </c>
    </row>
    <row r="2289" spans="1:4" ht="14.25">
      <c r="A2289" t="s">
        <v>5185</v>
      </c>
      <c r="B2289">
        <v>2105</v>
      </c>
      <c r="C2289">
        <v>11</v>
      </c>
      <c r="D2289">
        <v>20</v>
      </c>
    </row>
    <row r="2290" spans="1:4" ht="14.25">
      <c r="A2290" t="s">
        <v>5186</v>
      </c>
      <c r="B2290">
        <v>2106</v>
      </c>
      <c r="C2290">
        <v>11</v>
      </c>
      <c r="D2290">
        <v>20</v>
      </c>
    </row>
    <row r="2291" spans="1:4" ht="14.25">
      <c r="A2291" t="s">
        <v>5187</v>
      </c>
      <c r="B2291">
        <v>2107</v>
      </c>
      <c r="C2291">
        <v>11</v>
      </c>
      <c r="D2291">
        <v>20</v>
      </c>
    </row>
    <row r="2292" spans="1:4" ht="14.25">
      <c r="A2292" t="s">
        <v>5188</v>
      </c>
      <c r="B2292">
        <v>2108</v>
      </c>
      <c r="C2292">
        <v>11</v>
      </c>
      <c r="D2292">
        <v>20</v>
      </c>
    </row>
    <row r="2293" spans="1:4" ht="14.25">
      <c r="A2293" t="s">
        <v>5189</v>
      </c>
      <c r="B2293">
        <v>2109</v>
      </c>
      <c r="C2293">
        <v>11</v>
      </c>
      <c r="D2293">
        <v>20</v>
      </c>
    </row>
    <row r="2294" spans="1:4" ht="14.25">
      <c r="A2294" t="s">
        <v>5190</v>
      </c>
      <c r="B2294">
        <v>2262</v>
      </c>
      <c r="C2294">
        <v>11</v>
      </c>
      <c r="D2294">
        <v>20</v>
      </c>
    </row>
    <row r="2295" spans="1:4" ht="14.25">
      <c r="A2295" t="s">
        <v>5191</v>
      </c>
      <c r="B2295">
        <v>2405</v>
      </c>
      <c r="C2295">
        <v>11</v>
      </c>
      <c r="D2295">
        <v>20</v>
      </c>
    </row>
    <row r="2296" spans="1:4" ht="14.25">
      <c r="A2296" t="s">
        <v>5192</v>
      </c>
      <c r="B2296">
        <v>2406</v>
      </c>
      <c r="C2296">
        <v>11</v>
      </c>
      <c r="D2296">
        <v>20</v>
      </c>
    </row>
    <row r="2297" spans="1:4" ht="14.25">
      <c r="A2297" t="s">
        <v>5193</v>
      </c>
      <c r="B2297">
        <v>2407</v>
      </c>
      <c r="C2297">
        <v>11</v>
      </c>
      <c r="D2297">
        <v>20</v>
      </c>
    </row>
    <row r="2298" spans="1:4" ht="14.25">
      <c r="A2298" t="s">
        <v>5194</v>
      </c>
      <c r="B2298">
        <v>2408</v>
      </c>
      <c r="C2298">
        <v>11</v>
      </c>
      <c r="D2298">
        <v>20</v>
      </c>
    </row>
    <row r="2299" spans="1:4" ht="14.25">
      <c r="A2299" t="s">
        <v>5195</v>
      </c>
      <c r="B2299">
        <v>2409</v>
      </c>
      <c r="C2299">
        <v>11</v>
      </c>
      <c r="D2299">
        <v>20</v>
      </c>
    </row>
    <row r="2300" spans="1:4" ht="14.25">
      <c r="A2300" t="s">
        <v>5196</v>
      </c>
      <c r="B2300">
        <v>2410</v>
      </c>
      <c r="C2300">
        <v>11</v>
      </c>
      <c r="D2300">
        <v>20</v>
      </c>
    </row>
    <row r="2301" spans="1:4" ht="14.25">
      <c r="A2301" t="s">
        <v>5197</v>
      </c>
      <c r="B2301">
        <v>2411</v>
      </c>
      <c r="C2301">
        <v>11</v>
      </c>
      <c r="D2301">
        <v>20</v>
      </c>
    </row>
    <row r="2302" spans="1:4" ht="14.25">
      <c r="A2302" t="s">
        <v>5198</v>
      </c>
      <c r="B2302">
        <v>2412</v>
      </c>
      <c r="C2302">
        <v>11</v>
      </c>
      <c r="D2302">
        <v>20</v>
      </c>
    </row>
    <row r="2303" spans="1:4" ht="14.25">
      <c r="A2303" t="s">
        <v>5199</v>
      </c>
      <c r="B2303">
        <v>2453</v>
      </c>
      <c r="C2303">
        <v>11</v>
      </c>
      <c r="D2303">
        <v>20</v>
      </c>
    </row>
    <row r="2304" spans="1:4" ht="14.25">
      <c r="A2304" t="s">
        <v>5200</v>
      </c>
      <c r="B2304">
        <v>2454</v>
      </c>
      <c r="C2304">
        <v>11</v>
      </c>
      <c r="D2304">
        <v>20</v>
      </c>
    </row>
    <row r="2305" spans="1:4" ht="14.25">
      <c r="A2305" t="s">
        <v>5201</v>
      </c>
      <c r="B2305">
        <v>2455</v>
      </c>
      <c r="C2305">
        <v>11</v>
      </c>
      <c r="D2305">
        <v>20</v>
      </c>
    </row>
    <row r="2306" spans="1:4" ht="14.25">
      <c r="A2306" t="s">
        <v>5202</v>
      </c>
      <c r="B2306">
        <v>2456</v>
      </c>
      <c r="C2306">
        <v>11</v>
      </c>
      <c r="D2306">
        <v>20</v>
      </c>
    </row>
    <row r="2307" spans="1:4" ht="14.25">
      <c r="A2307" t="s">
        <v>5203</v>
      </c>
      <c r="B2307">
        <v>2457</v>
      </c>
      <c r="C2307">
        <v>11</v>
      </c>
      <c r="D2307">
        <v>20</v>
      </c>
    </row>
    <row r="2308" spans="1:4" ht="14.25">
      <c r="A2308" t="s">
        <v>5204</v>
      </c>
      <c r="B2308">
        <v>2458</v>
      </c>
      <c r="C2308">
        <v>11</v>
      </c>
      <c r="D2308">
        <v>20</v>
      </c>
    </row>
    <row r="2309" spans="1:4" ht="14.25">
      <c r="A2309" t="s">
        <v>5205</v>
      </c>
      <c r="B2309">
        <v>2459</v>
      </c>
      <c r="C2309">
        <v>11</v>
      </c>
      <c r="D2309">
        <v>20</v>
      </c>
    </row>
    <row r="2310" spans="1:4" ht="14.25">
      <c r="A2310" t="s">
        <v>5206</v>
      </c>
      <c r="B2310">
        <v>2460</v>
      </c>
      <c r="C2310">
        <v>9</v>
      </c>
      <c r="D2310">
        <v>20</v>
      </c>
    </row>
    <row r="2311" spans="1:4" ht="14.25">
      <c r="A2311" t="s">
        <v>5207</v>
      </c>
      <c r="B2311">
        <v>2461</v>
      </c>
      <c r="C2311">
        <v>11</v>
      </c>
      <c r="D2311">
        <v>20</v>
      </c>
    </row>
    <row r="2312" spans="1:4" ht="14.25">
      <c r="A2312" t="s">
        <v>5208</v>
      </c>
      <c r="B2312">
        <v>2462</v>
      </c>
      <c r="C2312">
        <v>11</v>
      </c>
      <c r="D2312">
        <v>20</v>
      </c>
    </row>
    <row r="2313" spans="1:4" ht="14.25">
      <c r="A2313" t="s">
        <v>5209</v>
      </c>
      <c r="B2313">
        <v>2463</v>
      </c>
      <c r="C2313">
        <v>11</v>
      </c>
      <c r="D2313">
        <v>20</v>
      </c>
    </row>
    <row r="2314" spans="1:4" ht="14.25">
      <c r="A2314" t="s">
        <v>5210</v>
      </c>
      <c r="B2314">
        <v>2464</v>
      </c>
      <c r="C2314">
        <v>11</v>
      </c>
      <c r="D2314">
        <v>20</v>
      </c>
    </row>
    <row r="2315" spans="1:4" ht="14.25">
      <c r="A2315" t="s">
        <v>5211</v>
      </c>
      <c r="B2315">
        <v>2473</v>
      </c>
      <c r="C2315">
        <v>11</v>
      </c>
      <c r="D2315">
        <v>20</v>
      </c>
    </row>
    <row r="2316" spans="1:4" ht="14.25">
      <c r="A2316" t="s">
        <v>5212</v>
      </c>
      <c r="B2316">
        <v>2474</v>
      </c>
      <c r="C2316">
        <v>11</v>
      </c>
      <c r="D2316">
        <v>20</v>
      </c>
    </row>
    <row r="2317" spans="1:4" ht="14.25">
      <c r="A2317" t="s">
        <v>5213</v>
      </c>
      <c r="B2317">
        <v>2578</v>
      </c>
      <c r="C2317">
        <v>11</v>
      </c>
      <c r="D2317">
        <v>20</v>
      </c>
    </row>
    <row r="2318" spans="1:4" ht="14.25">
      <c r="A2318" t="s">
        <v>5214</v>
      </c>
      <c r="B2318">
        <v>2584</v>
      </c>
      <c r="C2318">
        <v>11</v>
      </c>
      <c r="D2318">
        <v>20</v>
      </c>
    </row>
    <row r="2319" spans="1:4" ht="14.25">
      <c r="A2319" t="s">
        <v>5215</v>
      </c>
      <c r="B2319">
        <v>2585</v>
      </c>
      <c r="C2319">
        <v>11</v>
      </c>
      <c r="D2319">
        <v>20</v>
      </c>
    </row>
    <row r="2320" spans="1:4" ht="14.25">
      <c r="A2320" t="s">
        <v>5216</v>
      </c>
      <c r="B2320">
        <v>2586</v>
      </c>
      <c r="C2320">
        <v>11</v>
      </c>
      <c r="D2320">
        <v>20</v>
      </c>
    </row>
    <row r="2321" spans="1:4" ht="14.25">
      <c r="A2321" t="s">
        <v>5217</v>
      </c>
      <c r="B2321">
        <v>2587</v>
      </c>
      <c r="C2321">
        <v>11</v>
      </c>
      <c r="D2321">
        <v>20</v>
      </c>
    </row>
    <row r="2322" spans="1:4" ht="14.25">
      <c r="A2322" t="s">
        <v>5218</v>
      </c>
      <c r="B2322">
        <v>2588</v>
      </c>
      <c r="C2322">
        <v>11</v>
      </c>
      <c r="D2322">
        <v>20</v>
      </c>
    </row>
    <row r="2323" spans="1:4" ht="14.25">
      <c r="A2323" t="s">
        <v>5219</v>
      </c>
      <c r="B2323">
        <v>2724</v>
      </c>
      <c r="C2323">
        <v>9</v>
      </c>
      <c r="D2323">
        <v>20</v>
      </c>
    </row>
    <row r="2324" spans="1:4" ht="14.25">
      <c r="A2324" t="s">
        <v>5220</v>
      </c>
      <c r="B2324">
        <v>2725</v>
      </c>
      <c r="C2324">
        <v>8</v>
      </c>
      <c r="D2324">
        <v>20</v>
      </c>
    </row>
    <row r="2325" spans="1:4" ht="14.25">
      <c r="A2325" t="s">
        <v>5221</v>
      </c>
      <c r="B2325">
        <v>2726</v>
      </c>
      <c r="C2325">
        <v>8</v>
      </c>
      <c r="D2325">
        <v>20</v>
      </c>
    </row>
    <row r="2326" spans="1:4" ht="14.25">
      <c r="A2326" t="s">
        <v>5222</v>
      </c>
      <c r="B2326">
        <v>2727</v>
      </c>
      <c r="C2326">
        <v>8</v>
      </c>
      <c r="D2326">
        <v>20</v>
      </c>
    </row>
    <row r="2327" spans="1:4" ht="14.25">
      <c r="A2327" t="s">
        <v>5223</v>
      </c>
      <c r="B2327">
        <v>2728</v>
      </c>
      <c r="C2327">
        <v>8</v>
      </c>
      <c r="D2327">
        <v>20</v>
      </c>
    </row>
    <row r="2328" spans="1:4" ht="14.25">
      <c r="A2328" t="s">
        <v>5224</v>
      </c>
      <c r="B2328">
        <v>2729</v>
      </c>
      <c r="C2328">
        <v>8</v>
      </c>
      <c r="D2328">
        <v>20</v>
      </c>
    </row>
    <row r="2329" spans="1:4" ht="14.25">
      <c r="A2329" t="s">
        <v>5225</v>
      </c>
      <c r="B2329">
        <v>2735</v>
      </c>
      <c r="C2329">
        <v>11</v>
      </c>
      <c r="D2329">
        <v>20</v>
      </c>
    </row>
    <row r="2330" spans="1:4" ht="14.25">
      <c r="A2330" t="s">
        <v>5226</v>
      </c>
      <c r="B2330">
        <v>2736</v>
      </c>
      <c r="C2330">
        <v>11</v>
      </c>
      <c r="D2330">
        <v>20</v>
      </c>
    </row>
    <row r="2331" spans="1:4" ht="14.25">
      <c r="A2331" t="s">
        <v>5227</v>
      </c>
      <c r="B2331">
        <v>2737</v>
      </c>
      <c r="C2331">
        <v>11</v>
      </c>
      <c r="D2331">
        <v>20</v>
      </c>
    </row>
    <row r="2332" spans="1:4" ht="14.25">
      <c r="A2332" t="s">
        <v>5228</v>
      </c>
      <c r="B2332">
        <v>2738</v>
      </c>
      <c r="C2332">
        <v>11</v>
      </c>
      <c r="D2332">
        <v>20</v>
      </c>
    </row>
    <row r="2333" spans="1:4" ht="14.25">
      <c r="A2333" t="s">
        <v>5229</v>
      </c>
      <c r="B2333">
        <v>2739</v>
      </c>
      <c r="C2333">
        <v>11</v>
      </c>
      <c r="D2333">
        <v>20</v>
      </c>
    </row>
    <row r="2334" spans="1:4" ht="14.25">
      <c r="A2334" t="s">
        <v>5230</v>
      </c>
      <c r="B2334">
        <v>2740</v>
      </c>
      <c r="C2334">
        <v>11</v>
      </c>
      <c r="D2334">
        <v>20</v>
      </c>
    </row>
    <row r="2335" spans="1:4" ht="14.25">
      <c r="A2335" t="s">
        <v>5231</v>
      </c>
      <c r="B2335">
        <v>2741</v>
      </c>
      <c r="C2335">
        <v>11</v>
      </c>
      <c r="D2335">
        <v>20</v>
      </c>
    </row>
    <row r="2336" spans="1:4" ht="14.25">
      <c r="A2336" t="s">
        <v>5232</v>
      </c>
      <c r="B2336">
        <v>2742</v>
      </c>
      <c r="C2336">
        <v>11</v>
      </c>
      <c r="D2336">
        <v>20</v>
      </c>
    </row>
    <row r="2337" spans="1:4" ht="14.25">
      <c r="A2337" t="s">
        <v>5233</v>
      </c>
      <c r="B2337">
        <v>3140</v>
      </c>
      <c r="C2337">
        <v>11</v>
      </c>
      <c r="D2337">
        <v>20</v>
      </c>
    </row>
    <row r="2338" spans="1:4" ht="14.25">
      <c r="A2338" t="s">
        <v>5234</v>
      </c>
      <c r="B2338">
        <v>3141</v>
      </c>
      <c r="C2338">
        <v>11</v>
      </c>
      <c r="D2338">
        <v>20</v>
      </c>
    </row>
    <row r="2339" spans="1:4" ht="14.25">
      <c r="A2339" t="s">
        <v>5235</v>
      </c>
      <c r="B2339">
        <v>3145</v>
      </c>
      <c r="C2339">
        <v>11</v>
      </c>
      <c r="D2339">
        <v>20</v>
      </c>
    </row>
    <row r="2340" spans="1:4" ht="14.25">
      <c r="A2340" t="s">
        <v>5236</v>
      </c>
      <c r="B2340">
        <v>3146</v>
      </c>
      <c r="C2340">
        <v>11</v>
      </c>
      <c r="D2340">
        <v>20</v>
      </c>
    </row>
    <row r="2341" spans="1:4" ht="14.25">
      <c r="A2341" t="s">
        <v>5237</v>
      </c>
      <c r="B2341">
        <v>3147</v>
      </c>
      <c r="C2341">
        <v>11</v>
      </c>
      <c r="D2341">
        <v>20</v>
      </c>
    </row>
    <row r="2342" spans="1:4" ht="14.25">
      <c r="A2342" t="s">
        <v>5238</v>
      </c>
      <c r="B2342">
        <v>3199</v>
      </c>
      <c r="C2342">
        <v>11</v>
      </c>
      <c r="D2342">
        <v>20</v>
      </c>
    </row>
    <row r="2343" spans="1:4" ht="14.25">
      <c r="A2343" t="s">
        <v>5239</v>
      </c>
      <c r="B2343">
        <v>3200</v>
      </c>
      <c r="C2343">
        <v>11</v>
      </c>
      <c r="D2343">
        <v>20</v>
      </c>
    </row>
    <row r="2344" spans="1:4" ht="14.25">
      <c r="A2344" t="s">
        <v>5240</v>
      </c>
      <c r="B2344">
        <v>3201</v>
      </c>
      <c r="C2344">
        <v>11</v>
      </c>
      <c r="D2344">
        <v>20</v>
      </c>
    </row>
    <row r="2345" spans="1:4" ht="14.25">
      <c r="A2345" t="s">
        <v>5241</v>
      </c>
      <c r="B2345">
        <v>3202</v>
      </c>
      <c r="C2345">
        <v>11</v>
      </c>
      <c r="D2345">
        <v>20</v>
      </c>
    </row>
    <row r="2346" spans="1:4" ht="14.25">
      <c r="A2346" t="s">
        <v>5242</v>
      </c>
      <c r="B2346">
        <v>3203</v>
      </c>
      <c r="C2346">
        <v>11</v>
      </c>
      <c r="D2346">
        <v>20</v>
      </c>
    </row>
    <row r="2347" spans="1:4" ht="14.25">
      <c r="A2347" t="s">
        <v>5243</v>
      </c>
      <c r="B2347">
        <v>3204</v>
      </c>
      <c r="C2347">
        <v>11</v>
      </c>
      <c r="D2347">
        <v>20</v>
      </c>
    </row>
    <row r="2348" spans="1:4" ht="14.25">
      <c r="A2348" t="s">
        <v>5244</v>
      </c>
      <c r="B2348">
        <v>3205</v>
      </c>
      <c r="C2348">
        <v>11</v>
      </c>
      <c r="D2348">
        <v>20</v>
      </c>
    </row>
    <row r="2349" spans="1:4" ht="14.25">
      <c r="A2349" t="s">
        <v>5245</v>
      </c>
      <c r="B2349">
        <v>3206</v>
      </c>
      <c r="C2349">
        <v>11</v>
      </c>
      <c r="D2349">
        <v>20</v>
      </c>
    </row>
    <row r="2350" spans="1:4" ht="14.25">
      <c r="A2350" t="s">
        <v>5246</v>
      </c>
      <c r="B2350">
        <v>3207</v>
      </c>
      <c r="C2350">
        <v>11</v>
      </c>
      <c r="D2350">
        <v>20</v>
      </c>
    </row>
    <row r="2351" spans="1:4" ht="14.25">
      <c r="A2351" t="s">
        <v>5247</v>
      </c>
      <c r="B2351">
        <v>3208</v>
      </c>
      <c r="C2351">
        <v>11</v>
      </c>
      <c r="D2351">
        <v>20</v>
      </c>
    </row>
    <row r="2352" spans="1:4" ht="14.25">
      <c r="A2352" t="s">
        <v>5248</v>
      </c>
      <c r="B2352">
        <v>3228</v>
      </c>
      <c r="C2352">
        <v>9</v>
      </c>
      <c r="D2352">
        <v>20</v>
      </c>
    </row>
    <row r="2353" spans="1:4" ht="14.25">
      <c r="A2353" t="s">
        <v>5249</v>
      </c>
      <c r="B2353">
        <v>5000</v>
      </c>
      <c r="C2353">
        <v>11</v>
      </c>
      <c r="D2353">
        <v>20</v>
      </c>
    </row>
    <row r="2354" spans="1:4" ht="14.25">
      <c r="A2354" t="s">
        <v>5250</v>
      </c>
      <c r="B2354">
        <v>5000</v>
      </c>
      <c r="C2354">
        <v>11</v>
      </c>
      <c r="D2354">
        <v>40</v>
      </c>
    </row>
    <row r="2355" spans="1:4" ht="14.25">
      <c r="A2355" t="s">
        <v>5251</v>
      </c>
      <c r="B2355">
        <v>5026</v>
      </c>
      <c r="C2355">
        <v>11</v>
      </c>
      <c r="D2355">
        <v>20</v>
      </c>
    </row>
    <row r="2356" spans="1:4" ht="14.25">
      <c r="A2356" t="s">
        <v>5252</v>
      </c>
      <c r="C2356">
        <v>11</v>
      </c>
      <c r="D2356">
        <v>20</v>
      </c>
    </row>
    <row r="2357" spans="1:4" ht="14.25">
      <c r="A2357" t="s">
        <v>5253</v>
      </c>
      <c r="B2357">
        <v>5112</v>
      </c>
      <c r="C2357">
        <v>11</v>
      </c>
      <c r="D2357">
        <v>20</v>
      </c>
    </row>
    <row r="2358" spans="1:4" ht="14.25">
      <c r="A2358" t="s">
        <v>5254</v>
      </c>
      <c r="B2358">
        <v>5335</v>
      </c>
      <c r="C2358">
        <v>11</v>
      </c>
      <c r="D2358">
        <v>20</v>
      </c>
    </row>
    <row r="2359" spans="1:4" ht="14.25">
      <c r="A2359" t="s">
        <v>5255</v>
      </c>
      <c r="B2359">
        <v>5338</v>
      </c>
      <c r="C2359">
        <v>11</v>
      </c>
      <c r="D2359">
        <v>20</v>
      </c>
    </row>
    <row r="2360" spans="1:4" ht="14.25">
      <c r="A2360" t="s">
        <v>5256</v>
      </c>
      <c r="B2360">
        <v>5641</v>
      </c>
      <c r="C2360">
        <v>11</v>
      </c>
      <c r="D2360">
        <v>20</v>
      </c>
    </row>
    <row r="2361" spans="1:4" ht="14.25">
      <c r="A2361" t="s">
        <v>5257</v>
      </c>
      <c r="B2361">
        <v>5642</v>
      </c>
      <c r="C2361">
        <v>11</v>
      </c>
      <c r="D2361">
        <v>20</v>
      </c>
    </row>
    <row r="2362" spans="1:4" ht="14.25">
      <c r="A2362" t="s">
        <v>5258</v>
      </c>
      <c r="B2362">
        <v>6339</v>
      </c>
      <c r="C2362">
        <v>11</v>
      </c>
      <c r="D2362">
        <v>20</v>
      </c>
    </row>
    <row r="2363" spans="1:4" ht="14.25">
      <c r="A2363" t="s">
        <v>5259</v>
      </c>
      <c r="B2363">
        <v>6340</v>
      </c>
      <c r="C2363">
        <v>11</v>
      </c>
      <c r="D2363">
        <v>20</v>
      </c>
    </row>
    <row r="2364" spans="1:4" ht="14.25">
      <c r="A2364" t="s">
        <v>5260</v>
      </c>
      <c r="B2364">
        <v>73703</v>
      </c>
      <c r="C2364">
        <v>11</v>
      </c>
      <c r="D2364">
        <v>20</v>
      </c>
    </row>
    <row r="2365" spans="1:4" ht="14.25">
      <c r="A2365" t="s">
        <v>5261</v>
      </c>
      <c r="B2365" t="s">
        <v>2856</v>
      </c>
      <c r="C2365">
        <v>9</v>
      </c>
      <c r="D2365">
        <v>25</v>
      </c>
    </row>
    <row r="2366" spans="1:4" ht="14.25">
      <c r="A2366" t="s">
        <v>5262</v>
      </c>
      <c r="B2366" t="s">
        <v>2953</v>
      </c>
      <c r="C2366">
        <v>11</v>
      </c>
      <c r="D2366">
        <v>20</v>
      </c>
    </row>
    <row r="2367" spans="1:4" ht="14.25">
      <c r="A2367" t="s">
        <v>5263</v>
      </c>
      <c r="B2367" t="s">
        <v>2858</v>
      </c>
      <c r="C2367">
        <v>9</v>
      </c>
      <c r="D2367">
        <v>25</v>
      </c>
    </row>
    <row r="2368" spans="1:4" ht="14.25">
      <c r="A2368" t="s">
        <v>5264</v>
      </c>
      <c r="B2368" t="s">
        <v>2953</v>
      </c>
      <c r="C2368">
        <v>11</v>
      </c>
      <c r="D2368">
        <v>20</v>
      </c>
    </row>
    <row r="2369" spans="1:4" ht="14.25">
      <c r="A2369" t="s">
        <v>5795</v>
      </c>
      <c r="B2369" t="s">
        <v>2860</v>
      </c>
      <c r="C2369">
        <v>9</v>
      </c>
      <c r="D2369">
        <v>20</v>
      </c>
    </row>
    <row r="2370" spans="1:4" ht="14.25">
      <c r="A2370" t="s">
        <v>5265</v>
      </c>
      <c r="B2370" t="s">
        <v>2860</v>
      </c>
      <c r="C2370">
        <v>9</v>
      </c>
      <c r="D2370">
        <v>25</v>
      </c>
    </row>
    <row r="2371" spans="1:4" ht="14.25">
      <c r="A2371" t="s">
        <v>5266</v>
      </c>
      <c r="B2371" t="s">
        <v>2862</v>
      </c>
      <c r="C2371">
        <v>9</v>
      </c>
      <c r="D2371">
        <v>25</v>
      </c>
    </row>
    <row r="2372" spans="1:4" ht="14.25">
      <c r="A2372" t="s">
        <v>5267</v>
      </c>
      <c r="B2372" t="s">
        <v>2956</v>
      </c>
      <c r="C2372">
        <v>11</v>
      </c>
      <c r="D2372">
        <v>20</v>
      </c>
    </row>
    <row r="2373" spans="1:4" ht="14.25">
      <c r="A2373" t="s">
        <v>5268</v>
      </c>
      <c r="B2373" t="s">
        <v>2956</v>
      </c>
      <c r="C2373">
        <v>11</v>
      </c>
      <c r="D2373">
        <v>20</v>
      </c>
    </row>
    <row r="2374" spans="1:4" ht="14.25">
      <c r="A2374" t="s">
        <v>5269</v>
      </c>
      <c r="B2374" t="s">
        <v>2864</v>
      </c>
      <c r="C2374">
        <v>9</v>
      </c>
      <c r="D2374">
        <v>25</v>
      </c>
    </row>
    <row r="2375" spans="1:4" ht="14.25">
      <c r="A2375" t="s">
        <v>5270</v>
      </c>
      <c r="B2375" t="s">
        <v>2866</v>
      </c>
      <c r="C2375">
        <v>9</v>
      </c>
      <c r="D2375">
        <v>25</v>
      </c>
    </row>
    <row r="2376" spans="1:4" ht="14.25">
      <c r="A2376" t="s">
        <v>5271</v>
      </c>
      <c r="B2376" t="s">
        <v>2868</v>
      </c>
      <c r="C2376">
        <v>9</v>
      </c>
      <c r="D2376">
        <v>25</v>
      </c>
    </row>
    <row r="2377" spans="1:4" ht="14.25">
      <c r="A2377" t="s">
        <v>5272</v>
      </c>
      <c r="B2377" t="s">
        <v>2870</v>
      </c>
      <c r="C2377">
        <v>9</v>
      </c>
      <c r="D2377">
        <v>25</v>
      </c>
    </row>
    <row r="2378" spans="1:4" ht="14.25">
      <c r="A2378" t="s">
        <v>5273</v>
      </c>
      <c r="B2378" t="s">
        <v>2872</v>
      </c>
      <c r="C2378">
        <v>9</v>
      </c>
      <c r="D2378">
        <v>25</v>
      </c>
    </row>
    <row r="2379" spans="1:4" ht="14.25">
      <c r="A2379" t="s">
        <v>5274</v>
      </c>
      <c r="B2379" t="s">
        <v>2874</v>
      </c>
      <c r="C2379">
        <v>11</v>
      </c>
      <c r="D2379">
        <v>20</v>
      </c>
    </row>
    <row r="2380" spans="1:4" ht="14.25">
      <c r="A2380" t="s">
        <v>5275</v>
      </c>
      <c r="B2380" t="s">
        <v>2876</v>
      </c>
      <c r="C2380">
        <v>11</v>
      </c>
      <c r="D2380">
        <v>20</v>
      </c>
    </row>
    <row r="2381" spans="1:4" ht="14.25">
      <c r="A2381" t="s">
        <v>5276</v>
      </c>
      <c r="C2381">
        <v>0</v>
      </c>
      <c r="D2381">
        <v>0</v>
      </c>
    </row>
    <row r="2382" spans="1:4" ht="14.25">
      <c r="A2382" t="s">
        <v>5277</v>
      </c>
      <c r="C2382">
        <v>0</v>
      </c>
      <c r="D2382">
        <v>0</v>
      </c>
    </row>
    <row r="2383" spans="1:4" ht="14.25">
      <c r="A2383" t="s">
        <v>5278</v>
      </c>
      <c r="C2383">
        <v>0</v>
      </c>
      <c r="D2383">
        <v>0</v>
      </c>
    </row>
    <row r="2384" spans="1:4" ht="14.25">
      <c r="A2384" t="s">
        <v>5279</v>
      </c>
      <c r="C2384">
        <v>0</v>
      </c>
      <c r="D2384">
        <v>0</v>
      </c>
    </row>
    <row r="2385" spans="1:4" ht="14.25">
      <c r="A2385" t="s">
        <v>5280</v>
      </c>
      <c r="C2385">
        <v>0</v>
      </c>
      <c r="D2385">
        <v>0</v>
      </c>
    </row>
    <row r="2386" spans="1:4" ht="14.25">
      <c r="A2386" t="s">
        <v>5281</v>
      </c>
      <c r="C2386">
        <v>0</v>
      </c>
      <c r="D2386">
        <v>0</v>
      </c>
    </row>
    <row r="2387" spans="1:4" ht="14.25">
      <c r="A2387" t="s">
        <v>5282</v>
      </c>
      <c r="B2387">
        <v>45</v>
      </c>
      <c r="C2387">
        <v>3</v>
      </c>
      <c r="D2387">
        <v>13</v>
      </c>
    </row>
    <row r="2388" spans="1:4" ht="14.25">
      <c r="A2388" t="s">
        <v>5283</v>
      </c>
      <c r="C2388">
        <v>10</v>
      </c>
      <c r="D2388">
        <v>30</v>
      </c>
    </row>
    <row r="2389" spans="1:4" ht="14.25">
      <c r="A2389" t="s">
        <v>5284</v>
      </c>
      <c r="C2389">
        <v>10</v>
      </c>
      <c r="D2389">
        <v>30</v>
      </c>
    </row>
    <row r="2390" spans="1:4" ht="14.25">
      <c r="A2390" t="s">
        <v>5285</v>
      </c>
      <c r="C2390">
        <v>10</v>
      </c>
      <c r="D2390">
        <v>30</v>
      </c>
    </row>
    <row r="2391" spans="1:4" ht="14.25">
      <c r="A2391" t="s">
        <v>5286</v>
      </c>
      <c r="C2391">
        <v>10</v>
      </c>
      <c r="D2391">
        <v>30</v>
      </c>
    </row>
    <row r="2392" spans="1:4" ht="14.25">
      <c r="A2392" t="s">
        <v>5287</v>
      </c>
      <c r="C2392">
        <v>10</v>
      </c>
      <c r="D2392">
        <v>30</v>
      </c>
    </row>
    <row r="2393" spans="1:4" ht="14.25">
      <c r="A2393" t="s">
        <v>5288</v>
      </c>
      <c r="C2393">
        <v>10</v>
      </c>
      <c r="D2393">
        <v>30</v>
      </c>
    </row>
    <row r="2394" spans="1:4" ht="14.25">
      <c r="A2394" t="s">
        <v>5289</v>
      </c>
      <c r="C2394">
        <v>10</v>
      </c>
      <c r="D2394">
        <v>30</v>
      </c>
    </row>
    <row r="2395" spans="1:4" ht="14.25">
      <c r="A2395" t="s">
        <v>5290</v>
      </c>
      <c r="C2395">
        <v>10</v>
      </c>
      <c r="D2395">
        <v>30</v>
      </c>
    </row>
    <row r="2396" spans="1:4" ht="14.25">
      <c r="A2396" t="s">
        <v>5291</v>
      </c>
      <c r="C2396">
        <v>10</v>
      </c>
      <c r="D2396">
        <v>30</v>
      </c>
    </row>
    <row r="2397" spans="1:4" ht="14.25">
      <c r="A2397" t="s">
        <v>5292</v>
      </c>
      <c r="C2397">
        <v>10</v>
      </c>
      <c r="D2397">
        <v>30</v>
      </c>
    </row>
    <row r="2398" spans="1:4" ht="14.25">
      <c r="A2398" t="s">
        <v>5293</v>
      </c>
      <c r="C2398">
        <v>10</v>
      </c>
      <c r="D2398">
        <v>30</v>
      </c>
    </row>
    <row r="2399" spans="1:4" ht="14.25">
      <c r="A2399" t="s">
        <v>5294</v>
      </c>
      <c r="C2399">
        <v>10</v>
      </c>
      <c r="D2399">
        <v>30</v>
      </c>
    </row>
    <row r="2400" spans="1:4" ht="14.25">
      <c r="A2400" t="s">
        <v>5295</v>
      </c>
      <c r="C2400">
        <v>10</v>
      </c>
      <c r="D2400">
        <v>30</v>
      </c>
    </row>
    <row r="2401" spans="1:4" ht="14.25">
      <c r="A2401" t="s">
        <v>5296</v>
      </c>
      <c r="C2401">
        <v>10</v>
      </c>
      <c r="D2401">
        <v>30</v>
      </c>
    </row>
    <row r="2402" spans="1:4" ht="14.25">
      <c r="A2402" t="s">
        <v>5297</v>
      </c>
      <c r="C2402">
        <v>10</v>
      </c>
      <c r="D2402">
        <v>30</v>
      </c>
    </row>
    <row r="2403" spans="1:4" ht="14.25">
      <c r="A2403" t="s">
        <v>5298</v>
      </c>
      <c r="C2403">
        <v>10</v>
      </c>
      <c r="D2403">
        <v>30</v>
      </c>
    </row>
    <row r="2404" spans="1:4" ht="14.25">
      <c r="A2404" t="s">
        <v>5299</v>
      </c>
      <c r="C2404">
        <v>10</v>
      </c>
      <c r="D2404">
        <v>30</v>
      </c>
    </row>
    <row r="2405" spans="1:4" ht="14.25">
      <c r="A2405" t="s">
        <v>5300</v>
      </c>
      <c r="C2405">
        <v>10</v>
      </c>
      <c r="D2405">
        <v>30</v>
      </c>
    </row>
    <row r="2406" spans="1:4" ht="14.25">
      <c r="A2406" t="s">
        <v>5301</v>
      </c>
      <c r="B2406" t="s">
        <v>142</v>
      </c>
      <c r="C2406">
        <v>10</v>
      </c>
      <c r="D2406">
        <v>30</v>
      </c>
    </row>
    <row r="2407" spans="1:4" ht="14.25">
      <c r="A2407" t="s">
        <v>5302</v>
      </c>
      <c r="C2407">
        <v>10</v>
      </c>
      <c r="D2407">
        <v>30</v>
      </c>
    </row>
    <row r="2408" spans="1:4" ht="14.25">
      <c r="A2408" t="s">
        <v>5303</v>
      </c>
      <c r="C2408">
        <v>10</v>
      </c>
      <c r="D2408">
        <v>30</v>
      </c>
    </row>
    <row r="2409" spans="1:4" ht="14.25">
      <c r="A2409" t="s">
        <v>5304</v>
      </c>
      <c r="C2409">
        <v>10</v>
      </c>
      <c r="D2409">
        <v>30</v>
      </c>
    </row>
    <row r="2410" spans="1:4" ht="14.25">
      <c r="A2410" t="s">
        <v>5305</v>
      </c>
      <c r="C2410">
        <v>10</v>
      </c>
      <c r="D2410">
        <v>30</v>
      </c>
    </row>
    <row r="2411" spans="1:4" ht="14.25">
      <c r="A2411" t="s">
        <v>5306</v>
      </c>
      <c r="C2411">
        <v>10</v>
      </c>
      <c r="D2411">
        <v>30</v>
      </c>
    </row>
    <row r="2412" spans="1:4" ht="14.25">
      <c r="A2412" t="s">
        <v>5307</v>
      </c>
      <c r="C2412">
        <v>10</v>
      </c>
      <c r="D2412">
        <v>30</v>
      </c>
    </row>
    <row r="2413" spans="1:4" ht="14.25">
      <c r="A2413" t="s">
        <v>5308</v>
      </c>
      <c r="C2413">
        <v>10</v>
      </c>
      <c r="D2413">
        <v>30</v>
      </c>
    </row>
    <row r="2414" spans="1:4" ht="14.25">
      <c r="A2414" t="s">
        <v>5309</v>
      </c>
      <c r="C2414">
        <v>10</v>
      </c>
      <c r="D2414">
        <v>30</v>
      </c>
    </row>
    <row r="2415" spans="1:4" ht="14.25">
      <c r="A2415" t="s">
        <v>5310</v>
      </c>
      <c r="C2415">
        <v>10</v>
      </c>
      <c r="D2415">
        <v>30</v>
      </c>
    </row>
    <row r="2416" spans="1:4" ht="14.25">
      <c r="A2416" t="s">
        <v>5311</v>
      </c>
      <c r="C2416">
        <v>10</v>
      </c>
      <c r="D2416">
        <v>30</v>
      </c>
    </row>
    <row r="2417" spans="1:4" ht="14.25">
      <c r="A2417" t="s">
        <v>5312</v>
      </c>
      <c r="C2417">
        <v>10</v>
      </c>
      <c r="D2417">
        <v>30</v>
      </c>
    </row>
    <row r="2418" spans="1:4" ht="14.25">
      <c r="A2418" t="s">
        <v>5313</v>
      </c>
      <c r="C2418">
        <v>10</v>
      </c>
      <c r="D2418">
        <v>30</v>
      </c>
    </row>
    <row r="2419" spans="1:4" ht="14.25">
      <c r="A2419" t="s">
        <v>5314</v>
      </c>
      <c r="C2419">
        <v>10</v>
      </c>
      <c r="D2419">
        <v>30</v>
      </c>
    </row>
    <row r="2420" spans="1:4" ht="14.25">
      <c r="A2420" t="s">
        <v>5315</v>
      </c>
      <c r="C2420">
        <v>10</v>
      </c>
      <c r="D2420">
        <v>30</v>
      </c>
    </row>
    <row r="2421" spans="1:4" ht="14.25">
      <c r="A2421" t="s">
        <v>5316</v>
      </c>
      <c r="B2421">
        <v>26152</v>
      </c>
      <c r="C2421">
        <v>10</v>
      </c>
      <c r="D2421">
        <v>30</v>
      </c>
    </row>
    <row r="2422" spans="1:4" ht="14.25">
      <c r="A2422" t="s">
        <v>5317</v>
      </c>
      <c r="C2422">
        <v>10</v>
      </c>
      <c r="D2422">
        <v>30</v>
      </c>
    </row>
    <row r="2423" spans="1:4" ht="14.25">
      <c r="A2423" t="s">
        <v>5318</v>
      </c>
      <c r="C2423">
        <v>10</v>
      </c>
      <c r="D2423">
        <v>30</v>
      </c>
    </row>
    <row r="2424" spans="1:4" ht="14.25">
      <c r="A2424" t="s">
        <v>5319</v>
      </c>
      <c r="C2424">
        <v>10</v>
      </c>
      <c r="D2424">
        <v>30</v>
      </c>
    </row>
    <row r="2425" spans="1:4" ht="14.25">
      <c r="A2425" t="s">
        <v>5320</v>
      </c>
      <c r="C2425">
        <v>10</v>
      </c>
      <c r="D2425">
        <v>30</v>
      </c>
    </row>
    <row r="2426" spans="1:4" ht="14.25">
      <c r="A2426" t="s">
        <v>5321</v>
      </c>
      <c r="C2426">
        <v>10</v>
      </c>
      <c r="D2426">
        <v>30</v>
      </c>
    </row>
    <row r="2427" spans="1:4" ht="14.25">
      <c r="A2427" t="s">
        <v>5322</v>
      </c>
      <c r="C2427">
        <v>10</v>
      </c>
      <c r="D2427">
        <v>30</v>
      </c>
    </row>
    <row r="2428" spans="1:4" ht="14.25">
      <c r="A2428" t="s">
        <v>5323</v>
      </c>
      <c r="C2428">
        <v>10</v>
      </c>
      <c r="D2428">
        <v>30</v>
      </c>
    </row>
    <row r="2429" spans="1:4" ht="14.25">
      <c r="A2429" t="s">
        <v>5324</v>
      </c>
      <c r="C2429">
        <v>10</v>
      </c>
      <c r="D2429">
        <v>30</v>
      </c>
    </row>
    <row r="2430" spans="1:4" ht="14.25">
      <c r="A2430" t="s">
        <v>5325</v>
      </c>
      <c r="C2430">
        <v>10</v>
      </c>
      <c r="D2430">
        <v>30</v>
      </c>
    </row>
    <row r="2431" spans="1:4" ht="14.25">
      <c r="A2431" t="s">
        <v>5326</v>
      </c>
      <c r="C2431">
        <v>10</v>
      </c>
      <c r="D2431">
        <v>30</v>
      </c>
    </row>
    <row r="2432" spans="1:4" ht="14.25">
      <c r="A2432" t="s">
        <v>5327</v>
      </c>
      <c r="C2432">
        <v>10</v>
      </c>
      <c r="D2432">
        <v>30</v>
      </c>
    </row>
    <row r="2433" spans="1:4" ht="14.25">
      <c r="A2433" t="s">
        <v>5328</v>
      </c>
      <c r="C2433">
        <v>10</v>
      </c>
      <c r="D2433">
        <v>30</v>
      </c>
    </row>
    <row r="2434" spans="1:4" ht="14.25">
      <c r="A2434" t="s">
        <v>5329</v>
      </c>
      <c r="C2434">
        <v>10</v>
      </c>
      <c r="D2434">
        <v>30</v>
      </c>
    </row>
    <row r="2435" spans="1:4" ht="14.25">
      <c r="A2435" t="s">
        <v>5330</v>
      </c>
      <c r="C2435">
        <v>10</v>
      </c>
      <c r="D2435">
        <v>30</v>
      </c>
    </row>
    <row r="2436" spans="1:4" ht="14.25">
      <c r="A2436" t="s">
        <v>5331</v>
      </c>
      <c r="C2436">
        <v>10</v>
      </c>
      <c r="D2436">
        <v>30</v>
      </c>
    </row>
    <row r="2437" spans="1:4" ht="14.25">
      <c r="A2437" t="s">
        <v>5332</v>
      </c>
      <c r="C2437">
        <v>10</v>
      </c>
      <c r="D2437">
        <v>30</v>
      </c>
    </row>
    <row r="2438" spans="1:4" ht="14.25">
      <c r="A2438" t="s">
        <v>5333</v>
      </c>
      <c r="C2438">
        <v>10</v>
      </c>
      <c r="D2438">
        <v>30</v>
      </c>
    </row>
    <row r="2439" spans="1:4" ht="14.25">
      <c r="A2439" t="s">
        <v>5334</v>
      </c>
      <c r="C2439">
        <v>10</v>
      </c>
      <c r="D2439">
        <v>30</v>
      </c>
    </row>
    <row r="2440" spans="1:4" ht="14.25">
      <c r="A2440" t="s">
        <v>5335</v>
      </c>
      <c r="C2440">
        <v>10</v>
      </c>
      <c r="D2440">
        <v>30</v>
      </c>
    </row>
    <row r="2441" spans="1:4" ht="14.25">
      <c r="A2441" t="s">
        <v>5336</v>
      </c>
      <c r="C2441">
        <v>10</v>
      </c>
      <c r="D2441">
        <v>30</v>
      </c>
    </row>
    <row r="2442" spans="1:4" ht="14.25">
      <c r="A2442" t="s">
        <v>5337</v>
      </c>
      <c r="C2442">
        <v>10</v>
      </c>
      <c r="D2442">
        <v>30</v>
      </c>
    </row>
    <row r="2443" spans="1:4" ht="14.25">
      <c r="A2443" t="s">
        <v>5338</v>
      </c>
      <c r="C2443">
        <v>10</v>
      </c>
      <c r="D2443">
        <v>30</v>
      </c>
    </row>
    <row r="2444" spans="1:4" ht="14.25">
      <c r="A2444" t="s">
        <v>5339</v>
      </c>
      <c r="C2444">
        <v>10</v>
      </c>
      <c r="D2444">
        <v>30</v>
      </c>
    </row>
    <row r="2445" spans="1:4" ht="14.25">
      <c r="A2445" t="s">
        <v>5340</v>
      </c>
      <c r="C2445">
        <v>0</v>
      </c>
      <c r="D2445">
        <v>0</v>
      </c>
    </row>
    <row r="2446" spans="1:4" ht="14.25">
      <c r="A2446" t="s">
        <v>1611</v>
      </c>
      <c r="C2446">
        <v>1</v>
      </c>
      <c r="D2446">
        <v>60</v>
      </c>
    </row>
    <row r="2447" spans="1:4" ht="14.25">
      <c r="A2447" t="s">
        <v>5341</v>
      </c>
      <c r="B2447" t="s">
        <v>2165</v>
      </c>
      <c r="C2447">
        <v>8</v>
      </c>
      <c r="D2447">
        <v>60</v>
      </c>
    </row>
    <row r="2448" spans="1:4" ht="14.25">
      <c r="A2448" t="s">
        <v>5342</v>
      </c>
      <c r="C2448">
        <v>0</v>
      </c>
      <c r="D2448">
        <v>0</v>
      </c>
    </row>
    <row r="2449" spans="1:4" ht="14.25">
      <c r="A2449" t="s">
        <v>5343</v>
      </c>
      <c r="C2449">
        <v>0</v>
      </c>
      <c r="D2449">
        <v>0</v>
      </c>
    </row>
    <row r="2450" spans="1:4" ht="14.25">
      <c r="A2450" t="s">
        <v>5344</v>
      </c>
      <c r="C2450">
        <v>0</v>
      </c>
      <c r="D2450">
        <v>0</v>
      </c>
    </row>
    <row r="2451" spans="1:4" ht="14.25">
      <c r="A2451" t="s">
        <v>5345</v>
      </c>
      <c r="C2451">
        <v>0</v>
      </c>
      <c r="D2451">
        <v>0</v>
      </c>
    </row>
    <row r="2452" spans="1:4" ht="14.25">
      <c r="A2452" t="s">
        <v>5346</v>
      </c>
      <c r="C2452">
        <v>0</v>
      </c>
      <c r="D2452">
        <v>0</v>
      </c>
    </row>
    <row r="2453" spans="1:4" ht="14.25">
      <c r="A2453" t="s">
        <v>5347</v>
      </c>
      <c r="C2453">
        <v>0</v>
      </c>
      <c r="D2453">
        <v>0</v>
      </c>
    </row>
    <row r="2454" spans="1:4" ht="14.25">
      <c r="A2454" t="s">
        <v>5348</v>
      </c>
      <c r="C2454">
        <v>0</v>
      </c>
      <c r="D2454">
        <v>0</v>
      </c>
    </row>
    <row r="2455" spans="1:4" ht="14.25">
      <c r="A2455" t="s">
        <v>5349</v>
      </c>
      <c r="C2455">
        <v>0</v>
      </c>
      <c r="D2455">
        <v>0</v>
      </c>
    </row>
    <row r="2456" spans="1:4" ht="14.25">
      <c r="A2456" t="s">
        <v>5350</v>
      </c>
      <c r="C2456">
        <v>0</v>
      </c>
      <c r="D2456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</vt:lpstr>
      <vt:lpstr>tulkojums</vt:lpstr>
      <vt:lpstr>DB_materiali</vt:lpstr>
      <vt:lpstr>DB_malas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Georgi Iljin</cp:lastModifiedBy>
  <dcterms:created xsi:type="dcterms:W3CDTF">2021-01-14T20:34:07Z</dcterms:created>
  <dcterms:modified xsi:type="dcterms:W3CDTF">2026-05-18T13:13:25Z</dcterms:modified>
</cp:coreProperties>
</file>